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45648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45648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45648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45648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45648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45648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45648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45648</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45648</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45648</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45648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45648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45648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45648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45648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45648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45648</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45648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45648</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45648</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45648</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45648</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45648</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45648</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45648</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45648</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45648</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45648</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45648</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45648</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45648</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45648</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45648</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45648</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45648</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45648</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45648</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45648</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45648</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45648</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45648</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45648</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45648</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45648</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45648</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45648</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45648</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45648</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45648</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45648</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45648</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45648</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45648</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45648</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45648</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45648</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45648</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45648</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45648</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45648</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45648</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45648</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45648</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45648</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45648</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45648</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45648</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45648</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45648</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45648</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45648</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45648</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45648</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45648</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45648</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45648</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45648</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45648</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45648</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45648</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45648</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45648</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45648</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45648</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45648</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45648</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45648</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45648</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45648</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45648</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45648</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45648</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45648</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45648</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45648</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45648</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45648</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45648</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45648</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45648</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45648</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45648</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45648</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45648</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45648</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45648</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45648</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45648</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45648</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45648</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45648</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45648</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45648</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45648</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45648</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45648</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45648</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45648</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45648</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45648</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45648</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45648</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45648</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45648</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45648</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45648</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45648</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45648</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45648</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45648</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45648</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45648</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45648</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45648</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45648</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45648</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45648</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45648</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45648</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45648</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45648</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45648</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45648</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45648</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45648</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45648</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45648</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45648</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45648</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45648</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45648</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45648</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45648</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45648</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45648</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45648</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45648</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45648</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45648</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45648</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45648</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45648</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45648</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45648</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45648</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45648</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45648</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45648</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45648</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45648</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45648</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45648</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45648</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45648</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45648</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45648</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45648</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45648</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45648</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45648</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45648</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45648</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45648</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45648</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45648</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45648</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45648</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45648</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45648</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45648</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45648</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45648</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45648</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45648</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45648</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45648</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45648</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45648</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45648</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45648</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45648</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45648</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45648</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45648</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45648</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45648</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45648</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45648</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45648</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45648</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45648</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45648</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45648</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45648</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45648</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45648</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45648</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45648</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45648</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45648</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45648</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45648</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45648</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45648</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45648</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45648</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45648</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45648</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45648</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45648</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45648</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45648</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45648</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45648</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45648</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45648</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45648</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45648</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45648</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45648</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45648</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45648</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45648</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45648</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45648</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45648</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45648</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45648</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45648</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45648</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45648</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45648</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45648</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45648</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45648</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45648</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45648</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45648</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45648</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45648</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45648</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45648</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45648</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45648</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45648</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45648</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45648</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45648</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45648</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45648</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45648</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45648</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45648</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45648</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45648</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45648</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45648</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45648</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45648</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45648</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45648</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45648</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45648</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45648</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45648</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45648</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45648</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45648</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45648</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45648</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45648</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45648</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45648</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45648</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45648</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45648</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45648</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45648</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45648</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45648</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45648</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45648</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45648</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45648</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45648</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45648</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45648</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45648</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45648</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45648</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45648</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45648</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45648</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45648</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45648</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45648</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45648</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45648</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45648</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45648</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45648</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45648</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45648</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45648</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45648</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45648</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45648</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45648</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45648</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45648</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45648</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45648</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45648</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45648</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45648</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45648</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45648</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45648</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45648</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45648</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45648</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45648</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45648</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45648</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45648</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45648</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45648</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45648</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45648</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45648</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45648</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45648</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45648</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45648</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45648</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45648</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45648</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45648</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45648</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45648</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45648</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45648</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45648</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45648</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45648</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45648</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45648</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45648</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45648</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45648</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45648</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45648</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30233-2022</t>
        </is>
      </c>
      <c r="B374" s="1" t="n">
        <v>44757</v>
      </c>
      <c r="C374" s="1" t="n">
        <v>45648</v>
      </c>
      <c r="D374" t="inlineStr">
        <is>
          <t>JÄMTLANDS LÄN</t>
        </is>
      </c>
      <c r="E374" t="inlineStr">
        <is>
          <t>STRÖMSUND</t>
        </is>
      </c>
      <c r="F374" t="inlineStr">
        <is>
          <t>SCA</t>
        </is>
      </c>
      <c r="G374" t="n">
        <v>10.1</v>
      </c>
      <c r="H374" t="n">
        <v>1</v>
      </c>
      <c r="I374" t="n">
        <v>1</v>
      </c>
      <c r="J374" t="n">
        <v>0</v>
      </c>
      <c r="K374" t="n">
        <v>0</v>
      </c>
      <c r="L374" t="n">
        <v>0</v>
      </c>
      <c r="M374" t="n">
        <v>0</v>
      </c>
      <c r="N374" t="n">
        <v>0</v>
      </c>
      <c r="O374" t="n">
        <v>0</v>
      </c>
      <c r="P374" t="n">
        <v>0</v>
      </c>
      <c r="Q374" t="n">
        <v>1</v>
      </c>
      <c r="R374" s="2" t="inlineStr">
        <is>
          <t>Guckusko</t>
        </is>
      </c>
      <c r="S374">
        <f>HYPERLINK("https://klasma.github.io/Logging_2313/artfynd/A 30233-2022 artfynd.xlsx", "A 30233-2022")</f>
        <v/>
      </c>
      <c r="T374">
        <f>HYPERLINK("https://klasma.github.io/Logging_2313/kartor/A 30233-2022 karta.png", "A 30233-2022")</f>
        <v/>
      </c>
      <c r="V374">
        <f>HYPERLINK("https://klasma.github.io/Logging_2313/klagomål/A 30233-2022 FSC-klagomål.docx", "A 30233-2022")</f>
        <v/>
      </c>
      <c r="W374">
        <f>HYPERLINK("https://klasma.github.io/Logging_2313/klagomålsmail/A 30233-2022 FSC-klagomål mail.docx", "A 30233-2022")</f>
        <v/>
      </c>
      <c r="X374">
        <f>HYPERLINK("https://klasma.github.io/Logging_2313/tillsyn/A 30233-2022 tillsynsbegäran.docx", "A 30233-2022")</f>
        <v/>
      </c>
      <c r="Y374">
        <f>HYPERLINK("https://klasma.github.io/Logging_2313/tillsynsmail/A 30233-2022 tillsynsbegäran mail.docx", "A 30233-2022")</f>
        <v/>
      </c>
    </row>
    <row r="375" ht="15" customHeight="1">
      <c r="A375" t="inlineStr">
        <is>
          <t>A 32351-2022</t>
        </is>
      </c>
      <c r="B375" s="1" t="n">
        <v>44781</v>
      </c>
      <c r="C375" s="1" t="n">
        <v>45648</v>
      </c>
      <c r="D375" t="inlineStr">
        <is>
          <t>JÄMTLANDS LÄN</t>
        </is>
      </c>
      <c r="E375" t="inlineStr">
        <is>
          <t>STRÖMSUND</t>
        </is>
      </c>
      <c r="F375" t="inlineStr">
        <is>
          <t>SCA</t>
        </is>
      </c>
      <c r="G375" t="n">
        <v>13.2</v>
      </c>
      <c r="H375" t="n">
        <v>0</v>
      </c>
      <c r="I375" t="n">
        <v>0</v>
      </c>
      <c r="J375" t="n">
        <v>1</v>
      </c>
      <c r="K375" t="n">
        <v>0</v>
      </c>
      <c r="L375" t="n">
        <v>0</v>
      </c>
      <c r="M375" t="n">
        <v>0</v>
      </c>
      <c r="N375" t="n">
        <v>0</v>
      </c>
      <c r="O375" t="n">
        <v>1</v>
      </c>
      <c r="P375" t="n">
        <v>0</v>
      </c>
      <c r="Q375" t="n">
        <v>1</v>
      </c>
      <c r="R375" s="2" t="inlineStr">
        <is>
          <t>Harticka</t>
        </is>
      </c>
      <c r="S375">
        <f>HYPERLINK("https://klasma.github.io/Logging_2313/artfynd/A 32351-2022 artfynd.xlsx", "A 32351-2022")</f>
        <v/>
      </c>
      <c r="T375">
        <f>HYPERLINK("https://klasma.github.io/Logging_2313/kartor/A 32351-2022 karta.png", "A 32351-2022")</f>
        <v/>
      </c>
      <c r="V375">
        <f>HYPERLINK("https://klasma.github.io/Logging_2313/klagomål/A 32351-2022 FSC-klagomål.docx", "A 32351-2022")</f>
        <v/>
      </c>
      <c r="W375">
        <f>HYPERLINK("https://klasma.github.io/Logging_2313/klagomålsmail/A 32351-2022 FSC-klagomål mail.docx", "A 32351-2022")</f>
        <v/>
      </c>
      <c r="X375">
        <f>HYPERLINK("https://klasma.github.io/Logging_2313/tillsyn/A 32351-2022 tillsynsbegäran.docx", "A 32351-2022")</f>
        <v/>
      </c>
      <c r="Y375">
        <f>HYPERLINK("https://klasma.github.io/Logging_2313/tillsynsmail/A 32351-2022 tillsynsbegäran mail.docx", "A 32351-2022")</f>
        <v/>
      </c>
    </row>
    <row r="376" ht="15" customHeight="1">
      <c r="A376" t="inlineStr">
        <is>
          <t>A 32965-2022</t>
        </is>
      </c>
      <c r="B376" s="1" t="n">
        <v>44784</v>
      </c>
      <c r="C376" s="1" t="n">
        <v>45648</v>
      </c>
      <c r="D376" t="inlineStr">
        <is>
          <t>JÄMTLANDS LÄN</t>
        </is>
      </c>
      <c r="E376" t="inlineStr">
        <is>
          <t>STRÖMSUND</t>
        </is>
      </c>
      <c r="G376" t="n">
        <v>5.8</v>
      </c>
      <c r="H376" t="n">
        <v>0</v>
      </c>
      <c r="I376" t="n">
        <v>0</v>
      </c>
      <c r="J376" t="n">
        <v>1</v>
      </c>
      <c r="K376" t="n">
        <v>0</v>
      </c>
      <c r="L376" t="n">
        <v>0</v>
      </c>
      <c r="M376" t="n">
        <v>0</v>
      </c>
      <c r="N376" t="n">
        <v>0</v>
      </c>
      <c r="O376" t="n">
        <v>1</v>
      </c>
      <c r="P376" t="n">
        <v>0</v>
      </c>
      <c r="Q376" t="n">
        <v>1</v>
      </c>
      <c r="R376" s="2" t="inlineStr">
        <is>
          <t>Vitgrynig nållav</t>
        </is>
      </c>
      <c r="S376">
        <f>HYPERLINK("https://klasma.github.io/Logging_2313/artfynd/A 32965-2022 artfynd.xlsx", "A 32965-2022")</f>
        <v/>
      </c>
      <c r="T376">
        <f>HYPERLINK("https://klasma.github.io/Logging_2313/kartor/A 32965-2022 karta.png", "A 32965-2022")</f>
        <v/>
      </c>
      <c r="V376">
        <f>HYPERLINK("https://klasma.github.io/Logging_2313/klagomål/A 32965-2022 FSC-klagomål.docx", "A 32965-2022")</f>
        <v/>
      </c>
      <c r="W376">
        <f>HYPERLINK("https://klasma.github.io/Logging_2313/klagomålsmail/A 32965-2022 FSC-klagomål mail.docx", "A 32965-2022")</f>
        <v/>
      </c>
      <c r="X376">
        <f>HYPERLINK("https://klasma.github.io/Logging_2313/tillsyn/A 32965-2022 tillsynsbegäran.docx", "A 32965-2022")</f>
        <v/>
      </c>
      <c r="Y376">
        <f>HYPERLINK("https://klasma.github.io/Logging_2313/tillsynsmail/A 32965-2022 tillsynsbegäran mail.docx", "A 32965-2022")</f>
        <v/>
      </c>
    </row>
    <row r="377" ht="15" customHeight="1">
      <c r="A377" t="inlineStr">
        <is>
          <t>A 34009-2022</t>
        </is>
      </c>
      <c r="B377" s="1" t="n">
        <v>44790</v>
      </c>
      <c r="C377" s="1" t="n">
        <v>45648</v>
      </c>
      <c r="D377" t="inlineStr">
        <is>
          <t>JÄMTLANDS LÄN</t>
        </is>
      </c>
      <c r="E377" t="inlineStr">
        <is>
          <t>STRÖMSUND</t>
        </is>
      </c>
      <c r="F377" t="inlineStr">
        <is>
          <t>SCA</t>
        </is>
      </c>
      <c r="G377" t="n">
        <v>8.5</v>
      </c>
      <c r="H377" t="n">
        <v>0</v>
      </c>
      <c r="I377" t="n">
        <v>0</v>
      </c>
      <c r="J377" t="n">
        <v>0</v>
      </c>
      <c r="K377" t="n">
        <v>1</v>
      </c>
      <c r="L377" t="n">
        <v>0</v>
      </c>
      <c r="M377" t="n">
        <v>0</v>
      </c>
      <c r="N377" t="n">
        <v>0</v>
      </c>
      <c r="O377" t="n">
        <v>1</v>
      </c>
      <c r="P377" t="n">
        <v>1</v>
      </c>
      <c r="Q377" t="n">
        <v>1</v>
      </c>
      <c r="R377" s="2" t="inlineStr">
        <is>
          <t>Rynkskinn</t>
        </is>
      </c>
      <c r="S377">
        <f>HYPERLINK("https://klasma.github.io/Logging_2313/artfynd/A 34009-2022 artfynd.xlsx", "A 34009-2022")</f>
        <v/>
      </c>
      <c r="T377">
        <f>HYPERLINK("https://klasma.github.io/Logging_2313/kartor/A 34009-2022 karta.png", "A 34009-2022")</f>
        <v/>
      </c>
      <c r="V377">
        <f>HYPERLINK("https://klasma.github.io/Logging_2313/klagomål/A 34009-2022 FSC-klagomål.docx", "A 34009-2022")</f>
        <v/>
      </c>
      <c r="W377">
        <f>HYPERLINK("https://klasma.github.io/Logging_2313/klagomålsmail/A 34009-2022 FSC-klagomål mail.docx", "A 34009-2022")</f>
        <v/>
      </c>
      <c r="X377">
        <f>HYPERLINK("https://klasma.github.io/Logging_2313/tillsyn/A 34009-2022 tillsynsbegäran.docx", "A 34009-2022")</f>
        <v/>
      </c>
      <c r="Y377">
        <f>HYPERLINK("https://klasma.github.io/Logging_2313/tillsynsmail/A 34009-2022 tillsynsbegäran mail.docx", "A 34009-2022")</f>
        <v/>
      </c>
    </row>
    <row r="378" ht="15" customHeight="1">
      <c r="A378" t="inlineStr">
        <is>
          <t>A 39696-2022</t>
        </is>
      </c>
      <c r="B378" s="1" t="n">
        <v>44818</v>
      </c>
      <c r="C378" s="1" t="n">
        <v>45648</v>
      </c>
      <c r="D378" t="inlineStr">
        <is>
          <t>JÄMTLANDS LÄN</t>
        </is>
      </c>
      <c r="E378" t="inlineStr">
        <is>
          <t>STRÖMSUND</t>
        </is>
      </c>
      <c r="F378" t="inlineStr">
        <is>
          <t>SCA</t>
        </is>
      </c>
      <c r="G378" t="n">
        <v>4.6</v>
      </c>
      <c r="H378" t="n">
        <v>0</v>
      </c>
      <c r="I378" t="n">
        <v>0</v>
      </c>
      <c r="J378" t="n">
        <v>0</v>
      </c>
      <c r="K378" t="n">
        <v>1</v>
      </c>
      <c r="L378" t="n">
        <v>0</v>
      </c>
      <c r="M378" t="n">
        <v>0</v>
      </c>
      <c r="N378" t="n">
        <v>0</v>
      </c>
      <c r="O378" t="n">
        <v>1</v>
      </c>
      <c r="P378" t="n">
        <v>1</v>
      </c>
      <c r="Q378" t="n">
        <v>1</v>
      </c>
      <c r="R378" s="2" t="inlineStr">
        <is>
          <t>Gräddporing</t>
        </is>
      </c>
      <c r="S378">
        <f>HYPERLINK("https://klasma.github.io/Logging_2313/artfynd/A 39696-2022 artfynd.xlsx", "A 39696-2022")</f>
        <v/>
      </c>
      <c r="T378">
        <f>HYPERLINK("https://klasma.github.io/Logging_2313/kartor/A 39696-2022 karta.png", "A 39696-2022")</f>
        <v/>
      </c>
      <c r="V378">
        <f>HYPERLINK("https://klasma.github.io/Logging_2313/klagomål/A 39696-2022 FSC-klagomål.docx", "A 39696-2022")</f>
        <v/>
      </c>
      <c r="W378">
        <f>HYPERLINK("https://klasma.github.io/Logging_2313/klagomålsmail/A 39696-2022 FSC-klagomål mail.docx", "A 39696-2022")</f>
        <v/>
      </c>
      <c r="X378">
        <f>HYPERLINK("https://klasma.github.io/Logging_2313/tillsyn/A 39696-2022 tillsynsbegäran.docx", "A 39696-2022")</f>
        <v/>
      </c>
      <c r="Y378">
        <f>HYPERLINK("https://klasma.github.io/Logging_2313/tillsynsmail/A 39696-2022 tillsynsbegäran mail.docx", "A 39696-2022")</f>
        <v/>
      </c>
    </row>
    <row r="379" ht="15" customHeight="1">
      <c r="A379" t="inlineStr">
        <is>
          <t>A 41193-2022</t>
        </is>
      </c>
      <c r="B379" s="1" t="n">
        <v>44826</v>
      </c>
      <c r="C379" s="1" t="n">
        <v>45648</v>
      </c>
      <c r="D379" t="inlineStr">
        <is>
          <t>JÄMTLANDS LÄN</t>
        </is>
      </c>
      <c r="E379" t="inlineStr">
        <is>
          <t>STRÖMSUND</t>
        </is>
      </c>
      <c r="F379" t="inlineStr">
        <is>
          <t>SCA</t>
        </is>
      </c>
      <c r="G379" t="n">
        <v>2.7</v>
      </c>
      <c r="H379" t="n">
        <v>1</v>
      </c>
      <c r="I379" t="n">
        <v>0</v>
      </c>
      <c r="J379" t="n">
        <v>1</v>
      </c>
      <c r="K379" t="n">
        <v>0</v>
      </c>
      <c r="L379" t="n">
        <v>0</v>
      </c>
      <c r="M379" t="n">
        <v>0</v>
      </c>
      <c r="N379" t="n">
        <v>0</v>
      </c>
      <c r="O379" t="n">
        <v>1</v>
      </c>
      <c r="P379" t="n">
        <v>0</v>
      </c>
      <c r="Q379" t="n">
        <v>1</v>
      </c>
      <c r="R379" s="2" t="inlineStr">
        <is>
          <t>Tretåig hackspett</t>
        </is>
      </c>
      <c r="S379">
        <f>HYPERLINK("https://klasma.github.io/Logging_2313/artfynd/A 41193-2022 artfynd.xlsx", "A 41193-2022")</f>
        <v/>
      </c>
      <c r="T379">
        <f>HYPERLINK("https://klasma.github.io/Logging_2313/kartor/A 41193-2022 karta.png", "A 41193-2022")</f>
        <v/>
      </c>
      <c r="V379">
        <f>HYPERLINK("https://klasma.github.io/Logging_2313/klagomål/A 41193-2022 FSC-klagomål.docx", "A 41193-2022")</f>
        <v/>
      </c>
      <c r="W379">
        <f>HYPERLINK("https://klasma.github.io/Logging_2313/klagomålsmail/A 41193-2022 FSC-klagomål mail.docx", "A 41193-2022")</f>
        <v/>
      </c>
      <c r="X379">
        <f>HYPERLINK("https://klasma.github.io/Logging_2313/tillsyn/A 41193-2022 tillsynsbegäran.docx", "A 41193-2022")</f>
        <v/>
      </c>
      <c r="Y379">
        <f>HYPERLINK("https://klasma.github.io/Logging_2313/tillsynsmail/A 41193-2022 tillsynsbegäran mail.docx", "A 41193-2022")</f>
        <v/>
      </c>
      <c r="Z379">
        <f>HYPERLINK("https://klasma.github.io/Logging_2313/fåglar/A 41193-2022 prioriterade fågelarter.docx", "A 41193-2022")</f>
        <v/>
      </c>
    </row>
    <row r="380" ht="15" customHeight="1">
      <c r="A380" t="inlineStr">
        <is>
          <t>A 41811-2022</t>
        </is>
      </c>
      <c r="B380" s="1" t="n">
        <v>44827</v>
      </c>
      <c r="C380" s="1" t="n">
        <v>45648</v>
      </c>
      <c r="D380" t="inlineStr">
        <is>
          <t>JÄMTLANDS LÄN</t>
        </is>
      </c>
      <c r="E380" t="inlineStr">
        <is>
          <t>STRÖMSUND</t>
        </is>
      </c>
      <c r="F380" t="inlineStr">
        <is>
          <t>SCA</t>
        </is>
      </c>
      <c r="G380" t="n">
        <v>7.6</v>
      </c>
      <c r="H380" t="n">
        <v>1</v>
      </c>
      <c r="I380" t="n">
        <v>0</v>
      </c>
      <c r="J380" t="n">
        <v>0</v>
      </c>
      <c r="K380" t="n">
        <v>1</v>
      </c>
      <c r="L380" t="n">
        <v>0</v>
      </c>
      <c r="M380" t="n">
        <v>0</v>
      </c>
      <c r="N380" t="n">
        <v>0</v>
      </c>
      <c r="O380" t="n">
        <v>1</v>
      </c>
      <c r="P380" t="n">
        <v>1</v>
      </c>
      <c r="Q380" t="n">
        <v>1</v>
      </c>
      <c r="R380" s="2" t="inlineStr">
        <is>
          <t>Knärot</t>
        </is>
      </c>
      <c r="S380">
        <f>HYPERLINK("https://klasma.github.io/Logging_2313/artfynd/A 41811-2022 artfynd.xlsx", "A 41811-2022")</f>
        <v/>
      </c>
      <c r="T380">
        <f>HYPERLINK("https://klasma.github.io/Logging_2313/kartor/A 41811-2022 karta.png", "A 41811-2022")</f>
        <v/>
      </c>
      <c r="U380">
        <f>HYPERLINK("https://klasma.github.io/Logging_2313/knärot/A 41811-2022 karta knärot.png", "A 41811-2022")</f>
        <v/>
      </c>
      <c r="V380">
        <f>HYPERLINK("https://klasma.github.io/Logging_2313/klagomål/A 41811-2022 FSC-klagomål.docx", "A 41811-2022")</f>
        <v/>
      </c>
      <c r="W380">
        <f>HYPERLINK("https://klasma.github.io/Logging_2313/klagomålsmail/A 41811-2022 FSC-klagomål mail.docx", "A 41811-2022")</f>
        <v/>
      </c>
      <c r="X380">
        <f>HYPERLINK("https://klasma.github.io/Logging_2313/tillsyn/A 41811-2022 tillsynsbegäran.docx", "A 41811-2022")</f>
        <v/>
      </c>
      <c r="Y380">
        <f>HYPERLINK("https://klasma.github.io/Logging_2313/tillsynsmail/A 41811-2022 tillsynsbegäran mail.docx", "A 41811-2022")</f>
        <v/>
      </c>
    </row>
    <row r="381" ht="15" customHeight="1">
      <c r="A381" t="inlineStr">
        <is>
          <t>A 46343-2022</t>
        </is>
      </c>
      <c r="B381" s="1" t="n">
        <v>44847</v>
      </c>
      <c r="C381" s="1" t="n">
        <v>45648</v>
      </c>
      <c r="D381" t="inlineStr">
        <is>
          <t>JÄMTLANDS LÄN</t>
        </is>
      </c>
      <c r="E381" t="inlineStr">
        <is>
          <t>STRÖMSUND</t>
        </is>
      </c>
      <c r="F381" t="inlineStr">
        <is>
          <t>SCA</t>
        </is>
      </c>
      <c r="G381" t="n">
        <v>0.8</v>
      </c>
      <c r="H381" t="n">
        <v>0</v>
      </c>
      <c r="I381" t="n">
        <v>0</v>
      </c>
      <c r="J381" t="n">
        <v>1</v>
      </c>
      <c r="K381" t="n">
        <v>0</v>
      </c>
      <c r="L381" t="n">
        <v>0</v>
      </c>
      <c r="M381" t="n">
        <v>0</v>
      </c>
      <c r="N381" t="n">
        <v>0</v>
      </c>
      <c r="O381" t="n">
        <v>1</v>
      </c>
      <c r="P381" t="n">
        <v>0</v>
      </c>
      <c r="Q381" t="n">
        <v>1</v>
      </c>
      <c r="R381" s="2" t="inlineStr">
        <is>
          <t>Lunglav</t>
        </is>
      </c>
      <c r="S381">
        <f>HYPERLINK("https://klasma.github.io/Logging_2313/artfynd/A 46343-2022 artfynd.xlsx", "A 46343-2022")</f>
        <v/>
      </c>
      <c r="T381">
        <f>HYPERLINK("https://klasma.github.io/Logging_2313/kartor/A 46343-2022 karta.png", "A 46343-2022")</f>
        <v/>
      </c>
      <c r="V381">
        <f>HYPERLINK("https://klasma.github.io/Logging_2313/klagomål/A 46343-2022 FSC-klagomål.docx", "A 46343-2022")</f>
        <v/>
      </c>
      <c r="W381">
        <f>HYPERLINK("https://klasma.github.io/Logging_2313/klagomålsmail/A 46343-2022 FSC-klagomål mail.docx", "A 46343-2022")</f>
        <v/>
      </c>
      <c r="X381">
        <f>HYPERLINK("https://klasma.github.io/Logging_2313/tillsyn/A 46343-2022 tillsynsbegäran.docx", "A 46343-2022")</f>
        <v/>
      </c>
      <c r="Y381">
        <f>HYPERLINK("https://klasma.github.io/Logging_2313/tillsynsmail/A 46343-2022 tillsynsbegäran mail.docx", "A 46343-2022")</f>
        <v/>
      </c>
    </row>
    <row r="382" ht="15" customHeight="1">
      <c r="A382" t="inlineStr">
        <is>
          <t>A 48544-2022</t>
        </is>
      </c>
      <c r="B382" s="1" t="n">
        <v>44858</v>
      </c>
      <c r="C382" s="1" t="n">
        <v>45648</v>
      </c>
      <c r="D382" t="inlineStr">
        <is>
          <t>JÄMTLANDS LÄN</t>
        </is>
      </c>
      <c r="E382" t="inlineStr">
        <is>
          <t>STRÖMSUND</t>
        </is>
      </c>
      <c r="F382" t="inlineStr">
        <is>
          <t>SCA</t>
        </is>
      </c>
      <c r="G382" t="n">
        <v>2.6</v>
      </c>
      <c r="H382" t="n">
        <v>1</v>
      </c>
      <c r="I382" t="n">
        <v>0</v>
      </c>
      <c r="J382" t="n">
        <v>0</v>
      </c>
      <c r="K382" t="n">
        <v>1</v>
      </c>
      <c r="L382" t="n">
        <v>0</v>
      </c>
      <c r="M382" t="n">
        <v>0</v>
      </c>
      <c r="N382" t="n">
        <v>0</v>
      </c>
      <c r="O382" t="n">
        <v>1</v>
      </c>
      <c r="P382" t="n">
        <v>1</v>
      </c>
      <c r="Q382" t="n">
        <v>1</v>
      </c>
      <c r="R382" s="2" t="inlineStr">
        <is>
          <t>Doftticka</t>
        </is>
      </c>
      <c r="S382">
        <f>HYPERLINK("https://klasma.github.io/Logging_2313/artfynd/A 48544-2022 artfynd.xlsx", "A 48544-2022")</f>
        <v/>
      </c>
      <c r="T382">
        <f>HYPERLINK("https://klasma.github.io/Logging_2313/kartor/A 48544-2022 karta.png", "A 48544-2022")</f>
        <v/>
      </c>
      <c r="V382">
        <f>HYPERLINK("https://klasma.github.io/Logging_2313/klagomål/A 48544-2022 FSC-klagomål.docx", "A 48544-2022")</f>
        <v/>
      </c>
      <c r="W382">
        <f>HYPERLINK("https://klasma.github.io/Logging_2313/klagomålsmail/A 48544-2022 FSC-klagomål mail.docx", "A 48544-2022")</f>
        <v/>
      </c>
      <c r="X382">
        <f>HYPERLINK("https://klasma.github.io/Logging_2313/tillsyn/A 48544-2022 tillsynsbegäran.docx", "A 48544-2022")</f>
        <v/>
      </c>
      <c r="Y382">
        <f>HYPERLINK("https://klasma.github.io/Logging_2313/tillsynsmail/A 48544-2022 tillsynsbegäran mail.docx", "A 48544-2022")</f>
        <v/>
      </c>
    </row>
    <row r="383" ht="15" customHeight="1">
      <c r="A383" t="inlineStr">
        <is>
          <t>A 48896-2022</t>
        </is>
      </c>
      <c r="B383" s="1" t="n">
        <v>44859</v>
      </c>
      <c r="C383" s="1" t="n">
        <v>45648</v>
      </c>
      <c r="D383" t="inlineStr">
        <is>
          <t>JÄMTLANDS LÄN</t>
        </is>
      </c>
      <c r="E383" t="inlineStr">
        <is>
          <t>STRÖMSUND</t>
        </is>
      </c>
      <c r="F383" t="inlineStr">
        <is>
          <t>SCA</t>
        </is>
      </c>
      <c r="G383" t="n">
        <v>3.3</v>
      </c>
      <c r="H383" t="n">
        <v>1</v>
      </c>
      <c r="I383" t="n">
        <v>1</v>
      </c>
      <c r="J383" t="n">
        <v>0</v>
      </c>
      <c r="K383" t="n">
        <v>0</v>
      </c>
      <c r="L383" t="n">
        <v>0</v>
      </c>
      <c r="M383" t="n">
        <v>0</v>
      </c>
      <c r="N383" t="n">
        <v>0</v>
      </c>
      <c r="O383" t="n">
        <v>0</v>
      </c>
      <c r="P383" t="n">
        <v>0</v>
      </c>
      <c r="Q383" t="n">
        <v>1</v>
      </c>
      <c r="R383" s="2" t="inlineStr">
        <is>
          <t>Guckusko</t>
        </is>
      </c>
      <c r="S383">
        <f>HYPERLINK("https://klasma.github.io/Logging_2313/artfynd/A 48896-2022 artfynd.xlsx", "A 48896-2022")</f>
        <v/>
      </c>
      <c r="T383">
        <f>HYPERLINK("https://klasma.github.io/Logging_2313/kartor/A 48896-2022 karta.png", "A 48896-2022")</f>
        <v/>
      </c>
      <c r="V383">
        <f>HYPERLINK("https://klasma.github.io/Logging_2313/klagomål/A 48896-2022 FSC-klagomål.docx", "A 48896-2022")</f>
        <v/>
      </c>
      <c r="W383">
        <f>HYPERLINK("https://klasma.github.io/Logging_2313/klagomålsmail/A 48896-2022 FSC-klagomål mail.docx", "A 48896-2022")</f>
        <v/>
      </c>
      <c r="X383">
        <f>HYPERLINK("https://klasma.github.io/Logging_2313/tillsyn/A 48896-2022 tillsynsbegäran.docx", "A 48896-2022")</f>
        <v/>
      </c>
      <c r="Y383">
        <f>HYPERLINK("https://klasma.github.io/Logging_2313/tillsynsmail/A 48896-2022 tillsynsbegäran mail.docx", "A 48896-2022")</f>
        <v/>
      </c>
    </row>
    <row r="384" ht="15" customHeight="1">
      <c r="A384" t="inlineStr">
        <is>
          <t>A 50688-2022</t>
        </is>
      </c>
      <c r="B384" s="1" t="n">
        <v>44866</v>
      </c>
      <c r="C384" s="1" t="n">
        <v>45648</v>
      </c>
      <c r="D384" t="inlineStr">
        <is>
          <t>JÄMTLANDS LÄN</t>
        </is>
      </c>
      <c r="E384" t="inlineStr">
        <is>
          <t>STRÖMSUND</t>
        </is>
      </c>
      <c r="F384" t="inlineStr">
        <is>
          <t>SCA</t>
        </is>
      </c>
      <c r="G384" t="n">
        <v>8.699999999999999</v>
      </c>
      <c r="H384" t="n">
        <v>1</v>
      </c>
      <c r="I384" t="n">
        <v>0</v>
      </c>
      <c r="J384" t="n">
        <v>1</v>
      </c>
      <c r="K384" t="n">
        <v>0</v>
      </c>
      <c r="L384" t="n">
        <v>0</v>
      </c>
      <c r="M384" t="n">
        <v>0</v>
      </c>
      <c r="N384" t="n">
        <v>0</v>
      </c>
      <c r="O384" t="n">
        <v>1</v>
      </c>
      <c r="P384" t="n">
        <v>0</v>
      </c>
      <c r="Q384" t="n">
        <v>1</v>
      </c>
      <c r="R384" s="2" t="inlineStr">
        <is>
          <t>Skogsfru</t>
        </is>
      </c>
      <c r="S384">
        <f>HYPERLINK("https://klasma.github.io/Logging_2313/artfynd/A 50688-2022 artfynd.xlsx", "A 50688-2022")</f>
        <v/>
      </c>
      <c r="T384">
        <f>HYPERLINK("https://klasma.github.io/Logging_2313/kartor/A 50688-2022 karta.png", "A 50688-2022")</f>
        <v/>
      </c>
      <c r="V384">
        <f>HYPERLINK("https://klasma.github.io/Logging_2313/klagomål/A 50688-2022 FSC-klagomål.docx", "A 50688-2022")</f>
        <v/>
      </c>
      <c r="W384">
        <f>HYPERLINK("https://klasma.github.io/Logging_2313/klagomålsmail/A 50688-2022 FSC-klagomål mail.docx", "A 50688-2022")</f>
        <v/>
      </c>
      <c r="X384">
        <f>HYPERLINK("https://klasma.github.io/Logging_2313/tillsyn/A 50688-2022 tillsynsbegäran.docx", "A 50688-2022")</f>
        <v/>
      </c>
      <c r="Y384">
        <f>HYPERLINK("https://klasma.github.io/Logging_2313/tillsynsmail/A 50688-2022 tillsynsbegäran mail.docx", "A 50688-2022")</f>
        <v/>
      </c>
    </row>
    <row r="385" ht="15" customHeight="1">
      <c r="A385" t="inlineStr">
        <is>
          <t>A 50683-2022</t>
        </is>
      </c>
      <c r="B385" s="1" t="n">
        <v>44866</v>
      </c>
      <c r="C385" s="1" t="n">
        <v>45648</v>
      </c>
      <c r="D385" t="inlineStr">
        <is>
          <t>JÄMTLANDS LÄN</t>
        </is>
      </c>
      <c r="E385" t="inlineStr">
        <is>
          <t>STRÖMSUND</t>
        </is>
      </c>
      <c r="F385" t="inlineStr">
        <is>
          <t>SCA</t>
        </is>
      </c>
      <c r="G385" t="n">
        <v>4.8</v>
      </c>
      <c r="H385" t="n">
        <v>0</v>
      </c>
      <c r="I385" t="n">
        <v>0</v>
      </c>
      <c r="J385" t="n">
        <v>1</v>
      </c>
      <c r="K385" t="n">
        <v>0</v>
      </c>
      <c r="L385" t="n">
        <v>0</v>
      </c>
      <c r="M385" t="n">
        <v>0</v>
      </c>
      <c r="N385" t="n">
        <v>0</v>
      </c>
      <c r="O385" t="n">
        <v>1</v>
      </c>
      <c r="P385" t="n">
        <v>0</v>
      </c>
      <c r="Q385" t="n">
        <v>1</v>
      </c>
      <c r="R385" s="2" t="inlineStr">
        <is>
          <t>Gammelgransskål</t>
        </is>
      </c>
      <c r="S385">
        <f>HYPERLINK("https://klasma.github.io/Logging_2313/artfynd/A 50683-2022 artfynd.xlsx", "A 50683-2022")</f>
        <v/>
      </c>
      <c r="T385">
        <f>HYPERLINK("https://klasma.github.io/Logging_2313/kartor/A 50683-2022 karta.png", "A 50683-2022")</f>
        <v/>
      </c>
      <c r="V385">
        <f>HYPERLINK("https://klasma.github.io/Logging_2313/klagomål/A 50683-2022 FSC-klagomål.docx", "A 50683-2022")</f>
        <v/>
      </c>
      <c r="W385">
        <f>HYPERLINK("https://klasma.github.io/Logging_2313/klagomålsmail/A 50683-2022 FSC-klagomål mail.docx", "A 50683-2022")</f>
        <v/>
      </c>
      <c r="X385">
        <f>HYPERLINK("https://klasma.github.io/Logging_2313/tillsyn/A 50683-2022 tillsynsbegäran.docx", "A 50683-2022")</f>
        <v/>
      </c>
      <c r="Y385">
        <f>HYPERLINK("https://klasma.github.io/Logging_2313/tillsynsmail/A 50683-2022 tillsynsbegäran mail.docx", "A 50683-2022")</f>
        <v/>
      </c>
    </row>
    <row r="386" ht="15" customHeight="1">
      <c r="A386" t="inlineStr">
        <is>
          <t>A 51309-2022</t>
        </is>
      </c>
      <c r="B386" s="1" t="n">
        <v>44868</v>
      </c>
      <c r="C386" s="1" t="n">
        <v>45648</v>
      </c>
      <c r="D386" t="inlineStr">
        <is>
          <t>JÄMTLANDS LÄN</t>
        </is>
      </c>
      <c r="E386" t="inlineStr">
        <is>
          <t>STRÖMSUND</t>
        </is>
      </c>
      <c r="F386" t="inlineStr">
        <is>
          <t>SCA</t>
        </is>
      </c>
      <c r="G386" t="n">
        <v>5.1</v>
      </c>
      <c r="H386" t="n">
        <v>0</v>
      </c>
      <c r="I386" t="n">
        <v>0</v>
      </c>
      <c r="J386" t="n">
        <v>1</v>
      </c>
      <c r="K386" t="n">
        <v>0</v>
      </c>
      <c r="L386" t="n">
        <v>0</v>
      </c>
      <c r="M386" t="n">
        <v>0</v>
      </c>
      <c r="N386" t="n">
        <v>0</v>
      </c>
      <c r="O386" t="n">
        <v>1</v>
      </c>
      <c r="P386" t="n">
        <v>0</v>
      </c>
      <c r="Q386" t="n">
        <v>1</v>
      </c>
      <c r="R386" s="2" t="inlineStr">
        <is>
          <t>Skrovellav</t>
        </is>
      </c>
      <c r="S386">
        <f>HYPERLINK("https://klasma.github.io/Logging_2313/artfynd/A 51309-2022 artfynd.xlsx", "A 51309-2022")</f>
        <v/>
      </c>
      <c r="T386">
        <f>HYPERLINK("https://klasma.github.io/Logging_2313/kartor/A 51309-2022 karta.png", "A 51309-2022")</f>
        <v/>
      </c>
      <c r="V386">
        <f>HYPERLINK("https://klasma.github.io/Logging_2313/klagomål/A 51309-2022 FSC-klagomål.docx", "A 51309-2022")</f>
        <v/>
      </c>
      <c r="W386">
        <f>HYPERLINK("https://klasma.github.io/Logging_2313/klagomålsmail/A 51309-2022 FSC-klagomål mail.docx", "A 51309-2022")</f>
        <v/>
      </c>
      <c r="X386">
        <f>HYPERLINK("https://klasma.github.io/Logging_2313/tillsyn/A 51309-2022 tillsynsbegäran.docx", "A 51309-2022")</f>
        <v/>
      </c>
      <c r="Y386">
        <f>HYPERLINK("https://klasma.github.io/Logging_2313/tillsynsmail/A 51309-2022 tillsynsbegäran mail.docx", "A 51309-2022")</f>
        <v/>
      </c>
    </row>
    <row r="387" ht="15" customHeight="1">
      <c r="A387" t="inlineStr">
        <is>
          <t>A 55530-2022</t>
        </is>
      </c>
      <c r="B387" s="1" t="n">
        <v>44887</v>
      </c>
      <c r="C387" s="1" t="n">
        <v>45648</v>
      </c>
      <c r="D387" t="inlineStr">
        <is>
          <t>JÄMTLANDS LÄN</t>
        </is>
      </c>
      <c r="E387" t="inlineStr">
        <is>
          <t>STRÖMSUND</t>
        </is>
      </c>
      <c r="F387" t="inlineStr">
        <is>
          <t>SCA</t>
        </is>
      </c>
      <c r="G387" t="n">
        <v>5.5</v>
      </c>
      <c r="H387" t="n">
        <v>0</v>
      </c>
      <c r="I387" t="n">
        <v>0</v>
      </c>
      <c r="J387" t="n">
        <v>1</v>
      </c>
      <c r="K387" t="n">
        <v>0</v>
      </c>
      <c r="L387" t="n">
        <v>0</v>
      </c>
      <c r="M387" t="n">
        <v>0</v>
      </c>
      <c r="N387" t="n">
        <v>0</v>
      </c>
      <c r="O387" t="n">
        <v>1</v>
      </c>
      <c r="P387" t="n">
        <v>0</v>
      </c>
      <c r="Q387" t="n">
        <v>1</v>
      </c>
      <c r="R387" s="2" t="inlineStr">
        <is>
          <t>Lunglav</t>
        </is>
      </c>
      <c r="S387">
        <f>HYPERLINK("https://klasma.github.io/Logging_2313/artfynd/A 55530-2022 artfynd.xlsx", "A 55530-2022")</f>
        <v/>
      </c>
      <c r="T387">
        <f>HYPERLINK("https://klasma.github.io/Logging_2313/kartor/A 55530-2022 karta.png", "A 55530-2022")</f>
        <v/>
      </c>
      <c r="V387">
        <f>HYPERLINK("https://klasma.github.io/Logging_2313/klagomål/A 55530-2022 FSC-klagomål.docx", "A 55530-2022")</f>
        <v/>
      </c>
      <c r="W387">
        <f>HYPERLINK("https://klasma.github.io/Logging_2313/klagomålsmail/A 55530-2022 FSC-klagomål mail.docx", "A 55530-2022")</f>
        <v/>
      </c>
      <c r="X387">
        <f>HYPERLINK("https://klasma.github.io/Logging_2313/tillsyn/A 55530-2022 tillsynsbegäran.docx", "A 55530-2022")</f>
        <v/>
      </c>
      <c r="Y387">
        <f>HYPERLINK("https://klasma.github.io/Logging_2313/tillsynsmail/A 55530-2022 tillsynsbegäran mail.docx", "A 55530-2022")</f>
        <v/>
      </c>
    </row>
    <row r="388" ht="15" customHeight="1">
      <c r="A388" t="inlineStr">
        <is>
          <t>A 56735-2022</t>
        </is>
      </c>
      <c r="B388" s="1" t="n">
        <v>44893</v>
      </c>
      <c r="C388" s="1" t="n">
        <v>45648</v>
      </c>
      <c r="D388" t="inlineStr">
        <is>
          <t>JÄMTLANDS LÄN</t>
        </is>
      </c>
      <c r="E388" t="inlineStr">
        <is>
          <t>STRÖMSUND</t>
        </is>
      </c>
      <c r="F388" t="inlineStr">
        <is>
          <t>SCA</t>
        </is>
      </c>
      <c r="G388" t="n">
        <v>1.4</v>
      </c>
      <c r="H388" t="n">
        <v>0</v>
      </c>
      <c r="I388" t="n">
        <v>0</v>
      </c>
      <c r="J388" t="n">
        <v>1</v>
      </c>
      <c r="K388" t="n">
        <v>0</v>
      </c>
      <c r="L388" t="n">
        <v>0</v>
      </c>
      <c r="M388" t="n">
        <v>0</v>
      </c>
      <c r="N388" t="n">
        <v>0</v>
      </c>
      <c r="O388" t="n">
        <v>1</v>
      </c>
      <c r="P388" t="n">
        <v>0</v>
      </c>
      <c r="Q388" t="n">
        <v>1</v>
      </c>
      <c r="R388" s="2" t="inlineStr">
        <is>
          <t>Granticka</t>
        </is>
      </c>
      <c r="S388">
        <f>HYPERLINK("https://klasma.github.io/Logging_2313/artfynd/A 56735-2022 artfynd.xlsx", "A 56735-2022")</f>
        <v/>
      </c>
      <c r="T388">
        <f>HYPERLINK("https://klasma.github.io/Logging_2313/kartor/A 56735-2022 karta.png", "A 56735-2022")</f>
        <v/>
      </c>
      <c r="V388">
        <f>HYPERLINK("https://klasma.github.io/Logging_2313/klagomål/A 56735-2022 FSC-klagomål.docx", "A 56735-2022")</f>
        <v/>
      </c>
      <c r="W388">
        <f>HYPERLINK("https://klasma.github.io/Logging_2313/klagomålsmail/A 56735-2022 FSC-klagomål mail.docx", "A 56735-2022")</f>
        <v/>
      </c>
      <c r="X388">
        <f>HYPERLINK("https://klasma.github.io/Logging_2313/tillsyn/A 56735-2022 tillsynsbegäran.docx", "A 56735-2022")</f>
        <v/>
      </c>
      <c r="Y388">
        <f>HYPERLINK("https://klasma.github.io/Logging_2313/tillsynsmail/A 56735-2022 tillsynsbegäran mail.docx", "A 56735-2022")</f>
        <v/>
      </c>
    </row>
    <row r="389" ht="15" customHeight="1">
      <c r="A389" t="inlineStr">
        <is>
          <t>A 61381-2022</t>
        </is>
      </c>
      <c r="B389" s="1" t="n">
        <v>44915</v>
      </c>
      <c r="C389" s="1" t="n">
        <v>45648</v>
      </c>
      <c r="D389" t="inlineStr">
        <is>
          <t>JÄMTLANDS LÄN</t>
        </is>
      </c>
      <c r="E389" t="inlineStr">
        <is>
          <t>STRÖMSUND</t>
        </is>
      </c>
      <c r="G389" t="n">
        <v>8.1</v>
      </c>
      <c r="H389" t="n">
        <v>0</v>
      </c>
      <c r="I389" t="n">
        <v>0</v>
      </c>
      <c r="J389" t="n">
        <v>1</v>
      </c>
      <c r="K389" t="n">
        <v>0</v>
      </c>
      <c r="L389" t="n">
        <v>0</v>
      </c>
      <c r="M389" t="n">
        <v>0</v>
      </c>
      <c r="N389" t="n">
        <v>0</v>
      </c>
      <c r="O389" t="n">
        <v>1</v>
      </c>
      <c r="P389" t="n">
        <v>0</v>
      </c>
      <c r="Q389" t="n">
        <v>1</v>
      </c>
      <c r="R389" s="2" t="inlineStr">
        <is>
          <t>Granticka</t>
        </is>
      </c>
      <c r="S389">
        <f>HYPERLINK("https://klasma.github.io/Logging_2313/artfynd/A 61381-2022 artfynd.xlsx", "A 61381-2022")</f>
        <v/>
      </c>
      <c r="T389">
        <f>HYPERLINK("https://klasma.github.io/Logging_2313/kartor/A 61381-2022 karta.png", "A 61381-2022")</f>
        <v/>
      </c>
      <c r="V389">
        <f>HYPERLINK("https://klasma.github.io/Logging_2313/klagomål/A 61381-2022 FSC-klagomål.docx", "A 61381-2022")</f>
        <v/>
      </c>
      <c r="W389">
        <f>HYPERLINK("https://klasma.github.io/Logging_2313/klagomålsmail/A 61381-2022 FSC-klagomål mail.docx", "A 61381-2022")</f>
        <v/>
      </c>
      <c r="X389">
        <f>HYPERLINK("https://klasma.github.io/Logging_2313/tillsyn/A 61381-2022 tillsynsbegäran.docx", "A 61381-2022")</f>
        <v/>
      </c>
      <c r="Y389">
        <f>HYPERLINK("https://klasma.github.io/Logging_2313/tillsynsmail/A 61381-2022 tillsynsbegäran mail.docx", "A 61381-2022")</f>
        <v/>
      </c>
    </row>
    <row r="390" ht="15" customHeight="1">
      <c r="A390" t="inlineStr">
        <is>
          <t>A 27-2023</t>
        </is>
      </c>
      <c r="B390" s="1" t="n">
        <v>44928</v>
      </c>
      <c r="C390" s="1" t="n">
        <v>45648</v>
      </c>
      <c r="D390" t="inlineStr">
        <is>
          <t>JÄMTLANDS LÄN</t>
        </is>
      </c>
      <c r="E390" t="inlineStr">
        <is>
          <t>STRÖMSUND</t>
        </is>
      </c>
      <c r="F390" t="inlineStr">
        <is>
          <t>Sveaskog</t>
        </is>
      </c>
      <c r="G390" t="n">
        <v>4.3</v>
      </c>
      <c r="H390" t="n">
        <v>0</v>
      </c>
      <c r="I390" t="n">
        <v>0</v>
      </c>
      <c r="J390" t="n">
        <v>1</v>
      </c>
      <c r="K390" t="n">
        <v>0</v>
      </c>
      <c r="L390" t="n">
        <v>0</v>
      </c>
      <c r="M390" t="n">
        <v>0</v>
      </c>
      <c r="N390" t="n">
        <v>0</v>
      </c>
      <c r="O390" t="n">
        <v>1</v>
      </c>
      <c r="P390" t="n">
        <v>0</v>
      </c>
      <c r="Q390" t="n">
        <v>1</v>
      </c>
      <c r="R390" s="2" t="inlineStr">
        <is>
          <t>Gränsticka</t>
        </is>
      </c>
      <c r="S390">
        <f>HYPERLINK("https://klasma.github.io/Logging_2313/artfynd/A 27-2023 artfynd.xlsx", "A 27-2023")</f>
        <v/>
      </c>
      <c r="T390">
        <f>HYPERLINK("https://klasma.github.io/Logging_2313/kartor/A 27-2023 karta.png", "A 27-2023")</f>
        <v/>
      </c>
      <c r="V390">
        <f>HYPERLINK("https://klasma.github.io/Logging_2313/klagomål/A 27-2023 FSC-klagomål.docx", "A 27-2023")</f>
        <v/>
      </c>
      <c r="W390">
        <f>HYPERLINK("https://klasma.github.io/Logging_2313/klagomålsmail/A 27-2023 FSC-klagomål mail.docx", "A 27-2023")</f>
        <v/>
      </c>
      <c r="X390">
        <f>HYPERLINK("https://klasma.github.io/Logging_2313/tillsyn/A 27-2023 tillsynsbegäran.docx", "A 27-2023")</f>
        <v/>
      </c>
      <c r="Y390">
        <f>HYPERLINK("https://klasma.github.io/Logging_2313/tillsynsmail/A 27-2023 tillsynsbegäran mail.docx", "A 27-2023")</f>
        <v/>
      </c>
    </row>
    <row r="391" ht="15" customHeight="1">
      <c r="A391" t="inlineStr">
        <is>
          <t>A 10075-2023</t>
        </is>
      </c>
      <c r="B391" s="1" t="n">
        <v>44985</v>
      </c>
      <c r="C391" s="1" t="n">
        <v>45648</v>
      </c>
      <c r="D391" t="inlineStr">
        <is>
          <t>JÄMTLANDS LÄN</t>
        </is>
      </c>
      <c r="E391" t="inlineStr">
        <is>
          <t>STRÖMSUND</t>
        </is>
      </c>
      <c r="F391" t="inlineStr">
        <is>
          <t>SCA</t>
        </is>
      </c>
      <c r="G391" t="n">
        <v>13.4</v>
      </c>
      <c r="H391" t="n">
        <v>0</v>
      </c>
      <c r="I391" t="n">
        <v>0</v>
      </c>
      <c r="J391" t="n">
        <v>1</v>
      </c>
      <c r="K391" t="n">
        <v>0</v>
      </c>
      <c r="L391" t="n">
        <v>0</v>
      </c>
      <c r="M391" t="n">
        <v>0</v>
      </c>
      <c r="N391" t="n">
        <v>0</v>
      </c>
      <c r="O391" t="n">
        <v>1</v>
      </c>
      <c r="P391" t="n">
        <v>0</v>
      </c>
      <c r="Q391" t="n">
        <v>1</v>
      </c>
      <c r="R391" s="2" t="inlineStr">
        <is>
          <t>Brunklöver</t>
        </is>
      </c>
      <c r="S391">
        <f>HYPERLINK("https://klasma.github.io/Logging_2313/artfynd/A 10075-2023 artfynd.xlsx", "A 10075-2023")</f>
        <v/>
      </c>
      <c r="T391">
        <f>HYPERLINK("https://klasma.github.io/Logging_2313/kartor/A 10075-2023 karta.png", "A 10075-2023")</f>
        <v/>
      </c>
      <c r="V391">
        <f>HYPERLINK("https://klasma.github.io/Logging_2313/klagomål/A 10075-2023 FSC-klagomål.docx", "A 10075-2023")</f>
        <v/>
      </c>
      <c r="W391">
        <f>HYPERLINK("https://klasma.github.io/Logging_2313/klagomålsmail/A 10075-2023 FSC-klagomål mail.docx", "A 10075-2023")</f>
        <v/>
      </c>
      <c r="X391">
        <f>HYPERLINK("https://klasma.github.io/Logging_2313/tillsyn/A 10075-2023 tillsynsbegäran.docx", "A 10075-2023")</f>
        <v/>
      </c>
      <c r="Y391">
        <f>HYPERLINK("https://klasma.github.io/Logging_2313/tillsynsmail/A 10075-2023 tillsynsbegäran mail.docx", "A 10075-2023")</f>
        <v/>
      </c>
    </row>
    <row r="392" ht="15" customHeight="1">
      <c r="A392" t="inlineStr">
        <is>
          <t>A 13897-2023</t>
        </is>
      </c>
      <c r="B392" s="1" t="n">
        <v>45008</v>
      </c>
      <c r="C392" s="1" t="n">
        <v>45648</v>
      </c>
      <c r="D392" t="inlineStr">
        <is>
          <t>JÄMTLANDS LÄN</t>
        </is>
      </c>
      <c r="E392" t="inlineStr">
        <is>
          <t>STRÖMSUND</t>
        </is>
      </c>
      <c r="F392" t="inlineStr">
        <is>
          <t>Holmen skog AB</t>
        </is>
      </c>
      <c r="G392" t="n">
        <v>2.6</v>
      </c>
      <c r="H392" t="n">
        <v>0</v>
      </c>
      <c r="I392" t="n">
        <v>0</v>
      </c>
      <c r="J392" t="n">
        <v>1</v>
      </c>
      <c r="K392" t="n">
        <v>0</v>
      </c>
      <c r="L392" t="n">
        <v>0</v>
      </c>
      <c r="M392" t="n">
        <v>0</v>
      </c>
      <c r="N392" t="n">
        <v>0</v>
      </c>
      <c r="O392" t="n">
        <v>1</v>
      </c>
      <c r="P392" t="n">
        <v>0</v>
      </c>
      <c r="Q392" t="n">
        <v>1</v>
      </c>
      <c r="R392" s="2" t="inlineStr">
        <is>
          <t>Kolflarnlav</t>
        </is>
      </c>
      <c r="S392">
        <f>HYPERLINK("https://klasma.github.io/Logging_2313/artfynd/A 13897-2023 artfynd.xlsx", "A 13897-2023")</f>
        <v/>
      </c>
      <c r="T392">
        <f>HYPERLINK("https://klasma.github.io/Logging_2313/kartor/A 13897-2023 karta.png", "A 13897-2023")</f>
        <v/>
      </c>
      <c r="V392">
        <f>HYPERLINK("https://klasma.github.io/Logging_2313/klagomål/A 13897-2023 FSC-klagomål.docx", "A 13897-2023")</f>
        <v/>
      </c>
      <c r="W392">
        <f>HYPERLINK("https://klasma.github.io/Logging_2313/klagomålsmail/A 13897-2023 FSC-klagomål mail.docx", "A 13897-2023")</f>
        <v/>
      </c>
      <c r="X392">
        <f>HYPERLINK("https://klasma.github.io/Logging_2313/tillsyn/A 13897-2023 tillsynsbegäran.docx", "A 13897-2023")</f>
        <v/>
      </c>
      <c r="Y392">
        <f>HYPERLINK("https://klasma.github.io/Logging_2313/tillsynsmail/A 13897-2023 tillsynsbegäran mail.docx", "A 13897-2023")</f>
        <v/>
      </c>
    </row>
    <row r="393" ht="15" customHeight="1">
      <c r="A393" t="inlineStr">
        <is>
          <t>A 15457-2023</t>
        </is>
      </c>
      <c r="B393" s="1" t="n">
        <v>45019</v>
      </c>
      <c r="C393" s="1" t="n">
        <v>45648</v>
      </c>
      <c r="D393" t="inlineStr">
        <is>
          <t>JÄMTLANDS LÄN</t>
        </is>
      </c>
      <c r="E393" t="inlineStr">
        <is>
          <t>STRÖMSUND</t>
        </is>
      </c>
      <c r="G393" t="n">
        <v>17.2</v>
      </c>
      <c r="H393" t="n">
        <v>0</v>
      </c>
      <c r="I393" t="n">
        <v>1</v>
      </c>
      <c r="J393" t="n">
        <v>0</v>
      </c>
      <c r="K393" t="n">
        <v>0</v>
      </c>
      <c r="L393" t="n">
        <v>0</v>
      </c>
      <c r="M393" t="n">
        <v>0</v>
      </c>
      <c r="N393" t="n">
        <v>0</v>
      </c>
      <c r="O393" t="n">
        <v>0</v>
      </c>
      <c r="P393" t="n">
        <v>0</v>
      </c>
      <c r="Q393" t="n">
        <v>1</v>
      </c>
      <c r="R393" s="2" t="inlineStr">
        <is>
          <t>Taggbräken</t>
        </is>
      </c>
      <c r="S393">
        <f>HYPERLINK("https://klasma.github.io/Logging_2313/artfynd/A 15457-2023 artfynd.xlsx", "A 15457-2023")</f>
        <v/>
      </c>
      <c r="T393">
        <f>HYPERLINK("https://klasma.github.io/Logging_2313/kartor/A 15457-2023 karta.png", "A 15457-2023")</f>
        <v/>
      </c>
      <c r="V393">
        <f>HYPERLINK("https://klasma.github.io/Logging_2313/klagomål/A 15457-2023 FSC-klagomål.docx", "A 15457-2023")</f>
        <v/>
      </c>
      <c r="W393">
        <f>HYPERLINK("https://klasma.github.io/Logging_2313/klagomålsmail/A 15457-2023 FSC-klagomål mail.docx", "A 15457-2023")</f>
        <v/>
      </c>
      <c r="X393">
        <f>HYPERLINK("https://klasma.github.io/Logging_2313/tillsyn/A 15457-2023 tillsynsbegäran.docx", "A 15457-2023")</f>
        <v/>
      </c>
      <c r="Y393">
        <f>HYPERLINK("https://klasma.github.io/Logging_2313/tillsynsmail/A 15457-2023 tillsynsbegäran mail.docx", "A 15457-2023")</f>
        <v/>
      </c>
    </row>
    <row r="394" ht="15" customHeight="1">
      <c r="A394" t="inlineStr">
        <is>
          <t>A 18767-2023</t>
        </is>
      </c>
      <c r="B394" s="1" t="n">
        <v>45043</v>
      </c>
      <c r="C394" s="1" t="n">
        <v>45648</v>
      </c>
      <c r="D394" t="inlineStr">
        <is>
          <t>JÄMTLANDS LÄN</t>
        </is>
      </c>
      <c r="E394" t="inlineStr">
        <is>
          <t>STRÖMSUND</t>
        </is>
      </c>
      <c r="F394" t="inlineStr">
        <is>
          <t>SCA</t>
        </is>
      </c>
      <c r="G394" t="n">
        <v>7.5</v>
      </c>
      <c r="H394" t="n">
        <v>0</v>
      </c>
      <c r="I394" t="n">
        <v>0</v>
      </c>
      <c r="J394" t="n">
        <v>1</v>
      </c>
      <c r="K394" t="n">
        <v>0</v>
      </c>
      <c r="L394" t="n">
        <v>0</v>
      </c>
      <c r="M394" t="n">
        <v>0</v>
      </c>
      <c r="N394" t="n">
        <v>0</v>
      </c>
      <c r="O394" t="n">
        <v>1</v>
      </c>
      <c r="P394" t="n">
        <v>0</v>
      </c>
      <c r="Q394" t="n">
        <v>1</v>
      </c>
      <c r="R394" s="2" t="inlineStr">
        <is>
          <t>Vedtrappmossa</t>
        </is>
      </c>
      <c r="S394">
        <f>HYPERLINK("https://klasma.github.io/Logging_2313/artfynd/A 18767-2023 artfynd.xlsx", "A 18767-2023")</f>
        <v/>
      </c>
      <c r="T394">
        <f>HYPERLINK("https://klasma.github.io/Logging_2313/kartor/A 18767-2023 karta.png", "A 18767-2023")</f>
        <v/>
      </c>
      <c r="V394">
        <f>HYPERLINK("https://klasma.github.io/Logging_2313/klagomål/A 18767-2023 FSC-klagomål.docx", "A 18767-2023")</f>
        <v/>
      </c>
      <c r="W394">
        <f>HYPERLINK("https://klasma.github.io/Logging_2313/klagomålsmail/A 18767-2023 FSC-klagomål mail.docx", "A 18767-2023")</f>
        <v/>
      </c>
      <c r="X394">
        <f>HYPERLINK("https://klasma.github.io/Logging_2313/tillsyn/A 18767-2023 tillsynsbegäran.docx", "A 18767-2023")</f>
        <v/>
      </c>
      <c r="Y394">
        <f>HYPERLINK("https://klasma.github.io/Logging_2313/tillsynsmail/A 18767-2023 tillsynsbegäran mail.docx", "A 18767-2023")</f>
        <v/>
      </c>
    </row>
    <row r="395" ht="15" customHeight="1">
      <c r="A395" t="inlineStr">
        <is>
          <t>A 18853-2023</t>
        </is>
      </c>
      <c r="B395" s="1" t="n">
        <v>45043</v>
      </c>
      <c r="C395" s="1" t="n">
        <v>45648</v>
      </c>
      <c r="D395" t="inlineStr">
        <is>
          <t>JÄMTLANDS LÄN</t>
        </is>
      </c>
      <c r="E395" t="inlineStr">
        <is>
          <t>STRÖMSUND</t>
        </is>
      </c>
      <c r="G395" t="n">
        <v>11.9</v>
      </c>
      <c r="H395" t="n">
        <v>0</v>
      </c>
      <c r="I395" t="n">
        <v>0</v>
      </c>
      <c r="J395" t="n">
        <v>1</v>
      </c>
      <c r="K395" t="n">
        <v>0</v>
      </c>
      <c r="L395" t="n">
        <v>0</v>
      </c>
      <c r="M395" t="n">
        <v>0</v>
      </c>
      <c r="N395" t="n">
        <v>0</v>
      </c>
      <c r="O395" t="n">
        <v>1</v>
      </c>
      <c r="P395" t="n">
        <v>0</v>
      </c>
      <c r="Q395" t="n">
        <v>1</v>
      </c>
      <c r="R395" s="2" t="inlineStr">
        <is>
          <t>Granticka</t>
        </is>
      </c>
      <c r="S395">
        <f>HYPERLINK("https://klasma.github.io/Logging_2313/artfynd/A 18853-2023 artfynd.xlsx", "A 18853-2023")</f>
        <v/>
      </c>
      <c r="T395">
        <f>HYPERLINK("https://klasma.github.io/Logging_2313/kartor/A 18853-2023 karta.png", "A 18853-2023")</f>
        <v/>
      </c>
      <c r="V395">
        <f>HYPERLINK("https://klasma.github.io/Logging_2313/klagomål/A 18853-2023 FSC-klagomål.docx", "A 18853-2023")</f>
        <v/>
      </c>
      <c r="W395">
        <f>HYPERLINK("https://klasma.github.io/Logging_2313/klagomålsmail/A 18853-2023 FSC-klagomål mail.docx", "A 18853-2023")</f>
        <v/>
      </c>
      <c r="X395">
        <f>HYPERLINK("https://klasma.github.io/Logging_2313/tillsyn/A 18853-2023 tillsynsbegäran.docx", "A 18853-2023")</f>
        <v/>
      </c>
      <c r="Y395">
        <f>HYPERLINK("https://klasma.github.io/Logging_2313/tillsynsmail/A 18853-2023 tillsynsbegäran mail.docx", "A 18853-2023")</f>
        <v/>
      </c>
    </row>
    <row r="396" ht="15" customHeight="1">
      <c r="A396" t="inlineStr">
        <is>
          <t>A 20632-2023</t>
        </is>
      </c>
      <c r="B396" s="1" t="n">
        <v>45057</v>
      </c>
      <c r="C396" s="1" t="n">
        <v>45648</v>
      </c>
      <c r="D396" t="inlineStr">
        <is>
          <t>JÄMTLANDS LÄN</t>
        </is>
      </c>
      <c r="E396" t="inlineStr">
        <is>
          <t>STRÖMSUND</t>
        </is>
      </c>
      <c r="F396" t="inlineStr">
        <is>
          <t>SCA</t>
        </is>
      </c>
      <c r="G396" t="n">
        <v>6.3</v>
      </c>
      <c r="H396" t="n">
        <v>0</v>
      </c>
      <c r="I396" t="n">
        <v>0</v>
      </c>
      <c r="J396" t="n">
        <v>1</v>
      </c>
      <c r="K396" t="n">
        <v>0</v>
      </c>
      <c r="L396" t="n">
        <v>0</v>
      </c>
      <c r="M396" t="n">
        <v>0</v>
      </c>
      <c r="N396" t="n">
        <v>0</v>
      </c>
      <c r="O396" t="n">
        <v>1</v>
      </c>
      <c r="P396" t="n">
        <v>0</v>
      </c>
      <c r="Q396" t="n">
        <v>1</v>
      </c>
      <c r="R396" s="2" t="inlineStr">
        <is>
          <t>Granticka</t>
        </is>
      </c>
      <c r="S396">
        <f>HYPERLINK("https://klasma.github.io/Logging_2313/artfynd/A 20632-2023 artfynd.xlsx", "A 20632-2023")</f>
        <v/>
      </c>
      <c r="T396">
        <f>HYPERLINK("https://klasma.github.io/Logging_2313/kartor/A 20632-2023 karta.png", "A 20632-2023")</f>
        <v/>
      </c>
      <c r="V396">
        <f>HYPERLINK("https://klasma.github.io/Logging_2313/klagomål/A 20632-2023 FSC-klagomål.docx", "A 20632-2023")</f>
        <v/>
      </c>
      <c r="W396">
        <f>HYPERLINK("https://klasma.github.io/Logging_2313/klagomålsmail/A 20632-2023 FSC-klagomål mail.docx", "A 20632-2023")</f>
        <v/>
      </c>
      <c r="X396">
        <f>HYPERLINK("https://klasma.github.io/Logging_2313/tillsyn/A 20632-2023 tillsynsbegäran.docx", "A 20632-2023")</f>
        <v/>
      </c>
      <c r="Y396">
        <f>HYPERLINK("https://klasma.github.io/Logging_2313/tillsynsmail/A 20632-2023 tillsynsbegäran mail.docx", "A 20632-2023")</f>
        <v/>
      </c>
    </row>
    <row r="397" ht="15" customHeight="1">
      <c r="A397" t="inlineStr">
        <is>
          <t>A 24832-2023</t>
        </is>
      </c>
      <c r="B397" s="1" t="n">
        <v>45084</v>
      </c>
      <c r="C397" s="1" t="n">
        <v>45648</v>
      </c>
      <c r="D397" t="inlineStr">
        <is>
          <t>JÄMTLANDS LÄN</t>
        </is>
      </c>
      <c r="E397" t="inlineStr">
        <is>
          <t>STRÖMSUND</t>
        </is>
      </c>
      <c r="G397" t="n">
        <v>9.6</v>
      </c>
      <c r="H397" t="n">
        <v>0</v>
      </c>
      <c r="I397" t="n">
        <v>0</v>
      </c>
      <c r="J397" t="n">
        <v>1</v>
      </c>
      <c r="K397" t="n">
        <v>0</v>
      </c>
      <c r="L397" t="n">
        <v>0</v>
      </c>
      <c r="M397" t="n">
        <v>0</v>
      </c>
      <c r="N397" t="n">
        <v>0</v>
      </c>
      <c r="O397" t="n">
        <v>1</v>
      </c>
      <c r="P397" t="n">
        <v>0</v>
      </c>
      <c r="Q397" t="n">
        <v>1</v>
      </c>
      <c r="R397" s="2" t="inlineStr">
        <is>
          <t>Granticka</t>
        </is>
      </c>
      <c r="S397">
        <f>HYPERLINK("https://klasma.github.io/Logging_2313/artfynd/A 24832-2023 artfynd.xlsx", "A 24832-2023")</f>
        <v/>
      </c>
      <c r="T397">
        <f>HYPERLINK("https://klasma.github.io/Logging_2313/kartor/A 24832-2023 karta.png", "A 24832-2023")</f>
        <v/>
      </c>
      <c r="V397">
        <f>HYPERLINK("https://klasma.github.io/Logging_2313/klagomål/A 24832-2023 FSC-klagomål.docx", "A 24832-2023")</f>
        <v/>
      </c>
      <c r="W397">
        <f>HYPERLINK("https://klasma.github.io/Logging_2313/klagomålsmail/A 24832-2023 FSC-klagomål mail.docx", "A 24832-2023")</f>
        <v/>
      </c>
      <c r="X397">
        <f>HYPERLINK("https://klasma.github.io/Logging_2313/tillsyn/A 24832-2023 tillsynsbegäran.docx", "A 24832-2023")</f>
        <v/>
      </c>
      <c r="Y397">
        <f>HYPERLINK("https://klasma.github.io/Logging_2313/tillsynsmail/A 24832-2023 tillsynsbegäran mail.docx", "A 24832-2023")</f>
        <v/>
      </c>
    </row>
    <row r="398" ht="15" customHeight="1">
      <c r="A398" t="inlineStr">
        <is>
          <t>A 25672-2023</t>
        </is>
      </c>
      <c r="B398" s="1" t="n">
        <v>45089</v>
      </c>
      <c r="C398" s="1" t="n">
        <v>45648</v>
      </c>
      <c r="D398" t="inlineStr">
        <is>
          <t>JÄMTLANDS LÄN</t>
        </is>
      </c>
      <c r="E398" t="inlineStr">
        <is>
          <t>STRÖMSUND</t>
        </is>
      </c>
      <c r="F398" t="inlineStr">
        <is>
          <t>SCA</t>
        </is>
      </c>
      <c r="G398" t="n">
        <v>5.5</v>
      </c>
      <c r="H398" t="n">
        <v>0</v>
      </c>
      <c r="I398" t="n">
        <v>0</v>
      </c>
      <c r="J398" t="n">
        <v>1</v>
      </c>
      <c r="K398" t="n">
        <v>0</v>
      </c>
      <c r="L398" t="n">
        <v>0</v>
      </c>
      <c r="M398" t="n">
        <v>0</v>
      </c>
      <c r="N398" t="n">
        <v>0</v>
      </c>
      <c r="O398" t="n">
        <v>1</v>
      </c>
      <c r="P398" t="n">
        <v>0</v>
      </c>
      <c r="Q398" t="n">
        <v>1</v>
      </c>
      <c r="R398" s="2" t="inlineStr">
        <is>
          <t>Kolflarnlav</t>
        </is>
      </c>
      <c r="S398">
        <f>HYPERLINK("https://klasma.github.io/Logging_2313/artfynd/A 25672-2023 artfynd.xlsx", "A 25672-2023")</f>
        <v/>
      </c>
      <c r="T398">
        <f>HYPERLINK("https://klasma.github.io/Logging_2313/kartor/A 25672-2023 karta.png", "A 25672-2023")</f>
        <v/>
      </c>
      <c r="V398">
        <f>HYPERLINK("https://klasma.github.io/Logging_2313/klagomål/A 25672-2023 FSC-klagomål.docx", "A 25672-2023")</f>
        <v/>
      </c>
      <c r="W398">
        <f>HYPERLINK("https://klasma.github.io/Logging_2313/klagomålsmail/A 25672-2023 FSC-klagomål mail.docx", "A 25672-2023")</f>
        <v/>
      </c>
      <c r="X398">
        <f>HYPERLINK("https://klasma.github.io/Logging_2313/tillsyn/A 25672-2023 tillsynsbegäran.docx", "A 25672-2023")</f>
        <v/>
      </c>
      <c r="Y398">
        <f>HYPERLINK("https://klasma.github.io/Logging_2313/tillsynsmail/A 25672-2023 tillsynsbegäran mail.docx", "A 25672-2023")</f>
        <v/>
      </c>
    </row>
    <row r="399" ht="15" customHeight="1">
      <c r="A399" t="inlineStr">
        <is>
          <t>A 26372-2023</t>
        </is>
      </c>
      <c r="B399" s="1" t="n">
        <v>45091</v>
      </c>
      <c r="C399" s="1" t="n">
        <v>45648</v>
      </c>
      <c r="D399" t="inlineStr">
        <is>
          <t>JÄMTLANDS LÄN</t>
        </is>
      </c>
      <c r="E399" t="inlineStr">
        <is>
          <t>STRÖMSUND</t>
        </is>
      </c>
      <c r="F399" t="inlineStr">
        <is>
          <t>SCA</t>
        </is>
      </c>
      <c r="G399" t="n">
        <v>3.1</v>
      </c>
      <c r="H399" t="n">
        <v>0</v>
      </c>
      <c r="I399" t="n">
        <v>0</v>
      </c>
      <c r="J399" t="n">
        <v>1</v>
      </c>
      <c r="K399" t="n">
        <v>0</v>
      </c>
      <c r="L399" t="n">
        <v>0</v>
      </c>
      <c r="M399" t="n">
        <v>0</v>
      </c>
      <c r="N399" t="n">
        <v>0</v>
      </c>
      <c r="O399" t="n">
        <v>1</v>
      </c>
      <c r="P399" t="n">
        <v>0</v>
      </c>
      <c r="Q399" t="n">
        <v>1</v>
      </c>
      <c r="R399" s="2" t="inlineStr">
        <is>
          <t>Harticka</t>
        </is>
      </c>
      <c r="S399">
        <f>HYPERLINK("https://klasma.github.io/Logging_2313/artfynd/A 26372-2023 artfynd.xlsx", "A 26372-2023")</f>
        <v/>
      </c>
      <c r="T399">
        <f>HYPERLINK("https://klasma.github.io/Logging_2313/kartor/A 26372-2023 karta.png", "A 26372-2023")</f>
        <v/>
      </c>
      <c r="V399">
        <f>HYPERLINK("https://klasma.github.io/Logging_2313/klagomål/A 26372-2023 FSC-klagomål.docx", "A 26372-2023")</f>
        <v/>
      </c>
      <c r="W399">
        <f>HYPERLINK("https://klasma.github.io/Logging_2313/klagomålsmail/A 26372-2023 FSC-klagomål mail.docx", "A 26372-2023")</f>
        <v/>
      </c>
      <c r="X399">
        <f>HYPERLINK("https://klasma.github.io/Logging_2313/tillsyn/A 26372-2023 tillsynsbegäran.docx", "A 26372-2023")</f>
        <v/>
      </c>
      <c r="Y399">
        <f>HYPERLINK("https://klasma.github.io/Logging_2313/tillsynsmail/A 26372-2023 tillsynsbegäran mail.docx", "A 26372-2023")</f>
        <v/>
      </c>
    </row>
    <row r="400" ht="15" customHeight="1">
      <c r="A400" t="inlineStr">
        <is>
          <t>A 29604-2023</t>
        </is>
      </c>
      <c r="B400" s="1" t="n">
        <v>45106</v>
      </c>
      <c r="C400" s="1" t="n">
        <v>45648</v>
      </c>
      <c r="D400" t="inlineStr">
        <is>
          <t>JÄMTLANDS LÄN</t>
        </is>
      </c>
      <c r="E400" t="inlineStr">
        <is>
          <t>STRÖMSUND</t>
        </is>
      </c>
      <c r="F400" t="inlineStr">
        <is>
          <t>SCA</t>
        </is>
      </c>
      <c r="G400" t="n">
        <v>1.9</v>
      </c>
      <c r="H400" t="n">
        <v>0</v>
      </c>
      <c r="I400" t="n">
        <v>0</v>
      </c>
      <c r="J400" t="n">
        <v>1</v>
      </c>
      <c r="K400" t="n">
        <v>0</v>
      </c>
      <c r="L400" t="n">
        <v>0</v>
      </c>
      <c r="M400" t="n">
        <v>0</v>
      </c>
      <c r="N400" t="n">
        <v>0</v>
      </c>
      <c r="O400" t="n">
        <v>1</v>
      </c>
      <c r="P400" t="n">
        <v>0</v>
      </c>
      <c r="Q400" t="n">
        <v>1</v>
      </c>
      <c r="R400" s="2" t="inlineStr">
        <is>
          <t>Rosenticka</t>
        </is>
      </c>
      <c r="S400">
        <f>HYPERLINK("https://klasma.github.io/Logging_2313/artfynd/A 29604-2023 artfynd.xlsx", "A 29604-2023")</f>
        <v/>
      </c>
      <c r="T400">
        <f>HYPERLINK("https://klasma.github.io/Logging_2313/kartor/A 29604-2023 karta.png", "A 29604-2023")</f>
        <v/>
      </c>
      <c r="V400">
        <f>HYPERLINK("https://klasma.github.io/Logging_2313/klagomål/A 29604-2023 FSC-klagomål.docx", "A 29604-2023")</f>
        <v/>
      </c>
      <c r="W400">
        <f>HYPERLINK("https://klasma.github.io/Logging_2313/klagomålsmail/A 29604-2023 FSC-klagomål mail.docx", "A 29604-2023")</f>
        <v/>
      </c>
      <c r="X400">
        <f>HYPERLINK("https://klasma.github.io/Logging_2313/tillsyn/A 29604-2023 tillsynsbegäran.docx", "A 29604-2023")</f>
        <v/>
      </c>
      <c r="Y400">
        <f>HYPERLINK("https://klasma.github.io/Logging_2313/tillsynsmail/A 29604-2023 tillsynsbegäran mail.docx", "A 29604-2023")</f>
        <v/>
      </c>
    </row>
    <row r="401" ht="15" customHeight="1">
      <c r="A401" t="inlineStr">
        <is>
          <t>A 32551-2023</t>
        </is>
      </c>
      <c r="B401" s="1" t="n">
        <v>45111</v>
      </c>
      <c r="C401" s="1" t="n">
        <v>45648</v>
      </c>
      <c r="D401" t="inlineStr">
        <is>
          <t>JÄMTLANDS LÄN</t>
        </is>
      </c>
      <c r="E401" t="inlineStr">
        <is>
          <t>STRÖMSUND</t>
        </is>
      </c>
      <c r="F401" t="inlineStr">
        <is>
          <t>Kommuner</t>
        </is>
      </c>
      <c r="G401" t="n">
        <v>5.3</v>
      </c>
      <c r="H401" t="n">
        <v>0</v>
      </c>
      <c r="I401" t="n">
        <v>1</v>
      </c>
      <c r="J401" t="n">
        <v>0</v>
      </c>
      <c r="K401" t="n">
        <v>0</v>
      </c>
      <c r="L401" t="n">
        <v>0</v>
      </c>
      <c r="M401" t="n">
        <v>0</v>
      </c>
      <c r="N401" t="n">
        <v>0</v>
      </c>
      <c r="O401" t="n">
        <v>0</v>
      </c>
      <c r="P401" t="n">
        <v>0</v>
      </c>
      <c r="Q401" t="n">
        <v>1</v>
      </c>
      <c r="R401" s="2" t="inlineStr">
        <is>
          <t>Skinnlav</t>
        </is>
      </c>
      <c r="S401">
        <f>HYPERLINK("https://klasma.github.io/Logging_2313/artfynd/A 32551-2023 artfynd.xlsx", "A 32551-2023")</f>
        <v/>
      </c>
      <c r="T401">
        <f>HYPERLINK("https://klasma.github.io/Logging_2313/kartor/A 32551-2023 karta.png", "A 32551-2023")</f>
        <v/>
      </c>
      <c r="V401">
        <f>HYPERLINK("https://klasma.github.io/Logging_2313/klagomål/A 32551-2023 FSC-klagomål.docx", "A 32551-2023")</f>
        <v/>
      </c>
      <c r="W401">
        <f>HYPERLINK("https://klasma.github.io/Logging_2313/klagomålsmail/A 32551-2023 FSC-klagomål mail.docx", "A 32551-2023")</f>
        <v/>
      </c>
      <c r="X401">
        <f>HYPERLINK("https://klasma.github.io/Logging_2313/tillsyn/A 32551-2023 tillsynsbegäran.docx", "A 32551-2023")</f>
        <v/>
      </c>
      <c r="Y401">
        <f>HYPERLINK("https://klasma.github.io/Logging_2313/tillsynsmail/A 32551-2023 tillsynsbegäran mail.docx", "A 32551-2023")</f>
        <v/>
      </c>
    </row>
    <row r="402" ht="15" customHeight="1">
      <c r="A402" t="inlineStr">
        <is>
          <t>A 30821-2023</t>
        </is>
      </c>
      <c r="B402" s="1" t="n">
        <v>45112</v>
      </c>
      <c r="C402" s="1" t="n">
        <v>45648</v>
      </c>
      <c r="D402" t="inlineStr">
        <is>
          <t>JÄMTLANDS LÄN</t>
        </is>
      </c>
      <c r="E402" t="inlineStr">
        <is>
          <t>STRÖMSUND</t>
        </is>
      </c>
      <c r="F402" t="inlineStr">
        <is>
          <t>SCA</t>
        </is>
      </c>
      <c r="G402" t="n">
        <v>5</v>
      </c>
      <c r="H402" t="n">
        <v>0</v>
      </c>
      <c r="I402" t="n">
        <v>0</v>
      </c>
      <c r="J402" t="n">
        <v>1</v>
      </c>
      <c r="K402" t="n">
        <v>0</v>
      </c>
      <c r="L402" t="n">
        <v>0</v>
      </c>
      <c r="M402" t="n">
        <v>0</v>
      </c>
      <c r="N402" t="n">
        <v>0</v>
      </c>
      <c r="O402" t="n">
        <v>1</v>
      </c>
      <c r="P402" t="n">
        <v>0</v>
      </c>
      <c r="Q402" t="n">
        <v>1</v>
      </c>
      <c r="R402" s="2" t="inlineStr">
        <is>
          <t>Garnlav</t>
        </is>
      </c>
      <c r="S402">
        <f>HYPERLINK("https://klasma.github.io/Logging_2313/artfynd/A 30821-2023 artfynd.xlsx", "A 30821-2023")</f>
        <v/>
      </c>
      <c r="T402">
        <f>HYPERLINK("https://klasma.github.io/Logging_2313/kartor/A 30821-2023 karta.png", "A 30821-2023")</f>
        <v/>
      </c>
      <c r="V402">
        <f>HYPERLINK("https://klasma.github.io/Logging_2313/klagomål/A 30821-2023 FSC-klagomål.docx", "A 30821-2023")</f>
        <v/>
      </c>
      <c r="W402">
        <f>HYPERLINK("https://klasma.github.io/Logging_2313/klagomålsmail/A 30821-2023 FSC-klagomål mail.docx", "A 30821-2023")</f>
        <v/>
      </c>
      <c r="X402">
        <f>HYPERLINK("https://klasma.github.io/Logging_2313/tillsyn/A 30821-2023 tillsynsbegäran.docx", "A 30821-2023")</f>
        <v/>
      </c>
      <c r="Y402">
        <f>HYPERLINK("https://klasma.github.io/Logging_2313/tillsynsmail/A 30821-2023 tillsynsbegäran mail.docx", "A 30821-2023")</f>
        <v/>
      </c>
    </row>
    <row r="403" ht="15" customHeight="1">
      <c r="A403" t="inlineStr">
        <is>
          <t>A 30848-2023</t>
        </is>
      </c>
      <c r="B403" s="1" t="n">
        <v>45112</v>
      </c>
      <c r="C403" s="1" t="n">
        <v>45648</v>
      </c>
      <c r="D403" t="inlineStr">
        <is>
          <t>JÄMTLANDS LÄN</t>
        </is>
      </c>
      <c r="E403" t="inlineStr">
        <is>
          <t>STRÖMSUND</t>
        </is>
      </c>
      <c r="F403" t="inlineStr">
        <is>
          <t>SCA</t>
        </is>
      </c>
      <c r="G403" t="n">
        <v>12.3</v>
      </c>
      <c r="H403" t="n">
        <v>0</v>
      </c>
      <c r="I403" t="n">
        <v>0</v>
      </c>
      <c r="J403" t="n">
        <v>1</v>
      </c>
      <c r="K403" t="n">
        <v>0</v>
      </c>
      <c r="L403" t="n">
        <v>0</v>
      </c>
      <c r="M403" t="n">
        <v>0</v>
      </c>
      <c r="N403" t="n">
        <v>0</v>
      </c>
      <c r="O403" t="n">
        <v>1</v>
      </c>
      <c r="P403" t="n">
        <v>0</v>
      </c>
      <c r="Q403" t="n">
        <v>1</v>
      </c>
      <c r="R403" s="2" t="inlineStr">
        <is>
          <t>Skrovellav</t>
        </is>
      </c>
      <c r="S403">
        <f>HYPERLINK("https://klasma.github.io/Logging_2313/artfynd/A 30848-2023 artfynd.xlsx", "A 30848-2023")</f>
        <v/>
      </c>
      <c r="T403">
        <f>HYPERLINK("https://klasma.github.io/Logging_2313/kartor/A 30848-2023 karta.png", "A 30848-2023")</f>
        <v/>
      </c>
      <c r="V403">
        <f>HYPERLINK("https://klasma.github.io/Logging_2313/klagomål/A 30848-2023 FSC-klagomål.docx", "A 30848-2023")</f>
        <v/>
      </c>
      <c r="W403">
        <f>HYPERLINK("https://klasma.github.io/Logging_2313/klagomålsmail/A 30848-2023 FSC-klagomål mail.docx", "A 30848-2023")</f>
        <v/>
      </c>
      <c r="X403">
        <f>HYPERLINK("https://klasma.github.io/Logging_2313/tillsyn/A 30848-2023 tillsynsbegäran.docx", "A 30848-2023")</f>
        <v/>
      </c>
      <c r="Y403">
        <f>HYPERLINK("https://klasma.github.io/Logging_2313/tillsynsmail/A 30848-2023 tillsynsbegäran mail.docx", "A 30848-2023")</f>
        <v/>
      </c>
    </row>
    <row r="404" ht="15" customHeight="1">
      <c r="A404" t="inlineStr">
        <is>
          <t>A 34006-2023</t>
        </is>
      </c>
      <c r="B404" s="1" t="n">
        <v>45134</v>
      </c>
      <c r="C404" s="1" t="n">
        <v>45648</v>
      </c>
      <c r="D404" t="inlineStr">
        <is>
          <t>JÄMTLANDS LÄN</t>
        </is>
      </c>
      <c r="E404" t="inlineStr">
        <is>
          <t>STRÖMSUND</t>
        </is>
      </c>
      <c r="F404" t="inlineStr">
        <is>
          <t>SCA</t>
        </is>
      </c>
      <c r="G404" t="n">
        <v>4</v>
      </c>
      <c r="H404" t="n">
        <v>1</v>
      </c>
      <c r="I404" t="n">
        <v>0</v>
      </c>
      <c r="J404" t="n">
        <v>1</v>
      </c>
      <c r="K404" t="n">
        <v>0</v>
      </c>
      <c r="L404" t="n">
        <v>0</v>
      </c>
      <c r="M404" t="n">
        <v>0</v>
      </c>
      <c r="N404" t="n">
        <v>0</v>
      </c>
      <c r="O404" t="n">
        <v>1</v>
      </c>
      <c r="P404" t="n">
        <v>0</v>
      </c>
      <c r="Q404" t="n">
        <v>1</v>
      </c>
      <c r="R404" s="2" t="inlineStr">
        <is>
          <t>Talltita</t>
        </is>
      </c>
      <c r="S404">
        <f>HYPERLINK("https://klasma.github.io/Logging_2313/artfynd/A 34006-2023 artfynd.xlsx", "A 34006-2023")</f>
        <v/>
      </c>
      <c r="T404">
        <f>HYPERLINK("https://klasma.github.io/Logging_2313/kartor/A 34006-2023 karta.png", "A 34006-2023")</f>
        <v/>
      </c>
      <c r="V404">
        <f>HYPERLINK("https://klasma.github.io/Logging_2313/klagomål/A 34006-2023 FSC-klagomål.docx", "A 34006-2023")</f>
        <v/>
      </c>
      <c r="W404">
        <f>HYPERLINK("https://klasma.github.io/Logging_2313/klagomålsmail/A 34006-2023 FSC-klagomål mail.docx", "A 34006-2023")</f>
        <v/>
      </c>
      <c r="X404">
        <f>HYPERLINK("https://klasma.github.io/Logging_2313/tillsyn/A 34006-2023 tillsynsbegäran.docx", "A 34006-2023")</f>
        <v/>
      </c>
      <c r="Y404">
        <f>HYPERLINK("https://klasma.github.io/Logging_2313/tillsynsmail/A 34006-2023 tillsynsbegäran mail.docx", "A 34006-2023")</f>
        <v/>
      </c>
      <c r="Z404">
        <f>HYPERLINK("https://klasma.github.io/Logging_2313/fåglar/A 34006-2023 prioriterade fågelarter.docx", "A 34006-2023")</f>
        <v/>
      </c>
    </row>
    <row r="405" ht="15" customHeight="1">
      <c r="A405" t="inlineStr">
        <is>
          <t>A 36754-2023</t>
        </is>
      </c>
      <c r="B405" s="1" t="n">
        <v>45153</v>
      </c>
      <c r="C405" s="1" t="n">
        <v>45648</v>
      </c>
      <c r="D405" t="inlineStr">
        <is>
          <t>JÄMTLANDS LÄN</t>
        </is>
      </c>
      <c r="E405" t="inlineStr">
        <is>
          <t>STRÖMSUND</t>
        </is>
      </c>
      <c r="F405" t="inlineStr">
        <is>
          <t>SCA</t>
        </is>
      </c>
      <c r="G405" t="n">
        <v>2.7</v>
      </c>
      <c r="H405" t="n">
        <v>1</v>
      </c>
      <c r="I405" t="n">
        <v>1</v>
      </c>
      <c r="J405" t="n">
        <v>0</v>
      </c>
      <c r="K405" t="n">
        <v>0</v>
      </c>
      <c r="L405" t="n">
        <v>0</v>
      </c>
      <c r="M405" t="n">
        <v>0</v>
      </c>
      <c r="N405" t="n">
        <v>0</v>
      </c>
      <c r="O405" t="n">
        <v>0</v>
      </c>
      <c r="P405" t="n">
        <v>0</v>
      </c>
      <c r="Q405" t="n">
        <v>1</v>
      </c>
      <c r="R405" s="2" t="inlineStr">
        <is>
          <t>Lappranunkel</t>
        </is>
      </c>
      <c r="S405">
        <f>HYPERLINK("https://klasma.github.io/Logging_2313/artfynd/A 36754-2023 artfynd.xlsx", "A 36754-2023")</f>
        <v/>
      </c>
      <c r="T405">
        <f>HYPERLINK("https://klasma.github.io/Logging_2313/kartor/A 36754-2023 karta.png", "A 36754-2023")</f>
        <v/>
      </c>
      <c r="V405">
        <f>HYPERLINK("https://klasma.github.io/Logging_2313/klagomål/A 36754-2023 FSC-klagomål.docx", "A 36754-2023")</f>
        <v/>
      </c>
      <c r="W405">
        <f>HYPERLINK("https://klasma.github.io/Logging_2313/klagomålsmail/A 36754-2023 FSC-klagomål mail.docx", "A 36754-2023")</f>
        <v/>
      </c>
      <c r="X405">
        <f>HYPERLINK("https://klasma.github.io/Logging_2313/tillsyn/A 36754-2023 tillsynsbegäran.docx", "A 36754-2023")</f>
        <v/>
      </c>
      <c r="Y405">
        <f>HYPERLINK("https://klasma.github.io/Logging_2313/tillsynsmail/A 36754-2023 tillsynsbegäran mail.docx", "A 36754-2023")</f>
        <v/>
      </c>
    </row>
    <row r="406" ht="15" customHeight="1">
      <c r="A406" t="inlineStr">
        <is>
          <t>A 39075-2023</t>
        </is>
      </c>
      <c r="B406" s="1" t="n">
        <v>45163</v>
      </c>
      <c r="C406" s="1" t="n">
        <v>45648</v>
      </c>
      <c r="D406" t="inlineStr">
        <is>
          <t>JÄMTLANDS LÄN</t>
        </is>
      </c>
      <c r="E406" t="inlineStr">
        <is>
          <t>STRÖMSUND</t>
        </is>
      </c>
      <c r="F406" t="inlineStr">
        <is>
          <t>SCA</t>
        </is>
      </c>
      <c r="G406" t="n">
        <v>2.1</v>
      </c>
      <c r="H406" t="n">
        <v>0</v>
      </c>
      <c r="I406" t="n">
        <v>0</v>
      </c>
      <c r="J406" t="n">
        <v>1</v>
      </c>
      <c r="K406" t="n">
        <v>0</v>
      </c>
      <c r="L406" t="n">
        <v>0</v>
      </c>
      <c r="M406" t="n">
        <v>0</v>
      </c>
      <c r="N406" t="n">
        <v>0</v>
      </c>
      <c r="O406" t="n">
        <v>1</v>
      </c>
      <c r="P406" t="n">
        <v>0</v>
      </c>
      <c r="Q406" t="n">
        <v>1</v>
      </c>
      <c r="R406" s="2" t="inlineStr">
        <is>
          <t>Brunpudrad nållav</t>
        </is>
      </c>
      <c r="S406">
        <f>HYPERLINK("https://klasma.github.io/Logging_2313/artfynd/A 39075-2023 artfynd.xlsx", "A 39075-2023")</f>
        <v/>
      </c>
      <c r="T406">
        <f>HYPERLINK("https://klasma.github.io/Logging_2313/kartor/A 39075-2023 karta.png", "A 39075-2023")</f>
        <v/>
      </c>
      <c r="V406">
        <f>HYPERLINK("https://klasma.github.io/Logging_2313/klagomål/A 39075-2023 FSC-klagomål.docx", "A 39075-2023")</f>
        <v/>
      </c>
      <c r="W406">
        <f>HYPERLINK("https://klasma.github.io/Logging_2313/klagomålsmail/A 39075-2023 FSC-klagomål mail.docx", "A 39075-2023")</f>
        <v/>
      </c>
      <c r="X406">
        <f>HYPERLINK("https://klasma.github.io/Logging_2313/tillsyn/A 39075-2023 tillsynsbegäran.docx", "A 39075-2023")</f>
        <v/>
      </c>
      <c r="Y406">
        <f>HYPERLINK("https://klasma.github.io/Logging_2313/tillsynsmail/A 39075-2023 tillsynsbegäran mail.docx", "A 39075-2023")</f>
        <v/>
      </c>
    </row>
    <row r="407" ht="15" customHeight="1">
      <c r="A407" t="inlineStr">
        <is>
          <t>A 39511-2023</t>
        </is>
      </c>
      <c r="B407" s="1" t="n">
        <v>45166</v>
      </c>
      <c r="C407" s="1" t="n">
        <v>45648</v>
      </c>
      <c r="D407" t="inlineStr">
        <is>
          <t>JÄMTLANDS LÄN</t>
        </is>
      </c>
      <c r="E407" t="inlineStr">
        <is>
          <t>STRÖMSUND</t>
        </is>
      </c>
      <c r="F407" t="inlineStr">
        <is>
          <t>SCA</t>
        </is>
      </c>
      <c r="G407" t="n">
        <v>3.7</v>
      </c>
      <c r="H407" t="n">
        <v>0</v>
      </c>
      <c r="I407" t="n">
        <v>0</v>
      </c>
      <c r="J407" t="n">
        <v>1</v>
      </c>
      <c r="K407" t="n">
        <v>0</v>
      </c>
      <c r="L407" t="n">
        <v>0</v>
      </c>
      <c r="M407" t="n">
        <v>0</v>
      </c>
      <c r="N407" t="n">
        <v>0</v>
      </c>
      <c r="O407" t="n">
        <v>1</v>
      </c>
      <c r="P407" t="n">
        <v>0</v>
      </c>
      <c r="Q407" t="n">
        <v>1</v>
      </c>
      <c r="R407" s="2" t="inlineStr">
        <is>
          <t>Rosenticka</t>
        </is>
      </c>
      <c r="S407">
        <f>HYPERLINK("https://klasma.github.io/Logging_2313/artfynd/A 39511-2023 artfynd.xlsx", "A 39511-2023")</f>
        <v/>
      </c>
      <c r="T407">
        <f>HYPERLINK("https://klasma.github.io/Logging_2313/kartor/A 39511-2023 karta.png", "A 39511-2023")</f>
        <v/>
      </c>
      <c r="V407">
        <f>HYPERLINK("https://klasma.github.io/Logging_2313/klagomål/A 39511-2023 FSC-klagomål.docx", "A 39511-2023")</f>
        <v/>
      </c>
      <c r="W407">
        <f>HYPERLINK("https://klasma.github.io/Logging_2313/klagomålsmail/A 39511-2023 FSC-klagomål mail.docx", "A 39511-2023")</f>
        <v/>
      </c>
      <c r="X407">
        <f>HYPERLINK("https://klasma.github.io/Logging_2313/tillsyn/A 39511-2023 tillsynsbegäran.docx", "A 39511-2023")</f>
        <v/>
      </c>
      <c r="Y407">
        <f>HYPERLINK("https://klasma.github.io/Logging_2313/tillsynsmail/A 39511-2023 tillsynsbegäran mail.docx", "A 39511-2023")</f>
        <v/>
      </c>
    </row>
    <row r="408" ht="15" customHeight="1">
      <c r="A408" t="inlineStr">
        <is>
          <t>A 43105-2023</t>
        </is>
      </c>
      <c r="B408" s="1" t="n">
        <v>45182</v>
      </c>
      <c r="C408" s="1" t="n">
        <v>45648</v>
      </c>
      <c r="D408" t="inlineStr">
        <is>
          <t>JÄMTLANDS LÄN</t>
        </is>
      </c>
      <c r="E408" t="inlineStr">
        <is>
          <t>STRÖMSUND</t>
        </is>
      </c>
      <c r="F408" t="inlineStr">
        <is>
          <t>SCA</t>
        </is>
      </c>
      <c r="G408" t="n">
        <v>6.3</v>
      </c>
      <c r="H408" t="n">
        <v>0</v>
      </c>
      <c r="I408" t="n">
        <v>0</v>
      </c>
      <c r="J408" t="n">
        <v>1</v>
      </c>
      <c r="K408" t="n">
        <v>0</v>
      </c>
      <c r="L408" t="n">
        <v>0</v>
      </c>
      <c r="M408" t="n">
        <v>0</v>
      </c>
      <c r="N408" t="n">
        <v>0</v>
      </c>
      <c r="O408" t="n">
        <v>1</v>
      </c>
      <c r="P408" t="n">
        <v>0</v>
      </c>
      <c r="Q408" t="n">
        <v>1</v>
      </c>
      <c r="R408" s="2" t="inlineStr">
        <is>
          <t>Gammelgransskål</t>
        </is>
      </c>
      <c r="S408">
        <f>HYPERLINK("https://klasma.github.io/Logging_2313/artfynd/A 43105-2023 artfynd.xlsx", "A 43105-2023")</f>
        <v/>
      </c>
      <c r="T408">
        <f>HYPERLINK("https://klasma.github.io/Logging_2313/kartor/A 43105-2023 karta.png", "A 43105-2023")</f>
        <v/>
      </c>
      <c r="V408">
        <f>HYPERLINK("https://klasma.github.io/Logging_2313/klagomål/A 43105-2023 FSC-klagomål.docx", "A 43105-2023")</f>
        <v/>
      </c>
      <c r="W408">
        <f>HYPERLINK("https://klasma.github.io/Logging_2313/klagomålsmail/A 43105-2023 FSC-klagomål mail.docx", "A 43105-2023")</f>
        <v/>
      </c>
      <c r="X408">
        <f>HYPERLINK("https://klasma.github.io/Logging_2313/tillsyn/A 43105-2023 tillsynsbegäran.docx", "A 43105-2023")</f>
        <v/>
      </c>
      <c r="Y408">
        <f>HYPERLINK("https://klasma.github.io/Logging_2313/tillsynsmail/A 43105-2023 tillsynsbegäran mail.docx", "A 43105-2023")</f>
        <v/>
      </c>
    </row>
    <row r="409" ht="15" customHeight="1">
      <c r="A409" t="inlineStr">
        <is>
          <t>A 43406-2023</t>
        </is>
      </c>
      <c r="B409" s="1" t="n">
        <v>45183</v>
      </c>
      <c r="C409" s="1" t="n">
        <v>45648</v>
      </c>
      <c r="D409" t="inlineStr">
        <is>
          <t>JÄMTLANDS LÄN</t>
        </is>
      </c>
      <c r="E409" t="inlineStr">
        <is>
          <t>STRÖMSUND</t>
        </is>
      </c>
      <c r="F409" t="inlineStr">
        <is>
          <t>SCA</t>
        </is>
      </c>
      <c r="G409" t="n">
        <v>3.6</v>
      </c>
      <c r="H409" t="n">
        <v>0</v>
      </c>
      <c r="I409" t="n">
        <v>0</v>
      </c>
      <c r="J409" t="n">
        <v>1</v>
      </c>
      <c r="K409" t="n">
        <v>0</v>
      </c>
      <c r="L409" t="n">
        <v>0</v>
      </c>
      <c r="M409" t="n">
        <v>0</v>
      </c>
      <c r="N409" t="n">
        <v>0</v>
      </c>
      <c r="O409" t="n">
        <v>1</v>
      </c>
      <c r="P409" t="n">
        <v>0</v>
      </c>
      <c r="Q409" t="n">
        <v>1</v>
      </c>
      <c r="R409" s="2" t="inlineStr">
        <is>
          <t>Lunglav</t>
        </is>
      </c>
      <c r="S409">
        <f>HYPERLINK("https://klasma.github.io/Logging_2313/artfynd/A 43406-2023 artfynd.xlsx", "A 43406-2023")</f>
        <v/>
      </c>
      <c r="T409">
        <f>HYPERLINK("https://klasma.github.io/Logging_2313/kartor/A 43406-2023 karta.png", "A 43406-2023")</f>
        <v/>
      </c>
      <c r="V409">
        <f>HYPERLINK("https://klasma.github.io/Logging_2313/klagomål/A 43406-2023 FSC-klagomål.docx", "A 43406-2023")</f>
        <v/>
      </c>
      <c r="W409">
        <f>HYPERLINK("https://klasma.github.io/Logging_2313/klagomålsmail/A 43406-2023 FSC-klagomål mail.docx", "A 43406-2023")</f>
        <v/>
      </c>
      <c r="X409">
        <f>HYPERLINK("https://klasma.github.io/Logging_2313/tillsyn/A 43406-2023 tillsynsbegäran.docx", "A 43406-2023")</f>
        <v/>
      </c>
      <c r="Y409">
        <f>HYPERLINK("https://klasma.github.io/Logging_2313/tillsynsmail/A 43406-2023 tillsynsbegäran mail.docx", "A 43406-2023")</f>
        <v/>
      </c>
    </row>
    <row r="410" ht="15" customHeight="1">
      <c r="A410" t="inlineStr">
        <is>
          <t>A 44386-2023</t>
        </is>
      </c>
      <c r="B410" s="1" t="n">
        <v>45188</v>
      </c>
      <c r="C410" s="1" t="n">
        <v>45648</v>
      </c>
      <c r="D410" t="inlineStr">
        <is>
          <t>JÄMTLANDS LÄN</t>
        </is>
      </c>
      <c r="E410" t="inlineStr">
        <is>
          <t>STRÖMSUND</t>
        </is>
      </c>
      <c r="F410" t="inlineStr">
        <is>
          <t>SCA</t>
        </is>
      </c>
      <c r="G410" t="n">
        <v>2.5</v>
      </c>
      <c r="H410" t="n">
        <v>0</v>
      </c>
      <c r="I410" t="n">
        <v>0</v>
      </c>
      <c r="J410" t="n">
        <v>1</v>
      </c>
      <c r="K410" t="n">
        <v>0</v>
      </c>
      <c r="L410" t="n">
        <v>0</v>
      </c>
      <c r="M410" t="n">
        <v>0</v>
      </c>
      <c r="N410" t="n">
        <v>0</v>
      </c>
      <c r="O410" t="n">
        <v>1</v>
      </c>
      <c r="P410" t="n">
        <v>0</v>
      </c>
      <c r="Q410" t="n">
        <v>1</v>
      </c>
      <c r="R410" s="2" t="inlineStr">
        <is>
          <t>Stjärntagging</t>
        </is>
      </c>
      <c r="S410">
        <f>HYPERLINK("https://klasma.github.io/Logging_2313/artfynd/A 44386-2023 artfynd.xlsx", "A 44386-2023")</f>
        <v/>
      </c>
      <c r="T410">
        <f>HYPERLINK("https://klasma.github.io/Logging_2313/kartor/A 44386-2023 karta.png", "A 44386-2023")</f>
        <v/>
      </c>
      <c r="V410">
        <f>HYPERLINK("https://klasma.github.io/Logging_2313/klagomål/A 44386-2023 FSC-klagomål.docx", "A 44386-2023")</f>
        <v/>
      </c>
      <c r="W410">
        <f>HYPERLINK("https://klasma.github.io/Logging_2313/klagomålsmail/A 44386-2023 FSC-klagomål mail.docx", "A 44386-2023")</f>
        <v/>
      </c>
      <c r="X410">
        <f>HYPERLINK("https://klasma.github.io/Logging_2313/tillsyn/A 44386-2023 tillsynsbegäran.docx", "A 44386-2023")</f>
        <v/>
      </c>
      <c r="Y410">
        <f>HYPERLINK("https://klasma.github.io/Logging_2313/tillsynsmail/A 44386-2023 tillsynsbegäran mail.docx", "A 44386-2023")</f>
        <v/>
      </c>
    </row>
    <row r="411" ht="15" customHeight="1">
      <c r="A411" t="inlineStr">
        <is>
          <t>A 45485-2023</t>
        </is>
      </c>
      <c r="B411" s="1" t="n">
        <v>45194</v>
      </c>
      <c r="C411" s="1" t="n">
        <v>45648</v>
      </c>
      <c r="D411" t="inlineStr">
        <is>
          <t>JÄMTLANDS LÄN</t>
        </is>
      </c>
      <c r="E411" t="inlineStr">
        <is>
          <t>STRÖMSUND</t>
        </is>
      </c>
      <c r="G411" t="n">
        <v>3.9</v>
      </c>
      <c r="H411" t="n">
        <v>1</v>
      </c>
      <c r="I411" t="n">
        <v>0</v>
      </c>
      <c r="J411" t="n">
        <v>0</v>
      </c>
      <c r="K411" t="n">
        <v>1</v>
      </c>
      <c r="L411" t="n">
        <v>0</v>
      </c>
      <c r="M411" t="n">
        <v>0</v>
      </c>
      <c r="N411" t="n">
        <v>0</v>
      </c>
      <c r="O411" t="n">
        <v>1</v>
      </c>
      <c r="P411" t="n">
        <v>1</v>
      </c>
      <c r="Q411" t="n">
        <v>1</v>
      </c>
      <c r="R411" s="2" t="inlineStr">
        <is>
          <t>Lappuggla</t>
        </is>
      </c>
      <c r="S411">
        <f>HYPERLINK("https://klasma.github.io/Logging_2313/artfynd/A 45485-2023 artfynd.xlsx", "A 45485-2023")</f>
        <v/>
      </c>
      <c r="T411">
        <f>HYPERLINK("https://klasma.github.io/Logging_2313/kartor/A 45485-2023 karta.png", "A 45485-2023")</f>
        <v/>
      </c>
      <c r="V411">
        <f>HYPERLINK("https://klasma.github.io/Logging_2313/klagomål/A 45485-2023 FSC-klagomål.docx", "A 45485-2023")</f>
        <v/>
      </c>
      <c r="W411">
        <f>HYPERLINK("https://klasma.github.io/Logging_2313/klagomålsmail/A 45485-2023 FSC-klagomål mail.docx", "A 45485-2023")</f>
        <v/>
      </c>
      <c r="X411">
        <f>HYPERLINK("https://klasma.github.io/Logging_2313/tillsyn/A 45485-2023 tillsynsbegäran.docx", "A 45485-2023")</f>
        <v/>
      </c>
      <c r="Y411">
        <f>HYPERLINK("https://klasma.github.io/Logging_2313/tillsynsmail/A 45485-2023 tillsynsbegäran mail.docx", "A 45485-2023")</f>
        <v/>
      </c>
      <c r="Z411">
        <f>HYPERLINK("https://klasma.github.io/Logging_2313/fåglar/A 45485-2023 prioriterade fågelarter.docx", "A 45485-2023")</f>
        <v/>
      </c>
    </row>
    <row r="412" ht="15" customHeight="1">
      <c r="A412" t="inlineStr">
        <is>
          <t>A 46766-2023</t>
        </is>
      </c>
      <c r="B412" s="1" t="n">
        <v>45198</v>
      </c>
      <c r="C412" s="1" t="n">
        <v>45648</v>
      </c>
      <c r="D412" t="inlineStr">
        <is>
          <t>JÄMTLANDS LÄN</t>
        </is>
      </c>
      <c r="E412" t="inlineStr">
        <is>
          <t>STRÖMSUND</t>
        </is>
      </c>
      <c r="F412" t="inlineStr">
        <is>
          <t>Sveaskog</t>
        </is>
      </c>
      <c r="G412" t="n">
        <v>7.3</v>
      </c>
      <c r="H412" t="n">
        <v>0</v>
      </c>
      <c r="I412" t="n">
        <v>1</v>
      </c>
      <c r="J412" t="n">
        <v>0</v>
      </c>
      <c r="K412" t="n">
        <v>0</v>
      </c>
      <c r="L412" t="n">
        <v>0</v>
      </c>
      <c r="M412" t="n">
        <v>0</v>
      </c>
      <c r="N412" t="n">
        <v>0</v>
      </c>
      <c r="O412" t="n">
        <v>0</v>
      </c>
      <c r="P412" t="n">
        <v>0</v>
      </c>
      <c r="Q412" t="n">
        <v>1</v>
      </c>
      <c r="R412" s="2" t="inlineStr">
        <is>
          <t>Svavelriska</t>
        </is>
      </c>
      <c r="S412">
        <f>HYPERLINK("https://klasma.github.io/Logging_2313/artfynd/A 46766-2023 artfynd.xlsx", "A 46766-2023")</f>
        <v/>
      </c>
      <c r="T412">
        <f>HYPERLINK("https://klasma.github.io/Logging_2313/kartor/A 46766-2023 karta.png", "A 46766-2023")</f>
        <v/>
      </c>
      <c r="V412">
        <f>HYPERLINK("https://klasma.github.io/Logging_2313/klagomål/A 46766-2023 FSC-klagomål.docx", "A 46766-2023")</f>
        <v/>
      </c>
      <c r="W412">
        <f>HYPERLINK("https://klasma.github.io/Logging_2313/klagomålsmail/A 46766-2023 FSC-klagomål mail.docx", "A 46766-2023")</f>
        <v/>
      </c>
      <c r="X412">
        <f>HYPERLINK("https://klasma.github.io/Logging_2313/tillsyn/A 46766-2023 tillsynsbegäran.docx", "A 46766-2023")</f>
        <v/>
      </c>
      <c r="Y412">
        <f>HYPERLINK("https://klasma.github.io/Logging_2313/tillsynsmail/A 46766-2023 tillsynsbegäran mail.docx", "A 46766-2023")</f>
        <v/>
      </c>
    </row>
    <row r="413" ht="15" customHeight="1">
      <c r="A413" t="inlineStr">
        <is>
          <t>A 46814-2023</t>
        </is>
      </c>
      <c r="B413" s="1" t="n">
        <v>45198</v>
      </c>
      <c r="C413" s="1" t="n">
        <v>45648</v>
      </c>
      <c r="D413" t="inlineStr">
        <is>
          <t>JÄMTLANDS LÄN</t>
        </is>
      </c>
      <c r="E413" t="inlineStr">
        <is>
          <t>STRÖMSUND</t>
        </is>
      </c>
      <c r="F413" t="inlineStr">
        <is>
          <t>SCA</t>
        </is>
      </c>
      <c r="G413" t="n">
        <v>9.5</v>
      </c>
      <c r="H413" t="n">
        <v>0</v>
      </c>
      <c r="I413" t="n">
        <v>0</v>
      </c>
      <c r="J413" t="n">
        <v>0</v>
      </c>
      <c r="K413" t="n">
        <v>0</v>
      </c>
      <c r="L413" t="n">
        <v>0</v>
      </c>
      <c r="M413" t="n">
        <v>0</v>
      </c>
      <c r="N413" t="n">
        <v>0</v>
      </c>
      <c r="O413" t="n">
        <v>1</v>
      </c>
      <c r="P413" t="n">
        <v>0</v>
      </c>
      <c r="Q413" t="n">
        <v>1</v>
      </c>
      <c r="R413" s="2" t="inlineStr">
        <is>
          <t>Liten klubbdyna</t>
        </is>
      </c>
      <c r="S413">
        <f>HYPERLINK("https://klasma.github.io/Logging_2313/artfynd/A 46814-2023 artfynd.xlsx", "A 46814-2023")</f>
        <v/>
      </c>
      <c r="T413">
        <f>HYPERLINK("https://klasma.github.io/Logging_2313/kartor/A 46814-2023 karta.png", "A 46814-2023")</f>
        <v/>
      </c>
      <c r="V413">
        <f>HYPERLINK("https://klasma.github.io/Logging_2313/klagomål/A 46814-2023 FSC-klagomål.docx", "A 46814-2023")</f>
        <v/>
      </c>
      <c r="W413">
        <f>HYPERLINK("https://klasma.github.io/Logging_2313/klagomålsmail/A 46814-2023 FSC-klagomål mail.docx", "A 46814-2023")</f>
        <v/>
      </c>
      <c r="X413">
        <f>HYPERLINK("https://klasma.github.io/Logging_2313/tillsyn/A 46814-2023 tillsynsbegäran.docx", "A 46814-2023")</f>
        <v/>
      </c>
      <c r="Y413">
        <f>HYPERLINK("https://klasma.github.io/Logging_2313/tillsynsmail/A 46814-2023 tillsynsbegäran mail.docx", "A 46814-2023")</f>
        <v/>
      </c>
    </row>
    <row r="414" ht="15" customHeight="1">
      <c r="A414" t="inlineStr">
        <is>
          <t>A 49651-2023</t>
        </is>
      </c>
      <c r="B414" s="1" t="n">
        <v>45211</v>
      </c>
      <c r="C414" s="1" t="n">
        <v>45648</v>
      </c>
      <c r="D414" t="inlineStr">
        <is>
          <t>JÄMTLANDS LÄN</t>
        </is>
      </c>
      <c r="E414" t="inlineStr">
        <is>
          <t>STRÖMSUND</t>
        </is>
      </c>
      <c r="F414" t="inlineStr">
        <is>
          <t>SCA</t>
        </is>
      </c>
      <c r="G414" t="n">
        <v>2.7</v>
      </c>
      <c r="H414" t="n">
        <v>1</v>
      </c>
      <c r="I414" t="n">
        <v>0</v>
      </c>
      <c r="J414" t="n">
        <v>1</v>
      </c>
      <c r="K414" t="n">
        <v>0</v>
      </c>
      <c r="L414" t="n">
        <v>0</v>
      </c>
      <c r="M414" t="n">
        <v>0</v>
      </c>
      <c r="N414" t="n">
        <v>0</v>
      </c>
      <c r="O414" t="n">
        <v>1</v>
      </c>
      <c r="P414" t="n">
        <v>0</v>
      </c>
      <c r="Q414" t="n">
        <v>1</v>
      </c>
      <c r="R414" s="2" t="inlineStr">
        <is>
          <t>Talltita</t>
        </is>
      </c>
      <c r="S414">
        <f>HYPERLINK("https://klasma.github.io/Logging_2313/artfynd/A 49651-2023 artfynd.xlsx", "A 49651-2023")</f>
        <v/>
      </c>
      <c r="T414">
        <f>HYPERLINK("https://klasma.github.io/Logging_2313/kartor/A 49651-2023 karta.png", "A 49651-2023")</f>
        <v/>
      </c>
      <c r="V414">
        <f>HYPERLINK("https://klasma.github.io/Logging_2313/klagomål/A 49651-2023 FSC-klagomål.docx", "A 49651-2023")</f>
        <v/>
      </c>
      <c r="W414">
        <f>HYPERLINK("https://klasma.github.io/Logging_2313/klagomålsmail/A 49651-2023 FSC-klagomål mail.docx", "A 49651-2023")</f>
        <v/>
      </c>
      <c r="X414">
        <f>HYPERLINK("https://klasma.github.io/Logging_2313/tillsyn/A 49651-2023 tillsynsbegäran.docx", "A 49651-2023")</f>
        <v/>
      </c>
      <c r="Y414">
        <f>HYPERLINK("https://klasma.github.io/Logging_2313/tillsynsmail/A 49651-2023 tillsynsbegäran mail.docx", "A 49651-2023")</f>
        <v/>
      </c>
      <c r="Z414">
        <f>HYPERLINK("https://klasma.github.io/Logging_2313/fåglar/A 49651-2023 prioriterade fågelarter.docx", "A 49651-2023")</f>
        <v/>
      </c>
    </row>
    <row r="415" ht="15" customHeight="1">
      <c r="A415" t="inlineStr">
        <is>
          <t>A 51024-2023</t>
        </is>
      </c>
      <c r="B415" s="1" t="n">
        <v>45218</v>
      </c>
      <c r="C415" s="1" t="n">
        <v>45648</v>
      </c>
      <c r="D415" t="inlineStr">
        <is>
          <t>JÄMTLANDS LÄN</t>
        </is>
      </c>
      <c r="E415" t="inlineStr">
        <is>
          <t>STRÖMSUND</t>
        </is>
      </c>
      <c r="G415" t="n">
        <v>5.6</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51024-2023 artfynd.xlsx", "A 51024-2023")</f>
        <v/>
      </c>
      <c r="T415">
        <f>HYPERLINK("https://klasma.github.io/Logging_2313/kartor/A 51024-2023 karta.png", "A 51024-2023")</f>
        <v/>
      </c>
      <c r="V415">
        <f>HYPERLINK("https://klasma.github.io/Logging_2313/klagomål/A 51024-2023 FSC-klagomål.docx", "A 51024-2023")</f>
        <v/>
      </c>
      <c r="W415">
        <f>HYPERLINK("https://klasma.github.io/Logging_2313/klagomålsmail/A 51024-2023 FSC-klagomål mail.docx", "A 51024-2023")</f>
        <v/>
      </c>
      <c r="X415">
        <f>HYPERLINK("https://klasma.github.io/Logging_2313/tillsyn/A 51024-2023 tillsynsbegäran.docx", "A 51024-2023")</f>
        <v/>
      </c>
      <c r="Y415">
        <f>HYPERLINK("https://klasma.github.io/Logging_2313/tillsynsmail/A 51024-2023 tillsynsbegäran mail.docx", "A 51024-2023")</f>
        <v/>
      </c>
      <c r="Z415">
        <f>HYPERLINK("https://klasma.github.io/Logging_2313/fåglar/A 51024-2023 prioriterade fågelarter.docx", "A 51024-2023")</f>
        <v/>
      </c>
    </row>
    <row r="416" ht="15" customHeight="1">
      <c r="A416" t="inlineStr">
        <is>
          <t>A 53447-2023</t>
        </is>
      </c>
      <c r="B416" s="1" t="n">
        <v>45229</v>
      </c>
      <c r="C416" s="1" t="n">
        <v>45648</v>
      </c>
      <c r="D416" t="inlineStr">
        <is>
          <t>JÄMTLANDS LÄN</t>
        </is>
      </c>
      <c r="E416" t="inlineStr">
        <is>
          <t>STRÖMSUND</t>
        </is>
      </c>
      <c r="F416" t="inlineStr">
        <is>
          <t>SCA</t>
        </is>
      </c>
      <c r="G416" t="n">
        <v>3.4</v>
      </c>
      <c r="H416" t="n">
        <v>0</v>
      </c>
      <c r="I416" t="n">
        <v>0</v>
      </c>
      <c r="J416" t="n">
        <v>1</v>
      </c>
      <c r="K416" t="n">
        <v>0</v>
      </c>
      <c r="L416" t="n">
        <v>0</v>
      </c>
      <c r="M416" t="n">
        <v>0</v>
      </c>
      <c r="N416" t="n">
        <v>0</v>
      </c>
      <c r="O416" t="n">
        <v>1</v>
      </c>
      <c r="P416" t="n">
        <v>0</v>
      </c>
      <c r="Q416" t="n">
        <v>1</v>
      </c>
      <c r="R416" s="2" t="inlineStr">
        <is>
          <t>Harticka</t>
        </is>
      </c>
      <c r="S416">
        <f>HYPERLINK("https://klasma.github.io/Logging_2313/artfynd/A 53447-2023 artfynd.xlsx", "A 53447-2023")</f>
        <v/>
      </c>
      <c r="T416">
        <f>HYPERLINK("https://klasma.github.io/Logging_2313/kartor/A 53447-2023 karta.png", "A 53447-2023")</f>
        <v/>
      </c>
      <c r="V416">
        <f>HYPERLINK("https://klasma.github.io/Logging_2313/klagomål/A 53447-2023 FSC-klagomål.docx", "A 53447-2023")</f>
        <v/>
      </c>
      <c r="W416">
        <f>HYPERLINK("https://klasma.github.io/Logging_2313/klagomålsmail/A 53447-2023 FSC-klagomål mail.docx", "A 53447-2023")</f>
        <v/>
      </c>
      <c r="X416">
        <f>HYPERLINK("https://klasma.github.io/Logging_2313/tillsyn/A 53447-2023 tillsynsbegäran.docx", "A 53447-2023")</f>
        <v/>
      </c>
      <c r="Y416">
        <f>HYPERLINK("https://klasma.github.io/Logging_2313/tillsynsmail/A 53447-2023 tillsynsbegäran mail.docx", "A 53447-2023")</f>
        <v/>
      </c>
    </row>
    <row r="417" ht="15" customHeight="1">
      <c r="A417" t="inlineStr">
        <is>
          <t>A 54064-2023</t>
        </is>
      </c>
      <c r="B417" s="1" t="n">
        <v>45231</v>
      </c>
      <c r="C417" s="1" t="n">
        <v>45648</v>
      </c>
      <c r="D417" t="inlineStr">
        <is>
          <t>JÄMTLANDS LÄN</t>
        </is>
      </c>
      <c r="E417" t="inlineStr">
        <is>
          <t>STRÖMSUND</t>
        </is>
      </c>
      <c r="F417" t="inlineStr">
        <is>
          <t>SCA</t>
        </is>
      </c>
      <c r="G417" t="n">
        <v>14.1</v>
      </c>
      <c r="H417" t="n">
        <v>0</v>
      </c>
      <c r="I417" t="n">
        <v>0</v>
      </c>
      <c r="J417" t="n">
        <v>1</v>
      </c>
      <c r="K417" t="n">
        <v>0</v>
      </c>
      <c r="L417" t="n">
        <v>0</v>
      </c>
      <c r="M417" t="n">
        <v>0</v>
      </c>
      <c r="N417" t="n">
        <v>0</v>
      </c>
      <c r="O417" t="n">
        <v>1</v>
      </c>
      <c r="P417" t="n">
        <v>0</v>
      </c>
      <c r="Q417" t="n">
        <v>1</v>
      </c>
      <c r="R417" s="2" t="inlineStr">
        <is>
          <t>Skrovellav</t>
        </is>
      </c>
      <c r="S417">
        <f>HYPERLINK("https://klasma.github.io/Logging_2313/artfynd/A 54064-2023 artfynd.xlsx", "A 54064-2023")</f>
        <v/>
      </c>
      <c r="T417">
        <f>HYPERLINK("https://klasma.github.io/Logging_2313/kartor/A 54064-2023 karta.png", "A 54064-2023")</f>
        <v/>
      </c>
      <c r="V417">
        <f>HYPERLINK("https://klasma.github.io/Logging_2313/klagomål/A 54064-2023 FSC-klagomål.docx", "A 54064-2023")</f>
        <v/>
      </c>
      <c r="W417">
        <f>HYPERLINK("https://klasma.github.io/Logging_2313/klagomålsmail/A 54064-2023 FSC-klagomål mail.docx", "A 54064-2023")</f>
        <v/>
      </c>
      <c r="X417">
        <f>HYPERLINK("https://klasma.github.io/Logging_2313/tillsyn/A 54064-2023 tillsynsbegäran.docx", "A 54064-2023")</f>
        <v/>
      </c>
      <c r="Y417">
        <f>HYPERLINK("https://klasma.github.io/Logging_2313/tillsynsmail/A 54064-2023 tillsynsbegäran mail.docx", "A 54064-2023")</f>
        <v/>
      </c>
    </row>
    <row r="418" ht="15" customHeight="1">
      <c r="A418" t="inlineStr">
        <is>
          <t>A 56689-2023</t>
        </is>
      </c>
      <c r="B418" s="1" t="n">
        <v>45243</v>
      </c>
      <c r="C418" s="1" t="n">
        <v>45648</v>
      </c>
      <c r="D418" t="inlineStr">
        <is>
          <t>JÄMTLANDS LÄN</t>
        </is>
      </c>
      <c r="E418" t="inlineStr">
        <is>
          <t>STRÖMSUND</t>
        </is>
      </c>
      <c r="F418" t="inlineStr">
        <is>
          <t>SCA</t>
        </is>
      </c>
      <c r="G418" t="n">
        <v>1.3</v>
      </c>
      <c r="H418" t="n">
        <v>0</v>
      </c>
      <c r="I418" t="n">
        <v>0</v>
      </c>
      <c r="J418" t="n">
        <v>1</v>
      </c>
      <c r="K418" t="n">
        <v>0</v>
      </c>
      <c r="L418" t="n">
        <v>0</v>
      </c>
      <c r="M418" t="n">
        <v>0</v>
      </c>
      <c r="N418" t="n">
        <v>0</v>
      </c>
      <c r="O418" t="n">
        <v>1</v>
      </c>
      <c r="P418" t="n">
        <v>0</v>
      </c>
      <c r="Q418" t="n">
        <v>1</v>
      </c>
      <c r="R418" s="2" t="inlineStr">
        <is>
          <t>Garnlav</t>
        </is>
      </c>
      <c r="S418">
        <f>HYPERLINK("https://klasma.github.io/Logging_2313/artfynd/A 56689-2023 artfynd.xlsx", "A 56689-2023")</f>
        <v/>
      </c>
      <c r="T418">
        <f>HYPERLINK("https://klasma.github.io/Logging_2313/kartor/A 56689-2023 karta.png", "A 56689-2023")</f>
        <v/>
      </c>
      <c r="V418">
        <f>HYPERLINK("https://klasma.github.io/Logging_2313/klagomål/A 56689-2023 FSC-klagomål.docx", "A 56689-2023")</f>
        <v/>
      </c>
      <c r="W418">
        <f>HYPERLINK("https://klasma.github.io/Logging_2313/klagomålsmail/A 56689-2023 FSC-klagomål mail.docx", "A 56689-2023")</f>
        <v/>
      </c>
      <c r="X418">
        <f>HYPERLINK("https://klasma.github.io/Logging_2313/tillsyn/A 56689-2023 tillsynsbegäran.docx", "A 56689-2023")</f>
        <v/>
      </c>
      <c r="Y418">
        <f>HYPERLINK("https://klasma.github.io/Logging_2313/tillsynsmail/A 56689-2023 tillsynsbegäran mail.docx", "A 56689-2023")</f>
        <v/>
      </c>
    </row>
    <row r="419" ht="15" customHeight="1">
      <c r="A419" t="inlineStr">
        <is>
          <t>A 57619-2023</t>
        </is>
      </c>
      <c r="B419" s="1" t="n">
        <v>45243</v>
      </c>
      <c r="C419" s="1" t="n">
        <v>45648</v>
      </c>
      <c r="D419" t="inlineStr">
        <is>
          <t>JÄMTLANDS LÄN</t>
        </is>
      </c>
      <c r="E419" t="inlineStr">
        <is>
          <t>STRÖMSUND</t>
        </is>
      </c>
      <c r="F419" t="inlineStr">
        <is>
          <t>SCA</t>
        </is>
      </c>
      <c r="G419" t="n">
        <v>17</v>
      </c>
      <c r="H419" t="n">
        <v>0</v>
      </c>
      <c r="I419" t="n">
        <v>0</v>
      </c>
      <c r="J419" t="n">
        <v>1</v>
      </c>
      <c r="K419" t="n">
        <v>0</v>
      </c>
      <c r="L419" t="n">
        <v>0</v>
      </c>
      <c r="M419" t="n">
        <v>0</v>
      </c>
      <c r="N419" t="n">
        <v>0</v>
      </c>
      <c r="O419" t="n">
        <v>1</v>
      </c>
      <c r="P419" t="n">
        <v>0</v>
      </c>
      <c r="Q419" t="n">
        <v>1</v>
      </c>
      <c r="R419" s="2" t="inlineStr">
        <is>
          <t>Harticka</t>
        </is>
      </c>
      <c r="S419">
        <f>HYPERLINK("https://klasma.github.io/Logging_2313/artfynd/A 57619-2023 artfynd.xlsx", "A 57619-2023")</f>
        <v/>
      </c>
      <c r="T419">
        <f>HYPERLINK("https://klasma.github.io/Logging_2313/kartor/A 57619-2023 karta.png", "A 57619-2023")</f>
        <v/>
      </c>
      <c r="V419">
        <f>HYPERLINK("https://klasma.github.io/Logging_2313/klagomål/A 57619-2023 FSC-klagomål.docx", "A 57619-2023")</f>
        <v/>
      </c>
      <c r="W419">
        <f>HYPERLINK("https://klasma.github.io/Logging_2313/klagomålsmail/A 57619-2023 FSC-klagomål mail.docx", "A 57619-2023")</f>
        <v/>
      </c>
      <c r="X419">
        <f>HYPERLINK("https://klasma.github.io/Logging_2313/tillsyn/A 57619-2023 tillsynsbegäran.docx", "A 57619-2023")</f>
        <v/>
      </c>
      <c r="Y419">
        <f>HYPERLINK("https://klasma.github.io/Logging_2313/tillsynsmail/A 57619-2023 tillsynsbegäran mail.docx", "A 57619-2023")</f>
        <v/>
      </c>
    </row>
    <row r="420" ht="15" customHeight="1">
      <c r="A420" t="inlineStr">
        <is>
          <t>A 57664-2023</t>
        </is>
      </c>
      <c r="B420" s="1" t="n">
        <v>45243</v>
      </c>
      <c r="C420" s="1" t="n">
        <v>45648</v>
      </c>
      <c r="D420" t="inlineStr">
        <is>
          <t>JÄMTLANDS LÄN</t>
        </is>
      </c>
      <c r="E420" t="inlineStr">
        <is>
          <t>STRÖMSUND</t>
        </is>
      </c>
      <c r="F420" t="inlineStr">
        <is>
          <t>SCA</t>
        </is>
      </c>
      <c r="G420" t="n">
        <v>6.2</v>
      </c>
      <c r="H420" t="n">
        <v>0</v>
      </c>
      <c r="I420" t="n">
        <v>0</v>
      </c>
      <c r="J420" t="n">
        <v>0</v>
      </c>
      <c r="K420" t="n">
        <v>1</v>
      </c>
      <c r="L420" t="n">
        <v>0</v>
      </c>
      <c r="M420" t="n">
        <v>0</v>
      </c>
      <c r="N420" t="n">
        <v>0</v>
      </c>
      <c r="O420" t="n">
        <v>1</v>
      </c>
      <c r="P420" t="n">
        <v>1</v>
      </c>
      <c r="Q420" t="n">
        <v>1</v>
      </c>
      <c r="R420" s="2" t="inlineStr">
        <is>
          <t>Norsk näverlav</t>
        </is>
      </c>
      <c r="S420">
        <f>HYPERLINK("https://klasma.github.io/Logging_2313/artfynd/A 57664-2023 artfynd.xlsx", "A 57664-2023")</f>
        <v/>
      </c>
      <c r="T420">
        <f>HYPERLINK("https://klasma.github.io/Logging_2313/kartor/A 57664-2023 karta.png", "A 57664-2023")</f>
        <v/>
      </c>
      <c r="V420">
        <f>HYPERLINK("https://klasma.github.io/Logging_2313/klagomål/A 57664-2023 FSC-klagomål.docx", "A 57664-2023")</f>
        <v/>
      </c>
      <c r="W420">
        <f>HYPERLINK("https://klasma.github.io/Logging_2313/klagomålsmail/A 57664-2023 FSC-klagomål mail.docx", "A 57664-2023")</f>
        <v/>
      </c>
      <c r="X420">
        <f>HYPERLINK("https://klasma.github.io/Logging_2313/tillsyn/A 57664-2023 tillsynsbegäran.docx", "A 57664-2023")</f>
        <v/>
      </c>
      <c r="Y420">
        <f>HYPERLINK("https://klasma.github.io/Logging_2313/tillsynsmail/A 57664-2023 tillsynsbegäran mail.docx", "A 57664-2023")</f>
        <v/>
      </c>
    </row>
    <row r="421" ht="15" customHeight="1">
      <c r="A421" t="inlineStr">
        <is>
          <t>A 57390-2023</t>
        </is>
      </c>
      <c r="B421" s="1" t="n">
        <v>45245</v>
      </c>
      <c r="C421" s="1" t="n">
        <v>45648</v>
      </c>
      <c r="D421" t="inlineStr">
        <is>
          <t>JÄMTLANDS LÄN</t>
        </is>
      </c>
      <c r="E421" t="inlineStr">
        <is>
          <t>STRÖMSUND</t>
        </is>
      </c>
      <c r="G421" t="n">
        <v>4.8</v>
      </c>
      <c r="H421" t="n">
        <v>0</v>
      </c>
      <c r="I421" t="n">
        <v>1</v>
      </c>
      <c r="J421" t="n">
        <v>0</v>
      </c>
      <c r="K421" t="n">
        <v>0</v>
      </c>
      <c r="L421" t="n">
        <v>0</v>
      </c>
      <c r="M421" t="n">
        <v>0</v>
      </c>
      <c r="N421" t="n">
        <v>0</v>
      </c>
      <c r="O421" t="n">
        <v>0</v>
      </c>
      <c r="P421" t="n">
        <v>0</v>
      </c>
      <c r="Q421" t="n">
        <v>1</v>
      </c>
      <c r="R421" s="2" t="inlineStr">
        <is>
          <t>Svart trolldruva</t>
        </is>
      </c>
      <c r="S421">
        <f>HYPERLINK("https://klasma.github.io/Logging_2313/artfynd/A 57390-2023 artfynd.xlsx", "A 57390-2023")</f>
        <v/>
      </c>
      <c r="T421">
        <f>HYPERLINK("https://klasma.github.io/Logging_2313/kartor/A 57390-2023 karta.png", "A 57390-2023")</f>
        <v/>
      </c>
      <c r="V421">
        <f>HYPERLINK("https://klasma.github.io/Logging_2313/klagomål/A 57390-2023 FSC-klagomål.docx", "A 57390-2023")</f>
        <v/>
      </c>
      <c r="W421">
        <f>HYPERLINK("https://klasma.github.io/Logging_2313/klagomålsmail/A 57390-2023 FSC-klagomål mail.docx", "A 57390-2023")</f>
        <v/>
      </c>
      <c r="X421">
        <f>HYPERLINK("https://klasma.github.io/Logging_2313/tillsyn/A 57390-2023 tillsynsbegäran.docx", "A 57390-2023")</f>
        <v/>
      </c>
      <c r="Y421">
        <f>HYPERLINK("https://klasma.github.io/Logging_2313/tillsynsmail/A 57390-2023 tillsynsbegäran mail.docx", "A 57390-2023")</f>
        <v/>
      </c>
    </row>
    <row r="422" ht="15" customHeight="1">
      <c r="A422" t="inlineStr">
        <is>
          <t>A 57508-2023</t>
        </is>
      </c>
      <c r="B422" s="1" t="n">
        <v>45246</v>
      </c>
      <c r="C422" s="1" t="n">
        <v>45648</v>
      </c>
      <c r="D422" t="inlineStr">
        <is>
          <t>JÄMTLANDS LÄN</t>
        </is>
      </c>
      <c r="E422" t="inlineStr">
        <is>
          <t>STRÖMSUND</t>
        </is>
      </c>
      <c r="F422" t="inlineStr">
        <is>
          <t>Holmen skog AB</t>
        </is>
      </c>
      <c r="G422" t="n">
        <v>6.4</v>
      </c>
      <c r="H422" t="n">
        <v>0</v>
      </c>
      <c r="I422" t="n">
        <v>0</v>
      </c>
      <c r="J422" t="n">
        <v>1</v>
      </c>
      <c r="K422" t="n">
        <v>0</v>
      </c>
      <c r="L422" t="n">
        <v>0</v>
      </c>
      <c r="M422" t="n">
        <v>0</v>
      </c>
      <c r="N422" t="n">
        <v>0</v>
      </c>
      <c r="O422" t="n">
        <v>1</v>
      </c>
      <c r="P422" t="n">
        <v>0</v>
      </c>
      <c r="Q422" t="n">
        <v>1</v>
      </c>
      <c r="R422" s="2" t="inlineStr">
        <is>
          <t>Lunglav</t>
        </is>
      </c>
      <c r="S422">
        <f>HYPERLINK("https://klasma.github.io/Logging_2313/artfynd/A 57508-2023 artfynd.xlsx", "A 57508-2023")</f>
        <v/>
      </c>
      <c r="T422">
        <f>HYPERLINK("https://klasma.github.io/Logging_2313/kartor/A 57508-2023 karta.png", "A 57508-2023")</f>
        <v/>
      </c>
      <c r="V422">
        <f>HYPERLINK("https://klasma.github.io/Logging_2313/klagomål/A 57508-2023 FSC-klagomål.docx", "A 57508-2023")</f>
        <v/>
      </c>
      <c r="W422">
        <f>HYPERLINK("https://klasma.github.io/Logging_2313/klagomålsmail/A 57508-2023 FSC-klagomål mail.docx", "A 57508-2023")</f>
        <v/>
      </c>
      <c r="X422">
        <f>HYPERLINK("https://klasma.github.io/Logging_2313/tillsyn/A 57508-2023 tillsynsbegäran.docx", "A 57508-2023")</f>
        <v/>
      </c>
      <c r="Y422">
        <f>HYPERLINK("https://klasma.github.io/Logging_2313/tillsynsmail/A 57508-2023 tillsynsbegäran mail.docx", "A 57508-2023")</f>
        <v/>
      </c>
    </row>
    <row r="423" ht="15" customHeight="1">
      <c r="A423" t="inlineStr">
        <is>
          <t>A 59726-2023</t>
        </is>
      </c>
      <c r="B423" s="1" t="n">
        <v>45257</v>
      </c>
      <c r="C423" s="1" t="n">
        <v>45648</v>
      </c>
      <c r="D423" t="inlineStr">
        <is>
          <t>JÄMTLANDS LÄN</t>
        </is>
      </c>
      <c r="E423" t="inlineStr">
        <is>
          <t>STRÖMSUND</t>
        </is>
      </c>
      <c r="F423" t="inlineStr">
        <is>
          <t>Sveaskog</t>
        </is>
      </c>
      <c r="G423" t="n">
        <v>7.3</v>
      </c>
      <c r="H423" t="n">
        <v>0</v>
      </c>
      <c r="I423" t="n">
        <v>1</v>
      </c>
      <c r="J423" t="n">
        <v>0</v>
      </c>
      <c r="K423" t="n">
        <v>0</v>
      </c>
      <c r="L423" t="n">
        <v>0</v>
      </c>
      <c r="M423" t="n">
        <v>0</v>
      </c>
      <c r="N423" t="n">
        <v>0</v>
      </c>
      <c r="O423" t="n">
        <v>0</v>
      </c>
      <c r="P423" t="n">
        <v>0</v>
      </c>
      <c r="Q423" t="n">
        <v>1</v>
      </c>
      <c r="R423" s="2" t="inlineStr">
        <is>
          <t>Svavelriska</t>
        </is>
      </c>
      <c r="S423">
        <f>HYPERLINK("https://klasma.github.io/Logging_2313/artfynd/A 59726-2023 artfynd.xlsx", "A 59726-2023")</f>
        <v/>
      </c>
      <c r="T423">
        <f>HYPERLINK("https://klasma.github.io/Logging_2313/kartor/A 59726-2023 karta.png", "A 59726-2023")</f>
        <v/>
      </c>
      <c r="V423">
        <f>HYPERLINK("https://klasma.github.io/Logging_2313/klagomål/A 59726-2023 FSC-klagomål.docx", "A 59726-2023")</f>
        <v/>
      </c>
      <c r="W423">
        <f>HYPERLINK("https://klasma.github.io/Logging_2313/klagomålsmail/A 59726-2023 FSC-klagomål mail.docx", "A 59726-2023")</f>
        <v/>
      </c>
      <c r="X423">
        <f>HYPERLINK("https://klasma.github.io/Logging_2313/tillsyn/A 59726-2023 tillsynsbegäran.docx", "A 59726-2023")</f>
        <v/>
      </c>
      <c r="Y423">
        <f>HYPERLINK("https://klasma.github.io/Logging_2313/tillsynsmail/A 59726-2023 tillsynsbegäran mail.docx", "A 59726-2023")</f>
        <v/>
      </c>
    </row>
    <row r="424" ht="15" customHeight="1">
      <c r="A424" t="inlineStr">
        <is>
          <t>A 60828-2023</t>
        </is>
      </c>
      <c r="B424" s="1" t="n">
        <v>45258</v>
      </c>
      <c r="C424" s="1" t="n">
        <v>45648</v>
      </c>
      <c r="D424" t="inlineStr">
        <is>
          <t>JÄMTLANDS LÄN</t>
        </is>
      </c>
      <c r="E424" t="inlineStr">
        <is>
          <t>STRÖMSUND</t>
        </is>
      </c>
      <c r="G424" t="n">
        <v>6.7</v>
      </c>
      <c r="H424" t="n">
        <v>1</v>
      </c>
      <c r="I424" t="n">
        <v>0</v>
      </c>
      <c r="J424" t="n">
        <v>1</v>
      </c>
      <c r="K424" t="n">
        <v>0</v>
      </c>
      <c r="L424" t="n">
        <v>0</v>
      </c>
      <c r="M424" t="n">
        <v>0</v>
      </c>
      <c r="N424" t="n">
        <v>0</v>
      </c>
      <c r="O424" t="n">
        <v>1</v>
      </c>
      <c r="P424" t="n">
        <v>0</v>
      </c>
      <c r="Q424" t="n">
        <v>1</v>
      </c>
      <c r="R424" s="2" t="inlineStr">
        <is>
          <t>Tretåig hackspett</t>
        </is>
      </c>
      <c r="S424">
        <f>HYPERLINK("https://klasma.github.io/Logging_2313/artfynd/A 60828-2023 artfynd.xlsx", "A 60828-2023")</f>
        <v/>
      </c>
      <c r="T424">
        <f>HYPERLINK("https://klasma.github.io/Logging_2313/kartor/A 60828-2023 karta.png", "A 60828-2023")</f>
        <v/>
      </c>
      <c r="V424">
        <f>HYPERLINK("https://klasma.github.io/Logging_2313/klagomål/A 60828-2023 FSC-klagomål.docx", "A 60828-2023")</f>
        <v/>
      </c>
      <c r="W424">
        <f>HYPERLINK("https://klasma.github.io/Logging_2313/klagomålsmail/A 60828-2023 FSC-klagomål mail.docx", "A 60828-2023")</f>
        <v/>
      </c>
      <c r="X424">
        <f>HYPERLINK("https://klasma.github.io/Logging_2313/tillsyn/A 60828-2023 tillsynsbegäran.docx", "A 60828-2023")</f>
        <v/>
      </c>
      <c r="Y424">
        <f>HYPERLINK("https://klasma.github.io/Logging_2313/tillsynsmail/A 60828-2023 tillsynsbegäran mail.docx", "A 60828-2023")</f>
        <v/>
      </c>
      <c r="Z424">
        <f>HYPERLINK("https://klasma.github.io/Logging_2313/fåglar/A 60828-2023 prioriterade fågelarter.docx", "A 60828-2023")</f>
        <v/>
      </c>
    </row>
    <row r="425" ht="15" customHeight="1">
      <c r="A425" t="inlineStr">
        <is>
          <t>A 62886-2023</t>
        </is>
      </c>
      <c r="B425" s="1" t="n">
        <v>45271</v>
      </c>
      <c r="C425" s="1" t="n">
        <v>45648</v>
      </c>
      <c r="D425" t="inlineStr">
        <is>
          <t>JÄMTLANDS LÄN</t>
        </is>
      </c>
      <c r="E425" t="inlineStr">
        <is>
          <t>STRÖMSUND</t>
        </is>
      </c>
      <c r="G425" t="n">
        <v>12.2</v>
      </c>
      <c r="H425" t="n">
        <v>0</v>
      </c>
      <c r="I425" t="n">
        <v>0</v>
      </c>
      <c r="J425" t="n">
        <v>0</v>
      </c>
      <c r="K425" t="n">
        <v>1</v>
      </c>
      <c r="L425" t="n">
        <v>0</v>
      </c>
      <c r="M425" t="n">
        <v>0</v>
      </c>
      <c r="N425" t="n">
        <v>0</v>
      </c>
      <c r="O425" t="n">
        <v>1</v>
      </c>
      <c r="P425" t="n">
        <v>1</v>
      </c>
      <c r="Q425" t="n">
        <v>1</v>
      </c>
      <c r="R425" s="2" t="inlineStr">
        <is>
          <t>Liten sotlav</t>
        </is>
      </c>
      <c r="S425">
        <f>HYPERLINK("https://klasma.github.io/Logging_2313/artfynd/A 62886-2023 artfynd.xlsx", "A 62886-2023")</f>
        <v/>
      </c>
      <c r="T425">
        <f>HYPERLINK("https://klasma.github.io/Logging_2313/kartor/A 62886-2023 karta.png", "A 62886-2023")</f>
        <v/>
      </c>
      <c r="V425">
        <f>HYPERLINK("https://klasma.github.io/Logging_2313/klagomål/A 62886-2023 FSC-klagomål.docx", "A 62886-2023")</f>
        <v/>
      </c>
      <c r="W425">
        <f>HYPERLINK("https://klasma.github.io/Logging_2313/klagomålsmail/A 62886-2023 FSC-klagomål mail.docx", "A 62886-2023")</f>
        <v/>
      </c>
      <c r="X425">
        <f>HYPERLINK("https://klasma.github.io/Logging_2313/tillsyn/A 62886-2023 tillsynsbegäran.docx", "A 62886-2023")</f>
        <v/>
      </c>
      <c r="Y425">
        <f>HYPERLINK("https://klasma.github.io/Logging_2313/tillsynsmail/A 62886-2023 tillsynsbegäran mail.docx", "A 62886-2023")</f>
        <v/>
      </c>
    </row>
    <row r="426" ht="15" customHeight="1">
      <c r="A426" t="inlineStr">
        <is>
          <t>A 63243-2023</t>
        </is>
      </c>
      <c r="B426" s="1" t="n">
        <v>45273</v>
      </c>
      <c r="C426" s="1" t="n">
        <v>45648</v>
      </c>
      <c r="D426" t="inlineStr">
        <is>
          <t>JÄMTLANDS LÄN</t>
        </is>
      </c>
      <c r="E426" t="inlineStr">
        <is>
          <t>STRÖMSUND</t>
        </is>
      </c>
      <c r="G426" t="n">
        <v>14.8</v>
      </c>
      <c r="H426" t="n">
        <v>0</v>
      </c>
      <c r="I426" t="n">
        <v>0</v>
      </c>
      <c r="J426" t="n">
        <v>1</v>
      </c>
      <c r="K426" t="n">
        <v>0</v>
      </c>
      <c r="L426" t="n">
        <v>0</v>
      </c>
      <c r="M426" t="n">
        <v>0</v>
      </c>
      <c r="N426" t="n">
        <v>0</v>
      </c>
      <c r="O426" t="n">
        <v>1</v>
      </c>
      <c r="P426" t="n">
        <v>0</v>
      </c>
      <c r="Q426" t="n">
        <v>1</v>
      </c>
      <c r="R426" s="2" t="inlineStr">
        <is>
          <t>Rödbrun klubbdyna</t>
        </is>
      </c>
      <c r="S426">
        <f>HYPERLINK("https://klasma.github.io/Logging_2313/artfynd/A 63243-2023 artfynd.xlsx", "A 63243-2023")</f>
        <v/>
      </c>
      <c r="T426">
        <f>HYPERLINK("https://klasma.github.io/Logging_2313/kartor/A 63243-2023 karta.png", "A 63243-2023")</f>
        <v/>
      </c>
      <c r="V426">
        <f>HYPERLINK("https://klasma.github.io/Logging_2313/klagomål/A 63243-2023 FSC-klagomål.docx", "A 63243-2023")</f>
        <v/>
      </c>
      <c r="W426">
        <f>HYPERLINK("https://klasma.github.io/Logging_2313/klagomålsmail/A 63243-2023 FSC-klagomål mail.docx", "A 63243-2023")</f>
        <v/>
      </c>
      <c r="X426">
        <f>HYPERLINK("https://klasma.github.io/Logging_2313/tillsyn/A 63243-2023 tillsynsbegäran.docx", "A 63243-2023")</f>
        <v/>
      </c>
      <c r="Y426">
        <f>HYPERLINK("https://klasma.github.io/Logging_2313/tillsynsmail/A 63243-2023 tillsynsbegäran mail.docx", "A 63243-2023")</f>
        <v/>
      </c>
    </row>
    <row r="427" ht="15" customHeight="1">
      <c r="A427" t="inlineStr">
        <is>
          <t>A 63860-2023</t>
        </is>
      </c>
      <c r="B427" s="1" t="n">
        <v>45278</v>
      </c>
      <c r="C427" s="1" t="n">
        <v>45648</v>
      </c>
      <c r="D427" t="inlineStr">
        <is>
          <t>JÄMTLANDS LÄN</t>
        </is>
      </c>
      <c r="E427" t="inlineStr">
        <is>
          <t>STRÖMSUND</t>
        </is>
      </c>
      <c r="G427" t="n">
        <v>2.9</v>
      </c>
      <c r="H427" t="n">
        <v>0</v>
      </c>
      <c r="I427" t="n">
        <v>1</v>
      </c>
      <c r="J427" t="n">
        <v>0</v>
      </c>
      <c r="K427" t="n">
        <v>0</v>
      </c>
      <c r="L427" t="n">
        <v>0</v>
      </c>
      <c r="M427" t="n">
        <v>0</v>
      </c>
      <c r="N427" t="n">
        <v>0</v>
      </c>
      <c r="O427" t="n">
        <v>0</v>
      </c>
      <c r="P427" t="n">
        <v>0</v>
      </c>
      <c r="Q427" t="n">
        <v>1</v>
      </c>
      <c r="R427" s="2" t="inlineStr">
        <is>
          <t>Kransrams</t>
        </is>
      </c>
      <c r="S427">
        <f>HYPERLINK("https://klasma.github.io/Logging_2313/artfynd/A 63860-2023 artfynd.xlsx", "A 63860-2023")</f>
        <v/>
      </c>
      <c r="T427">
        <f>HYPERLINK("https://klasma.github.io/Logging_2313/kartor/A 63860-2023 karta.png", "A 63860-2023")</f>
        <v/>
      </c>
      <c r="V427">
        <f>HYPERLINK("https://klasma.github.io/Logging_2313/klagomål/A 63860-2023 FSC-klagomål.docx", "A 63860-2023")</f>
        <v/>
      </c>
      <c r="W427">
        <f>HYPERLINK("https://klasma.github.io/Logging_2313/klagomålsmail/A 63860-2023 FSC-klagomål mail.docx", "A 63860-2023")</f>
        <v/>
      </c>
      <c r="X427">
        <f>HYPERLINK("https://klasma.github.io/Logging_2313/tillsyn/A 63860-2023 tillsynsbegäran.docx", "A 63860-2023")</f>
        <v/>
      </c>
      <c r="Y427">
        <f>HYPERLINK("https://klasma.github.io/Logging_2313/tillsynsmail/A 63860-2023 tillsynsbegäran mail.docx", "A 63860-2023")</f>
        <v/>
      </c>
    </row>
    <row r="428" ht="15" customHeight="1">
      <c r="A428" t="inlineStr">
        <is>
          <t>A 56-2024</t>
        </is>
      </c>
      <c r="B428" s="1" t="n">
        <v>45293</v>
      </c>
      <c r="C428" s="1" t="n">
        <v>45648</v>
      </c>
      <c r="D428" t="inlineStr">
        <is>
          <t>JÄMTLANDS LÄN</t>
        </is>
      </c>
      <c r="E428" t="inlineStr">
        <is>
          <t>STRÖMSUND</t>
        </is>
      </c>
      <c r="G428" t="n">
        <v>4.9</v>
      </c>
      <c r="H428" t="n">
        <v>0</v>
      </c>
      <c r="I428" t="n">
        <v>0</v>
      </c>
      <c r="J428" t="n">
        <v>0</v>
      </c>
      <c r="K428" t="n">
        <v>1</v>
      </c>
      <c r="L428" t="n">
        <v>0</v>
      </c>
      <c r="M428" t="n">
        <v>0</v>
      </c>
      <c r="N428" t="n">
        <v>0</v>
      </c>
      <c r="O428" t="n">
        <v>1</v>
      </c>
      <c r="P428" t="n">
        <v>1</v>
      </c>
      <c r="Q428" t="n">
        <v>1</v>
      </c>
      <c r="R428" s="2" t="inlineStr">
        <is>
          <t>Liten sotlav</t>
        </is>
      </c>
      <c r="S428">
        <f>HYPERLINK("https://klasma.github.io/Logging_2313/artfynd/A 56-2024 artfynd.xlsx", "A 56-2024")</f>
        <v/>
      </c>
      <c r="T428">
        <f>HYPERLINK("https://klasma.github.io/Logging_2313/kartor/A 56-2024 karta.png", "A 56-2024")</f>
        <v/>
      </c>
      <c r="V428">
        <f>HYPERLINK("https://klasma.github.io/Logging_2313/klagomål/A 56-2024 FSC-klagomål.docx", "A 56-2024")</f>
        <v/>
      </c>
      <c r="W428">
        <f>HYPERLINK("https://klasma.github.io/Logging_2313/klagomålsmail/A 56-2024 FSC-klagomål mail.docx", "A 56-2024")</f>
        <v/>
      </c>
      <c r="X428">
        <f>HYPERLINK("https://klasma.github.io/Logging_2313/tillsyn/A 56-2024 tillsynsbegäran.docx", "A 56-2024")</f>
        <v/>
      </c>
      <c r="Y428">
        <f>HYPERLINK("https://klasma.github.io/Logging_2313/tillsynsmail/A 56-2024 tillsynsbegäran mail.docx", "A 56-2024")</f>
        <v/>
      </c>
    </row>
    <row r="429" ht="15" customHeight="1">
      <c r="A429" t="inlineStr">
        <is>
          <t>A 3988-2024</t>
        </is>
      </c>
      <c r="B429" s="1" t="n">
        <v>45322</v>
      </c>
      <c r="C429" s="1" t="n">
        <v>45648</v>
      </c>
      <c r="D429" t="inlineStr">
        <is>
          <t>JÄMTLANDS LÄN</t>
        </is>
      </c>
      <c r="E429" t="inlineStr">
        <is>
          <t>STRÖMSUND</t>
        </is>
      </c>
      <c r="F429" t="inlineStr">
        <is>
          <t>SCA</t>
        </is>
      </c>
      <c r="G429" t="n">
        <v>16</v>
      </c>
      <c r="H429" t="n">
        <v>1</v>
      </c>
      <c r="I429" t="n">
        <v>0</v>
      </c>
      <c r="J429" t="n">
        <v>1</v>
      </c>
      <c r="K429" t="n">
        <v>0</v>
      </c>
      <c r="L429" t="n">
        <v>0</v>
      </c>
      <c r="M429" t="n">
        <v>0</v>
      </c>
      <c r="N429" t="n">
        <v>0</v>
      </c>
      <c r="O429" t="n">
        <v>1</v>
      </c>
      <c r="P429" t="n">
        <v>0</v>
      </c>
      <c r="Q429" t="n">
        <v>1</v>
      </c>
      <c r="R429" s="2" t="inlineStr">
        <is>
          <t>Järpe</t>
        </is>
      </c>
      <c r="S429">
        <f>HYPERLINK("https://klasma.github.io/Logging_2313/artfynd/A 3988-2024 artfynd.xlsx", "A 3988-2024")</f>
        <v/>
      </c>
      <c r="T429">
        <f>HYPERLINK("https://klasma.github.io/Logging_2313/kartor/A 3988-2024 karta.png", "A 3988-2024")</f>
        <v/>
      </c>
      <c r="V429">
        <f>HYPERLINK("https://klasma.github.io/Logging_2313/klagomål/A 3988-2024 FSC-klagomål.docx", "A 3988-2024")</f>
        <v/>
      </c>
      <c r="W429">
        <f>HYPERLINK("https://klasma.github.io/Logging_2313/klagomålsmail/A 3988-2024 FSC-klagomål mail.docx", "A 3988-2024")</f>
        <v/>
      </c>
      <c r="X429">
        <f>HYPERLINK("https://klasma.github.io/Logging_2313/tillsyn/A 3988-2024 tillsynsbegäran.docx", "A 3988-2024")</f>
        <v/>
      </c>
      <c r="Y429">
        <f>HYPERLINK("https://klasma.github.io/Logging_2313/tillsynsmail/A 3988-2024 tillsynsbegäran mail.docx", "A 3988-2024")</f>
        <v/>
      </c>
      <c r="Z429">
        <f>HYPERLINK("https://klasma.github.io/Logging_2313/fåglar/A 3988-2024 prioriterade fågelarter.docx", "A 3988-2024")</f>
        <v/>
      </c>
    </row>
    <row r="430" ht="15" customHeight="1">
      <c r="A430" t="inlineStr">
        <is>
          <t>A 4377-2024</t>
        </is>
      </c>
      <c r="B430" s="1" t="n">
        <v>45326</v>
      </c>
      <c r="C430" s="1" t="n">
        <v>45648</v>
      </c>
      <c r="D430" t="inlineStr">
        <is>
          <t>JÄMTLANDS LÄN</t>
        </is>
      </c>
      <c r="E430" t="inlineStr">
        <is>
          <t>STRÖMSUND</t>
        </is>
      </c>
      <c r="F430" t="inlineStr">
        <is>
          <t>SCA</t>
        </is>
      </c>
      <c r="G430" t="n">
        <v>21.4</v>
      </c>
      <c r="H430" t="n">
        <v>0</v>
      </c>
      <c r="I430" t="n">
        <v>0</v>
      </c>
      <c r="J430" t="n">
        <v>1</v>
      </c>
      <c r="K430" t="n">
        <v>0</v>
      </c>
      <c r="L430" t="n">
        <v>0</v>
      </c>
      <c r="M430" t="n">
        <v>0</v>
      </c>
      <c r="N430" t="n">
        <v>0</v>
      </c>
      <c r="O430" t="n">
        <v>1</v>
      </c>
      <c r="P430" t="n">
        <v>0</v>
      </c>
      <c r="Q430" t="n">
        <v>1</v>
      </c>
      <c r="R430" s="2" t="inlineStr">
        <is>
          <t>Lunglav</t>
        </is>
      </c>
      <c r="S430">
        <f>HYPERLINK("https://klasma.github.io/Logging_2313/artfynd/A 4377-2024 artfynd.xlsx", "A 4377-2024")</f>
        <v/>
      </c>
      <c r="T430">
        <f>HYPERLINK("https://klasma.github.io/Logging_2313/kartor/A 4377-2024 karta.png", "A 4377-2024")</f>
        <v/>
      </c>
      <c r="V430">
        <f>HYPERLINK("https://klasma.github.io/Logging_2313/klagomål/A 4377-2024 FSC-klagomål.docx", "A 4377-2024")</f>
        <v/>
      </c>
      <c r="W430">
        <f>HYPERLINK("https://klasma.github.io/Logging_2313/klagomålsmail/A 4377-2024 FSC-klagomål mail.docx", "A 4377-2024")</f>
        <v/>
      </c>
      <c r="X430">
        <f>HYPERLINK("https://klasma.github.io/Logging_2313/tillsyn/A 4377-2024 tillsynsbegäran.docx", "A 4377-2024")</f>
        <v/>
      </c>
      <c r="Y430">
        <f>HYPERLINK("https://klasma.github.io/Logging_2313/tillsynsmail/A 4377-2024 tillsynsbegäran mail.docx", "A 4377-2024")</f>
        <v/>
      </c>
    </row>
    <row r="431" ht="15" customHeight="1">
      <c r="A431" t="inlineStr">
        <is>
          <t>A 4824-2024</t>
        </is>
      </c>
      <c r="B431" s="1" t="n">
        <v>45328</v>
      </c>
      <c r="C431" s="1" t="n">
        <v>45648</v>
      </c>
      <c r="D431" t="inlineStr">
        <is>
          <t>JÄMTLANDS LÄN</t>
        </is>
      </c>
      <c r="E431" t="inlineStr">
        <is>
          <t>STRÖMSUND</t>
        </is>
      </c>
      <c r="F431" t="inlineStr">
        <is>
          <t>SCA</t>
        </is>
      </c>
      <c r="G431" t="n">
        <v>10.2</v>
      </c>
      <c r="H431" t="n">
        <v>0</v>
      </c>
      <c r="I431" t="n">
        <v>0</v>
      </c>
      <c r="J431" t="n">
        <v>1</v>
      </c>
      <c r="K431" t="n">
        <v>0</v>
      </c>
      <c r="L431" t="n">
        <v>0</v>
      </c>
      <c r="M431" t="n">
        <v>0</v>
      </c>
      <c r="N431" t="n">
        <v>0</v>
      </c>
      <c r="O431" t="n">
        <v>1</v>
      </c>
      <c r="P431" t="n">
        <v>0</v>
      </c>
      <c r="Q431" t="n">
        <v>1</v>
      </c>
      <c r="R431" s="2" t="inlineStr">
        <is>
          <t>Lunglav</t>
        </is>
      </c>
      <c r="S431">
        <f>HYPERLINK("https://klasma.github.io/Logging_2313/artfynd/A 4824-2024 artfynd.xlsx", "A 4824-2024")</f>
        <v/>
      </c>
      <c r="T431">
        <f>HYPERLINK("https://klasma.github.io/Logging_2313/kartor/A 4824-2024 karta.png", "A 4824-2024")</f>
        <v/>
      </c>
      <c r="V431">
        <f>HYPERLINK("https://klasma.github.io/Logging_2313/klagomål/A 4824-2024 FSC-klagomål.docx", "A 4824-2024")</f>
        <v/>
      </c>
      <c r="W431">
        <f>HYPERLINK("https://klasma.github.io/Logging_2313/klagomålsmail/A 4824-2024 FSC-klagomål mail.docx", "A 4824-2024")</f>
        <v/>
      </c>
      <c r="X431">
        <f>HYPERLINK("https://klasma.github.io/Logging_2313/tillsyn/A 4824-2024 tillsynsbegäran.docx", "A 4824-2024")</f>
        <v/>
      </c>
      <c r="Y431">
        <f>HYPERLINK("https://klasma.github.io/Logging_2313/tillsynsmail/A 4824-2024 tillsynsbegäran mail.docx", "A 4824-2024")</f>
        <v/>
      </c>
    </row>
    <row r="432" ht="15" customHeight="1">
      <c r="A432" t="inlineStr">
        <is>
          <t>A 8896-2024</t>
        </is>
      </c>
      <c r="B432" s="1" t="n">
        <v>45357</v>
      </c>
      <c r="C432" s="1" t="n">
        <v>45648</v>
      </c>
      <c r="D432" t="inlineStr">
        <is>
          <t>JÄMTLANDS LÄN</t>
        </is>
      </c>
      <c r="E432" t="inlineStr">
        <is>
          <t>STRÖMSUND</t>
        </is>
      </c>
      <c r="F432" t="inlineStr">
        <is>
          <t>Holmen skog AB</t>
        </is>
      </c>
      <c r="G432" t="n">
        <v>2.6</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8896-2024 artfynd.xlsx", "A 8896-2024")</f>
        <v/>
      </c>
      <c r="T432">
        <f>HYPERLINK("https://klasma.github.io/Logging_2313/kartor/A 8896-2024 karta.png", "A 8896-2024")</f>
        <v/>
      </c>
      <c r="V432">
        <f>HYPERLINK("https://klasma.github.io/Logging_2313/klagomål/A 8896-2024 FSC-klagomål.docx", "A 8896-2024")</f>
        <v/>
      </c>
      <c r="W432">
        <f>HYPERLINK("https://klasma.github.io/Logging_2313/klagomålsmail/A 8896-2024 FSC-klagomål mail.docx", "A 8896-2024")</f>
        <v/>
      </c>
      <c r="X432">
        <f>HYPERLINK("https://klasma.github.io/Logging_2313/tillsyn/A 8896-2024 tillsynsbegäran.docx", "A 8896-2024")</f>
        <v/>
      </c>
      <c r="Y432">
        <f>HYPERLINK("https://klasma.github.io/Logging_2313/tillsynsmail/A 8896-2024 tillsynsbegäran mail.docx", "A 8896-2024")</f>
        <v/>
      </c>
      <c r="Z432">
        <f>HYPERLINK("https://klasma.github.io/Logging_2313/fåglar/A 8896-2024 prioriterade fågelarter.docx", "A 8896-2024")</f>
        <v/>
      </c>
    </row>
    <row r="433" ht="15" customHeight="1">
      <c r="A433" t="inlineStr">
        <is>
          <t>A 14005-2024</t>
        </is>
      </c>
      <c r="B433" s="1" t="n">
        <v>45392</v>
      </c>
      <c r="C433" s="1" t="n">
        <v>45648</v>
      </c>
      <c r="D433" t="inlineStr">
        <is>
          <t>JÄMTLANDS LÄN</t>
        </is>
      </c>
      <c r="E433" t="inlineStr">
        <is>
          <t>STRÖMSUND</t>
        </is>
      </c>
      <c r="F433" t="inlineStr">
        <is>
          <t>Holmen skog AB</t>
        </is>
      </c>
      <c r="G433" t="n">
        <v>6.3</v>
      </c>
      <c r="H433" t="n">
        <v>0</v>
      </c>
      <c r="I433" t="n">
        <v>0</v>
      </c>
      <c r="J433" t="n">
        <v>1</v>
      </c>
      <c r="K433" t="n">
        <v>0</v>
      </c>
      <c r="L433" t="n">
        <v>0</v>
      </c>
      <c r="M433" t="n">
        <v>0</v>
      </c>
      <c r="N433" t="n">
        <v>0</v>
      </c>
      <c r="O433" t="n">
        <v>1</v>
      </c>
      <c r="P433" t="n">
        <v>0</v>
      </c>
      <c r="Q433" t="n">
        <v>1</v>
      </c>
      <c r="R433" s="2" t="inlineStr">
        <is>
          <t>Blå taggsvamp</t>
        </is>
      </c>
      <c r="S433">
        <f>HYPERLINK("https://klasma.github.io/Logging_2313/artfynd/A 14005-2024 artfynd.xlsx", "A 14005-2024")</f>
        <v/>
      </c>
      <c r="T433">
        <f>HYPERLINK("https://klasma.github.io/Logging_2313/kartor/A 14005-2024 karta.png", "A 14005-2024")</f>
        <v/>
      </c>
      <c r="V433">
        <f>HYPERLINK("https://klasma.github.io/Logging_2313/klagomål/A 14005-2024 FSC-klagomål.docx", "A 14005-2024")</f>
        <v/>
      </c>
      <c r="W433">
        <f>HYPERLINK("https://klasma.github.io/Logging_2313/klagomålsmail/A 14005-2024 FSC-klagomål mail.docx", "A 14005-2024")</f>
        <v/>
      </c>
      <c r="X433">
        <f>HYPERLINK("https://klasma.github.io/Logging_2313/tillsyn/A 14005-2024 tillsynsbegäran.docx", "A 14005-2024")</f>
        <v/>
      </c>
      <c r="Y433">
        <f>HYPERLINK("https://klasma.github.io/Logging_2313/tillsynsmail/A 14005-2024 tillsynsbegäran mail.docx", "A 14005-2024")</f>
        <v/>
      </c>
    </row>
    <row r="434" ht="15" customHeight="1">
      <c r="A434" t="inlineStr">
        <is>
          <t>A 14155-2024</t>
        </is>
      </c>
      <c r="B434" s="1" t="n">
        <v>45393</v>
      </c>
      <c r="C434" s="1" t="n">
        <v>45648</v>
      </c>
      <c r="D434" t="inlineStr">
        <is>
          <t>JÄMTLANDS LÄN</t>
        </is>
      </c>
      <c r="E434" t="inlineStr">
        <is>
          <t>STRÖMSUND</t>
        </is>
      </c>
      <c r="G434" t="n">
        <v>2.4</v>
      </c>
      <c r="H434" t="n">
        <v>0</v>
      </c>
      <c r="I434" t="n">
        <v>0</v>
      </c>
      <c r="J434" t="n">
        <v>1</v>
      </c>
      <c r="K434" t="n">
        <v>0</v>
      </c>
      <c r="L434" t="n">
        <v>0</v>
      </c>
      <c r="M434" t="n">
        <v>0</v>
      </c>
      <c r="N434" t="n">
        <v>0</v>
      </c>
      <c r="O434" t="n">
        <v>1</v>
      </c>
      <c r="P434" t="n">
        <v>0</v>
      </c>
      <c r="Q434" t="n">
        <v>1</v>
      </c>
      <c r="R434" s="2" t="inlineStr">
        <is>
          <t>Vitgrynig nållav</t>
        </is>
      </c>
      <c r="S434">
        <f>HYPERLINK("https://klasma.github.io/Logging_2313/artfynd/A 14155-2024 artfynd.xlsx", "A 14155-2024")</f>
        <v/>
      </c>
      <c r="T434">
        <f>HYPERLINK("https://klasma.github.io/Logging_2313/kartor/A 14155-2024 karta.png", "A 14155-2024")</f>
        <v/>
      </c>
      <c r="V434">
        <f>HYPERLINK("https://klasma.github.io/Logging_2313/klagomål/A 14155-2024 FSC-klagomål.docx", "A 14155-2024")</f>
        <v/>
      </c>
      <c r="W434">
        <f>HYPERLINK("https://klasma.github.io/Logging_2313/klagomålsmail/A 14155-2024 FSC-klagomål mail.docx", "A 14155-2024")</f>
        <v/>
      </c>
      <c r="X434">
        <f>HYPERLINK("https://klasma.github.io/Logging_2313/tillsyn/A 14155-2024 tillsynsbegäran.docx", "A 14155-2024")</f>
        <v/>
      </c>
      <c r="Y434">
        <f>HYPERLINK("https://klasma.github.io/Logging_2313/tillsynsmail/A 14155-2024 tillsynsbegäran mail.docx", "A 14155-2024")</f>
        <v/>
      </c>
    </row>
    <row r="435" ht="15" customHeight="1">
      <c r="A435" t="inlineStr">
        <is>
          <t>A 15258-2024</t>
        </is>
      </c>
      <c r="B435" s="1" t="n">
        <v>45400</v>
      </c>
      <c r="C435" s="1" t="n">
        <v>45648</v>
      </c>
      <c r="D435" t="inlineStr">
        <is>
          <t>JÄMTLANDS LÄN</t>
        </is>
      </c>
      <c r="E435" t="inlineStr">
        <is>
          <t>STRÖMSUND</t>
        </is>
      </c>
      <c r="G435" t="n">
        <v>40.8</v>
      </c>
      <c r="H435" t="n">
        <v>0</v>
      </c>
      <c r="I435" t="n">
        <v>1</v>
      </c>
      <c r="J435" t="n">
        <v>0</v>
      </c>
      <c r="K435" t="n">
        <v>0</v>
      </c>
      <c r="L435" t="n">
        <v>0</v>
      </c>
      <c r="M435" t="n">
        <v>0</v>
      </c>
      <c r="N435" t="n">
        <v>0</v>
      </c>
      <c r="O435" t="n">
        <v>0</v>
      </c>
      <c r="P435" t="n">
        <v>0</v>
      </c>
      <c r="Q435" t="n">
        <v>1</v>
      </c>
      <c r="R435" s="2" t="inlineStr">
        <is>
          <t>Finbräken</t>
        </is>
      </c>
      <c r="S435">
        <f>HYPERLINK("https://klasma.github.io/Logging_2313/artfynd/A 15258-2024 artfynd.xlsx", "A 15258-2024")</f>
        <v/>
      </c>
      <c r="T435">
        <f>HYPERLINK("https://klasma.github.io/Logging_2313/kartor/A 15258-2024 karta.png", "A 15258-2024")</f>
        <v/>
      </c>
      <c r="V435">
        <f>HYPERLINK("https://klasma.github.io/Logging_2313/klagomål/A 15258-2024 FSC-klagomål.docx", "A 15258-2024")</f>
        <v/>
      </c>
      <c r="W435">
        <f>HYPERLINK("https://klasma.github.io/Logging_2313/klagomålsmail/A 15258-2024 FSC-klagomål mail.docx", "A 15258-2024")</f>
        <v/>
      </c>
      <c r="X435">
        <f>HYPERLINK("https://klasma.github.io/Logging_2313/tillsyn/A 15258-2024 tillsynsbegäran.docx", "A 15258-2024")</f>
        <v/>
      </c>
      <c r="Y435">
        <f>HYPERLINK("https://klasma.github.io/Logging_2313/tillsynsmail/A 15258-2024 tillsynsbegäran mail.docx", "A 15258-2024")</f>
        <v/>
      </c>
    </row>
    <row r="436" ht="15" customHeight="1">
      <c r="A436" t="inlineStr">
        <is>
          <t>A 24807-2024</t>
        </is>
      </c>
      <c r="B436" s="1" t="n">
        <v>45461</v>
      </c>
      <c r="C436" s="1" t="n">
        <v>45648</v>
      </c>
      <c r="D436" t="inlineStr">
        <is>
          <t>JÄMTLANDS LÄN</t>
        </is>
      </c>
      <c r="E436" t="inlineStr">
        <is>
          <t>STRÖMSUND</t>
        </is>
      </c>
      <c r="F436" t="inlineStr">
        <is>
          <t>SCA</t>
        </is>
      </c>
      <c r="G436" t="n">
        <v>2</v>
      </c>
      <c r="H436" t="n">
        <v>0</v>
      </c>
      <c r="I436" t="n">
        <v>0</v>
      </c>
      <c r="J436" t="n">
        <v>1</v>
      </c>
      <c r="K436" t="n">
        <v>0</v>
      </c>
      <c r="L436" t="n">
        <v>0</v>
      </c>
      <c r="M436" t="n">
        <v>0</v>
      </c>
      <c r="N436" t="n">
        <v>0</v>
      </c>
      <c r="O436" t="n">
        <v>1</v>
      </c>
      <c r="P436" t="n">
        <v>0</v>
      </c>
      <c r="Q436" t="n">
        <v>1</v>
      </c>
      <c r="R436" s="2" t="inlineStr">
        <is>
          <t>Ullticka</t>
        </is>
      </c>
      <c r="S436">
        <f>HYPERLINK("https://klasma.github.io/Logging_2313/artfynd/A 24807-2024 artfynd.xlsx", "A 24807-2024")</f>
        <v/>
      </c>
      <c r="T436">
        <f>HYPERLINK("https://klasma.github.io/Logging_2313/kartor/A 24807-2024 karta.png", "A 24807-2024")</f>
        <v/>
      </c>
      <c r="V436">
        <f>HYPERLINK("https://klasma.github.io/Logging_2313/klagomål/A 24807-2024 FSC-klagomål.docx", "A 24807-2024")</f>
        <v/>
      </c>
      <c r="W436">
        <f>HYPERLINK("https://klasma.github.io/Logging_2313/klagomålsmail/A 24807-2024 FSC-klagomål mail.docx", "A 24807-2024")</f>
        <v/>
      </c>
      <c r="X436">
        <f>HYPERLINK("https://klasma.github.io/Logging_2313/tillsyn/A 24807-2024 tillsynsbegäran.docx", "A 24807-2024")</f>
        <v/>
      </c>
      <c r="Y436">
        <f>HYPERLINK("https://klasma.github.io/Logging_2313/tillsynsmail/A 24807-2024 tillsynsbegäran mail.docx", "A 24807-2024")</f>
        <v/>
      </c>
    </row>
    <row r="437" ht="15" customHeight="1">
      <c r="A437" t="inlineStr">
        <is>
          <t>A 28509-2024</t>
        </is>
      </c>
      <c r="B437" s="1" t="n">
        <v>45478</v>
      </c>
      <c r="C437" s="1" t="n">
        <v>45648</v>
      </c>
      <c r="D437" t="inlineStr">
        <is>
          <t>JÄMTLANDS LÄN</t>
        </is>
      </c>
      <c r="E437" t="inlineStr">
        <is>
          <t>STRÖMSUND</t>
        </is>
      </c>
      <c r="F437" t="inlineStr">
        <is>
          <t>SCA</t>
        </is>
      </c>
      <c r="G437" t="n">
        <v>2.6</v>
      </c>
      <c r="H437" t="n">
        <v>0</v>
      </c>
      <c r="I437" t="n">
        <v>0</v>
      </c>
      <c r="J437" t="n">
        <v>0</v>
      </c>
      <c r="K437" t="n">
        <v>1</v>
      </c>
      <c r="L437" t="n">
        <v>0</v>
      </c>
      <c r="M437" t="n">
        <v>0</v>
      </c>
      <c r="N437" t="n">
        <v>0</v>
      </c>
      <c r="O437" t="n">
        <v>1</v>
      </c>
      <c r="P437" t="n">
        <v>1</v>
      </c>
      <c r="Q437" t="n">
        <v>1</v>
      </c>
      <c r="R437" s="2" t="inlineStr">
        <is>
          <t>Rynkskinn</t>
        </is>
      </c>
      <c r="S437">
        <f>HYPERLINK("https://klasma.github.io/Logging_2313/artfynd/A 28509-2024 artfynd.xlsx", "A 28509-2024")</f>
        <v/>
      </c>
      <c r="T437">
        <f>HYPERLINK("https://klasma.github.io/Logging_2313/kartor/A 28509-2024 karta.png", "A 28509-2024")</f>
        <v/>
      </c>
      <c r="V437">
        <f>HYPERLINK("https://klasma.github.io/Logging_2313/klagomål/A 28509-2024 FSC-klagomål.docx", "A 28509-2024")</f>
        <v/>
      </c>
      <c r="W437">
        <f>HYPERLINK("https://klasma.github.io/Logging_2313/klagomålsmail/A 28509-2024 FSC-klagomål mail.docx", "A 28509-2024")</f>
        <v/>
      </c>
      <c r="X437">
        <f>HYPERLINK("https://klasma.github.io/Logging_2313/tillsyn/A 28509-2024 tillsynsbegäran.docx", "A 28509-2024")</f>
        <v/>
      </c>
      <c r="Y437">
        <f>HYPERLINK("https://klasma.github.io/Logging_2313/tillsynsmail/A 28509-2024 tillsynsbegäran mail.docx", "A 28509-2024")</f>
        <v/>
      </c>
    </row>
    <row r="438" ht="15" customHeight="1">
      <c r="A438" t="inlineStr">
        <is>
          <t>A 30067-2024</t>
        </is>
      </c>
      <c r="B438" s="1" t="n">
        <v>45489</v>
      </c>
      <c r="C438" s="1" t="n">
        <v>45648</v>
      </c>
      <c r="D438" t="inlineStr">
        <is>
          <t>JÄMTLANDS LÄN</t>
        </is>
      </c>
      <c r="E438" t="inlineStr">
        <is>
          <t>STRÖMSUND</t>
        </is>
      </c>
      <c r="F438" t="inlineStr">
        <is>
          <t>SCA</t>
        </is>
      </c>
      <c r="G438" t="n">
        <v>4.8</v>
      </c>
      <c r="H438" t="n">
        <v>0</v>
      </c>
      <c r="I438" t="n">
        <v>0</v>
      </c>
      <c r="J438" t="n">
        <v>1</v>
      </c>
      <c r="K438" t="n">
        <v>0</v>
      </c>
      <c r="L438" t="n">
        <v>0</v>
      </c>
      <c r="M438" t="n">
        <v>0</v>
      </c>
      <c r="N438" t="n">
        <v>0</v>
      </c>
      <c r="O438" t="n">
        <v>1</v>
      </c>
      <c r="P438" t="n">
        <v>0</v>
      </c>
      <c r="Q438" t="n">
        <v>1</v>
      </c>
      <c r="R438" s="2" t="inlineStr">
        <is>
          <t>Doftskinn</t>
        </is>
      </c>
      <c r="S438">
        <f>HYPERLINK("https://klasma.github.io/Logging_2313/artfynd/A 30067-2024 artfynd.xlsx", "A 30067-2024")</f>
        <v/>
      </c>
      <c r="T438">
        <f>HYPERLINK("https://klasma.github.io/Logging_2313/kartor/A 30067-2024 karta.png", "A 30067-2024")</f>
        <v/>
      </c>
      <c r="V438">
        <f>HYPERLINK("https://klasma.github.io/Logging_2313/klagomål/A 30067-2024 FSC-klagomål.docx", "A 30067-2024")</f>
        <v/>
      </c>
      <c r="W438">
        <f>HYPERLINK("https://klasma.github.io/Logging_2313/klagomålsmail/A 30067-2024 FSC-klagomål mail.docx", "A 30067-2024")</f>
        <v/>
      </c>
      <c r="X438">
        <f>HYPERLINK("https://klasma.github.io/Logging_2313/tillsyn/A 30067-2024 tillsynsbegäran.docx", "A 30067-2024")</f>
        <v/>
      </c>
      <c r="Y438">
        <f>HYPERLINK("https://klasma.github.io/Logging_2313/tillsynsmail/A 30067-2024 tillsynsbegäran mail.docx", "A 30067-2024")</f>
        <v/>
      </c>
    </row>
    <row r="439" ht="15" customHeight="1">
      <c r="A439" t="inlineStr">
        <is>
          <t>A 31684-2024</t>
        </is>
      </c>
      <c r="B439" s="1" t="n">
        <v>45507</v>
      </c>
      <c r="C439" s="1" t="n">
        <v>45648</v>
      </c>
      <c r="D439" t="inlineStr">
        <is>
          <t>JÄMTLANDS LÄN</t>
        </is>
      </c>
      <c r="E439" t="inlineStr">
        <is>
          <t>STRÖMSUND</t>
        </is>
      </c>
      <c r="F439" t="inlineStr">
        <is>
          <t>SCA</t>
        </is>
      </c>
      <c r="G439" t="n">
        <v>5.4</v>
      </c>
      <c r="H439" t="n">
        <v>0</v>
      </c>
      <c r="I439" t="n">
        <v>0</v>
      </c>
      <c r="J439" t="n">
        <v>1</v>
      </c>
      <c r="K439" t="n">
        <v>0</v>
      </c>
      <c r="L439" t="n">
        <v>0</v>
      </c>
      <c r="M439" t="n">
        <v>0</v>
      </c>
      <c r="N439" t="n">
        <v>0</v>
      </c>
      <c r="O439" t="n">
        <v>1</v>
      </c>
      <c r="P439" t="n">
        <v>0</v>
      </c>
      <c r="Q439" t="n">
        <v>1</v>
      </c>
      <c r="R439" s="2" t="inlineStr">
        <is>
          <t>Skrovellav</t>
        </is>
      </c>
      <c r="S439">
        <f>HYPERLINK("https://klasma.github.io/Logging_2313/artfynd/A 31684-2024 artfynd.xlsx", "A 31684-2024")</f>
        <v/>
      </c>
      <c r="T439">
        <f>HYPERLINK("https://klasma.github.io/Logging_2313/kartor/A 31684-2024 karta.png", "A 31684-2024")</f>
        <v/>
      </c>
      <c r="V439">
        <f>HYPERLINK("https://klasma.github.io/Logging_2313/klagomål/A 31684-2024 FSC-klagomål.docx", "A 31684-2024")</f>
        <v/>
      </c>
      <c r="W439">
        <f>HYPERLINK("https://klasma.github.io/Logging_2313/klagomålsmail/A 31684-2024 FSC-klagomål mail.docx", "A 31684-2024")</f>
        <v/>
      </c>
      <c r="X439">
        <f>HYPERLINK("https://klasma.github.io/Logging_2313/tillsyn/A 31684-2024 tillsynsbegäran.docx", "A 31684-2024")</f>
        <v/>
      </c>
      <c r="Y439">
        <f>HYPERLINK("https://klasma.github.io/Logging_2313/tillsynsmail/A 31684-2024 tillsynsbegäran mail.docx", "A 31684-2024")</f>
        <v/>
      </c>
    </row>
    <row r="440" ht="15" customHeight="1">
      <c r="A440" t="inlineStr">
        <is>
          <t>A 32649-2024</t>
        </is>
      </c>
      <c r="B440" s="1" t="n">
        <v>45514</v>
      </c>
      <c r="C440" s="1" t="n">
        <v>45648</v>
      </c>
      <c r="D440" t="inlineStr">
        <is>
          <t>JÄMTLANDS LÄN</t>
        </is>
      </c>
      <c r="E440" t="inlineStr">
        <is>
          <t>STRÖMSUND</t>
        </is>
      </c>
      <c r="F440" t="inlineStr">
        <is>
          <t>SCA</t>
        </is>
      </c>
      <c r="G440" t="n">
        <v>3.2</v>
      </c>
      <c r="H440" t="n">
        <v>0</v>
      </c>
      <c r="I440" t="n">
        <v>0</v>
      </c>
      <c r="J440" t="n">
        <v>1</v>
      </c>
      <c r="K440" t="n">
        <v>0</v>
      </c>
      <c r="L440" t="n">
        <v>0</v>
      </c>
      <c r="M440" t="n">
        <v>0</v>
      </c>
      <c r="N440" t="n">
        <v>0</v>
      </c>
      <c r="O440" t="n">
        <v>1</v>
      </c>
      <c r="P440" t="n">
        <v>0</v>
      </c>
      <c r="Q440" t="n">
        <v>1</v>
      </c>
      <c r="R440" s="2" t="inlineStr">
        <is>
          <t>Stjärntagging</t>
        </is>
      </c>
      <c r="S440">
        <f>HYPERLINK("https://klasma.github.io/Logging_2313/artfynd/A 32649-2024 artfynd.xlsx", "A 32649-2024")</f>
        <v/>
      </c>
      <c r="T440">
        <f>HYPERLINK("https://klasma.github.io/Logging_2313/kartor/A 32649-2024 karta.png", "A 32649-2024")</f>
        <v/>
      </c>
      <c r="V440">
        <f>HYPERLINK("https://klasma.github.io/Logging_2313/klagomål/A 32649-2024 FSC-klagomål.docx", "A 32649-2024")</f>
        <v/>
      </c>
      <c r="W440">
        <f>HYPERLINK("https://klasma.github.io/Logging_2313/klagomålsmail/A 32649-2024 FSC-klagomål mail.docx", "A 32649-2024")</f>
        <v/>
      </c>
      <c r="X440">
        <f>HYPERLINK("https://klasma.github.io/Logging_2313/tillsyn/A 32649-2024 tillsynsbegäran.docx", "A 32649-2024")</f>
        <v/>
      </c>
      <c r="Y440">
        <f>HYPERLINK("https://klasma.github.io/Logging_2313/tillsynsmail/A 32649-2024 tillsynsbegäran mail.docx", "A 32649-2024")</f>
        <v/>
      </c>
    </row>
    <row r="441" ht="15" customHeight="1">
      <c r="A441" t="inlineStr">
        <is>
          <t>A 36334-2024</t>
        </is>
      </c>
      <c r="B441" s="1" t="n">
        <v>45534</v>
      </c>
      <c r="C441" s="1" t="n">
        <v>45648</v>
      </c>
      <c r="D441" t="inlineStr">
        <is>
          <t>JÄMTLANDS LÄN</t>
        </is>
      </c>
      <c r="E441" t="inlineStr">
        <is>
          <t>STRÖMSUND</t>
        </is>
      </c>
      <c r="F441" t="inlineStr">
        <is>
          <t>SCA</t>
        </is>
      </c>
      <c r="G441" t="n">
        <v>9.699999999999999</v>
      </c>
      <c r="H441" t="n">
        <v>1</v>
      </c>
      <c r="I441" t="n">
        <v>0</v>
      </c>
      <c r="J441" t="n">
        <v>0</v>
      </c>
      <c r="K441" t="n">
        <v>1</v>
      </c>
      <c r="L441" t="n">
        <v>0</v>
      </c>
      <c r="M441" t="n">
        <v>0</v>
      </c>
      <c r="N441" t="n">
        <v>0</v>
      </c>
      <c r="O441" t="n">
        <v>1</v>
      </c>
      <c r="P441" t="n">
        <v>1</v>
      </c>
      <c r="Q441" t="n">
        <v>1</v>
      </c>
      <c r="R441" s="2" t="inlineStr">
        <is>
          <t>Doftticka</t>
        </is>
      </c>
      <c r="S441">
        <f>HYPERLINK("https://klasma.github.io/Logging_2313/artfynd/A 36334-2024 artfynd.xlsx", "A 36334-2024")</f>
        <v/>
      </c>
      <c r="T441">
        <f>HYPERLINK("https://klasma.github.io/Logging_2313/kartor/A 36334-2024 karta.png", "A 36334-2024")</f>
        <v/>
      </c>
      <c r="V441">
        <f>HYPERLINK("https://klasma.github.io/Logging_2313/klagomål/A 36334-2024 FSC-klagomål.docx", "A 36334-2024")</f>
        <v/>
      </c>
      <c r="W441">
        <f>HYPERLINK("https://klasma.github.io/Logging_2313/klagomålsmail/A 36334-2024 FSC-klagomål mail.docx", "A 36334-2024")</f>
        <v/>
      </c>
      <c r="X441">
        <f>HYPERLINK("https://klasma.github.io/Logging_2313/tillsyn/A 36334-2024 tillsynsbegäran.docx", "A 36334-2024")</f>
        <v/>
      </c>
      <c r="Y441">
        <f>HYPERLINK("https://klasma.github.io/Logging_2313/tillsynsmail/A 36334-2024 tillsynsbegäran mail.docx", "A 36334-2024")</f>
        <v/>
      </c>
    </row>
    <row r="442" ht="15" customHeight="1">
      <c r="A442" t="inlineStr">
        <is>
          <t>A 40186-2024</t>
        </is>
      </c>
      <c r="B442" s="1" t="n">
        <v>45554</v>
      </c>
      <c r="C442" s="1" t="n">
        <v>45648</v>
      </c>
      <c r="D442" t="inlineStr">
        <is>
          <t>JÄMTLANDS LÄN</t>
        </is>
      </c>
      <c r="E442" t="inlineStr">
        <is>
          <t>STRÖMSUND</t>
        </is>
      </c>
      <c r="G442" t="n">
        <v>7.4</v>
      </c>
      <c r="H442" t="n">
        <v>0</v>
      </c>
      <c r="I442" t="n">
        <v>1</v>
      </c>
      <c r="J442" t="n">
        <v>0</v>
      </c>
      <c r="K442" t="n">
        <v>0</v>
      </c>
      <c r="L442" t="n">
        <v>0</v>
      </c>
      <c r="M442" t="n">
        <v>0</v>
      </c>
      <c r="N442" t="n">
        <v>0</v>
      </c>
      <c r="O442" t="n">
        <v>0</v>
      </c>
      <c r="P442" t="n">
        <v>0</v>
      </c>
      <c r="Q442" t="n">
        <v>1</v>
      </c>
      <c r="R442" s="2" t="inlineStr">
        <is>
          <t>Kransrams</t>
        </is>
      </c>
      <c r="S442">
        <f>HYPERLINK("https://klasma.github.io/Logging_2313/artfynd/A 40186-2024 artfynd.xlsx", "A 40186-2024")</f>
        <v/>
      </c>
      <c r="T442">
        <f>HYPERLINK("https://klasma.github.io/Logging_2313/kartor/A 40186-2024 karta.png", "A 40186-2024")</f>
        <v/>
      </c>
      <c r="V442">
        <f>HYPERLINK("https://klasma.github.io/Logging_2313/klagomål/A 40186-2024 FSC-klagomål.docx", "A 40186-2024")</f>
        <v/>
      </c>
      <c r="W442">
        <f>HYPERLINK("https://klasma.github.io/Logging_2313/klagomålsmail/A 40186-2024 FSC-klagomål mail.docx", "A 40186-2024")</f>
        <v/>
      </c>
      <c r="X442">
        <f>HYPERLINK("https://klasma.github.io/Logging_2313/tillsyn/A 40186-2024 tillsynsbegäran.docx", "A 40186-2024")</f>
        <v/>
      </c>
      <c r="Y442">
        <f>HYPERLINK("https://klasma.github.io/Logging_2313/tillsynsmail/A 40186-2024 tillsynsbegäran mail.docx", "A 40186-2024")</f>
        <v/>
      </c>
    </row>
    <row r="443" ht="15" customHeight="1">
      <c r="A443" t="inlineStr">
        <is>
          <t>A 41938-2024</t>
        </is>
      </c>
      <c r="B443" s="1" t="n">
        <v>45561</v>
      </c>
      <c r="C443" s="1" t="n">
        <v>45648</v>
      </c>
      <c r="D443" t="inlineStr">
        <is>
          <t>JÄMTLANDS LÄN</t>
        </is>
      </c>
      <c r="E443" t="inlineStr">
        <is>
          <t>STRÖMSUND</t>
        </is>
      </c>
      <c r="F443" t="inlineStr">
        <is>
          <t>SCA</t>
        </is>
      </c>
      <c r="G443" t="n">
        <v>5.4</v>
      </c>
      <c r="H443" t="n">
        <v>0</v>
      </c>
      <c r="I443" t="n">
        <v>0</v>
      </c>
      <c r="J443" t="n">
        <v>1</v>
      </c>
      <c r="K443" t="n">
        <v>0</v>
      </c>
      <c r="L443" t="n">
        <v>0</v>
      </c>
      <c r="M443" t="n">
        <v>0</v>
      </c>
      <c r="N443" t="n">
        <v>0</v>
      </c>
      <c r="O443" t="n">
        <v>1</v>
      </c>
      <c r="P443" t="n">
        <v>0</v>
      </c>
      <c r="Q443" t="n">
        <v>1</v>
      </c>
      <c r="R443" s="2" t="inlineStr">
        <is>
          <t>Lunglav</t>
        </is>
      </c>
      <c r="S443">
        <f>HYPERLINK("https://klasma.github.io/Logging_2313/artfynd/A 41938-2024 artfynd.xlsx", "A 41938-2024")</f>
        <v/>
      </c>
      <c r="T443">
        <f>HYPERLINK("https://klasma.github.io/Logging_2313/kartor/A 41938-2024 karta.png", "A 41938-2024")</f>
        <v/>
      </c>
      <c r="V443">
        <f>HYPERLINK("https://klasma.github.io/Logging_2313/klagomål/A 41938-2024 FSC-klagomål.docx", "A 41938-2024")</f>
        <v/>
      </c>
      <c r="W443">
        <f>HYPERLINK("https://klasma.github.io/Logging_2313/klagomålsmail/A 41938-2024 FSC-klagomål mail.docx", "A 41938-2024")</f>
        <v/>
      </c>
      <c r="X443">
        <f>HYPERLINK("https://klasma.github.io/Logging_2313/tillsyn/A 41938-2024 tillsynsbegäran.docx", "A 41938-2024")</f>
        <v/>
      </c>
      <c r="Y443">
        <f>HYPERLINK("https://klasma.github.io/Logging_2313/tillsynsmail/A 41938-2024 tillsynsbegäran mail.docx", "A 41938-2024")</f>
        <v/>
      </c>
    </row>
    <row r="444" ht="15" customHeight="1">
      <c r="A444" t="inlineStr">
        <is>
          <t>A 43888-2024</t>
        </is>
      </c>
      <c r="B444" s="1" t="n">
        <v>45572</v>
      </c>
      <c r="C444" s="1" t="n">
        <v>45648</v>
      </c>
      <c r="D444" t="inlineStr">
        <is>
          <t>JÄMTLANDS LÄN</t>
        </is>
      </c>
      <c r="E444" t="inlineStr">
        <is>
          <t>STRÖMSUND</t>
        </is>
      </c>
      <c r="G444" t="n">
        <v>16.1</v>
      </c>
      <c r="H444" t="n">
        <v>1</v>
      </c>
      <c r="I444" t="n">
        <v>0</v>
      </c>
      <c r="J444" t="n">
        <v>1</v>
      </c>
      <c r="K444" t="n">
        <v>0</v>
      </c>
      <c r="L444" t="n">
        <v>0</v>
      </c>
      <c r="M444" t="n">
        <v>0</v>
      </c>
      <c r="N444" t="n">
        <v>0</v>
      </c>
      <c r="O444" t="n">
        <v>1</v>
      </c>
      <c r="P444" t="n">
        <v>0</v>
      </c>
      <c r="Q444" t="n">
        <v>1</v>
      </c>
      <c r="R444" s="2" t="inlineStr">
        <is>
          <t>Talltita</t>
        </is>
      </c>
      <c r="S444">
        <f>HYPERLINK("https://klasma.github.io/Logging_2313/artfynd/A 43888-2024 artfynd.xlsx", "A 43888-2024")</f>
        <v/>
      </c>
      <c r="T444">
        <f>HYPERLINK("https://klasma.github.io/Logging_2313/kartor/A 43888-2024 karta.png", "A 43888-2024")</f>
        <v/>
      </c>
      <c r="V444">
        <f>HYPERLINK("https://klasma.github.io/Logging_2313/klagomål/A 43888-2024 FSC-klagomål.docx", "A 43888-2024")</f>
        <v/>
      </c>
      <c r="W444">
        <f>HYPERLINK("https://klasma.github.io/Logging_2313/klagomålsmail/A 43888-2024 FSC-klagomål mail.docx", "A 43888-2024")</f>
        <v/>
      </c>
      <c r="X444">
        <f>HYPERLINK("https://klasma.github.io/Logging_2313/tillsyn/A 43888-2024 tillsynsbegäran.docx", "A 43888-2024")</f>
        <v/>
      </c>
      <c r="Y444">
        <f>HYPERLINK("https://klasma.github.io/Logging_2313/tillsynsmail/A 43888-2024 tillsynsbegäran mail.docx", "A 43888-2024")</f>
        <v/>
      </c>
      <c r="Z444">
        <f>HYPERLINK("https://klasma.github.io/Logging_2313/fåglar/A 43888-2024 prioriterade fågelarter.docx", "A 43888-2024")</f>
        <v/>
      </c>
    </row>
    <row r="445" ht="15" customHeight="1">
      <c r="A445" t="inlineStr">
        <is>
          <t>A 44603-2024</t>
        </is>
      </c>
      <c r="B445" s="1" t="n">
        <v>45574</v>
      </c>
      <c r="C445" s="1" t="n">
        <v>45648</v>
      </c>
      <c r="D445" t="inlineStr">
        <is>
          <t>JÄMTLANDS LÄN</t>
        </is>
      </c>
      <c r="E445" t="inlineStr">
        <is>
          <t>STRÖMSUND</t>
        </is>
      </c>
      <c r="F445" t="inlineStr">
        <is>
          <t>SCA</t>
        </is>
      </c>
      <c r="G445" t="n">
        <v>4.6</v>
      </c>
      <c r="H445" t="n">
        <v>0</v>
      </c>
      <c r="I445" t="n">
        <v>0</v>
      </c>
      <c r="J445" t="n">
        <v>0</v>
      </c>
      <c r="K445" t="n">
        <v>1</v>
      </c>
      <c r="L445" t="n">
        <v>0</v>
      </c>
      <c r="M445" t="n">
        <v>0</v>
      </c>
      <c r="N445" t="n">
        <v>0</v>
      </c>
      <c r="O445" t="n">
        <v>1</v>
      </c>
      <c r="P445" t="n">
        <v>1</v>
      </c>
      <c r="Q445" t="n">
        <v>1</v>
      </c>
      <c r="R445" s="2" t="inlineStr">
        <is>
          <t>Norsk näverlav</t>
        </is>
      </c>
      <c r="S445">
        <f>HYPERLINK("https://klasma.github.io/Logging_2313/artfynd/A 44603-2024 artfynd.xlsx", "A 44603-2024")</f>
        <v/>
      </c>
      <c r="T445">
        <f>HYPERLINK("https://klasma.github.io/Logging_2313/kartor/A 44603-2024 karta.png", "A 44603-2024")</f>
        <v/>
      </c>
      <c r="V445">
        <f>HYPERLINK("https://klasma.github.io/Logging_2313/klagomål/A 44603-2024 FSC-klagomål.docx", "A 44603-2024")</f>
        <v/>
      </c>
      <c r="W445">
        <f>HYPERLINK("https://klasma.github.io/Logging_2313/klagomålsmail/A 44603-2024 FSC-klagomål mail.docx", "A 44603-2024")</f>
        <v/>
      </c>
      <c r="X445">
        <f>HYPERLINK("https://klasma.github.io/Logging_2313/tillsyn/A 44603-2024 tillsynsbegäran.docx", "A 44603-2024")</f>
        <v/>
      </c>
      <c r="Y445">
        <f>HYPERLINK("https://klasma.github.io/Logging_2313/tillsynsmail/A 44603-2024 tillsynsbegäran mail.docx", "A 44603-2024")</f>
        <v/>
      </c>
    </row>
    <row r="446" ht="15" customHeight="1">
      <c r="A446" t="inlineStr">
        <is>
          <t>A 44617-2024</t>
        </is>
      </c>
      <c r="B446" s="1" t="n">
        <v>45574</v>
      </c>
      <c r="C446" s="1" t="n">
        <v>45648</v>
      </c>
      <c r="D446" t="inlineStr">
        <is>
          <t>JÄMTLANDS LÄN</t>
        </is>
      </c>
      <c r="E446" t="inlineStr">
        <is>
          <t>STRÖMSUND</t>
        </is>
      </c>
      <c r="F446" t="inlineStr">
        <is>
          <t>SCA</t>
        </is>
      </c>
      <c r="G446" t="n">
        <v>6.1</v>
      </c>
      <c r="H446" t="n">
        <v>0</v>
      </c>
      <c r="I446" t="n">
        <v>0</v>
      </c>
      <c r="J446" t="n">
        <v>1</v>
      </c>
      <c r="K446" t="n">
        <v>0</v>
      </c>
      <c r="L446" t="n">
        <v>0</v>
      </c>
      <c r="M446" t="n">
        <v>0</v>
      </c>
      <c r="N446" t="n">
        <v>0</v>
      </c>
      <c r="O446" t="n">
        <v>1</v>
      </c>
      <c r="P446" t="n">
        <v>0</v>
      </c>
      <c r="Q446" t="n">
        <v>1</v>
      </c>
      <c r="R446" s="2" t="inlineStr">
        <is>
          <t>Granticka</t>
        </is>
      </c>
      <c r="S446">
        <f>HYPERLINK("https://klasma.github.io/Logging_2313/artfynd/A 44617-2024 artfynd.xlsx", "A 44617-2024")</f>
        <v/>
      </c>
      <c r="T446">
        <f>HYPERLINK("https://klasma.github.io/Logging_2313/kartor/A 44617-2024 karta.png", "A 44617-2024")</f>
        <v/>
      </c>
      <c r="V446">
        <f>HYPERLINK("https://klasma.github.io/Logging_2313/klagomål/A 44617-2024 FSC-klagomål.docx", "A 44617-2024")</f>
        <v/>
      </c>
      <c r="W446">
        <f>HYPERLINK("https://klasma.github.io/Logging_2313/klagomålsmail/A 44617-2024 FSC-klagomål mail.docx", "A 44617-2024")</f>
        <v/>
      </c>
      <c r="X446">
        <f>HYPERLINK("https://klasma.github.io/Logging_2313/tillsyn/A 44617-2024 tillsynsbegäran.docx", "A 44617-2024")</f>
        <v/>
      </c>
      <c r="Y446">
        <f>HYPERLINK("https://klasma.github.io/Logging_2313/tillsynsmail/A 44617-2024 tillsynsbegäran mail.docx", "A 44617-2024")</f>
        <v/>
      </c>
    </row>
    <row r="447" ht="15" customHeight="1">
      <c r="A447" t="inlineStr">
        <is>
          <t>A 48213-2024</t>
        </is>
      </c>
      <c r="B447" s="1" t="n">
        <v>45590</v>
      </c>
      <c r="C447" s="1" t="n">
        <v>45648</v>
      </c>
      <c r="D447" t="inlineStr">
        <is>
          <t>JÄMTLANDS LÄN</t>
        </is>
      </c>
      <c r="E447" t="inlineStr">
        <is>
          <t>STRÖMSUND</t>
        </is>
      </c>
      <c r="G447" t="n">
        <v>3.9</v>
      </c>
      <c r="H447" t="n">
        <v>0</v>
      </c>
      <c r="I447" t="n">
        <v>0</v>
      </c>
      <c r="J447" t="n">
        <v>1</v>
      </c>
      <c r="K447" t="n">
        <v>0</v>
      </c>
      <c r="L447" t="n">
        <v>0</v>
      </c>
      <c r="M447" t="n">
        <v>0</v>
      </c>
      <c r="N447" t="n">
        <v>0</v>
      </c>
      <c r="O447" t="n">
        <v>1</v>
      </c>
      <c r="P447" t="n">
        <v>0</v>
      </c>
      <c r="Q447" t="n">
        <v>1</v>
      </c>
      <c r="R447" s="2" t="inlineStr">
        <is>
          <t>Äggvaxskivling</t>
        </is>
      </c>
      <c r="S447">
        <f>HYPERLINK("https://klasma.github.io/Logging_2313/artfynd/A 48213-2024 artfynd.xlsx", "A 48213-2024")</f>
        <v/>
      </c>
      <c r="T447">
        <f>HYPERLINK("https://klasma.github.io/Logging_2313/kartor/A 48213-2024 karta.png", "A 48213-2024")</f>
        <v/>
      </c>
      <c r="V447">
        <f>HYPERLINK("https://klasma.github.io/Logging_2313/klagomål/A 48213-2024 FSC-klagomål.docx", "A 48213-2024")</f>
        <v/>
      </c>
      <c r="W447">
        <f>HYPERLINK("https://klasma.github.io/Logging_2313/klagomålsmail/A 48213-2024 FSC-klagomål mail.docx", "A 48213-2024")</f>
        <v/>
      </c>
      <c r="X447">
        <f>HYPERLINK("https://klasma.github.io/Logging_2313/tillsyn/A 48213-2024 tillsynsbegäran.docx", "A 48213-2024")</f>
        <v/>
      </c>
      <c r="Y447">
        <f>HYPERLINK("https://klasma.github.io/Logging_2313/tillsynsmail/A 48213-2024 tillsynsbegäran mail.docx", "A 48213-2024")</f>
        <v/>
      </c>
    </row>
    <row r="448" ht="15" customHeight="1">
      <c r="A448" t="inlineStr">
        <is>
          <t>A 48918-2024</t>
        </is>
      </c>
      <c r="B448" s="1" t="n">
        <v>45594</v>
      </c>
      <c r="C448" s="1" t="n">
        <v>45648</v>
      </c>
      <c r="D448" t="inlineStr">
        <is>
          <t>JÄMTLANDS LÄN</t>
        </is>
      </c>
      <c r="E448" t="inlineStr">
        <is>
          <t>STRÖMSUND</t>
        </is>
      </c>
      <c r="F448" t="inlineStr">
        <is>
          <t>SCA</t>
        </is>
      </c>
      <c r="G448" t="n">
        <v>5.2</v>
      </c>
      <c r="H448" t="n">
        <v>1</v>
      </c>
      <c r="I448" t="n">
        <v>0</v>
      </c>
      <c r="J448" t="n">
        <v>1</v>
      </c>
      <c r="K448" t="n">
        <v>0</v>
      </c>
      <c r="L448" t="n">
        <v>0</v>
      </c>
      <c r="M448" t="n">
        <v>0</v>
      </c>
      <c r="N448" t="n">
        <v>0</v>
      </c>
      <c r="O448" t="n">
        <v>1</v>
      </c>
      <c r="P448" t="n">
        <v>0</v>
      </c>
      <c r="Q448" t="n">
        <v>1</v>
      </c>
      <c r="R448" s="2" t="inlineStr">
        <is>
          <t>Tretåig hackspett</t>
        </is>
      </c>
      <c r="S448">
        <f>HYPERLINK("https://klasma.github.io/Logging_2313/artfynd/A 48918-2024 artfynd.xlsx", "A 48918-2024")</f>
        <v/>
      </c>
      <c r="T448">
        <f>HYPERLINK("https://klasma.github.io/Logging_2313/kartor/A 48918-2024 karta.png", "A 48918-2024")</f>
        <v/>
      </c>
      <c r="V448">
        <f>HYPERLINK("https://klasma.github.io/Logging_2313/klagomål/A 48918-2024 FSC-klagomål.docx", "A 48918-2024")</f>
        <v/>
      </c>
      <c r="W448">
        <f>HYPERLINK("https://klasma.github.io/Logging_2313/klagomålsmail/A 48918-2024 FSC-klagomål mail.docx", "A 48918-2024")</f>
        <v/>
      </c>
      <c r="X448">
        <f>HYPERLINK("https://klasma.github.io/Logging_2313/tillsyn/A 48918-2024 tillsynsbegäran.docx", "A 48918-2024")</f>
        <v/>
      </c>
      <c r="Y448">
        <f>HYPERLINK("https://klasma.github.io/Logging_2313/tillsynsmail/A 48918-2024 tillsynsbegäran mail.docx", "A 48918-2024")</f>
        <v/>
      </c>
      <c r="Z448">
        <f>HYPERLINK("https://klasma.github.io/Logging_2313/fåglar/A 48918-2024 prioriterade fågelarter.docx", "A 48918-2024")</f>
        <v/>
      </c>
    </row>
    <row r="449" ht="15" customHeight="1">
      <c r="A449" t="inlineStr">
        <is>
          <t>A 49374-2024</t>
        </is>
      </c>
      <c r="B449" s="1" t="n">
        <v>45595</v>
      </c>
      <c r="C449" s="1" t="n">
        <v>45648</v>
      </c>
      <c r="D449" t="inlineStr">
        <is>
          <t>JÄMTLANDS LÄN</t>
        </is>
      </c>
      <c r="E449" t="inlineStr">
        <is>
          <t>STRÖMSUND</t>
        </is>
      </c>
      <c r="F449" t="inlineStr">
        <is>
          <t>SCA</t>
        </is>
      </c>
      <c r="G449" t="n">
        <v>1.5</v>
      </c>
      <c r="H449" t="n">
        <v>0</v>
      </c>
      <c r="I449" t="n">
        <v>0</v>
      </c>
      <c r="J449" t="n">
        <v>1</v>
      </c>
      <c r="K449" t="n">
        <v>0</v>
      </c>
      <c r="L449" t="n">
        <v>0</v>
      </c>
      <c r="M449" t="n">
        <v>0</v>
      </c>
      <c r="N449" t="n">
        <v>0</v>
      </c>
      <c r="O449" t="n">
        <v>1</v>
      </c>
      <c r="P449" t="n">
        <v>0</v>
      </c>
      <c r="Q449" t="n">
        <v>1</v>
      </c>
      <c r="R449" s="2" t="inlineStr">
        <is>
          <t>Veckticka</t>
        </is>
      </c>
      <c r="S449">
        <f>HYPERLINK("https://klasma.github.io/Logging_2313/artfynd/A 49374-2024 artfynd.xlsx", "A 49374-2024")</f>
        <v/>
      </c>
      <c r="T449">
        <f>HYPERLINK("https://klasma.github.io/Logging_2313/kartor/A 49374-2024 karta.png", "A 49374-2024")</f>
        <v/>
      </c>
      <c r="V449">
        <f>HYPERLINK("https://klasma.github.io/Logging_2313/klagomål/A 49374-2024 FSC-klagomål.docx", "A 49374-2024")</f>
        <v/>
      </c>
      <c r="W449">
        <f>HYPERLINK("https://klasma.github.io/Logging_2313/klagomålsmail/A 49374-2024 FSC-klagomål mail.docx", "A 49374-2024")</f>
        <v/>
      </c>
      <c r="X449">
        <f>HYPERLINK("https://klasma.github.io/Logging_2313/tillsyn/A 49374-2024 tillsynsbegäran.docx", "A 49374-2024")</f>
        <v/>
      </c>
      <c r="Y449">
        <f>HYPERLINK("https://klasma.github.io/Logging_2313/tillsynsmail/A 49374-2024 tillsynsbegäran mail.docx", "A 49374-2024")</f>
        <v/>
      </c>
    </row>
    <row r="450" ht="15" customHeight="1">
      <c r="A450" t="inlineStr">
        <is>
          <t>A 51487-2024</t>
        </is>
      </c>
      <c r="B450" s="1" t="n">
        <v>45604</v>
      </c>
      <c r="C450" s="1" t="n">
        <v>45648</v>
      </c>
      <c r="D450" t="inlineStr">
        <is>
          <t>JÄMTLANDS LÄN</t>
        </is>
      </c>
      <c r="E450" t="inlineStr">
        <is>
          <t>STRÖMSUND</t>
        </is>
      </c>
      <c r="F450" t="inlineStr">
        <is>
          <t>Kommuner</t>
        </is>
      </c>
      <c r="G450" t="n">
        <v>6.8</v>
      </c>
      <c r="H450" t="n">
        <v>1</v>
      </c>
      <c r="I450" t="n">
        <v>0</v>
      </c>
      <c r="J450" t="n">
        <v>1</v>
      </c>
      <c r="K450" t="n">
        <v>0</v>
      </c>
      <c r="L450" t="n">
        <v>0</v>
      </c>
      <c r="M450" t="n">
        <v>0</v>
      </c>
      <c r="N450" t="n">
        <v>0</v>
      </c>
      <c r="O450" t="n">
        <v>1</v>
      </c>
      <c r="P450" t="n">
        <v>0</v>
      </c>
      <c r="Q450" t="n">
        <v>1</v>
      </c>
      <c r="R450" s="2" t="inlineStr">
        <is>
          <t>Spillkråka</t>
        </is>
      </c>
      <c r="S450">
        <f>HYPERLINK("https://klasma.github.io/Logging_2313/artfynd/A 51487-2024 artfynd.xlsx", "A 51487-2024")</f>
        <v/>
      </c>
      <c r="T450">
        <f>HYPERLINK("https://klasma.github.io/Logging_2313/kartor/A 51487-2024 karta.png", "A 51487-2024")</f>
        <v/>
      </c>
      <c r="V450">
        <f>HYPERLINK("https://klasma.github.io/Logging_2313/klagomål/A 51487-2024 FSC-klagomål.docx", "A 51487-2024")</f>
        <v/>
      </c>
      <c r="W450">
        <f>HYPERLINK("https://klasma.github.io/Logging_2313/klagomålsmail/A 51487-2024 FSC-klagomål mail.docx", "A 51487-2024")</f>
        <v/>
      </c>
      <c r="X450">
        <f>HYPERLINK("https://klasma.github.io/Logging_2313/tillsyn/A 51487-2024 tillsynsbegäran.docx", "A 51487-2024")</f>
        <v/>
      </c>
      <c r="Y450">
        <f>HYPERLINK("https://klasma.github.io/Logging_2313/tillsynsmail/A 51487-2024 tillsynsbegäran mail.docx", "A 51487-2024")</f>
        <v/>
      </c>
      <c r="Z450">
        <f>HYPERLINK("https://klasma.github.io/Logging_2313/fåglar/A 51487-2024 prioriterade fågelarter.docx", "A 51487-2024")</f>
        <v/>
      </c>
    </row>
    <row r="451" ht="15" customHeight="1">
      <c r="A451" t="inlineStr">
        <is>
          <t>A 53680-2024</t>
        </is>
      </c>
      <c r="B451" s="1" t="n">
        <v>45615</v>
      </c>
      <c r="C451" s="1" t="n">
        <v>45648</v>
      </c>
      <c r="D451" t="inlineStr">
        <is>
          <t>JÄMTLANDS LÄN</t>
        </is>
      </c>
      <c r="E451" t="inlineStr">
        <is>
          <t>STRÖMSUND</t>
        </is>
      </c>
      <c r="F451" t="inlineStr">
        <is>
          <t>SCA</t>
        </is>
      </c>
      <c r="G451" t="n">
        <v>5.6</v>
      </c>
      <c r="H451" t="n">
        <v>1</v>
      </c>
      <c r="I451" t="n">
        <v>0</v>
      </c>
      <c r="J451" t="n">
        <v>0</v>
      </c>
      <c r="K451" t="n">
        <v>0</v>
      </c>
      <c r="L451" t="n">
        <v>0</v>
      </c>
      <c r="M451" t="n">
        <v>0</v>
      </c>
      <c r="N451" t="n">
        <v>0</v>
      </c>
      <c r="O451" t="n">
        <v>0</v>
      </c>
      <c r="P451" t="n">
        <v>0</v>
      </c>
      <c r="Q451" t="n">
        <v>1</v>
      </c>
      <c r="R451" s="2" t="inlineStr">
        <is>
          <t>Fläcknycklar</t>
        </is>
      </c>
      <c r="S451">
        <f>HYPERLINK("https://klasma.github.io/Logging_2313/artfynd/A 53680-2024 artfynd.xlsx", "A 53680-2024")</f>
        <v/>
      </c>
      <c r="T451">
        <f>HYPERLINK("https://klasma.github.io/Logging_2313/kartor/A 53680-2024 karta.png", "A 53680-2024")</f>
        <v/>
      </c>
      <c r="V451">
        <f>HYPERLINK("https://klasma.github.io/Logging_2313/klagomål/A 53680-2024 FSC-klagomål.docx", "A 53680-2024")</f>
        <v/>
      </c>
      <c r="W451">
        <f>HYPERLINK("https://klasma.github.io/Logging_2313/klagomålsmail/A 53680-2024 FSC-klagomål mail.docx", "A 53680-2024")</f>
        <v/>
      </c>
      <c r="X451">
        <f>HYPERLINK("https://klasma.github.io/Logging_2313/tillsyn/A 53680-2024 tillsynsbegäran.docx", "A 53680-2024")</f>
        <v/>
      </c>
      <c r="Y451">
        <f>HYPERLINK("https://klasma.github.io/Logging_2313/tillsynsmail/A 53680-2024 tillsynsbegäran mail.docx", "A 53680-2024")</f>
        <v/>
      </c>
    </row>
    <row r="452" ht="15" customHeight="1">
      <c r="A452" t="inlineStr">
        <is>
          <t>A 54583-2024</t>
        </is>
      </c>
      <c r="B452" s="1" t="n">
        <v>45617</v>
      </c>
      <c r="C452" s="1" t="n">
        <v>45648</v>
      </c>
      <c r="D452" t="inlineStr">
        <is>
          <t>JÄMTLANDS LÄN</t>
        </is>
      </c>
      <c r="E452" t="inlineStr">
        <is>
          <t>STRÖMSUND</t>
        </is>
      </c>
      <c r="F452" t="inlineStr">
        <is>
          <t>SCA</t>
        </is>
      </c>
      <c r="G452" t="n">
        <v>8.5</v>
      </c>
      <c r="H452" t="n">
        <v>0</v>
      </c>
      <c r="I452" t="n">
        <v>0</v>
      </c>
      <c r="J452" t="n">
        <v>1</v>
      </c>
      <c r="K452" t="n">
        <v>0</v>
      </c>
      <c r="L452" t="n">
        <v>0</v>
      </c>
      <c r="M452" t="n">
        <v>0</v>
      </c>
      <c r="N452" t="n">
        <v>0</v>
      </c>
      <c r="O452" t="n">
        <v>1</v>
      </c>
      <c r="P452" t="n">
        <v>0</v>
      </c>
      <c r="Q452" t="n">
        <v>1</v>
      </c>
      <c r="R452" s="2" t="inlineStr">
        <is>
          <t>Gammelgransskål</t>
        </is>
      </c>
      <c r="S452">
        <f>HYPERLINK("https://klasma.github.io/Logging_2313/artfynd/A 54583-2024 artfynd.xlsx", "A 54583-2024")</f>
        <v/>
      </c>
      <c r="T452">
        <f>HYPERLINK("https://klasma.github.io/Logging_2313/kartor/A 54583-2024 karta.png", "A 54583-2024")</f>
        <v/>
      </c>
      <c r="V452">
        <f>HYPERLINK("https://klasma.github.io/Logging_2313/klagomål/A 54583-2024 FSC-klagomål.docx", "A 54583-2024")</f>
        <v/>
      </c>
      <c r="W452">
        <f>HYPERLINK("https://klasma.github.io/Logging_2313/klagomålsmail/A 54583-2024 FSC-klagomål mail.docx", "A 54583-2024")</f>
        <v/>
      </c>
      <c r="X452">
        <f>HYPERLINK("https://klasma.github.io/Logging_2313/tillsyn/A 54583-2024 tillsynsbegäran.docx", "A 54583-2024")</f>
        <v/>
      </c>
      <c r="Y452">
        <f>HYPERLINK("https://klasma.github.io/Logging_2313/tillsynsmail/A 54583-2024 tillsynsbegäran mail.docx", "A 54583-2024")</f>
        <v/>
      </c>
    </row>
    <row r="453" ht="15" customHeight="1">
      <c r="A453" t="inlineStr">
        <is>
          <t>A 55383-2024</t>
        </is>
      </c>
      <c r="B453" s="1" t="n">
        <v>45622</v>
      </c>
      <c r="C453" s="1" t="n">
        <v>45648</v>
      </c>
      <c r="D453" t="inlineStr">
        <is>
          <t>JÄMTLANDS LÄN</t>
        </is>
      </c>
      <c r="E453" t="inlineStr">
        <is>
          <t>STRÖMSUND</t>
        </is>
      </c>
      <c r="G453" t="n">
        <v>4.8</v>
      </c>
      <c r="H453" t="n">
        <v>1</v>
      </c>
      <c r="I453" t="n">
        <v>0</v>
      </c>
      <c r="J453" t="n">
        <v>1</v>
      </c>
      <c r="K453" t="n">
        <v>0</v>
      </c>
      <c r="L453" t="n">
        <v>0</v>
      </c>
      <c r="M453" t="n">
        <v>0</v>
      </c>
      <c r="N453" t="n">
        <v>0</v>
      </c>
      <c r="O453" t="n">
        <v>1</v>
      </c>
      <c r="P453" t="n">
        <v>0</v>
      </c>
      <c r="Q453" t="n">
        <v>1</v>
      </c>
      <c r="R453" s="2" t="inlineStr">
        <is>
          <t>Utter</t>
        </is>
      </c>
      <c r="S453">
        <f>HYPERLINK("https://klasma.github.io/Logging_2313/artfynd/A 55383-2024 artfynd.xlsx", "A 55383-2024")</f>
        <v/>
      </c>
      <c r="T453">
        <f>HYPERLINK("https://klasma.github.io/Logging_2313/kartor/A 55383-2024 karta.png", "A 55383-2024")</f>
        <v/>
      </c>
      <c r="V453">
        <f>HYPERLINK("https://klasma.github.io/Logging_2313/klagomål/A 55383-2024 FSC-klagomål.docx", "A 55383-2024")</f>
        <v/>
      </c>
      <c r="W453">
        <f>HYPERLINK("https://klasma.github.io/Logging_2313/klagomålsmail/A 55383-2024 FSC-klagomål mail.docx", "A 55383-2024")</f>
        <v/>
      </c>
      <c r="X453">
        <f>HYPERLINK("https://klasma.github.io/Logging_2313/tillsyn/A 55383-2024 tillsynsbegäran.docx", "A 55383-2024")</f>
        <v/>
      </c>
      <c r="Y453">
        <f>HYPERLINK("https://klasma.github.io/Logging_2313/tillsynsmail/A 55383-2024 tillsynsbegäran mail.docx", "A 55383-2024")</f>
        <v/>
      </c>
    </row>
    <row r="454" ht="15" customHeight="1">
      <c r="A454" t="inlineStr">
        <is>
          <t>A 57068-2024</t>
        </is>
      </c>
      <c r="B454" s="1" t="n">
        <v>45629</v>
      </c>
      <c r="C454" s="1" t="n">
        <v>45648</v>
      </c>
      <c r="D454" t="inlineStr">
        <is>
          <t>JÄMTLANDS LÄN</t>
        </is>
      </c>
      <c r="E454" t="inlineStr">
        <is>
          <t>STRÖMSUND</t>
        </is>
      </c>
      <c r="F454" t="inlineStr">
        <is>
          <t>SCA</t>
        </is>
      </c>
      <c r="G454" t="n">
        <v>3.5</v>
      </c>
      <c r="H454" t="n">
        <v>0</v>
      </c>
      <c r="I454" t="n">
        <v>0</v>
      </c>
      <c r="J454" t="n">
        <v>1</v>
      </c>
      <c r="K454" t="n">
        <v>0</v>
      </c>
      <c r="L454" t="n">
        <v>0</v>
      </c>
      <c r="M454" t="n">
        <v>0</v>
      </c>
      <c r="N454" t="n">
        <v>0</v>
      </c>
      <c r="O454" t="n">
        <v>1</v>
      </c>
      <c r="P454" t="n">
        <v>0</v>
      </c>
      <c r="Q454" t="n">
        <v>1</v>
      </c>
      <c r="R454" s="2" t="inlineStr">
        <is>
          <t>Lunglav</t>
        </is>
      </c>
      <c r="S454">
        <f>HYPERLINK("https://klasma.github.io/Logging_2313/artfynd/A 57068-2024 artfynd.xlsx", "A 57068-2024")</f>
        <v/>
      </c>
      <c r="T454">
        <f>HYPERLINK("https://klasma.github.io/Logging_2313/kartor/A 57068-2024 karta.png", "A 57068-2024")</f>
        <v/>
      </c>
      <c r="V454">
        <f>HYPERLINK("https://klasma.github.io/Logging_2313/klagomål/A 57068-2024 FSC-klagomål.docx", "A 57068-2024")</f>
        <v/>
      </c>
      <c r="W454">
        <f>HYPERLINK("https://klasma.github.io/Logging_2313/klagomålsmail/A 57068-2024 FSC-klagomål mail.docx", "A 57068-2024")</f>
        <v/>
      </c>
      <c r="X454">
        <f>HYPERLINK("https://klasma.github.io/Logging_2313/tillsyn/A 57068-2024 tillsynsbegäran.docx", "A 57068-2024")</f>
        <v/>
      </c>
      <c r="Y454">
        <f>HYPERLINK("https://klasma.github.io/Logging_2313/tillsynsmail/A 57068-2024 tillsynsbegäran mail.docx", "A 57068-2024")</f>
        <v/>
      </c>
    </row>
    <row r="455" ht="15" customHeight="1">
      <c r="A455" t="inlineStr">
        <is>
          <t>A 59845-2024</t>
        </is>
      </c>
      <c r="B455" s="1" t="n">
        <v>45639</v>
      </c>
      <c r="C455" s="1" t="n">
        <v>45648</v>
      </c>
      <c r="D455" t="inlineStr">
        <is>
          <t>JÄMTLANDS LÄN</t>
        </is>
      </c>
      <c r="E455" t="inlineStr">
        <is>
          <t>STRÖMSUND</t>
        </is>
      </c>
      <c r="F455" t="inlineStr">
        <is>
          <t>SCA</t>
        </is>
      </c>
      <c r="G455" t="n">
        <v>4.2</v>
      </c>
      <c r="H455" t="n">
        <v>0</v>
      </c>
      <c r="I455" t="n">
        <v>0</v>
      </c>
      <c r="J455" t="n">
        <v>1</v>
      </c>
      <c r="K455" t="n">
        <v>0</v>
      </c>
      <c r="L455" t="n">
        <v>0</v>
      </c>
      <c r="M455" t="n">
        <v>0</v>
      </c>
      <c r="N455" t="n">
        <v>0</v>
      </c>
      <c r="O455" t="n">
        <v>1</v>
      </c>
      <c r="P455" t="n">
        <v>0</v>
      </c>
      <c r="Q455" t="n">
        <v>1</v>
      </c>
      <c r="R455" s="2" t="inlineStr">
        <is>
          <t>Lunglav</t>
        </is>
      </c>
      <c r="S455">
        <f>HYPERLINK("https://klasma.github.io/Logging_2313/artfynd/A 59845-2024 artfynd.xlsx", "A 59845-2024")</f>
        <v/>
      </c>
      <c r="T455">
        <f>HYPERLINK("https://klasma.github.io/Logging_2313/kartor/A 59845-2024 karta.png", "A 59845-2024")</f>
        <v/>
      </c>
      <c r="V455">
        <f>HYPERLINK("https://klasma.github.io/Logging_2313/klagomål/A 59845-2024 FSC-klagomål.docx", "A 59845-2024")</f>
        <v/>
      </c>
      <c r="W455">
        <f>HYPERLINK("https://klasma.github.io/Logging_2313/klagomålsmail/A 59845-2024 FSC-klagomål mail.docx", "A 59845-2024")</f>
        <v/>
      </c>
      <c r="X455">
        <f>HYPERLINK("https://klasma.github.io/Logging_2313/tillsyn/A 59845-2024 tillsynsbegäran.docx", "A 59845-2024")</f>
        <v/>
      </c>
      <c r="Y455">
        <f>HYPERLINK("https://klasma.github.io/Logging_2313/tillsynsmail/A 59845-2024 tillsynsbegäran mail.docx", "A 59845-2024")</f>
        <v/>
      </c>
    </row>
    <row r="456" ht="15" customHeight="1">
      <c r="A456" t="inlineStr">
        <is>
          <t>A 60152-2024</t>
        </is>
      </c>
      <c r="B456" s="1" t="n">
        <v>45642</v>
      </c>
      <c r="C456" s="1" t="n">
        <v>45648</v>
      </c>
      <c r="D456" t="inlineStr">
        <is>
          <t>JÄMTLANDS LÄN</t>
        </is>
      </c>
      <c r="E456" t="inlineStr">
        <is>
          <t>STRÖMSUND</t>
        </is>
      </c>
      <c r="G456" t="n">
        <v>14.5</v>
      </c>
      <c r="H456" t="n">
        <v>1</v>
      </c>
      <c r="I456" t="n">
        <v>0</v>
      </c>
      <c r="J456" t="n">
        <v>0</v>
      </c>
      <c r="K456" t="n">
        <v>1</v>
      </c>
      <c r="L456" t="n">
        <v>0</v>
      </c>
      <c r="M456" t="n">
        <v>0</v>
      </c>
      <c r="N456" t="n">
        <v>0</v>
      </c>
      <c r="O456" t="n">
        <v>1</v>
      </c>
      <c r="P456" t="n">
        <v>1</v>
      </c>
      <c r="Q456" t="n">
        <v>1</v>
      </c>
      <c r="R456" s="2" t="inlineStr">
        <is>
          <t>Doftticka</t>
        </is>
      </c>
      <c r="S456">
        <f>HYPERLINK("https://klasma.github.io/Logging_2313/artfynd/A 60152-2024 artfynd.xlsx", "A 60152-2024")</f>
        <v/>
      </c>
      <c r="T456">
        <f>HYPERLINK("https://klasma.github.io/Logging_2313/kartor/A 60152-2024 karta.png", "A 60152-2024")</f>
        <v/>
      </c>
      <c r="V456">
        <f>HYPERLINK("https://klasma.github.io/Logging_2313/klagomål/A 60152-2024 FSC-klagomål.docx", "A 60152-2024")</f>
        <v/>
      </c>
      <c r="W456">
        <f>HYPERLINK("https://klasma.github.io/Logging_2313/klagomålsmail/A 60152-2024 FSC-klagomål mail.docx", "A 60152-2024")</f>
        <v/>
      </c>
      <c r="X456">
        <f>HYPERLINK("https://klasma.github.io/Logging_2313/tillsyn/A 60152-2024 tillsynsbegäran.docx", "A 60152-2024")</f>
        <v/>
      </c>
      <c r="Y456">
        <f>HYPERLINK("https://klasma.github.io/Logging_2313/tillsynsmail/A 60152-2024 tillsynsbegäran mail.docx", "A 60152-2024")</f>
        <v/>
      </c>
    </row>
    <row r="457" ht="15" customHeight="1">
      <c r="A457" t="inlineStr">
        <is>
          <t>A 61159-2024</t>
        </is>
      </c>
      <c r="B457" s="1" t="n">
        <v>45645</v>
      </c>
      <c r="C457" s="1" t="n">
        <v>45648</v>
      </c>
      <c r="D457" t="inlineStr">
        <is>
          <t>JÄMTLANDS LÄN</t>
        </is>
      </c>
      <c r="E457" t="inlineStr">
        <is>
          <t>STRÖMSUND</t>
        </is>
      </c>
      <c r="F457" t="inlineStr">
        <is>
          <t>SCA</t>
        </is>
      </c>
      <c r="G457" t="n">
        <v>5.3</v>
      </c>
      <c r="H457" t="n">
        <v>0</v>
      </c>
      <c r="I457" t="n">
        <v>1</v>
      </c>
      <c r="J457" t="n">
        <v>0</v>
      </c>
      <c r="K457" t="n">
        <v>0</v>
      </c>
      <c r="L457" t="n">
        <v>0</v>
      </c>
      <c r="M457" t="n">
        <v>0</v>
      </c>
      <c r="N457" t="n">
        <v>0</v>
      </c>
      <c r="O457" t="n">
        <v>0</v>
      </c>
      <c r="P457" t="n">
        <v>0</v>
      </c>
      <c r="Q457" t="n">
        <v>1</v>
      </c>
      <c r="R457" s="2" t="inlineStr">
        <is>
          <t>Bårdlav</t>
        </is>
      </c>
      <c r="S457">
        <f>HYPERLINK("https://klasma.github.io/Logging_2313/artfynd/A 61159-2024 artfynd.xlsx", "A 61159-2024")</f>
        <v/>
      </c>
      <c r="T457">
        <f>HYPERLINK("https://klasma.github.io/Logging_2313/kartor/A 61159-2024 karta.png", "A 61159-2024")</f>
        <v/>
      </c>
      <c r="V457">
        <f>HYPERLINK("https://klasma.github.io/Logging_2313/klagomål/A 61159-2024 FSC-klagomål.docx", "A 61159-2024")</f>
        <v/>
      </c>
      <c r="W457">
        <f>HYPERLINK("https://klasma.github.io/Logging_2313/klagomålsmail/A 61159-2024 FSC-klagomål mail.docx", "A 61159-2024")</f>
        <v/>
      </c>
      <c r="X457">
        <f>HYPERLINK("https://klasma.github.io/Logging_2313/tillsyn/A 61159-2024 tillsynsbegäran.docx", "A 61159-2024")</f>
        <v/>
      </c>
      <c r="Y457">
        <f>HYPERLINK("https://klasma.github.io/Logging_2313/tillsynsmail/A 61159-2024 tillsynsbegäran mail.docx", "A 61159-2024")</f>
        <v/>
      </c>
    </row>
    <row r="458" ht="15" customHeight="1">
      <c r="A458" t="inlineStr">
        <is>
          <t>A 18058-2019</t>
        </is>
      </c>
      <c r="B458" s="1" t="n">
        <v>43557</v>
      </c>
      <c r="C458" s="1" t="n">
        <v>45648</v>
      </c>
      <c r="D458" t="inlineStr">
        <is>
          <t>JÄMTLANDS LÄN</t>
        </is>
      </c>
      <c r="E458" t="inlineStr">
        <is>
          <t>STRÖMSUND</t>
        </is>
      </c>
      <c r="G458" t="n">
        <v>0.7</v>
      </c>
      <c r="H458" t="n">
        <v>0</v>
      </c>
      <c r="I458" t="n">
        <v>0</v>
      </c>
      <c r="J458" t="n">
        <v>0</v>
      </c>
      <c r="K458" t="n">
        <v>0</v>
      </c>
      <c r="L458" t="n">
        <v>0</v>
      </c>
      <c r="M458" t="n">
        <v>0</v>
      </c>
      <c r="N458" t="n">
        <v>0</v>
      </c>
      <c r="O458" t="n">
        <v>0</v>
      </c>
      <c r="P458" t="n">
        <v>0</v>
      </c>
      <c r="Q458" t="n">
        <v>0</v>
      </c>
      <c r="R458" s="2" t="inlineStr"/>
    </row>
    <row r="459" ht="15" customHeight="1">
      <c r="A459" t="inlineStr">
        <is>
          <t>A 18057-2019</t>
        </is>
      </c>
      <c r="B459" s="1" t="n">
        <v>43557</v>
      </c>
      <c r="C459" s="1" t="n">
        <v>45648</v>
      </c>
      <c r="D459" t="inlineStr">
        <is>
          <t>JÄMTLANDS LÄN</t>
        </is>
      </c>
      <c r="E459" t="inlineStr">
        <is>
          <t>STRÖMSUND</t>
        </is>
      </c>
      <c r="G459" t="n">
        <v>1.3</v>
      </c>
      <c r="H459" t="n">
        <v>0</v>
      </c>
      <c r="I459" t="n">
        <v>0</v>
      </c>
      <c r="J459" t="n">
        <v>0</v>
      </c>
      <c r="K459" t="n">
        <v>0</v>
      </c>
      <c r="L459" t="n">
        <v>0</v>
      </c>
      <c r="M459" t="n">
        <v>0</v>
      </c>
      <c r="N459" t="n">
        <v>0</v>
      </c>
      <c r="O459" t="n">
        <v>0</v>
      </c>
      <c r="P459" t="n">
        <v>0</v>
      </c>
      <c r="Q459" t="n">
        <v>0</v>
      </c>
      <c r="R459" s="2" t="inlineStr"/>
    </row>
    <row r="460" ht="15" customHeight="1">
      <c r="A460" t="inlineStr">
        <is>
          <t>A 20569-2019</t>
        </is>
      </c>
      <c r="B460" s="1" t="n">
        <v>43572</v>
      </c>
      <c r="C460" s="1" t="n">
        <v>45648</v>
      </c>
      <c r="D460" t="inlineStr">
        <is>
          <t>JÄMTLANDS LÄN</t>
        </is>
      </c>
      <c r="E460" t="inlineStr">
        <is>
          <t>STRÖMSUND</t>
        </is>
      </c>
      <c r="G460" t="n">
        <v>1.2</v>
      </c>
      <c r="H460" t="n">
        <v>0</v>
      </c>
      <c r="I460" t="n">
        <v>0</v>
      </c>
      <c r="J460" t="n">
        <v>0</v>
      </c>
      <c r="K460" t="n">
        <v>0</v>
      </c>
      <c r="L460" t="n">
        <v>0</v>
      </c>
      <c r="M460" t="n">
        <v>0</v>
      </c>
      <c r="N460" t="n">
        <v>0</v>
      </c>
      <c r="O460" t="n">
        <v>0</v>
      </c>
      <c r="P460" t="n">
        <v>0</v>
      </c>
      <c r="Q460" t="n">
        <v>0</v>
      </c>
      <c r="R460" s="2" t="inlineStr"/>
    </row>
    <row r="461" ht="15" customHeight="1">
      <c r="A461" t="inlineStr">
        <is>
          <t>A 21702-2019</t>
        </is>
      </c>
      <c r="B461" s="1" t="n">
        <v>43581</v>
      </c>
      <c r="C461" s="1" t="n">
        <v>45648</v>
      </c>
      <c r="D461" t="inlineStr">
        <is>
          <t>JÄMTLANDS LÄN</t>
        </is>
      </c>
      <c r="E461" t="inlineStr">
        <is>
          <t>STRÖMSUND</t>
        </is>
      </c>
      <c r="G461" t="n">
        <v>1.6</v>
      </c>
      <c r="H461" t="n">
        <v>0</v>
      </c>
      <c r="I461" t="n">
        <v>0</v>
      </c>
      <c r="J461" t="n">
        <v>0</v>
      </c>
      <c r="K461" t="n">
        <v>0</v>
      </c>
      <c r="L461" t="n">
        <v>0</v>
      </c>
      <c r="M461" t="n">
        <v>0</v>
      </c>
      <c r="N461" t="n">
        <v>0</v>
      </c>
      <c r="O461" t="n">
        <v>0</v>
      </c>
      <c r="P461" t="n">
        <v>0</v>
      </c>
      <c r="Q461" t="n">
        <v>0</v>
      </c>
      <c r="R461" s="2" t="inlineStr"/>
    </row>
    <row r="462" ht="15" customHeight="1">
      <c r="A462" t="inlineStr">
        <is>
          <t>A 21676-2019</t>
        </is>
      </c>
      <c r="B462" s="1" t="n">
        <v>43581</v>
      </c>
      <c r="C462" s="1" t="n">
        <v>45648</v>
      </c>
      <c r="D462" t="inlineStr">
        <is>
          <t>JÄMTLANDS LÄN</t>
        </is>
      </c>
      <c r="E462" t="inlineStr">
        <is>
          <t>STRÖMSUND</t>
        </is>
      </c>
      <c r="G462" t="n">
        <v>1.2</v>
      </c>
      <c r="H462" t="n">
        <v>0</v>
      </c>
      <c r="I462" t="n">
        <v>0</v>
      </c>
      <c r="J462" t="n">
        <v>0</v>
      </c>
      <c r="K462" t="n">
        <v>0</v>
      </c>
      <c r="L462" t="n">
        <v>0</v>
      </c>
      <c r="M462" t="n">
        <v>0</v>
      </c>
      <c r="N462" t="n">
        <v>0</v>
      </c>
      <c r="O462" t="n">
        <v>0</v>
      </c>
      <c r="P462" t="n">
        <v>0</v>
      </c>
      <c r="Q462" t="n">
        <v>0</v>
      </c>
      <c r="R462" s="2" t="inlineStr"/>
    </row>
    <row r="463" ht="15" customHeight="1">
      <c r="A463" t="inlineStr">
        <is>
          <t>A 21696-2019</t>
        </is>
      </c>
      <c r="B463" s="1" t="n">
        <v>43581</v>
      </c>
      <c r="C463" s="1" t="n">
        <v>45648</v>
      </c>
      <c r="D463" t="inlineStr">
        <is>
          <t>JÄMTLANDS LÄN</t>
        </is>
      </c>
      <c r="E463" t="inlineStr">
        <is>
          <t>STRÖMSUND</t>
        </is>
      </c>
      <c r="G463" t="n">
        <v>1.5</v>
      </c>
      <c r="H463" t="n">
        <v>0</v>
      </c>
      <c r="I463" t="n">
        <v>0</v>
      </c>
      <c r="J463" t="n">
        <v>0</v>
      </c>
      <c r="K463" t="n">
        <v>0</v>
      </c>
      <c r="L463" t="n">
        <v>0</v>
      </c>
      <c r="M463" t="n">
        <v>0</v>
      </c>
      <c r="N463" t="n">
        <v>0</v>
      </c>
      <c r="O463" t="n">
        <v>0</v>
      </c>
      <c r="P463" t="n">
        <v>0</v>
      </c>
      <c r="Q463" t="n">
        <v>0</v>
      </c>
      <c r="R463" s="2" t="inlineStr"/>
    </row>
    <row r="464" ht="15" customHeight="1">
      <c r="A464" t="inlineStr">
        <is>
          <t>A 21763-2019</t>
        </is>
      </c>
      <c r="B464" s="1" t="n">
        <v>43581</v>
      </c>
      <c r="C464" s="1" t="n">
        <v>45648</v>
      </c>
      <c r="D464" t="inlineStr">
        <is>
          <t>JÄMTLANDS LÄN</t>
        </is>
      </c>
      <c r="E464" t="inlineStr">
        <is>
          <t>STRÖMSUND</t>
        </is>
      </c>
      <c r="G464" t="n">
        <v>12.7</v>
      </c>
      <c r="H464" t="n">
        <v>0</v>
      </c>
      <c r="I464" t="n">
        <v>0</v>
      </c>
      <c r="J464" t="n">
        <v>0</v>
      </c>
      <c r="K464" t="n">
        <v>0</v>
      </c>
      <c r="L464" t="n">
        <v>0</v>
      </c>
      <c r="M464" t="n">
        <v>0</v>
      </c>
      <c r="N464" t="n">
        <v>0</v>
      </c>
      <c r="O464" t="n">
        <v>0</v>
      </c>
      <c r="P464" t="n">
        <v>0</v>
      </c>
      <c r="Q464" t="n">
        <v>0</v>
      </c>
      <c r="R464" s="2" t="inlineStr"/>
    </row>
    <row r="465" ht="15" customHeight="1">
      <c r="A465" t="inlineStr">
        <is>
          <t>A 22113-2019</t>
        </is>
      </c>
      <c r="B465" s="1" t="n">
        <v>43584</v>
      </c>
      <c r="C465" s="1" t="n">
        <v>45648</v>
      </c>
      <c r="D465" t="inlineStr">
        <is>
          <t>JÄMTLANDS LÄN</t>
        </is>
      </c>
      <c r="E465" t="inlineStr">
        <is>
          <t>STRÖMSUND</t>
        </is>
      </c>
      <c r="G465" t="n">
        <v>3.3</v>
      </c>
      <c r="H465" t="n">
        <v>0</v>
      </c>
      <c r="I465" t="n">
        <v>0</v>
      </c>
      <c r="J465" t="n">
        <v>0</v>
      </c>
      <c r="K465" t="n">
        <v>0</v>
      </c>
      <c r="L465" t="n">
        <v>0</v>
      </c>
      <c r="M465" t="n">
        <v>0</v>
      </c>
      <c r="N465" t="n">
        <v>0</v>
      </c>
      <c r="O465" t="n">
        <v>0</v>
      </c>
      <c r="P465" t="n">
        <v>0</v>
      </c>
      <c r="Q465" t="n">
        <v>0</v>
      </c>
      <c r="R465" s="2" t="inlineStr"/>
      <c r="U465">
        <f>HYPERLINK("https://klasma.github.io/Logging_2313/knärot/A 22113-2019 karta knärot.png", "A 22113-2019")</f>
        <v/>
      </c>
      <c r="V465">
        <f>HYPERLINK("https://klasma.github.io/Logging_2313/klagomål/A 22113-2019 FSC-klagomål.docx", "A 22113-2019")</f>
        <v/>
      </c>
      <c r="W465">
        <f>HYPERLINK("https://klasma.github.io/Logging_2313/klagomålsmail/A 22113-2019 FSC-klagomål mail.docx", "A 22113-2019")</f>
        <v/>
      </c>
      <c r="X465">
        <f>HYPERLINK("https://klasma.github.io/Logging_2313/tillsyn/A 22113-2019 tillsynsbegäran.docx", "A 22113-2019")</f>
        <v/>
      </c>
      <c r="Y465">
        <f>HYPERLINK("https://klasma.github.io/Logging_2313/tillsynsmail/A 22113-2019 tillsynsbegäran mail.docx", "A 22113-2019")</f>
        <v/>
      </c>
    </row>
    <row r="466" ht="15" customHeight="1">
      <c r="A466" t="inlineStr">
        <is>
          <t>A 22293-2019</t>
        </is>
      </c>
      <c r="B466" s="1" t="n">
        <v>43585</v>
      </c>
      <c r="C466" s="1" t="n">
        <v>45648</v>
      </c>
      <c r="D466" t="inlineStr">
        <is>
          <t>JÄMTLANDS LÄN</t>
        </is>
      </c>
      <c r="E466" t="inlineStr">
        <is>
          <t>STRÖMSUND</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22305-2019</t>
        </is>
      </c>
      <c r="B467" s="1" t="n">
        <v>43585</v>
      </c>
      <c r="C467" s="1" t="n">
        <v>45648</v>
      </c>
      <c r="D467" t="inlineStr">
        <is>
          <t>JÄMTLANDS LÄN</t>
        </is>
      </c>
      <c r="E467" t="inlineStr">
        <is>
          <t>STRÖMSUND</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22291-2019</t>
        </is>
      </c>
      <c r="B468" s="1" t="n">
        <v>43585</v>
      </c>
      <c r="C468" s="1" t="n">
        <v>45648</v>
      </c>
      <c r="D468" t="inlineStr">
        <is>
          <t>JÄMTLANDS LÄN</t>
        </is>
      </c>
      <c r="E468" t="inlineStr">
        <is>
          <t>STRÖMSUND</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22777-2019</t>
        </is>
      </c>
      <c r="B469" s="1" t="n">
        <v>43589</v>
      </c>
      <c r="C469" s="1" t="n">
        <v>45648</v>
      </c>
      <c r="D469" t="inlineStr">
        <is>
          <t>JÄMTLANDS LÄN</t>
        </is>
      </c>
      <c r="E469" t="inlineStr">
        <is>
          <t>STRÖMSUND</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23040-2019</t>
        </is>
      </c>
      <c r="B470" s="1" t="n">
        <v>43591</v>
      </c>
      <c r="C470" s="1" t="n">
        <v>45648</v>
      </c>
      <c r="D470" t="inlineStr">
        <is>
          <t>JÄMTLANDS LÄN</t>
        </is>
      </c>
      <c r="E470" t="inlineStr">
        <is>
          <t>STRÖMSUND</t>
        </is>
      </c>
      <c r="G470" t="n">
        <v>30.4</v>
      </c>
      <c r="H470" t="n">
        <v>0</v>
      </c>
      <c r="I470" t="n">
        <v>0</v>
      </c>
      <c r="J470" t="n">
        <v>0</v>
      </c>
      <c r="K470" t="n">
        <v>0</v>
      </c>
      <c r="L470" t="n">
        <v>0</v>
      </c>
      <c r="M470" t="n">
        <v>0</v>
      </c>
      <c r="N470" t="n">
        <v>0</v>
      </c>
      <c r="O470" t="n">
        <v>0</v>
      </c>
      <c r="P470" t="n">
        <v>0</v>
      </c>
      <c r="Q470" t="n">
        <v>0</v>
      </c>
      <c r="R470" s="2" t="inlineStr"/>
    </row>
    <row r="471" ht="15" customHeight="1">
      <c r="A471" t="inlineStr">
        <is>
          <t>A 23481-2019</t>
        </is>
      </c>
      <c r="B471" s="1" t="n">
        <v>43593</v>
      </c>
      <c r="C471" s="1" t="n">
        <v>45648</v>
      </c>
      <c r="D471" t="inlineStr">
        <is>
          <t>JÄMTLANDS LÄN</t>
        </is>
      </c>
      <c r="E471" t="inlineStr">
        <is>
          <t>STRÖMSUND</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23941-2019</t>
        </is>
      </c>
      <c r="B472" s="1" t="n">
        <v>43595</v>
      </c>
      <c r="C472" s="1" t="n">
        <v>45648</v>
      </c>
      <c r="D472" t="inlineStr">
        <is>
          <t>JÄMTLANDS LÄN</t>
        </is>
      </c>
      <c r="E472" t="inlineStr">
        <is>
          <t>STRÖMSUND</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23945-2019</t>
        </is>
      </c>
      <c r="B473" s="1" t="n">
        <v>43596</v>
      </c>
      <c r="C473" s="1" t="n">
        <v>45648</v>
      </c>
      <c r="D473" t="inlineStr">
        <is>
          <t>JÄMTLANDS LÄN</t>
        </is>
      </c>
      <c r="E473" t="inlineStr">
        <is>
          <t>STRÖMSUND</t>
        </is>
      </c>
      <c r="G473" t="n">
        <v>0.4</v>
      </c>
      <c r="H473" t="n">
        <v>0</v>
      </c>
      <c r="I473" t="n">
        <v>0</v>
      </c>
      <c r="J473" t="n">
        <v>0</v>
      </c>
      <c r="K473" t="n">
        <v>0</v>
      </c>
      <c r="L473" t="n">
        <v>0</v>
      </c>
      <c r="M473" t="n">
        <v>0</v>
      </c>
      <c r="N473" t="n">
        <v>0</v>
      </c>
      <c r="O473" t="n">
        <v>0</v>
      </c>
      <c r="P473" t="n">
        <v>0</v>
      </c>
      <c r="Q473" t="n">
        <v>0</v>
      </c>
      <c r="R473" s="2" t="inlineStr"/>
    </row>
    <row r="474" ht="15" customHeight="1">
      <c r="A474" t="inlineStr">
        <is>
          <t>A 23958-2019</t>
        </is>
      </c>
      <c r="B474" s="1" t="n">
        <v>43597</v>
      </c>
      <c r="C474" s="1" t="n">
        <v>45648</v>
      </c>
      <c r="D474" t="inlineStr">
        <is>
          <t>JÄMTLANDS LÄN</t>
        </is>
      </c>
      <c r="E474" t="inlineStr">
        <is>
          <t>STRÖMSUND</t>
        </is>
      </c>
      <c r="G474" t="n">
        <v>20.7</v>
      </c>
      <c r="H474" t="n">
        <v>0</v>
      </c>
      <c r="I474" t="n">
        <v>0</v>
      </c>
      <c r="J474" t="n">
        <v>0</v>
      </c>
      <c r="K474" t="n">
        <v>0</v>
      </c>
      <c r="L474" t="n">
        <v>0</v>
      </c>
      <c r="M474" t="n">
        <v>0</v>
      </c>
      <c r="N474" t="n">
        <v>0</v>
      </c>
      <c r="O474" t="n">
        <v>0</v>
      </c>
      <c r="P474" t="n">
        <v>0</v>
      </c>
      <c r="Q474" t="n">
        <v>0</v>
      </c>
      <c r="R474" s="2" t="inlineStr"/>
    </row>
    <row r="475" ht="15" customHeight="1">
      <c r="A475" t="inlineStr">
        <is>
          <t>A 24525-2019</t>
        </is>
      </c>
      <c r="B475" s="1" t="n">
        <v>43598</v>
      </c>
      <c r="C475" s="1" t="n">
        <v>45648</v>
      </c>
      <c r="D475" t="inlineStr">
        <is>
          <t>JÄMTLANDS LÄN</t>
        </is>
      </c>
      <c r="E475" t="inlineStr">
        <is>
          <t>STRÖMSUND</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24162-2019</t>
        </is>
      </c>
      <c r="B476" s="1" t="n">
        <v>43598</v>
      </c>
      <c r="C476" s="1" t="n">
        <v>45648</v>
      </c>
      <c r="D476" t="inlineStr">
        <is>
          <t>JÄMTLANDS LÄN</t>
        </is>
      </c>
      <c r="E476" t="inlineStr">
        <is>
          <t>STRÖMSUND</t>
        </is>
      </c>
      <c r="F476" t="inlineStr">
        <is>
          <t>SCA</t>
        </is>
      </c>
      <c r="G476" t="n">
        <v>18.9</v>
      </c>
      <c r="H476" t="n">
        <v>0</v>
      </c>
      <c r="I476" t="n">
        <v>0</v>
      </c>
      <c r="J476" t="n">
        <v>0</v>
      </c>
      <c r="K476" t="n">
        <v>0</v>
      </c>
      <c r="L476" t="n">
        <v>0</v>
      </c>
      <c r="M476" t="n">
        <v>0</v>
      </c>
      <c r="N476" t="n">
        <v>0</v>
      </c>
      <c r="O476" t="n">
        <v>0</v>
      </c>
      <c r="P476" t="n">
        <v>0</v>
      </c>
      <c r="Q476" t="n">
        <v>0</v>
      </c>
      <c r="R476" s="2" t="inlineStr"/>
    </row>
    <row r="477" ht="15" customHeight="1">
      <c r="A477" t="inlineStr">
        <is>
          <t>A 24787-2019</t>
        </is>
      </c>
      <c r="B477" s="1" t="n">
        <v>43601</v>
      </c>
      <c r="C477" s="1" t="n">
        <v>45648</v>
      </c>
      <c r="D477" t="inlineStr">
        <is>
          <t>JÄMTLANDS LÄN</t>
        </is>
      </c>
      <c r="E477" t="inlineStr">
        <is>
          <t>STRÖMSUND</t>
        </is>
      </c>
      <c r="F477" t="inlineStr">
        <is>
          <t>SCA</t>
        </is>
      </c>
      <c r="G477" t="n">
        <v>6.5</v>
      </c>
      <c r="H477" t="n">
        <v>0</v>
      </c>
      <c r="I477" t="n">
        <v>0</v>
      </c>
      <c r="J477" t="n">
        <v>0</v>
      </c>
      <c r="K477" t="n">
        <v>0</v>
      </c>
      <c r="L477" t="n">
        <v>0</v>
      </c>
      <c r="M477" t="n">
        <v>0</v>
      </c>
      <c r="N477" t="n">
        <v>0</v>
      </c>
      <c r="O477" t="n">
        <v>0</v>
      </c>
      <c r="P477" t="n">
        <v>0</v>
      </c>
      <c r="Q477" t="n">
        <v>0</v>
      </c>
      <c r="R477" s="2" t="inlineStr"/>
    </row>
    <row r="478" ht="15" customHeight="1">
      <c r="A478" t="inlineStr">
        <is>
          <t>A 25923-2019</t>
        </is>
      </c>
      <c r="B478" s="1" t="n">
        <v>43608</v>
      </c>
      <c r="C478" s="1" t="n">
        <v>45648</v>
      </c>
      <c r="D478" t="inlineStr">
        <is>
          <t>JÄMTLANDS LÄN</t>
        </is>
      </c>
      <c r="E478" t="inlineStr">
        <is>
          <t>STRÖMSUND</t>
        </is>
      </c>
      <c r="F478" t="inlineStr">
        <is>
          <t>Kommuner</t>
        </is>
      </c>
      <c r="G478" t="n">
        <v>3.6</v>
      </c>
      <c r="H478" t="n">
        <v>0</v>
      </c>
      <c r="I478" t="n">
        <v>0</v>
      </c>
      <c r="J478" t="n">
        <v>0</v>
      </c>
      <c r="K478" t="n">
        <v>0</v>
      </c>
      <c r="L478" t="n">
        <v>0</v>
      </c>
      <c r="M478" t="n">
        <v>0</v>
      </c>
      <c r="N478" t="n">
        <v>0</v>
      </c>
      <c r="O478" t="n">
        <v>0</v>
      </c>
      <c r="P478" t="n">
        <v>0</v>
      </c>
      <c r="Q478" t="n">
        <v>0</v>
      </c>
      <c r="R478" s="2" t="inlineStr"/>
    </row>
    <row r="479" ht="15" customHeight="1">
      <c r="A479" t="inlineStr">
        <is>
          <t>A 25915-2019</t>
        </is>
      </c>
      <c r="B479" s="1" t="n">
        <v>43608</v>
      </c>
      <c r="C479" s="1" t="n">
        <v>45648</v>
      </c>
      <c r="D479" t="inlineStr">
        <is>
          <t>JÄMTLANDS LÄN</t>
        </is>
      </c>
      <c r="E479" t="inlineStr">
        <is>
          <t>STRÖMSUND</t>
        </is>
      </c>
      <c r="F479" t="inlineStr">
        <is>
          <t>Kommuner</t>
        </is>
      </c>
      <c r="G479" t="n">
        <v>5.7</v>
      </c>
      <c r="H479" t="n">
        <v>0</v>
      </c>
      <c r="I479" t="n">
        <v>0</v>
      </c>
      <c r="J479" t="n">
        <v>0</v>
      </c>
      <c r="K479" t="n">
        <v>0</v>
      </c>
      <c r="L479" t="n">
        <v>0</v>
      </c>
      <c r="M479" t="n">
        <v>0</v>
      </c>
      <c r="N479" t="n">
        <v>0</v>
      </c>
      <c r="O479" t="n">
        <v>0</v>
      </c>
      <c r="P479" t="n">
        <v>0</v>
      </c>
      <c r="Q479" t="n">
        <v>0</v>
      </c>
      <c r="R479" s="2" t="inlineStr"/>
    </row>
    <row r="480" ht="15" customHeight="1">
      <c r="A480" t="inlineStr">
        <is>
          <t>A 25925-2019</t>
        </is>
      </c>
      <c r="B480" s="1" t="n">
        <v>43608</v>
      </c>
      <c r="C480" s="1" t="n">
        <v>45648</v>
      </c>
      <c r="D480" t="inlineStr">
        <is>
          <t>JÄMTLANDS LÄN</t>
        </is>
      </c>
      <c r="E480" t="inlineStr">
        <is>
          <t>STRÖMSUND</t>
        </is>
      </c>
      <c r="F480" t="inlineStr">
        <is>
          <t>Kommuner</t>
        </is>
      </c>
      <c r="G480" t="n">
        <v>12.6</v>
      </c>
      <c r="H480" t="n">
        <v>0</v>
      </c>
      <c r="I480" t="n">
        <v>0</v>
      </c>
      <c r="J480" t="n">
        <v>0</v>
      </c>
      <c r="K480" t="n">
        <v>0</v>
      </c>
      <c r="L480" t="n">
        <v>0</v>
      </c>
      <c r="M480" t="n">
        <v>0</v>
      </c>
      <c r="N480" t="n">
        <v>0</v>
      </c>
      <c r="O480" t="n">
        <v>0</v>
      </c>
      <c r="P480" t="n">
        <v>0</v>
      </c>
      <c r="Q480" t="n">
        <v>0</v>
      </c>
      <c r="R480" s="2" t="inlineStr"/>
    </row>
    <row r="481" ht="15" customHeight="1">
      <c r="A481" t="inlineStr">
        <is>
          <t>A 25910-2019</t>
        </is>
      </c>
      <c r="B481" s="1" t="n">
        <v>43608</v>
      </c>
      <c r="C481" s="1" t="n">
        <v>45648</v>
      </c>
      <c r="D481" t="inlineStr">
        <is>
          <t>JÄMTLANDS LÄN</t>
        </is>
      </c>
      <c r="E481" t="inlineStr">
        <is>
          <t>STRÖMSUND</t>
        </is>
      </c>
      <c r="F481" t="inlineStr">
        <is>
          <t>Kommuner</t>
        </is>
      </c>
      <c r="G481" t="n">
        <v>7</v>
      </c>
      <c r="H481" t="n">
        <v>0</v>
      </c>
      <c r="I481" t="n">
        <v>0</v>
      </c>
      <c r="J481" t="n">
        <v>0</v>
      </c>
      <c r="K481" t="n">
        <v>0</v>
      </c>
      <c r="L481" t="n">
        <v>0</v>
      </c>
      <c r="M481" t="n">
        <v>0</v>
      </c>
      <c r="N481" t="n">
        <v>0</v>
      </c>
      <c r="O481" t="n">
        <v>0</v>
      </c>
      <c r="P481" t="n">
        <v>0</v>
      </c>
      <c r="Q481" t="n">
        <v>0</v>
      </c>
      <c r="R481" s="2" t="inlineStr"/>
    </row>
    <row r="482" ht="15" customHeight="1">
      <c r="A482" t="inlineStr">
        <is>
          <t>A 25918-2019</t>
        </is>
      </c>
      <c r="B482" s="1" t="n">
        <v>43608</v>
      </c>
      <c r="C482" s="1" t="n">
        <v>45648</v>
      </c>
      <c r="D482" t="inlineStr">
        <is>
          <t>JÄMTLANDS LÄN</t>
        </is>
      </c>
      <c r="E482" t="inlineStr">
        <is>
          <t>STRÖMSUND</t>
        </is>
      </c>
      <c r="F482" t="inlineStr">
        <is>
          <t>Kommuner</t>
        </is>
      </c>
      <c r="G482" t="n">
        <v>1.4</v>
      </c>
      <c r="H482" t="n">
        <v>0</v>
      </c>
      <c r="I482" t="n">
        <v>0</v>
      </c>
      <c r="J482" t="n">
        <v>0</v>
      </c>
      <c r="K482" t="n">
        <v>0</v>
      </c>
      <c r="L482" t="n">
        <v>0</v>
      </c>
      <c r="M482" t="n">
        <v>0</v>
      </c>
      <c r="N482" t="n">
        <v>0</v>
      </c>
      <c r="O482" t="n">
        <v>0</v>
      </c>
      <c r="P482" t="n">
        <v>0</v>
      </c>
      <c r="Q482" t="n">
        <v>0</v>
      </c>
      <c r="R482" s="2" t="inlineStr"/>
    </row>
    <row r="483" ht="15" customHeight="1">
      <c r="A483" t="inlineStr">
        <is>
          <t>A 25950-2019</t>
        </is>
      </c>
      <c r="B483" s="1" t="n">
        <v>43608</v>
      </c>
      <c r="C483" s="1" t="n">
        <v>45648</v>
      </c>
      <c r="D483" t="inlineStr">
        <is>
          <t>JÄMTLANDS LÄN</t>
        </is>
      </c>
      <c r="E483" t="inlineStr">
        <is>
          <t>STRÖMSUND</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26012-2019</t>
        </is>
      </c>
      <c r="B484" s="1" t="n">
        <v>43608</v>
      </c>
      <c r="C484" s="1" t="n">
        <v>45648</v>
      </c>
      <c r="D484" t="inlineStr">
        <is>
          <t>JÄMTLANDS LÄN</t>
        </is>
      </c>
      <c r="E484" t="inlineStr">
        <is>
          <t>STRÖMSUND</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25921-2019</t>
        </is>
      </c>
      <c r="B485" s="1" t="n">
        <v>43608</v>
      </c>
      <c r="C485" s="1" t="n">
        <v>45648</v>
      </c>
      <c r="D485" t="inlineStr">
        <is>
          <t>JÄMTLANDS LÄN</t>
        </is>
      </c>
      <c r="E485" t="inlineStr">
        <is>
          <t>STRÖMSUND</t>
        </is>
      </c>
      <c r="F485" t="inlineStr">
        <is>
          <t>Kommuner</t>
        </is>
      </c>
      <c r="G485" t="n">
        <v>23.9</v>
      </c>
      <c r="H485" t="n">
        <v>0</v>
      </c>
      <c r="I485" t="n">
        <v>0</v>
      </c>
      <c r="J485" t="n">
        <v>0</v>
      </c>
      <c r="K485" t="n">
        <v>0</v>
      </c>
      <c r="L485" t="n">
        <v>0</v>
      </c>
      <c r="M485" t="n">
        <v>0</v>
      </c>
      <c r="N485" t="n">
        <v>0</v>
      </c>
      <c r="O485" t="n">
        <v>0</v>
      </c>
      <c r="P485" t="n">
        <v>0</v>
      </c>
      <c r="Q485" t="n">
        <v>0</v>
      </c>
      <c r="R485" s="2" t="inlineStr"/>
    </row>
    <row r="486" ht="15" customHeight="1">
      <c r="A486" t="inlineStr">
        <is>
          <t>A 25984-2019</t>
        </is>
      </c>
      <c r="B486" s="1" t="n">
        <v>43608</v>
      </c>
      <c r="C486" s="1" t="n">
        <v>45648</v>
      </c>
      <c r="D486" t="inlineStr">
        <is>
          <t>JÄMTLANDS LÄN</t>
        </is>
      </c>
      <c r="E486" t="inlineStr">
        <is>
          <t>STRÖMSUND</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26252-2019</t>
        </is>
      </c>
      <c r="B487" s="1" t="n">
        <v>43609</v>
      </c>
      <c r="C487" s="1" t="n">
        <v>45648</v>
      </c>
      <c r="D487" t="inlineStr">
        <is>
          <t>JÄMTLANDS LÄN</t>
        </is>
      </c>
      <c r="E487" t="inlineStr">
        <is>
          <t>STRÖMSUND</t>
        </is>
      </c>
      <c r="F487" t="inlineStr">
        <is>
          <t>SCA</t>
        </is>
      </c>
      <c r="G487" t="n">
        <v>10.5</v>
      </c>
      <c r="H487" t="n">
        <v>0</v>
      </c>
      <c r="I487" t="n">
        <v>0</v>
      </c>
      <c r="J487" t="n">
        <v>0</v>
      </c>
      <c r="K487" t="n">
        <v>0</v>
      </c>
      <c r="L487" t="n">
        <v>0</v>
      </c>
      <c r="M487" t="n">
        <v>0</v>
      </c>
      <c r="N487" t="n">
        <v>0</v>
      </c>
      <c r="O487" t="n">
        <v>0</v>
      </c>
      <c r="P487" t="n">
        <v>0</v>
      </c>
      <c r="Q487" t="n">
        <v>0</v>
      </c>
      <c r="R487" s="2" t="inlineStr"/>
    </row>
    <row r="488" ht="15" customHeight="1">
      <c r="A488" t="inlineStr">
        <is>
          <t>A 26251-2019</t>
        </is>
      </c>
      <c r="B488" s="1" t="n">
        <v>43609</v>
      </c>
      <c r="C488" s="1" t="n">
        <v>45648</v>
      </c>
      <c r="D488" t="inlineStr">
        <is>
          <t>JÄMTLANDS LÄN</t>
        </is>
      </c>
      <c r="E488" t="inlineStr">
        <is>
          <t>STRÖMSUND</t>
        </is>
      </c>
      <c r="F488" t="inlineStr">
        <is>
          <t>SCA</t>
        </is>
      </c>
      <c r="G488" t="n">
        <v>6.9</v>
      </c>
      <c r="H488" t="n">
        <v>0</v>
      </c>
      <c r="I488" t="n">
        <v>0</v>
      </c>
      <c r="J488" t="n">
        <v>0</v>
      </c>
      <c r="K488" t="n">
        <v>0</v>
      </c>
      <c r="L488" t="n">
        <v>0</v>
      </c>
      <c r="M488" t="n">
        <v>0</v>
      </c>
      <c r="N488" t="n">
        <v>0</v>
      </c>
      <c r="O488" t="n">
        <v>0</v>
      </c>
      <c r="P488" t="n">
        <v>0</v>
      </c>
      <c r="Q488" t="n">
        <v>0</v>
      </c>
      <c r="R488" s="2" t="inlineStr"/>
    </row>
    <row r="489" ht="15" customHeight="1">
      <c r="A489" t="inlineStr">
        <is>
          <t>A 27536-2019</t>
        </is>
      </c>
      <c r="B489" s="1" t="n">
        <v>43612</v>
      </c>
      <c r="C489" s="1" t="n">
        <v>45648</v>
      </c>
      <c r="D489" t="inlineStr">
        <is>
          <t>JÄMTLANDS LÄN</t>
        </is>
      </c>
      <c r="E489" t="inlineStr">
        <is>
          <t>STRÖMSUND</t>
        </is>
      </c>
      <c r="G489" t="n">
        <v>1.3</v>
      </c>
      <c r="H489" t="n">
        <v>0</v>
      </c>
      <c r="I489" t="n">
        <v>0</v>
      </c>
      <c r="J489" t="n">
        <v>0</v>
      </c>
      <c r="K489" t="n">
        <v>0</v>
      </c>
      <c r="L489" t="n">
        <v>0</v>
      </c>
      <c r="M489" t="n">
        <v>0</v>
      </c>
      <c r="N489" t="n">
        <v>0</v>
      </c>
      <c r="O489" t="n">
        <v>0</v>
      </c>
      <c r="P489" t="n">
        <v>0</v>
      </c>
      <c r="Q489" t="n">
        <v>0</v>
      </c>
      <c r="R489" s="2" t="inlineStr"/>
    </row>
    <row r="490" ht="15" customHeight="1">
      <c r="A490" t="inlineStr">
        <is>
          <t>A 26937-2019</t>
        </is>
      </c>
      <c r="B490" s="1" t="n">
        <v>43613</v>
      </c>
      <c r="C490" s="1" t="n">
        <v>45648</v>
      </c>
      <c r="D490" t="inlineStr">
        <is>
          <t>JÄMTLANDS LÄN</t>
        </is>
      </c>
      <c r="E490" t="inlineStr">
        <is>
          <t>STRÖMSUND</t>
        </is>
      </c>
      <c r="G490" t="n">
        <v>0.8</v>
      </c>
      <c r="H490" t="n">
        <v>0</v>
      </c>
      <c r="I490" t="n">
        <v>0</v>
      </c>
      <c r="J490" t="n">
        <v>0</v>
      </c>
      <c r="K490" t="n">
        <v>0</v>
      </c>
      <c r="L490" t="n">
        <v>0</v>
      </c>
      <c r="M490" t="n">
        <v>0</v>
      </c>
      <c r="N490" t="n">
        <v>0</v>
      </c>
      <c r="O490" t="n">
        <v>0</v>
      </c>
      <c r="P490" t="n">
        <v>0</v>
      </c>
      <c r="Q490" t="n">
        <v>0</v>
      </c>
      <c r="R490" s="2" t="inlineStr"/>
    </row>
    <row r="491" ht="15" customHeight="1">
      <c r="A491" t="inlineStr">
        <is>
          <t>A 27249-2019</t>
        </is>
      </c>
      <c r="B491" s="1" t="n">
        <v>43614</v>
      </c>
      <c r="C491" s="1" t="n">
        <v>45648</v>
      </c>
      <c r="D491" t="inlineStr">
        <is>
          <t>JÄMTLANDS LÄN</t>
        </is>
      </c>
      <c r="E491" t="inlineStr">
        <is>
          <t>STRÖMSUND</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27367-2019</t>
        </is>
      </c>
      <c r="B492" s="1" t="n">
        <v>43616</v>
      </c>
      <c r="C492" s="1" t="n">
        <v>45648</v>
      </c>
      <c r="D492" t="inlineStr">
        <is>
          <t>JÄMTLANDS LÄN</t>
        </is>
      </c>
      <c r="E492" t="inlineStr">
        <is>
          <t>STRÖMSUND</t>
        </is>
      </c>
      <c r="G492" t="n">
        <v>0.2</v>
      </c>
      <c r="H492" t="n">
        <v>0</v>
      </c>
      <c r="I492" t="n">
        <v>0</v>
      </c>
      <c r="J492" t="n">
        <v>0</v>
      </c>
      <c r="K492" t="n">
        <v>0</v>
      </c>
      <c r="L492" t="n">
        <v>0</v>
      </c>
      <c r="M492" t="n">
        <v>0</v>
      </c>
      <c r="N492" t="n">
        <v>0</v>
      </c>
      <c r="O492" t="n">
        <v>0</v>
      </c>
      <c r="P492" t="n">
        <v>0</v>
      </c>
      <c r="Q492" t="n">
        <v>0</v>
      </c>
      <c r="R492" s="2" t="inlineStr"/>
    </row>
    <row r="493" ht="15" customHeight="1">
      <c r="A493" t="inlineStr">
        <is>
          <t>A 27514-2019</t>
        </is>
      </c>
      <c r="B493" s="1" t="n">
        <v>43619</v>
      </c>
      <c r="C493" s="1" t="n">
        <v>45648</v>
      </c>
      <c r="D493" t="inlineStr">
        <is>
          <t>JÄMTLANDS LÄN</t>
        </is>
      </c>
      <c r="E493" t="inlineStr">
        <is>
          <t>STRÖMSUND</t>
        </is>
      </c>
      <c r="G493" t="n">
        <v>3.6</v>
      </c>
      <c r="H493" t="n">
        <v>0</v>
      </c>
      <c r="I493" t="n">
        <v>0</v>
      </c>
      <c r="J493" t="n">
        <v>0</v>
      </c>
      <c r="K493" t="n">
        <v>0</v>
      </c>
      <c r="L493" t="n">
        <v>0</v>
      </c>
      <c r="M493" t="n">
        <v>0</v>
      </c>
      <c r="N493" t="n">
        <v>0</v>
      </c>
      <c r="O493" t="n">
        <v>0</v>
      </c>
      <c r="P493" t="n">
        <v>0</v>
      </c>
      <c r="Q493" t="n">
        <v>0</v>
      </c>
      <c r="R493" s="2" t="inlineStr"/>
    </row>
    <row r="494" ht="15" customHeight="1">
      <c r="A494" t="inlineStr">
        <is>
          <t>A 27817-2019</t>
        </is>
      </c>
      <c r="B494" s="1" t="n">
        <v>43620</v>
      </c>
      <c r="C494" s="1" t="n">
        <v>45648</v>
      </c>
      <c r="D494" t="inlineStr">
        <is>
          <t>JÄMTLANDS LÄN</t>
        </is>
      </c>
      <c r="E494" t="inlineStr">
        <is>
          <t>STRÖMSUND</t>
        </is>
      </c>
      <c r="G494" t="n">
        <v>0.7</v>
      </c>
      <c r="H494" t="n">
        <v>0</v>
      </c>
      <c r="I494" t="n">
        <v>0</v>
      </c>
      <c r="J494" t="n">
        <v>0</v>
      </c>
      <c r="K494" t="n">
        <v>0</v>
      </c>
      <c r="L494" t="n">
        <v>0</v>
      </c>
      <c r="M494" t="n">
        <v>0</v>
      </c>
      <c r="N494" t="n">
        <v>0</v>
      </c>
      <c r="O494" t="n">
        <v>0</v>
      </c>
      <c r="P494" t="n">
        <v>0</v>
      </c>
      <c r="Q494" t="n">
        <v>0</v>
      </c>
      <c r="R494" s="2" t="inlineStr"/>
    </row>
    <row r="495" ht="15" customHeight="1">
      <c r="A495" t="inlineStr">
        <is>
          <t>A 28215-2019</t>
        </is>
      </c>
      <c r="B495" s="1" t="n">
        <v>43622</v>
      </c>
      <c r="C495" s="1" t="n">
        <v>45648</v>
      </c>
      <c r="D495" t="inlineStr">
        <is>
          <t>JÄMTLANDS LÄN</t>
        </is>
      </c>
      <c r="E495" t="inlineStr">
        <is>
          <t>STRÖMSUND</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28766-2019</t>
        </is>
      </c>
      <c r="B496" s="1" t="n">
        <v>43627</v>
      </c>
      <c r="C496" s="1" t="n">
        <v>45648</v>
      </c>
      <c r="D496" t="inlineStr">
        <is>
          <t>JÄMTLANDS LÄN</t>
        </is>
      </c>
      <c r="E496" t="inlineStr">
        <is>
          <t>STRÖMSUND</t>
        </is>
      </c>
      <c r="G496" t="n">
        <v>19.8</v>
      </c>
      <c r="H496" t="n">
        <v>0</v>
      </c>
      <c r="I496" t="n">
        <v>0</v>
      </c>
      <c r="J496" t="n">
        <v>0</v>
      </c>
      <c r="K496" t="n">
        <v>0</v>
      </c>
      <c r="L496" t="n">
        <v>0</v>
      </c>
      <c r="M496" t="n">
        <v>0</v>
      </c>
      <c r="N496" t="n">
        <v>0</v>
      </c>
      <c r="O496" t="n">
        <v>0</v>
      </c>
      <c r="P496" t="n">
        <v>0</v>
      </c>
      <c r="Q496" t="n">
        <v>0</v>
      </c>
      <c r="R496" s="2" t="inlineStr"/>
    </row>
    <row r="497" ht="15" customHeight="1">
      <c r="A497" t="inlineStr">
        <is>
          <t>A 28671-2019</t>
        </is>
      </c>
      <c r="B497" s="1" t="n">
        <v>43627</v>
      </c>
      <c r="C497" s="1" t="n">
        <v>45648</v>
      </c>
      <c r="D497" t="inlineStr">
        <is>
          <t>JÄMTLANDS LÄN</t>
        </is>
      </c>
      <c r="E497" t="inlineStr">
        <is>
          <t>STRÖMSUND</t>
        </is>
      </c>
      <c r="G497" t="n">
        <v>21.3</v>
      </c>
      <c r="H497" t="n">
        <v>0</v>
      </c>
      <c r="I497" t="n">
        <v>0</v>
      </c>
      <c r="J497" t="n">
        <v>0</v>
      </c>
      <c r="K497" t="n">
        <v>0</v>
      </c>
      <c r="L497" t="n">
        <v>0</v>
      </c>
      <c r="M497" t="n">
        <v>0</v>
      </c>
      <c r="N497" t="n">
        <v>0</v>
      </c>
      <c r="O497" t="n">
        <v>0</v>
      </c>
      <c r="P497" t="n">
        <v>0</v>
      </c>
      <c r="Q497" t="n">
        <v>0</v>
      </c>
      <c r="R497" s="2" t="inlineStr"/>
    </row>
    <row r="498" ht="15" customHeight="1">
      <c r="A498" t="inlineStr">
        <is>
          <t>A 29166-2019</t>
        </is>
      </c>
      <c r="B498" s="1" t="n">
        <v>43628</v>
      </c>
      <c r="C498" s="1" t="n">
        <v>45648</v>
      </c>
      <c r="D498" t="inlineStr">
        <is>
          <t>JÄMTLANDS LÄN</t>
        </is>
      </c>
      <c r="E498" t="inlineStr">
        <is>
          <t>STRÖMSUND</t>
        </is>
      </c>
      <c r="F498" t="inlineStr">
        <is>
          <t>SCA</t>
        </is>
      </c>
      <c r="G498" t="n">
        <v>3.5</v>
      </c>
      <c r="H498" t="n">
        <v>0</v>
      </c>
      <c r="I498" t="n">
        <v>0</v>
      </c>
      <c r="J498" t="n">
        <v>0</v>
      </c>
      <c r="K498" t="n">
        <v>0</v>
      </c>
      <c r="L498" t="n">
        <v>0</v>
      </c>
      <c r="M498" t="n">
        <v>0</v>
      </c>
      <c r="N498" t="n">
        <v>0</v>
      </c>
      <c r="O498" t="n">
        <v>0</v>
      </c>
      <c r="P498" t="n">
        <v>0</v>
      </c>
      <c r="Q498" t="n">
        <v>0</v>
      </c>
      <c r="R498" s="2" t="inlineStr"/>
    </row>
    <row r="499" ht="15" customHeight="1">
      <c r="A499" t="inlineStr">
        <is>
          <t>A 29359-2019</t>
        </is>
      </c>
      <c r="B499" s="1" t="n">
        <v>43629</v>
      </c>
      <c r="C499" s="1" t="n">
        <v>45648</v>
      </c>
      <c r="D499" t="inlineStr">
        <is>
          <t>JÄMTLANDS LÄN</t>
        </is>
      </c>
      <c r="E499" t="inlineStr">
        <is>
          <t>STRÖMSUND</t>
        </is>
      </c>
      <c r="G499" t="n">
        <v>3</v>
      </c>
      <c r="H499" t="n">
        <v>0</v>
      </c>
      <c r="I499" t="n">
        <v>0</v>
      </c>
      <c r="J499" t="n">
        <v>0</v>
      </c>
      <c r="K499" t="n">
        <v>0</v>
      </c>
      <c r="L499" t="n">
        <v>0</v>
      </c>
      <c r="M499" t="n">
        <v>0</v>
      </c>
      <c r="N499" t="n">
        <v>0</v>
      </c>
      <c r="O499" t="n">
        <v>0</v>
      </c>
      <c r="P499" t="n">
        <v>0</v>
      </c>
      <c r="Q499" t="n">
        <v>0</v>
      </c>
      <c r="R499" s="2" t="inlineStr"/>
    </row>
    <row r="500" ht="15" customHeight="1">
      <c r="A500" t="inlineStr">
        <is>
          <t>A 29378-2019</t>
        </is>
      </c>
      <c r="B500" s="1" t="n">
        <v>43629</v>
      </c>
      <c r="C500" s="1" t="n">
        <v>45648</v>
      </c>
      <c r="D500" t="inlineStr">
        <is>
          <t>JÄMTLANDS LÄN</t>
        </is>
      </c>
      <c r="E500" t="inlineStr">
        <is>
          <t>STRÖMSUND</t>
        </is>
      </c>
      <c r="G500" t="n">
        <v>33.5</v>
      </c>
      <c r="H500" t="n">
        <v>0</v>
      </c>
      <c r="I500" t="n">
        <v>0</v>
      </c>
      <c r="J500" t="n">
        <v>0</v>
      </c>
      <c r="K500" t="n">
        <v>0</v>
      </c>
      <c r="L500" t="n">
        <v>0</v>
      </c>
      <c r="M500" t="n">
        <v>0</v>
      </c>
      <c r="N500" t="n">
        <v>0</v>
      </c>
      <c r="O500" t="n">
        <v>0</v>
      </c>
      <c r="P500" t="n">
        <v>0</v>
      </c>
      <c r="Q500" t="n">
        <v>0</v>
      </c>
      <c r="R500" s="2" t="inlineStr"/>
    </row>
    <row r="501" ht="15" customHeight="1">
      <c r="A501" t="inlineStr">
        <is>
          <t>A 29740-2019</t>
        </is>
      </c>
      <c r="B501" s="1" t="n">
        <v>43630</v>
      </c>
      <c r="C501" s="1" t="n">
        <v>45648</v>
      </c>
      <c r="D501" t="inlineStr">
        <is>
          <t>JÄMTLANDS LÄN</t>
        </is>
      </c>
      <c r="E501" t="inlineStr">
        <is>
          <t>STRÖMSUND</t>
        </is>
      </c>
      <c r="F501" t="inlineStr">
        <is>
          <t>SCA</t>
        </is>
      </c>
      <c r="G501" t="n">
        <v>62.8</v>
      </c>
      <c r="H501" t="n">
        <v>0</v>
      </c>
      <c r="I501" t="n">
        <v>0</v>
      </c>
      <c r="J501" t="n">
        <v>0</v>
      </c>
      <c r="K501" t="n">
        <v>0</v>
      </c>
      <c r="L501" t="n">
        <v>0</v>
      </c>
      <c r="M501" t="n">
        <v>0</v>
      </c>
      <c r="N501" t="n">
        <v>0</v>
      </c>
      <c r="O501" t="n">
        <v>0</v>
      </c>
      <c r="P501" t="n">
        <v>0</v>
      </c>
      <c r="Q501" t="n">
        <v>0</v>
      </c>
      <c r="R501" s="2" t="inlineStr"/>
    </row>
    <row r="502" ht="15" customHeight="1">
      <c r="A502" t="inlineStr">
        <is>
          <t>A 30136-2019</t>
        </is>
      </c>
      <c r="B502" s="1" t="n">
        <v>43634</v>
      </c>
      <c r="C502" s="1" t="n">
        <v>45648</v>
      </c>
      <c r="D502" t="inlineStr">
        <is>
          <t>JÄMTLANDS LÄN</t>
        </is>
      </c>
      <c r="E502" t="inlineStr">
        <is>
          <t>STRÖMSUND</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30378-2019</t>
        </is>
      </c>
      <c r="B503" s="1" t="n">
        <v>43634</v>
      </c>
      <c r="C503" s="1" t="n">
        <v>45648</v>
      </c>
      <c r="D503" t="inlineStr">
        <is>
          <t>JÄMTLANDS LÄN</t>
        </is>
      </c>
      <c r="E503" t="inlineStr">
        <is>
          <t>STRÖMSUND</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30139-2019</t>
        </is>
      </c>
      <c r="B504" s="1" t="n">
        <v>43634</v>
      </c>
      <c r="C504" s="1" t="n">
        <v>45648</v>
      </c>
      <c r="D504" t="inlineStr">
        <is>
          <t>JÄMTLANDS LÄN</t>
        </is>
      </c>
      <c r="E504" t="inlineStr">
        <is>
          <t>STRÖMSUND</t>
        </is>
      </c>
      <c r="F504" t="inlineStr">
        <is>
          <t>Sveaskog</t>
        </is>
      </c>
      <c r="G504" t="n">
        <v>3.9</v>
      </c>
      <c r="H504" t="n">
        <v>0</v>
      </c>
      <c r="I504" t="n">
        <v>0</v>
      </c>
      <c r="J504" t="n">
        <v>0</v>
      </c>
      <c r="K504" t="n">
        <v>0</v>
      </c>
      <c r="L504" t="n">
        <v>0</v>
      </c>
      <c r="M504" t="n">
        <v>0</v>
      </c>
      <c r="N504" t="n">
        <v>0</v>
      </c>
      <c r="O504" t="n">
        <v>0</v>
      </c>
      <c r="P504" t="n">
        <v>0</v>
      </c>
      <c r="Q504" t="n">
        <v>0</v>
      </c>
      <c r="R504" s="2" t="inlineStr"/>
    </row>
    <row r="505" ht="15" customHeight="1">
      <c r="A505" t="inlineStr">
        <is>
          <t>A 30915-2019</t>
        </is>
      </c>
      <c r="B505" s="1" t="n">
        <v>43636</v>
      </c>
      <c r="C505" s="1" t="n">
        <v>45648</v>
      </c>
      <c r="D505" t="inlineStr">
        <is>
          <t>JÄMTLANDS LÄN</t>
        </is>
      </c>
      <c r="E505" t="inlineStr">
        <is>
          <t>STRÖMSUND</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32482-2019</t>
        </is>
      </c>
      <c r="B506" s="1" t="n">
        <v>43644</v>
      </c>
      <c r="C506" s="1" t="n">
        <v>45648</v>
      </c>
      <c r="D506" t="inlineStr">
        <is>
          <t>JÄMTLANDS LÄN</t>
        </is>
      </c>
      <c r="E506" t="inlineStr">
        <is>
          <t>STRÖMSUND</t>
        </is>
      </c>
      <c r="F506" t="inlineStr">
        <is>
          <t>SCA</t>
        </is>
      </c>
      <c r="G506" t="n">
        <v>8.4</v>
      </c>
      <c r="H506" t="n">
        <v>0</v>
      </c>
      <c r="I506" t="n">
        <v>0</v>
      </c>
      <c r="J506" t="n">
        <v>0</v>
      </c>
      <c r="K506" t="n">
        <v>0</v>
      </c>
      <c r="L506" t="n">
        <v>0</v>
      </c>
      <c r="M506" t="n">
        <v>0</v>
      </c>
      <c r="N506" t="n">
        <v>0</v>
      </c>
      <c r="O506" t="n">
        <v>0</v>
      </c>
      <c r="P506" t="n">
        <v>0</v>
      </c>
      <c r="Q506" t="n">
        <v>0</v>
      </c>
      <c r="R506" s="2" t="inlineStr"/>
    </row>
    <row r="507" ht="15" customHeight="1">
      <c r="A507" t="inlineStr">
        <is>
          <t>A 32739-2019</t>
        </is>
      </c>
      <c r="B507" s="1" t="n">
        <v>43647</v>
      </c>
      <c r="C507" s="1" t="n">
        <v>45648</v>
      </c>
      <c r="D507" t="inlineStr">
        <is>
          <t>JÄMTLANDS LÄN</t>
        </is>
      </c>
      <c r="E507" t="inlineStr">
        <is>
          <t>STRÖMSUND</t>
        </is>
      </c>
      <c r="F507" t="inlineStr">
        <is>
          <t>SCA</t>
        </is>
      </c>
      <c r="G507" t="n">
        <v>174.6</v>
      </c>
      <c r="H507" t="n">
        <v>0</v>
      </c>
      <c r="I507" t="n">
        <v>0</v>
      </c>
      <c r="J507" t="n">
        <v>0</v>
      </c>
      <c r="K507" t="n">
        <v>0</v>
      </c>
      <c r="L507" t="n">
        <v>0</v>
      </c>
      <c r="M507" t="n">
        <v>0</v>
      </c>
      <c r="N507" t="n">
        <v>0</v>
      </c>
      <c r="O507" t="n">
        <v>0</v>
      </c>
      <c r="P507" t="n">
        <v>0</v>
      </c>
      <c r="Q507" t="n">
        <v>0</v>
      </c>
      <c r="R507" s="2" t="inlineStr"/>
    </row>
    <row r="508" ht="15" customHeight="1">
      <c r="A508" t="inlineStr">
        <is>
          <t>A 32748-2019</t>
        </is>
      </c>
      <c r="B508" s="1" t="n">
        <v>43647</v>
      </c>
      <c r="C508" s="1" t="n">
        <v>45648</v>
      </c>
      <c r="D508" t="inlineStr">
        <is>
          <t>JÄMTLANDS LÄN</t>
        </is>
      </c>
      <c r="E508" t="inlineStr">
        <is>
          <t>STRÖMSUND</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32974-2019</t>
        </is>
      </c>
      <c r="B509" s="1" t="n">
        <v>43648</v>
      </c>
      <c r="C509" s="1" t="n">
        <v>45648</v>
      </c>
      <c r="D509" t="inlineStr">
        <is>
          <t>JÄMTLANDS LÄN</t>
        </is>
      </c>
      <c r="E509" t="inlineStr">
        <is>
          <t>STRÖMSUND</t>
        </is>
      </c>
      <c r="G509" t="n">
        <v>2.8</v>
      </c>
      <c r="H509" t="n">
        <v>0</v>
      </c>
      <c r="I509" t="n">
        <v>0</v>
      </c>
      <c r="J509" t="n">
        <v>0</v>
      </c>
      <c r="K509" t="n">
        <v>0</v>
      </c>
      <c r="L509" t="n">
        <v>0</v>
      </c>
      <c r="M509" t="n">
        <v>0</v>
      </c>
      <c r="N509" t="n">
        <v>0</v>
      </c>
      <c r="O509" t="n">
        <v>0</v>
      </c>
      <c r="P509" t="n">
        <v>0</v>
      </c>
      <c r="Q509" t="n">
        <v>0</v>
      </c>
      <c r="R509" s="2" t="inlineStr"/>
    </row>
    <row r="510" ht="15" customHeight="1">
      <c r="A510" t="inlineStr">
        <is>
          <t>A 32973-2019</t>
        </is>
      </c>
      <c r="B510" s="1" t="n">
        <v>43648</v>
      </c>
      <c r="C510" s="1" t="n">
        <v>45648</v>
      </c>
      <c r="D510" t="inlineStr">
        <is>
          <t>JÄMTLANDS LÄN</t>
        </is>
      </c>
      <c r="E510" t="inlineStr">
        <is>
          <t>STRÖMSUND</t>
        </is>
      </c>
      <c r="G510" t="n">
        <v>3.5</v>
      </c>
      <c r="H510" t="n">
        <v>0</v>
      </c>
      <c r="I510" t="n">
        <v>0</v>
      </c>
      <c r="J510" t="n">
        <v>0</v>
      </c>
      <c r="K510" t="n">
        <v>0</v>
      </c>
      <c r="L510" t="n">
        <v>0</v>
      </c>
      <c r="M510" t="n">
        <v>0</v>
      </c>
      <c r="N510" t="n">
        <v>0</v>
      </c>
      <c r="O510" t="n">
        <v>0</v>
      </c>
      <c r="P510" t="n">
        <v>0</v>
      </c>
      <c r="Q510" t="n">
        <v>0</v>
      </c>
      <c r="R510" s="2" t="inlineStr"/>
    </row>
    <row r="511" ht="15" customHeight="1">
      <c r="A511" t="inlineStr">
        <is>
          <t>A 32971-2019</t>
        </is>
      </c>
      <c r="B511" s="1" t="n">
        <v>43648</v>
      </c>
      <c r="C511" s="1" t="n">
        <v>45648</v>
      </c>
      <c r="D511" t="inlineStr">
        <is>
          <t>JÄMTLANDS LÄN</t>
        </is>
      </c>
      <c r="E511" t="inlineStr">
        <is>
          <t>STRÖMSUND</t>
        </is>
      </c>
      <c r="G511" t="n">
        <v>0.9</v>
      </c>
      <c r="H511" t="n">
        <v>0</v>
      </c>
      <c r="I511" t="n">
        <v>0</v>
      </c>
      <c r="J511" t="n">
        <v>0</v>
      </c>
      <c r="K511" t="n">
        <v>0</v>
      </c>
      <c r="L511" t="n">
        <v>0</v>
      </c>
      <c r="M511" t="n">
        <v>0</v>
      </c>
      <c r="N511" t="n">
        <v>0</v>
      </c>
      <c r="O511" t="n">
        <v>0</v>
      </c>
      <c r="P511" t="n">
        <v>0</v>
      </c>
      <c r="Q511" t="n">
        <v>0</v>
      </c>
      <c r="R511" s="2" t="inlineStr"/>
    </row>
    <row r="512" ht="15" customHeight="1">
      <c r="A512" t="inlineStr">
        <is>
          <t>A 32975-2019</t>
        </is>
      </c>
      <c r="B512" s="1" t="n">
        <v>43648</v>
      </c>
      <c r="C512" s="1" t="n">
        <v>45648</v>
      </c>
      <c r="D512" t="inlineStr">
        <is>
          <t>JÄMTLANDS LÄN</t>
        </is>
      </c>
      <c r="E512" t="inlineStr">
        <is>
          <t>STRÖMSUND</t>
        </is>
      </c>
      <c r="G512" t="n">
        <v>2.3</v>
      </c>
      <c r="H512" t="n">
        <v>0</v>
      </c>
      <c r="I512" t="n">
        <v>0</v>
      </c>
      <c r="J512" t="n">
        <v>0</v>
      </c>
      <c r="K512" t="n">
        <v>0</v>
      </c>
      <c r="L512" t="n">
        <v>0</v>
      </c>
      <c r="M512" t="n">
        <v>0</v>
      </c>
      <c r="N512" t="n">
        <v>0</v>
      </c>
      <c r="O512" t="n">
        <v>0</v>
      </c>
      <c r="P512" t="n">
        <v>0</v>
      </c>
      <c r="Q512" t="n">
        <v>0</v>
      </c>
      <c r="R512" s="2" t="inlineStr"/>
    </row>
    <row r="513" ht="15" customHeight="1">
      <c r="A513" t="inlineStr">
        <is>
          <t>A 34758-2019</t>
        </is>
      </c>
      <c r="B513" s="1" t="n">
        <v>43649</v>
      </c>
      <c r="C513" s="1" t="n">
        <v>45648</v>
      </c>
      <c r="D513" t="inlineStr">
        <is>
          <t>JÄMTLANDS LÄN</t>
        </is>
      </c>
      <c r="E513" t="inlineStr">
        <is>
          <t>STRÖMSUND</t>
        </is>
      </c>
      <c r="G513" t="n">
        <v>2.2</v>
      </c>
      <c r="H513" t="n">
        <v>0</v>
      </c>
      <c r="I513" t="n">
        <v>0</v>
      </c>
      <c r="J513" t="n">
        <v>0</v>
      </c>
      <c r="K513" t="n">
        <v>0</v>
      </c>
      <c r="L513" t="n">
        <v>0</v>
      </c>
      <c r="M513" t="n">
        <v>0</v>
      </c>
      <c r="N513" t="n">
        <v>0</v>
      </c>
      <c r="O513" t="n">
        <v>0</v>
      </c>
      <c r="P513" t="n">
        <v>0</v>
      </c>
      <c r="Q513" t="n">
        <v>0</v>
      </c>
      <c r="R513" s="2" t="inlineStr"/>
    </row>
    <row r="514" ht="15" customHeight="1">
      <c r="A514" t="inlineStr">
        <is>
          <t>A 33538-2019</t>
        </is>
      </c>
      <c r="B514" s="1" t="n">
        <v>43651</v>
      </c>
      <c r="C514" s="1" t="n">
        <v>45648</v>
      </c>
      <c r="D514" t="inlineStr">
        <is>
          <t>JÄMTLANDS LÄN</t>
        </is>
      </c>
      <c r="E514" t="inlineStr">
        <is>
          <t>STRÖMSUND</t>
        </is>
      </c>
      <c r="F514" t="inlineStr">
        <is>
          <t>Holmen skog AB</t>
        </is>
      </c>
      <c r="G514" t="n">
        <v>15.6</v>
      </c>
      <c r="H514" t="n">
        <v>0</v>
      </c>
      <c r="I514" t="n">
        <v>0</v>
      </c>
      <c r="J514" t="n">
        <v>0</v>
      </c>
      <c r="K514" t="n">
        <v>0</v>
      </c>
      <c r="L514" t="n">
        <v>0</v>
      </c>
      <c r="M514" t="n">
        <v>0</v>
      </c>
      <c r="N514" t="n">
        <v>0</v>
      </c>
      <c r="O514" t="n">
        <v>0</v>
      </c>
      <c r="P514" t="n">
        <v>0</v>
      </c>
      <c r="Q514" t="n">
        <v>0</v>
      </c>
      <c r="R514" s="2" t="inlineStr"/>
    </row>
    <row r="515" ht="15" customHeight="1">
      <c r="A515" t="inlineStr">
        <is>
          <t>A 33701-2019</t>
        </is>
      </c>
      <c r="B515" s="1" t="n">
        <v>43651</v>
      </c>
      <c r="C515" s="1" t="n">
        <v>45648</v>
      </c>
      <c r="D515" t="inlineStr">
        <is>
          <t>JÄMTLANDS LÄN</t>
        </is>
      </c>
      <c r="E515" t="inlineStr">
        <is>
          <t>STRÖMSUND</t>
        </is>
      </c>
      <c r="F515" t="inlineStr">
        <is>
          <t>Holmen skog AB</t>
        </is>
      </c>
      <c r="G515" t="n">
        <v>21.7</v>
      </c>
      <c r="H515" t="n">
        <v>0</v>
      </c>
      <c r="I515" t="n">
        <v>0</v>
      </c>
      <c r="J515" t="n">
        <v>0</v>
      </c>
      <c r="K515" t="n">
        <v>0</v>
      </c>
      <c r="L515" t="n">
        <v>0</v>
      </c>
      <c r="M515" t="n">
        <v>0</v>
      </c>
      <c r="N515" t="n">
        <v>0</v>
      </c>
      <c r="O515" t="n">
        <v>0</v>
      </c>
      <c r="P515" t="n">
        <v>0</v>
      </c>
      <c r="Q515" t="n">
        <v>0</v>
      </c>
      <c r="R515" s="2" t="inlineStr"/>
    </row>
    <row r="516" ht="15" customHeight="1">
      <c r="A516" t="inlineStr">
        <is>
          <t>A 33825-2019</t>
        </is>
      </c>
      <c r="B516" s="1" t="n">
        <v>43651</v>
      </c>
      <c r="C516" s="1" t="n">
        <v>45648</v>
      </c>
      <c r="D516" t="inlineStr">
        <is>
          <t>JÄMTLANDS LÄN</t>
        </is>
      </c>
      <c r="E516" t="inlineStr">
        <is>
          <t>STRÖMSUND</t>
        </is>
      </c>
      <c r="F516" t="inlineStr">
        <is>
          <t>SCA</t>
        </is>
      </c>
      <c r="G516" t="n">
        <v>15.6</v>
      </c>
      <c r="H516" t="n">
        <v>0</v>
      </c>
      <c r="I516" t="n">
        <v>0</v>
      </c>
      <c r="J516" t="n">
        <v>0</v>
      </c>
      <c r="K516" t="n">
        <v>0</v>
      </c>
      <c r="L516" t="n">
        <v>0</v>
      </c>
      <c r="M516" t="n">
        <v>0</v>
      </c>
      <c r="N516" t="n">
        <v>0</v>
      </c>
      <c r="O516" t="n">
        <v>0</v>
      </c>
      <c r="P516" t="n">
        <v>0</v>
      </c>
      <c r="Q516" t="n">
        <v>0</v>
      </c>
      <c r="R516" s="2" t="inlineStr"/>
    </row>
    <row r="517" ht="15" customHeight="1">
      <c r="A517" t="inlineStr">
        <is>
          <t>A 33552-2019</t>
        </is>
      </c>
      <c r="B517" s="1" t="n">
        <v>43651</v>
      </c>
      <c r="C517" s="1" t="n">
        <v>45648</v>
      </c>
      <c r="D517" t="inlineStr">
        <is>
          <t>JÄMTLANDS LÄN</t>
        </is>
      </c>
      <c r="E517" t="inlineStr">
        <is>
          <t>STRÖMSUND</t>
        </is>
      </c>
      <c r="F517" t="inlineStr">
        <is>
          <t>Holmen skog AB</t>
        </is>
      </c>
      <c r="G517" t="n">
        <v>15.9</v>
      </c>
      <c r="H517" t="n">
        <v>0</v>
      </c>
      <c r="I517" t="n">
        <v>0</v>
      </c>
      <c r="J517" t="n">
        <v>0</v>
      </c>
      <c r="K517" t="n">
        <v>0</v>
      </c>
      <c r="L517" t="n">
        <v>0</v>
      </c>
      <c r="M517" t="n">
        <v>0</v>
      </c>
      <c r="N517" t="n">
        <v>0</v>
      </c>
      <c r="O517" t="n">
        <v>0</v>
      </c>
      <c r="P517" t="n">
        <v>0</v>
      </c>
      <c r="Q517" t="n">
        <v>0</v>
      </c>
      <c r="R517" s="2" t="inlineStr"/>
    </row>
    <row r="518" ht="15" customHeight="1">
      <c r="A518" t="inlineStr">
        <is>
          <t>A 34125-2019</t>
        </is>
      </c>
      <c r="B518" s="1" t="n">
        <v>43654</v>
      </c>
      <c r="C518" s="1" t="n">
        <v>45648</v>
      </c>
      <c r="D518" t="inlineStr">
        <is>
          <t>JÄMTLANDS LÄN</t>
        </is>
      </c>
      <c r="E518" t="inlineStr">
        <is>
          <t>STRÖMSUND</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34144-2019</t>
        </is>
      </c>
      <c r="B519" s="1" t="n">
        <v>43655</v>
      </c>
      <c r="C519" s="1" t="n">
        <v>45648</v>
      </c>
      <c r="D519" t="inlineStr">
        <is>
          <t>JÄMTLANDS LÄN</t>
        </is>
      </c>
      <c r="E519" t="inlineStr">
        <is>
          <t>STRÖMSUND</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34156-2019</t>
        </is>
      </c>
      <c r="B520" s="1" t="n">
        <v>43655</v>
      </c>
      <c r="C520" s="1" t="n">
        <v>45648</v>
      </c>
      <c r="D520" t="inlineStr">
        <is>
          <t>JÄMTLANDS LÄN</t>
        </is>
      </c>
      <c r="E520" t="inlineStr">
        <is>
          <t>STRÖMSUND</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34152-2019</t>
        </is>
      </c>
      <c r="B521" s="1" t="n">
        <v>43655</v>
      </c>
      <c r="C521" s="1" t="n">
        <v>45648</v>
      </c>
      <c r="D521" t="inlineStr">
        <is>
          <t>JÄMTLANDS LÄN</t>
        </is>
      </c>
      <c r="E521" t="inlineStr">
        <is>
          <t>STRÖMSUND</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34233-2019</t>
        </is>
      </c>
      <c r="B522" s="1" t="n">
        <v>43655</v>
      </c>
      <c r="C522" s="1" t="n">
        <v>45648</v>
      </c>
      <c r="D522" t="inlineStr">
        <is>
          <t>JÄMTLANDS LÄN</t>
        </is>
      </c>
      <c r="E522" t="inlineStr">
        <is>
          <t>STRÖMSUND</t>
        </is>
      </c>
      <c r="G522" t="n">
        <v>3.1</v>
      </c>
      <c r="H522" t="n">
        <v>0</v>
      </c>
      <c r="I522" t="n">
        <v>0</v>
      </c>
      <c r="J522" t="n">
        <v>0</v>
      </c>
      <c r="K522" t="n">
        <v>0</v>
      </c>
      <c r="L522" t="n">
        <v>0</v>
      </c>
      <c r="M522" t="n">
        <v>0</v>
      </c>
      <c r="N522" t="n">
        <v>0</v>
      </c>
      <c r="O522" t="n">
        <v>0</v>
      </c>
      <c r="P522" t="n">
        <v>0</v>
      </c>
      <c r="Q522" t="n">
        <v>0</v>
      </c>
      <c r="R522" s="2" t="inlineStr"/>
    </row>
    <row r="523" ht="15" customHeight="1">
      <c r="A523" t="inlineStr">
        <is>
          <t>A 34146-2019</t>
        </is>
      </c>
      <c r="B523" s="1" t="n">
        <v>43655</v>
      </c>
      <c r="C523" s="1" t="n">
        <v>45648</v>
      </c>
      <c r="D523" t="inlineStr">
        <is>
          <t>JÄMTLANDS LÄN</t>
        </is>
      </c>
      <c r="E523" t="inlineStr">
        <is>
          <t>STRÖMSUND</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35674-2019</t>
        </is>
      </c>
      <c r="B524" s="1" t="n">
        <v>43655</v>
      </c>
      <c r="C524" s="1" t="n">
        <v>45648</v>
      </c>
      <c r="D524" t="inlineStr">
        <is>
          <t>JÄMTLANDS LÄN</t>
        </is>
      </c>
      <c r="E524" t="inlineStr">
        <is>
          <t>STRÖMSUND</t>
        </is>
      </c>
      <c r="G524" t="n">
        <v>2.8</v>
      </c>
      <c r="H524" t="n">
        <v>0</v>
      </c>
      <c r="I524" t="n">
        <v>0</v>
      </c>
      <c r="J524" t="n">
        <v>0</v>
      </c>
      <c r="K524" t="n">
        <v>0</v>
      </c>
      <c r="L524" t="n">
        <v>0</v>
      </c>
      <c r="M524" t="n">
        <v>0</v>
      </c>
      <c r="N524" t="n">
        <v>0</v>
      </c>
      <c r="O524" t="n">
        <v>0</v>
      </c>
      <c r="P524" t="n">
        <v>0</v>
      </c>
      <c r="Q524" t="n">
        <v>0</v>
      </c>
      <c r="R524" s="2" t="inlineStr"/>
    </row>
    <row r="525" ht="15" customHeight="1">
      <c r="A525" t="inlineStr">
        <is>
          <t>A 34219-2019</t>
        </is>
      </c>
      <c r="B525" s="1" t="n">
        <v>43655</v>
      </c>
      <c r="C525" s="1" t="n">
        <v>45648</v>
      </c>
      <c r="D525" t="inlineStr">
        <is>
          <t>JÄMTLANDS LÄN</t>
        </is>
      </c>
      <c r="E525" t="inlineStr">
        <is>
          <t>STRÖMSUND</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34741-2019</t>
        </is>
      </c>
      <c r="B526" s="1" t="n">
        <v>43657</v>
      </c>
      <c r="C526" s="1" t="n">
        <v>45648</v>
      </c>
      <c r="D526" t="inlineStr">
        <is>
          <t>JÄMTLANDS LÄN</t>
        </is>
      </c>
      <c r="E526" t="inlineStr">
        <is>
          <t>STRÖMSUND</t>
        </is>
      </c>
      <c r="F526" t="inlineStr">
        <is>
          <t>SCA</t>
        </is>
      </c>
      <c r="G526" t="n">
        <v>11.3</v>
      </c>
      <c r="H526" t="n">
        <v>0</v>
      </c>
      <c r="I526" t="n">
        <v>0</v>
      </c>
      <c r="J526" t="n">
        <v>0</v>
      </c>
      <c r="K526" t="n">
        <v>0</v>
      </c>
      <c r="L526" t="n">
        <v>0</v>
      </c>
      <c r="M526" t="n">
        <v>0</v>
      </c>
      <c r="N526" t="n">
        <v>0</v>
      </c>
      <c r="O526" t="n">
        <v>0</v>
      </c>
      <c r="P526" t="n">
        <v>0</v>
      </c>
      <c r="Q526" t="n">
        <v>0</v>
      </c>
      <c r="R526" s="2" t="inlineStr"/>
    </row>
    <row r="527" ht="15" customHeight="1">
      <c r="A527" t="inlineStr">
        <is>
          <t>A 36193-2019</t>
        </is>
      </c>
      <c r="B527" s="1" t="n">
        <v>43657</v>
      </c>
      <c r="C527" s="1" t="n">
        <v>45648</v>
      </c>
      <c r="D527" t="inlineStr">
        <is>
          <t>JÄMTLANDS LÄN</t>
        </is>
      </c>
      <c r="E527" t="inlineStr">
        <is>
          <t>STRÖMSUND</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34794-2019</t>
        </is>
      </c>
      <c r="B528" s="1" t="n">
        <v>43658</v>
      </c>
      <c r="C528" s="1" t="n">
        <v>45648</v>
      </c>
      <c r="D528" t="inlineStr">
        <is>
          <t>JÄMTLANDS LÄN</t>
        </is>
      </c>
      <c r="E528" t="inlineStr">
        <is>
          <t>STRÖMSUND</t>
        </is>
      </c>
      <c r="F528" t="inlineStr">
        <is>
          <t>Sveaskog</t>
        </is>
      </c>
      <c r="G528" t="n">
        <v>9.5</v>
      </c>
      <c r="H528" t="n">
        <v>0</v>
      </c>
      <c r="I528" t="n">
        <v>0</v>
      </c>
      <c r="J528" t="n">
        <v>0</v>
      </c>
      <c r="K528" t="n">
        <v>0</v>
      </c>
      <c r="L528" t="n">
        <v>0</v>
      </c>
      <c r="M528" t="n">
        <v>0</v>
      </c>
      <c r="N528" t="n">
        <v>0</v>
      </c>
      <c r="O528" t="n">
        <v>0</v>
      </c>
      <c r="P528" t="n">
        <v>0</v>
      </c>
      <c r="Q528" t="n">
        <v>0</v>
      </c>
      <c r="R528" s="2" t="inlineStr"/>
    </row>
    <row r="529" ht="15" customHeight="1">
      <c r="A529" t="inlineStr">
        <is>
          <t>A 35323-2019</t>
        </is>
      </c>
      <c r="B529" s="1" t="n">
        <v>43662</v>
      </c>
      <c r="C529" s="1" t="n">
        <v>45648</v>
      </c>
      <c r="D529" t="inlineStr">
        <is>
          <t>JÄMTLANDS LÄN</t>
        </is>
      </c>
      <c r="E529" t="inlineStr">
        <is>
          <t>STRÖMSUND</t>
        </is>
      </c>
      <c r="F529" t="inlineStr">
        <is>
          <t>SCA</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35472-2019</t>
        </is>
      </c>
      <c r="B530" s="1" t="n">
        <v>43663</v>
      </c>
      <c r="C530" s="1" t="n">
        <v>45648</v>
      </c>
      <c r="D530" t="inlineStr">
        <is>
          <t>JÄMTLANDS LÄN</t>
        </is>
      </c>
      <c r="E530" t="inlineStr">
        <is>
          <t>STRÖMSUND</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35442-2019</t>
        </is>
      </c>
      <c r="B531" s="1" t="n">
        <v>43663</v>
      </c>
      <c r="C531" s="1" t="n">
        <v>45648</v>
      </c>
      <c r="D531" t="inlineStr">
        <is>
          <t>JÄMTLANDS LÄN</t>
        </is>
      </c>
      <c r="E531" t="inlineStr">
        <is>
          <t>STRÖMSUND</t>
        </is>
      </c>
      <c r="F531" t="inlineStr">
        <is>
          <t>Holmen skog AB</t>
        </is>
      </c>
      <c r="G531" t="n">
        <v>5</v>
      </c>
      <c r="H531" t="n">
        <v>0</v>
      </c>
      <c r="I531" t="n">
        <v>0</v>
      </c>
      <c r="J531" t="n">
        <v>0</v>
      </c>
      <c r="K531" t="n">
        <v>0</v>
      </c>
      <c r="L531" t="n">
        <v>0</v>
      </c>
      <c r="M531" t="n">
        <v>0</v>
      </c>
      <c r="N531" t="n">
        <v>0</v>
      </c>
      <c r="O531" t="n">
        <v>0</v>
      </c>
      <c r="P531" t="n">
        <v>0</v>
      </c>
      <c r="Q531" t="n">
        <v>0</v>
      </c>
      <c r="R531" s="2" t="inlineStr"/>
    </row>
    <row r="532" ht="15" customHeight="1">
      <c r="A532" t="inlineStr">
        <is>
          <t>A 35621-2019</t>
        </is>
      </c>
      <c r="B532" s="1" t="n">
        <v>43664</v>
      </c>
      <c r="C532" s="1" t="n">
        <v>45648</v>
      </c>
      <c r="D532" t="inlineStr">
        <is>
          <t>JÄMTLANDS LÄN</t>
        </is>
      </c>
      <c r="E532" t="inlineStr">
        <is>
          <t>STRÖMSUND</t>
        </is>
      </c>
      <c r="G532" t="n">
        <v>35.5</v>
      </c>
      <c r="H532" t="n">
        <v>0</v>
      </c>
      <c r="I532" t="n">
        <v>0</v>
      </c>
      <c r="J532" t="n">
        <v>0</v>
      </c>
      <c r="K532" t="n">
        <v>0</v>
      </c>
      <c r="L532" t="n">
        <v>0</v>
      </c>
      <c r="M532" t="n">
        <v>0</v>
      </c>
      <c r="N532" t="n">
        <v>0</v>
      </c>
      <c r="O532" t="n">
        <v>0</v>
      </c>
      <c r="P532" t="n">
        <v>0</v>
      </c>
      <c r="Q532" t="n">
        <v>0</v>
      </c>
      <c r="R532" s="2" t="inlineStr"/>
    </row>
    <row r="533" ht="15" customHeight="1">
      <c r="A533" t="inlineStr">
        <is>
          <t>A 37879-2019</t>
        </is>
      </c>
      <c r="B533" s="1" t="n">
        <v>43682</v>
      </c>
      <c r="C533" s="1" t="n">
        <v>45648</v>
      </c>
      <c r="D533" t="inlineStr">
        <is>
          <t>JÄMTLANDS LÄN</t>
        </is>
      </c>
      <c r="E533" t="inlineStr">
        <is>
          <t>STRÖMSUND</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37880-2019</t>
        </is>
      </c>
      <c r="B534" s="1" t="n">
        <v>43682</v>
      </c>
      <c r="C534" s="1" t="n">
        <v>45648</v>
      </c>
      <c r="D534" t="inlineStr">
        <is>
          <t>JÄMTLANDS LÄN</t>
        </is>
      </c>
      <c r="E534" t="inlineStr">
        <is>
          <t>STRÖMSUND</t>
        </is>
      </c>
      <c r="G534" t="n">
        <v>3.9</v>
      </c>
      <c r="H534" t="n">
        <v>0</v>
      </c>
      <c r="I534" t="n">
        <v>0</v>
      </c>
      <c r="J534" t="n">
        <v>0</v>
      </c>
      <c r="K534" t="n">
        <v>0</v>
      </c>
      <c r="L534" t="n">
        <v>0</v>
      </c>
      <c r="M534" t="n">
        <v>0</v>
      </c>
      <c r="N534" t="n">
        <v>0</v>
      </c>
      <c r="O534" t="n">
        <v>0</v>
      </c>
      <c r="P534" t="n">
        <v>0</v>
      </c>
      <c r="Q534" t="n">
        <v>0</v>
      </c>
      <c r="R534" s="2" t="inlineStr"/>
    </row>
    <row r="535" ht="15" customHeight="1">
      <c r="A535" t="inlineStr">
        <is>
          <t>A 38122-2019</t>
        </is>
      </c>
      <c r="B535" s="1" t="n">
        <v>43683</v>
      </c>
      <c r="C535" s="1" t="n">
        <v>45648</v>
      </c>
      <c r="D535" t="inlineStr">
        <is>
          <t>JÄMTLANDS LÄN</t>
        </is>
      </c>
      <c r="E535" t="inlineStr">
        <is>
          <t>STRÖMSUND</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38312-2019</t>
        </is>
      </c>
      <c r="B536" s="1" t="n">
        <v>43684</v>
      </c>
      <c r="C536" s="1" t="n">
        <v>45648</v>
      </c>
      <c r="D536" t="inlineStr">
        <is>
          <t>JÄMTLANDS LÄN</t>
        </is>
      </c>
      <c r="E536" t="inlineStr">
        <is>
          <t>STRÖMSUND</t>
        </is>
      </c>
      <c r="F536" t="inlineStr">
        <is>
          <t>SCA</t>
        </is>
      </c>
      <c r="G536" t="n">
        <v>4.1</v>
      </c>
      <c r="H536" t="n">
        <v>0</v>
      </c>
      <c r="I536" t="n">
        <v>0</v>
      </c>
      <c r="J536" t="n">
        <v>0</v>
      </c>
      <c r="K536" t="n">
        <v>0</v>
      </c>
      <c r="L536" t="n">
        <v>0</v>
      </c>
      <c r="M536" t="n">
        <v>0</v>
      </c>
      <c r="N536" t="n">
        <v>0</v>
      </c>
      <c r="O536" t="n">
        <v>0</v>
      </c>
      <c r="P536" t="n">
        <v>0</v>
      </c>
      <c r="Q536" t="n">
        <v>0</v>
      </c>
      <c r="R536" s="2" t="inlineStr"/>
    </row>
    <row r="537" ht="15" customHeight="1">
      <c r="A537" t="inlineStr">
        <is>
          <t>A 38578-2019</t>
        </is>
      </c>
      <c r="B537" s="1" t="n">
        <v>43685</v>
      </c>
      <c r="C537" s="1" t="n">
        <v>45648</v>
      </c>
      <c r="D537" t="inlineStr">
        <is>
          <t>JÄMTLANDS LÄN</t>
        </is>
      </c>
      <c r="E537" t="inlineStr">
        <is>
          <t>STRÖMSUND</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38577-2019</t>
        </is>
      </c>
      <c r="B538" s="1" t="n">
        <v>43685</v>
      </c>
      <c r="C538" s="1" t="n">
        <v>45648</v>
      </c>
      <c r="D538" t="inlineStr">
        <is>
          <t>JÄMTLANDS LÄN</t>
        </is>
      </c>
      <c r="E538" t="inlineStr">
        <is>
          <t>STRÖMSUND</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39129-2019</t>
        </is>
      </c>
      <c r="B539" s="1" t="n">
        <v>43689</v>
      </c>
      <c r="C539" s="1" t="n">
        <v>45648</v>
      </c>
      <c r="D539" t="inlineStr">
        <is>
          <t>JÄMTLANDS LÄN</t>
        </is>
      </c>
      <c r="E539" t="inlineStr">
        <is>
          <t>STRÖMSUND</t>
        </is>
      </c>
      <c r="F539" t="inlineStr">
        <is>
          <t>SCA</t>
        </is>
      </c>
      <c r="G539" t="n">
        <v>67.2</v>
      </c>
      <c r="H539" t="n">
        <v>0</v>
      </c>
      <c r="I539" t="n">
        <v>0</v>
      </c>
      <c r="J539" t="n">
        <v>0</v>
      </c>
      <c r="K539" t="n">
        <v>0</v>
      </c>
      <c r="L539" t="n">
        <v>0</v>
      </c>
      <c r="M539" t="n">
        <v>0</v>
      </c>
      <c r="N539" t="n">
        <v>0</v>
      </c>
      <c r="O539" t="n">
        <v>0</v>
      </c>
      <c r="P539" t="n">
        <v>0</v>
      </c>
      <c r="Q539" t="n">
        <v>0</v>
      </c>
      <c r="R539" s="2" t="inlineStr"/>
    </row>
    <row r="540" ht="15" customHeight="1">
      <c r="A540" t="inlineStr">
        <is>
          <t>A 39226-2019</t>
        </is>
      </c>
      <c r="B540" s="1" t="n">
        <v>43690</v>
      </c>
      <c r="C540" s="1" t="n">
        <v>45648</v>
      </c>
      <c r="D540" t="inlineStr">
        <is>
          <t>JÄMTLANDS LÄN</t>
        </is>
      </c>
      <c r="E540" t="inlineStr">
        <is>
          <t>STRÖMSUND</t>
        </is>
      </c>
      <c r="G540" t="n">
        <v>3.3</v>
      </c>
      <c r="H540" t="n">
        <v>0</v>
      </c>
      <c r="I540" t="n">
        <v>0</v>
      </c>
      <c r="J540" t="n">
        <v>0</v>
      </c>
      <c r="K540" t="n">
        <v>0</v>
      </c>
      <c r="L540" t="n">
        <v>0</v>
      </c>
      <c r="M540" t="n">
        <v>0</v>
      </c>
      <c r="N540" t="n">
        <v>0</v>
      </c>
      <c r="O540" t="n">
        <v>0</v>
      </c>
      <c r="P540" t="n">
        <v>0</v>
      </c>
      <c r="Q540" t="n">
        <v>0</v>
      </c>
      <c r="R540" s="2" t="inlineStr"/>
    </row>
    <row r="541" ht="15" customHeight="1">
      <c r="A541" t="inlineStr">
        <is>
          <t>A 39282-2019</t>
        </is>
      </c>
      <c r="B541" s="1" t="n">
        <v>43690</v>
      </c>
      <c r="C541" s="1" t="n">
        <v>45648</v>
      </c>
      <c r="D541" t="inlineStr">
        <is>
          <t>JÄMTLANDS LÄN</t>
        </is>
      </c>
      <c r="E541" t="inlineStr">
        <is>
          <t>STRÖMSUND</t>
        </is>
      </c>
      <c r="F541" t="inlineStr">
        <is>
          <t>Holmen skog AB</t>
        </is>
      </c>
      <c r="G541" t="n">
        <v>21.2</v>
      </c>
      <c r="H541" t="n">
        <v>0</v>
      </c>
      <c r="I541" t="n">
        <v>0</v>
      </c>
      <c r="J541" t="n">
        <v>0</v>
      </c>
      <c r="K541" t="n">
        <v>0</v>
      </c>
      <c r="L541" t="n">
        <v>0</v>
      </c>
      <c r="M541" t="n">
        <v>0</v>
      </c>
      <c r="N541" t="n">
        <v>0</v>
      </c>
      <c r="O541" t="n">
        <v>0</v>
      </c>
      <c r="P541" t="n">
        <v>0</v>
      </c>
      <c r="Q541" t="n">
        <v>0</v>
      </c>
      <c r="R541" s="2" t="inlineStr"/>
    </row>
    <row r="542" ht="15" customHeight="1">
      <c r="A542" t="inlineStr">
        <is>
          <t>A 40509-2019</t>
        </is>
      </c>
      <c r="B542" s="1" t="n">
        <v>43696</v>
      </c>
      <c r="C542" s="1" t="n">
        <v>45648</v>
      </c>
      <c r="D542" t="inlineStr">
        <is>
          <t>JÄMTLANDS LÄN</t>
        </is>
      </c>
      <c r="E542" t="inlineStr">
        <is>
          <t>STRÖMSUND</t>
        </is>
      </c>
      <c r="G542" t="n">
        <v>16.4</v>
      </c>
      <c r="H542" t="n">
        <v>0</v>
      </c>
      <c r="I542" t="n">
        <v>0</v>
      </c>
      <c r="J542" t="n">
        <v>0</v>
      </c>
      <c r="K542" t="n">
        <v>0</v>
      </c>
      <c r="L542" t="n">
        <v>0</v>
      </c>
      <c r="M542" t="n">
        <v>0</v>
      </c>
      <c r="N542" t="n">
        <v>0</v>
      </c>
      <c r="O542" t="n">
        <v>0</v>
      </c>
      <c r="P542" t="n">
        <v>0</v>
      </c>
      <c r="Q542" t="n">
        <v>0</v>
      </c>
      <c r="R542" s="2" t="inlineStr"/>
    </row>
    <row r="543" ht="15" customHeight="1">
      <c r="A543" t="inlineStr">
        <is>
          <t>A 40661-2019</t>
        </is>
      </c>
      <c r="B543" s="1" t="n">
        <v>43696</v>
      </c>
      <c r="C543" s="1" t="n">
        <v>45648</v>
      </c>
      <c r="D543" t="inlineStr">
        <is>
          <t>JÄMTLANDS LÄN</t>
        </is>
      </c>
      <c r="E543" t="inlineStr">
        <is>
          <t>STRÖMSUND</t>
        </is>
      </c>
      <c r="G543" t="n">
        <v>2.9</v>
      </c>
      <c r="H543" t="n">
        <v>0</v>
      </c>
      <c r="I543" t="n">
        <v>0</v>
      </c>
      <c r="J543" t="n">
        <v>0</v>
      </c>
      <c r="K543" t="n">
        <v>0</v>
      </c>
      <c r="L543" t="n">
        <v>0</v>
      </c>
      <c r="M543" t="n">
        <v>0</v>
      </c>
      <c r="N543" t="n">
        <v>0</v>
      </c>
      <c r="O543" t="n">
        <v>0</v>
      </c>
      <c r="P543" t="n">
        <v>0</v>
      </c>
      <c r="Q543" t="n">
        <v>0</v>
      </c>
      <c r="R543" s="2" t="inlineStr"/>
    </row>
    <row r="544" ht="15" customHeight="1">
      <c r="A544" t="inlineStr">
        <is>
          <t>A 40670-2019</t>
        </is>
      </c>
      <c r="B544" s="1" t="n">
        <v>43696</v>
      </c>
      <c r="C544" s="1" t="n">
        <v>45648</v>
      </c>
      <c r="D544" t="inlineStr">
        <is>
          <t>JÄMTLANDS LÄN</t>
        </is>
      </c>
      <c r="E544" t="inlineStr">
        <is>
          <t>STRÖMSUND</t>
        </is>
      </c>
      <c r="F544" t="inlineStr">
        <is>
          <t>SCA</t>
        </is>
      </c>
      <c r="G544" t="n">
        <v>8.9</v>
      </c>
      <c r="H544" t="n">
        <v>0</v>
      </c>
      <c r="I544" t="n">
        <v>0</v>
      </c>
      <c r="J544" t="n">
        <v>0</v>
      </c>
      <c r="K544" t="n">
        <v>0</v>
      </c>
      <c r="L544" t="n">
        <v>0</v>
      </c>
      <c r="M544" t="n">
        <v>0</v>
      </c>
      <c r="N544" t="n">
        <v>0</v>
      </c>
      <c r="O544" t="n">
        <v>0</v>
      </c>
      <c r="P544" t="n">
        <v>0</v>
      </c>
      <c r="Q544" t="n">
        <v>0</v>
      </c>
      <c r="R544" s="2" t="inlineStr"/>
    </row>
    <row r="545" ht="15" customHeight="1">
      <c r="A545" t="inlineStr">
        <is>
          <t>A 40508-2019</t>
        </is>
      </c>
      <c r="B545" s="1" t="n">
        <v>43696</v>
      </c>
      <c r="C545" s="1" t="n">
        <v>45648</v>
      </c>
      <c r="D545" t="inlineStr">
        <is>
          <t>JÄMTLANDS LÄN</t>
        </is>
      </c>
      <c r="E545" t="inlineStr">
        <is>
          <t>STRÖMSUND</t>
        </is>
      </c>
      <c r="G545" t="n">
        <v>3.3</v>
      </c>
      <c r="H545" t="n">
        <v>0</v>
      </c>
      <c r="I545" t="n">
        <v>0</v>
      </c>
      <c r="J545" t="n">
        <v>0</v>
      </c>
      <c r="K545" t="n">
        <v>0</v>
      </c>
      <c r="L545" t="n">
        <v>0</v>
      </c>
      <c r="M545" t="n">
        <v>0</v>
      </c>
      <c r="N545" t="n">
        <v>0</v>
      </c>
      <c r="O545" t="n">
        <v>0</v>
      </c>
      <c r="P545" t="n">
        <v>0</v>
      </c>
      <c r="Q545" t="n">
        <v>0</v>
      </c>
      <c r="R545" s="2" t="inlineStr"/>
    </row>
    <row r="546" ht="15" customHeight="1">
      <c r="A546" t="inlineStr">
        <is>
          <t>A 41007-2019</t>
        </is>
      </c>
      <c r="B546" s="1" t="n">
        <v>43697</v>
      </c>
      <c r="C546" s="1" t="n">
        <v>45648</v>
      </c>
      <c r="D546" t="inlineStr">
        <is>
          <t>JÄMTLANDS LÄN</t>
        </is>
      </c>
      <c r="E546" t="inlineStr">
        <is>
          <t>STRÖMSUND</t>
        </is>
      </c>
      <c r="G546" t="n">
        <v>7.2</v>
      </c>
      <c r="H546" t="n">
        <v>0</v>
      </c>
      <c r="I546" t="n">
        <v>0</v>
      </c>
      <c r="J546" t="n">
        <v>0</v>
      </c>
      <c r="K546" t="n">
        <v>0</v>
      </c>
      <c r="L546" t="n">
        <v>0</v>
      </c>
      <c r="M546" t="n">
        <v>0</v>
      </c>
      <c r="N546" t="n">
        <v>0</v>
      </c>
      <c r="O546" t="n">
        <v>0</v>
      </c>
      <c r="P546" t="n">
        <v>0</v>
      </c>
      <c r="Q546" t="n">
        <v>0</v>
      </c>
      <c r="R546" s="2" t="inlineStr"/>
    </row>
    <row r="547" ht="15" customHeight="1">
      <c r="A547" t="inlineStr">
        <is>
          <t>A 41042-2019</t>
        </is>
      </c>
      <c r="B547" s="1" t="n">
        <v>43697</v>
      </c>
      <c r="C547" s="1" t="n">
        <v>45648</v>
      </c>
      <c r="D547" t="inlineStr">
        <is>
          <t>JÄMTLANDS LÄN</t>
        </is>
      </c>
      <c r="E547" t="inlineStr">
        <is>
          <t>STRÖMSUND</t>
        </is>
      </c>
      <c r="F547" t="inlineStr">
        <is>
          <t>SCA</t>
        </is>
      </c>
      <c r="G547" t="n">
        <v>58.2</v>
      </c>
      <c r="H547" t="n">
        <v>0</v>
      </c>
      <c r="I547" t="n">
        <v>0</v>
      </c>
      <c r="J547" t="n">
        <v>0</v>
      </c>
      <c r="K547" t="n">
        <v>0</v>
      </c>
      <c r="L547" t="n">
        <v>0</v>
      </c>
      <c r="M547" t="n">
        <v>0</v>
      </c>
      <c r="N547" t="n">
        <v>0</v>
      </c>
      <c r="O547" t="n">
        <v>0</v>
      </c>
      <c r="P547" t="n">
        <v>0</v>
      </c>
      <c r="Q547" t="n">
        <v>0</v>
      </c>
      <c r="R547" s="2" t="inlineStr"/>
    </row>
    <row r="548" ht="15" customHeight="1">
      <c r="A548" t="inlineStr">
        <is>
          <t>A 42420-2019</t>
        </is>
      </c>
      <c r="B548" s="1" t="n">
        <v>43703</v>
      </c>
      <c r="C548" s="1" t="n">
        <v>45648</v>
      </c>
      <c r="D548" t="inlineStr">
        <is>
          <t>JÄMTLANDS LÄN</t>
        </is>
      </c>
      <c r="E548" t="inlineStr">
        <is>
          <t>STRÖMSUND</t>
        </is>
      </c>
      <c r="G548" t="n">
        <v>8.4</v>
      </c>
      <c r="H548" t="n">
        <v>0</v>
      </c>
      <c r="I548" t="n">
        <v>0</v>
      </c>
      <c r="J548" t="n">
        <v>0</v>
      </c>
      <c r="K548" t="n">
        <v>0</v>
      </c>
      <c r="L548" t="n">
        <v>0</v>
      </c>
      <c r="M548" t="n">
        <v>0</v>
      </c>
      <c r="N548" t="n">
        <v>0</v>
      </c>
      <c r="O548" t="n">
        <v>0</v>
      </c>
      <c r="P548" t="n">
        <v>0</v>
      </c>
      <c r="Q548" t="n">
        <v>0</v>
      </c>
      <c r="R548" s="2" t="inlineStr"/>
    </row>
    <row r="549" ht="15" customHeight="1">
      <c r="A549" t="inlineStr">
        <is>
          <t>A 43180-2019</t>
        </is>
      </c>
      <c r="B549" s="1" t="n">
        <v>43705</v>
      </c>
      <c r="C549" s="1" t="n">
        <v>45648</v>
      </c>
      <c r="D549" t="inlineStr">
        <is>
          <t>JÄMTLANDS LÄN</t>
        </is>
      </c>
      <c r="E549" t="inlineStr">
        <is>
          <t>STRÖMSUND</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43707-2019</t>
        </is>
      </c>
      <c r="B550" s="1" t="n">
        <v>43707</v>
      </c>
      <c r="C550" s="1" t="n">
        <v>45648</v>
      </c>
      <c r="D550" t="inlineStr">
        <is>
          <t>JÄMTLANDS LÄN</t>
        </is>
      </c>
      <c r="E550" t="inlineStr">
        <is>
          <t>STRÖMSUND</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43943-2019</t>
        </is>
      </c>
      <c r="B551" s="1" t="n">
        <v>43707</v>
      </c>
      <c r="C551" s="1" t="n">
        <v>45648</v>
      </c>
      <c r="D551" t="inlineStr">
        <is>
          <t>JÄMTLANDS LÄN</t>
        </is>
      </c>
      <c r="E551" t="inlineStr">
        <is>
          <t>STRÖMSUND</t>
        </is>
      </c>
      <c r="F551" t="inlineStr">
        <is>
          <t>SCA</t>
        </is>
      </c>
      <c r="G551" t="n">
        <v>11.9</v>
      </c>
      <c r="H551" t="n">
        <v>0</v>
      </c>
      <c r="I551" t="n">
        <v>0</v>
      </c>
      <c r="J551" t="n">
        <v>0</v>
      </c>
      <c r="K551" t="n">
        <v>0</v>
      </c>
      <c r="L551" t="n">
        <v>0</v>
      </c>
      <c r="M551" t="n">
        <v>0</v>
      </c>
      <c r="N551" t="n">
        <v>0</v>
      </c>
      <c r="O551" t="n">
        <v>0</v>
      </c>
      <c r="P551" t="n">
        <v>0</v>
      </c>
      <c r="Q551" t="n">
        <v>0</v>
      </c>
      <c r="R551" s="2" t="inlineStr"/>
    </row>
    <row r="552" ht="15" customHeight="1">
      <c r="A552" t="inlineStr">
        <is>
          <t>A 43793-2019</t>
        </is>
      </c>
      <c r="B552" s="1" t="n">
        <v>43707</v>
      </c>
      <c r="C552" s="1" t="n">
        <v>45648</v>
      </c>
      <c r="D552" t="inlineStr">
        <is>
          <t>JÄMTLANDS LÄN</t>
        </is>
      </c>
      <c r="E552" t="inlineStr">
        <is>
          <t>STRÖMSUND</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45171-2019</t>
        </is>
      </c>
      <c r="B553" s="1" t="n">
        <v>43707</v>
      </c>
      <c r="C553" s="1" t="n">
        <v>45648</v>
      </c>
      <c r="D553" t="inlineStr">
        <is>
          <t>JÄMTLANDS LÄN</t>
        </is>
      </c>
      <c r="E553" t="inlineStr">
        <is>
          <t>STRÖMSUND</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44010-2019</t>
        </is>
      </c>
      <c r="B554" s="1" t="n">
        <v>43709</v>
      </c>
      <c r="C554" s="1" t="n">
        <v>45648</v>
      </c>
      <c r="D554" t="inlineStr">
        <is>
          <t>JÄMTLANDS LÄN</t>
        </is>
      </c>
      <c r="E554" t="inlineStr">
        <is>
          <t>STRÖMSUND</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44535-2019</t>
        </is>
      </c>
      <c r="B555" s="1" t="n">
        <v>43711</v>
      </c>
      <c r="C555" s="1" t="n">
        <v>45648</v>
      </c>
      <c r="D555" t="inlineStr">
        <is>
          <t>JÄMTLANDS LÄN</t>
        </is>
      </c>
      <c r="E555" t="inlineStr">
        <is>
          <t>STRÖMSUND</t>
        </is>
      </c>
      <c r="G555" t="n">
        <v>23.8</v>
      </c>
      <c r="H555" t="n">
        <v>0</v>
      </c>
      <c r="I555" t="n">
        <v>0</v>
      </c>
      <c r="J555" t="n">
        <v>0</v>
      </c>
      <c r="K555" t="n">
        <v>0</v>
      </c>
      <c r="L555" t="n">
        <v>0</v>
      </c>
      <c r="M555" t="n">
        <v>0</v>
      </c>
      <c r="N555" t="n">
        <v>0</v>
      </c>
      <c r="O555" t="n">
        <v>0</v>
      </c>
      <c r="P555" t="n">
        <v>0</v>
      </c>
      <c r="Q555" t="n">
        <v>0</v>
      </c>
      <c r="R555" s="2" t="inlineStr"/>
    </row>
    <row r="556" ht="15" customHeight="1">
      <c r="A556" t="inlineStr">
        <is>
          <t>A 44604-2019</t>
        </is>
      </c>
      <c r="B556" s="1" t="n">
        <v>43711</v>
      </c>
      <c r="C556" s="1" t="n">
        <v>45648</v>
      </c>
      <c r="D556" t="inlineStr">
        <is>
          <t>JÄMTLANDS LÄN</t>
        </is>
      </c>
      <c r="E556" t="inlineStr">
        <is>
          <t>STRÖMSUND</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45773-2019</t>
        </is>
      </c>
      <c r="B557" s="1" t="n">
        <v>43711</v>
      </c>
      <c r="C557" s="1" t="n">
        <v>45648</v>
      </c>
      <c r="D557" t="inlineStr">
        <is>
          <t>JÄMTLANDS LÄN</t>
        </is>
      </c>
      <c r="E557" t="inlineStr">
        <is>
          <t>STRÖMSUND</t>
        </is>
      </c>
      <c r="G557" t="n">
        <v>3.2</v>
      </c>
      <c r="H557" t="n">
        <v>0</v>
      </c>
      <c r="I557" t="n">
        <v>0</v>
      </c>
      <c r="J557" t="n">
        <v>0</v>
      </c>
      <c r="K557" t="n">
        <v>0</v>
      </c>
      <c r="L557" t="n">
        <v>0</v>
      </c>
      <c r="M557" t="n">
        <v>0</v>
      </c>
      <c r="N557" t="n">
        <v>0</v>
      </c>
      <c r="O557" t="n">
        <v>0</v>
      </c>
      <c r="P557" t="n">
        <v>0</v>
      </c>
      <c r="Q557" t="n">
        <v>0</v>
      </c>
      <c r="R557" s="2" t="inlineStr"/>
    </row>
    <row r="558" ht="15" customHeight="1">
      <c r="A558" t="inlineStr">
        <is>
          <t>A 44605-2019</t>
        </is>
      </c>
      <c r="B558" s="1" t="n">
        <v>43711</v>
      </c>
      <c r="C558" s="1" t="n">
        <v>45648</v>
      </c>
      <c r="D558" t="inlineStr">
        <is>
          <t>JÄMTLANDS LÄN</t>
        </is>
      </c>
      <c r="E558" t="inlineStr">
        <is>
          <t>STRÖMSUND</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45737-2019</t>
        </is>
      </c>
      <c r="B559" s="1" t="n">
        <v>43711</v>
      </c>
      <c r="C559" s="1" t="n">
        <v>45648</v>
      </c>
      <c r="D559" t="inlineStr">
        <is>
          <t>JÄMTLANDS LÄN</t>
        </is>
      </c>
      <c r="E559" t="inlineStr">
        <is>
          <t>STRÖMSUND</t>
        </is>
      </c>
      <c r="F559" t="inlineStr">
        <is>
          <t>Holmen skog AB</t>
        </is>
      </c>
      <c r="G559" t="n">
        <v>9.5</v>
      </c>
      <c r="H559" t="n">
        <v>0</v>
      </c>
      <c r="I559" t="n">
        <v>0</v>
      </c>
      <c r="J559" t="n">
        <v>0</v>
      </c>
      <c r="K559" t="n">
        <v>0</v>
      </c>
      <c r="L559" t="n">
        <v>0</v>
      </c>
      <c r="M559" t="n">
        <v>0</v>
      </c>
      <c r="N559" t="n">
        <v>0</v>
      </c>
      <c r="O559" t="n">
        <v>0</v>
      </c>
      <c r="P559" t="n">
        <v>0</v>
      </c>
      <c r="Q559" t="n">
        <v>0</v>
      </c>
      <c r="R559" s="2" t="inlineStr"/>
    </row>
    <row r="560" ht="15" customHeight="1">
      <c r="A560" t="inlineStr">
        <is>
          <t>A 45776-2019</t>
        </is>
      </c>
      <c r="B560" s="1" t="n">
        <v>43711</v>
      </c>
      <c r="C560" s="1" t="n">
        <v>45648</v>
      </c>
      <c r="D560" t="inlineStr">
        <is>
          <t>JÄMTLANDS LÄN</t>
        </is>
      </c>
      <c r="E560" t="inlineStr">
        <is>
          <t>STRÖMSUND</t>
        </is>
      </c>
      <c r="G560" t="n">
        <v>3.6</v>
      </c>
      <c r="H560" t="n">
        <v>0</v>
      </c>
      <c r="I560" t="n">
        <v>0</v>
      </c>
      <c r="J560" t="n">
        <v>0</v>
      </c>
      <c r="K560" t="n">
        <v>0</v>
      </c>
      <c r="L560" t="n">
        <v>0</v>
      </c>
      <c r="M560" t="n">
        <v>0</v>
      </c>
      <c r="N560" t="n">
        <v>0</v>
      </c>
      <c r="O560" t="n">
        <v>0</v>
      </c>
      <c r="P560" t="n">
        <v>0</v>
      </c>
      <c r="Q560" t="n">
        <v>0</v>
      </c>
      <c r="R560" s="2" t="inlineStr"/>
    </row>
    <row r="561" ht="15" customHeight="1">
      <c r="A561" t="inlineStr">
        <is>
          <t>A 44774-2019</t>
        </is>
      </c>
      <c r="B561" s="1" t="n">
        <v>43712</v>
      </c>
      <c r="C561" s="1" t="n">
        <v>45648</v>
      </c>
      <c r="D561" t="inlineStr">
        <is>
          <t>JÄMTLANDS LÄN</t>
        </is>
      </c>
      <c r="E561" t="inlineStr">
        <is>
          <t>STRÖMSUND</t>
        </is>
      </c>
      <c r="G561" t="n">
        <v>4.6</v>
      </c>
      <c r="H561" t="n">
        <v>0</v>
      </c>
      <c r="I561" t="n">
        <v>0</v>
      </c>
      <c r="J561" t="n">
        <v>0</v>
      </c>
      <c r="K561" t="n">
        <v>0</v>
      </c>
      <c r="L561" t="n">
        <v>0</v>
      </c>
      <c r="M561" t="n">
        <v>0</v>
      </c>
      <c r="N561" t="n">
        <v>0</v>
      </c>
      <c r="O561" t="n">
        <v>0</v>
      </c>
      <c r="P561" t="n">
        <v>0</v>
      </c>
      <c r="Q561" t="n">
        <v>0</v>
      </c>
      <c r="R561" s="2" t="inlineStr"/>
    </row>
    <row r="562" ht="15" customHeight="1">
      <c r="A562" t="inlineStr">
        <is>
          <t>A 44809-2019</t>
        </is>
      </c>
      <c r="B562" s="1" t="n">
        <v>43712</v>
      </c>
      <c r="C562" s="1" t="n">
        <v>45648</v>
      </c>
      <c r="D562" t="inlineStr">
        <is>
          <t>JÄMTLANDS LÄN</t>
        </is>
      </c>
      <c r="E562" t="inlineStr">
        <is>
          <t>STRÖMSUND</t>
        </is>
      </c>
      <c r="F562" t="inlineStr">
        <is>
          <t>Kommuner</t>
        </is>
      </c>
      <c r="G562" t="n">
        <v>13.4</v>
      </c>
      <c r="H562" t="n">
        <v>0</v>
      </c>
      <c r="I562" t="n">
        <v>0</v>
      </c>
      <c r="J562" t="n">
        <v>0</v>
      </c>
      <c r="K562" t="n">
        <v>0</v>
      </c>
      <c r="L562" t="n">
        <v>0</v>
      </c>
      <c r="M562" t="n">
        <v>0</v>
      </c>
      <c r="N562" t="n">
        <v>0</v>
      </c>
      <c r="O562" t="n">
        <v>0</v>
      </c>
      <c r="P562" t="n">
        <v>0</v>
      </c>
      <c r="Q562" t="n">
        <v>0</v>
      </c>
      <c r="R562" s="2" t="inlineStr"/>
    </row>
    <row r="563" ht="15" customHeight="1">
      <c r="A563" t="inlineStr">
        <is>
          <t>A 44882-2019</t>
        </is>
      </c>
      <c r="B563" s="1" t="n">
        <v>43712</v>
      </c>
      <c r="C563" s="1" t="n">
        <v>45648</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44956-2019</t>
        </is>
      </c>
      <c r="B564" s="1" t="n">
        <v>43713</v>
      </c>
      <c r="C564" s="1" t="n">
        <v>45648</v>
      </c>
      <c r="D564" t="inlineStr">
        <is>
          <t>JÄMTLANDS LÄN</t>
        </is>
      </c>
      <c r="E564" t="inlineStr">
        <is>
          <t>STRÖMSUND</t>
        </is>
      </c>
      <c r="G564" t="n">
        <v>2.4</v>
      </c>
      <c r="H564" t="n">
        <v>0</v>
      </c>
      <c r="I564" t="n">
        <v>0</v>
      </c>
      <c r="J564" t="n">
        <v>0</v>
      </c>
      <c r="K564" t="n">
        <v>0</v>
      </c>
      <c r="L564" t="n">
        <v>0</v>
      </c>
      <c r="M564" t="n">
        <v>0</v>
      </c>
      <c r="N564" t="n">
        <v>0</v>
      </c>
      <c r="O564" t="n">
        <v>0</v>
      </c>
      <c r="P564" t="n">
        <v>0</v>
      </c>
      <c r="Q564" t="n">
        <v>0</v>
      </c>
      <c r="R564" s="2" t="inlineStr"/>
    </row>
    <row r="565" ht="15" customHeight="1">
      <c r="A565" t="inlineStr">
        <is>
          <t>A 45165-2019</t>
        </is>
      </c>
      <c r="B565" s="1" t="n">
        <v>43713</v>
      </c>
      <c r="C565" s="1" t="n">
        <v>45648</v>
      </c>
      <c r="D565" t="inlineStr">
        <is>
          <t>JÄMTLANDS LÄN</t>
        </is>
      </c>
      <c r="E565" t="inlineStr">
        <is>
          <t>STRÖMSUND</t>
        </is>
      </c>
      <c r="F565" t="inlineStr">
        <is>
          <t>Holmen skog AB</t>
        </is>
      </c>
      <c r="G565" t="n">
        <v>25.4</v>
      </c>
      <c r="H565" t="n">
        <v>0</v>
      </c>
      <c r="I565" t="n">
        <v>0</v>
      </c>
      <c r="J565" t="n">
        <v>0</v>
      </c>
      <c r="K565" t="n">
        <v>0</v>
      </c>
      <c r="L565" t="n">
        <v>0</v>
      </c>
      <c r="M565" t="n">
        <v>0</v>
      </c>
      <c r="N565" t="n">
        <v>0</v>
      </c>
      <c r="O565" t="n">
        <v>0</v>
      </c>
      <c r="P565" t="n">
        <v>0</v>
      </c>
      <c r="Q565" t="n">
        <v>0</v>
      </c>
      <c r="R565" s="2" t="inlineStr"/>
    </row>
    <row r="566" ht="15" customHeight="1">
      <c r="A566" t="inlineStr">
        <is>
          <t>A 45362-2019</t>
        </is>
      </c>
      <c r="B566" s="1" t="n">
        <v>43714</v>
      </c>
      <c r="C566" s="1" t="n">
        <v>45648</v>
      </c>
      <c r="D566" t="inlineStr">
        <is>
          <t>JÄMTLANDS LÄN</t>
        </is>
      </c>
      <c r="E566" t="inlineStr">
        <is>
          <t>STRÖMSUND</t>
        </is>
      </c>
      <c r="G566" t="n">
        <v>4.2</v>
      </c>
      <c r="H566" t="n">
        <v>0</v>
      </c>
      <c r="I566" t="n">
        <v>0</v>
      </c>
      <c r="J566" t="n">
        <v>0</v>
      </c>
      <c r="K566" t="n">
        <v>0</v>
      </c>
      <c r="L566" t="n">
        <v>0</v>
      </c>
      <c r="M566" t="n">
        <v>0</v>
      </c>
      <c r="N566" t="n">
        <v>0</v>
      </c>
      <c r="O566" t="n">
        <v>0</v>
      </c>
      <c r="P566" t="n">
        <v>0</v>
      </c>
      <c r="Q566" t="n">
        <v>0</v>
      </c>
      <c r="R566" s="2" t="inlineStr"/>
    </row>
    <row r="567" ht="15" customHeight="1">
      <c r="A567" t="inlineStr">
        <is>
          <t>A 45649-2019</t>
        </is>
      </c>
      <c r="B567" s="1" t="n">
        <v>43717</v>
      </c>
      <c r="C567" s="1" t="n">
        <v>45648</v>
      </c>
      <c r="D567" t="inlineStr">
        <is>
          <t>JÄMTLANDS LÄN</t>
        </is>
      </c>
      <c r="E567" t="inlineStr">
        <is>
          <t>STRÖMSUND</t>
        </is>
      </c>
      <c r="F567" t="inlineStr">
        <is>
          <t>Holmen skog AB</t>
        </is>
      </c>
      <c r="G567" t="n">
        <v>24.2</v>
      </c>
      <c r="H567" t="n">
        <v>0</v>
      </c>
      <c r="I567" t="n">
        <v>0</v>
      </c>
      <c r="J567" t="n">
        <v>0</v>
      </c>
      <c r="K567" t="n">
        <v>0</v>
      </c>
      <c r="L567" t="n">
        <v>0</v>
      </c>
      <c r="M567" t="n">
        <v>0</v>
      </c>
      <c r="N567" t="n">
        <v>0</v>
      </c>
      <c r="O567" t="n">
        <v>0</v>
      </c>
      <c r="P567" t="n">
        <v>0</v>
      </c>
      <c r="Q567" t="n">
        <v>0</v>
      </c>
      <c r="R567" s="2" t="inlineStr"/>
    </row>
    <row r="568" ht="15" customHeight="1">
      <c r="A568" t="inlineStr">
        <is>
          <t>A 45918-2019</t>
        </is>
      </c>
      <c r="B568" s="1" t="n">
        <v>43717</v>
      </c>
      <c r="C568" s="1" t="n">
        <v>45648</v>
      </c>
      <c r="D568" t="inlineStr">
        <is>
          <t>JÄMTLANDS LÄN</t>
        </is>
      </c>
      <c r="E568" t="inlineStr">
        <is>
          <t>STRÖMSUND</t>
        </is>
      </c>
      <c r="G568" t="n">
        <v>1.5</v>
      </c>
      <c r="H568" t="n">
        <v>0</v>
      </c>
      <c r="I568" t="n">
        <v>0</v>
      </c>
      <c r="J568" t="n">
        <v>0</v>
      </c>
      <c r="K568" t="n">
        <v>0</v>
      </c>
      <c r="L568" t="n">
        <v>0</v>
      </c>
      <c r="M568" t="n">
        <v>0</v>
      </c>
      <c r="N568" t="n">
        <v>0</v>
      </c>
      <c r="O568" t="n">
        <v>0</v>
      </c>
      <c r="P568" t="n">
        <v>0</v>
      </c>
      <c r="Q568" t="n">
        <v>0</v>
      </c>
      <c r="R568" s="2" t="inlineStr"/>
    </row>
    <row r="569" ht="15" customHeight="1">
      <c r="A569" t="inlineStr">
        <is>
          <t>A 45917-2019</t>
        </is>
      </c>
      <c r="B569" s="1" t="n">
        <v>43717</v>
      </c>
      <c r="C569" s="1" t="n">
        <v>45648</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45835-2019</t>
        </is>
      </c>
      <c r="B570" s="1" t="n">
        <v>43717</v>
      </c>
      <c r="C570" s="1" t="n">
        <v>45648</v>
      </c>
      <c r="D570" t="inlineStr">
        <is>
          <t>JÄMTLANDS LÄN</t>
        </is>
      </c>
      <c r="E570" t="inlineStr">
        <is>
          <t>STRÖMSUND</t>
        </is>
      </c>
      <c r="F570" t="inlineStr">
        <is>
          <t>Holmen skog AB</t>
        </is>
      </c>
      <c r="G570" t="n">
        <v>5.9</v>
      </c>
      <c r="H570" t="n">
        <v>0</v>
      </c>
      <c r="I570" t="n">
        <v>0</v>
      </c>
      <c r="J570" t="n">
        <v>0</v>
      </c>
      <c r="K570" t="n">
        <v>0</v>
      </c>
      <c r="L570" t="n">
        <v>0</v>
      </c>
      <c r="M570" t="n">
        <v>0</v>
      </c>
      <c r="N570" t="n">
        <v>0</v>
      </c>
      <c r="O570" t="n">
        <v>0</v>
      </c>
      <c r="P570" t="n">
        <v>0</v>
      </c>
      <c r="Q570" t="n">
        <v>0</v>
      </c>
      <c r="R570" s="2" t="inlineStr"/>
    </row>
    <row r="571" ht="15" customHeight="1">
      <c r="A571" t="inlineStr">
        <is>
          <t>A 45963-2019</t>
        </is>
      </c>
      <c r="B571" s="1" t="n">
        <v>43718</v>
      </c>
      <c r="C571" s="1" t="n">
        <v>45648</v>
      </c>
      <c r="D571" t="inlineStr">
        <is>
          <t>JÄMTLANDS LÄN</t>
        </is>
      </c>
      <c r="E571" t="inlineStr">
        <is>
          <t>STRÖMSUND</t>
        </is>
      </c>
      <c r="F571" t="inlineStr">
        <is>
          <t>Holmen skog AB</t>
        </is>
      </c>
      <c r="G571" t="n">
        <v>11.8</v>
      </c>
      <c r="H571" t="n">
        <v>0</v>
      </c>
      <c r="I571" t="n">
        <v>0</v>
      </c>
      <c r="J571" t="n">
        <v>0</v>
      </c>
      <c r="K571" t="n">
        <v>0</v>
      </c>
      <c r="L571" t="n">
        <v>0</v>
      </c>
      <c r="M571" t="n">
        <v>0</v>
      </c>
      <c r="N571" t="n">
        <v>0</v>
      </c>
      <c r="O571" t="n">
        <v>0</v>
      </c>
      <c r="P571" t="n">
        <v>0</v>
      </c>
      <c r="Q571" t="n">
        <v>0</v>
      </c>
      <c r="R571" s="2" t="inlineStr"/>
    </row>
    <row r="572" ht="15" customHeight="1">
      <c r="A572" t="inlineStr">
        <is>
          <t>A 47082-2019</t>
        </is>
      </c>
      <c r="B572" s="1" t="n">
        <v>43720</v>
      </c>
      <c r="C572" s="1" t="n">
        <v>45648</v>
      </c>
      <c r="D572" t="inlineStr">
        <is>
          <t>JÄMTLANDS LÄN</t>
        </is>
      </c>
      <c r="E572" t="inlineStr">
        <is>
          <t>STRÖMSUND</t>
        </is>
      </c>
      <c r="F572" t="inlineStr">
        <is>
          <t>SCA</t>
        </is>
      </c>
      <c r="G572" t="n">
        <v>11.6</v>
      </c>
      <c r="H572" t="n">
        <v>0</v>
      </c>
      <c r="I572" t="n">
        <v>0</v>
      </c>
      <c r="J572" t="n">
        <v>0</v>
      </c>
      <c r="K572" t="n">
        <v>0</v>
      </c>
      <c r="L572" t="n">
        <v>0</v>
      </c>
      <c r="M572" t="n">
        <v>0</v>
      </c>
      <c r="N572" t="n">
        <v>0</v>
      </c>
      <c r="O572" t="n">
        <v>0</v>
      </c>
      <c r="P572" t="n">
        <v>0</v>
      </c>
      <c r="Q572" t="n">
        <v>0</v>
      </c>
      <c r="R572" s="2" t="inlineStr"/>
    </row>
    <row r="573" ht="15" customHeight="1">
      <c r="A573" t="inlineStr">
        <is>
          <t>A 47410-2019</t>
        </is>
      </c>
      <c r="B573" s="1" t="n">
        <v>43723</v>
      </c>
      <c r="C573" s="1" t="n">
        <v>45648</v>
      </c>
      <c r="D573" t="inlineStr">
        <is>
          <t>JÄMTLANDS LÄN</t>
        </is>
      </c>
      <c r="E573" t="inlineStr">
        <is>
          <t>STRÖMSUND</t>
        </is>
      </c>
      <c r="G573" t="n">
        <v>5.4</v>
      </c>
      <c r="H573" t="n">
        <v>0</v>
      </c>
      <c r="I573" t="n">
        <v>0</v>
      </c>
      <c r="J573" t="n">
        <v>0</v>
      </c>
      <c r="K573" t="n">
        <v>0</v>
      </c>
      <c r="L573" t="n">
        <v>0</v>
      </c>
      <c r="M573" t="n">
        <v>0</v>
      </c>
      <c r="N573" t="n">
        <v>0</v>
      </c>
      <c r="O573" t="n">
        <v>0</v>
      </c>
      <c r="P573" t="n">
        <v>0</v>
      </c>
      <c r="Q573" t="n">
        <v>0</v>
      </c>
      <c r="R573" s="2" t="inlineStr"/>
    </row>
    <row r="574" ht="15" customHeight="1">
      <c r="A574" t="inlineStr">
        <is>
          <t>A 47531-2019</t>
        </is>
      </c>
      <c r="B574" s="1" t="n">
        <v>43724</v>
      </c>
      <c r="C574" s="1" t="n">
        <v>45648</v>
      </c>
      <c r="D574" t="inlineStr">
        <is>
          <t>JÄMTLANDS LÄN</t>
        </is>
      </c>
      <c r="E574" t="inlineStr">
        <is>
          <t>STRÖMSUND</t>
        </is>
      </c>
      <c r="G574" t="n">
        <v>30.4</v>
      </c>
      <c r="H574" t="n">
        <v>0</v>
      </c>
      <c r="I574" t="n">
        <v>0</v>
      </c>
      <c r="J574" t="n">
        <v>0</v>
      </c>
      <c r="K574" t="n">
        <v>0</v>
      </c>
      <c r="L574" t="n">
        <v>0</v>
      </c>
      <c r="M574" t="n">
        <v>0</v>
      </c>
      <c r="N574" t="n">
        <v>0</v>
      </c>
      <c r="O574" t="n">
        <v>0</v>
      </c>
      <c r="P574" t="n">
        <v>0</v>
      </c>
      <c r="Q574" t="n">
        <v>0</v>
      </c>
      <c r="R574" s="2" t="inlineStr"/>
    </row>
    <row r="575" ht="15" customHeight="1">
      <c r="A575" t="inlineStr">
        <is>
          <t>A 47811-2019</t>
        </is>
      </c>
      <c r="B575" s="1" t="n">
        <v>43724</v>
      </c>
      <c r="C575" s="1" t="n">
        <v>45648</v>
      </c>
      <c r="D575" t="inlineStr">
        <is>
          <t>JÄMTLANDS LÄN</t>
        </is>
      </c>
      <c r="E575" t="inlineStr">
        <is>
          <t>STRÖMSUND</t>
        </is>
      </c>
      <c r="F575" t="inlineStr">
        <is>
          <t>SCA</t>
        </is>
      </c>
      <c r="G575" t="n">
        <v>14.6</v>
      </c>
      <c r="H575" t="n">
        <v>0</v>
      </c>
      <c r="I575" t="n">
        <v>0</v>
      </c>
      <c r="J575" t="n">
        <v>0</v>
      </c>
      <c r="K575" t="n">
        <v>0</v>
      </c>
      <c r="L575" t="n">
        <v>0</v>
      </c>
      <c r="M575" t="n">
        <v>0</v>
      </c>
      <c r="N575" t="n">
        <v>0</v>
      </c>
      <c r="O575" t="n">
        <v>0</v>
      </c>
      <c r="P575" t="n">
        <v>0</v>
      </c>
      <c r="Q575" t="n">
        <v>0</v>
      </c>
      <c r="R575" s="2" t="inlineStr"/>
    </row>
    <row r="576" ht="15" customHeight="1">
      <c r="A576" t="inlineStr">
        <is>
          <t>A 48052-2019</t>
        </is>
      </c>
      <c r="B576" s="1" t="n">
        <v>43725</v>
      </c>
      <c r="C576" s="1" t="n">
        <v>45648</v>
      </c>
      <c r="D576" t="inlineStr">
        <is>
          <t>JÄMTLANDS LÄN</t>
        </is>
      </c>
      <c r="E576" t="inlineStr">
        <is>
          <t>STRÖMSUND</t>
        </is>
      </c>
      <c r="G576" t="n">
        <v>4.8</v>
      </c>
      <c r="H576" t="n">
        <v>0</v>
      </c>
      <c r="I576" t="n">
        <v>0</v>
      </c>
      <c r="J576" t="n">
        <v>0</v>
      </c>
      <c r="K576" t="n">
        <v>0</v>
      </c>
      <c r="L576" t="n">
        <v>0</v>
      </c>
      <c r="M576" t="n">
        <v>0</v>
      </c>
      <c r="N576" t="n">
        <v>0</v>
      </c>
      <c r="O576" t="n">
        <v>0</v>
      </c>
      <c r="P576" t="n">
        <v>0</v>
      </c>
      <c r="Q576" t="n">
        <v>0</v>
      </c>
      <c r="R576" s="2" t="inlineStr"/>
    </row>
    <row r="577" ht="15" customHeight="1">
      <c r="A577" t="inlineStr">
        <is>
          <t>A 48578-2019</t>
        </is>
      </c>
      <c r="B577" s="1" t="n">
        <v>43727</v>
      </c>
      <c r="C577" s="1" t="n">
        <v>45648</v>
      </c>
      <c r="D577" t="inlineStr">
        <is>
          <t>JÄMTLANDS LÄN</t>
        </is>
      </c>
      <c r="E577" t="inlineStr">
        <is>
          <t>STRÖMSUND</t>
        </is>
      </c>
      <c r="G577" t="n">
        <v>20.8</v>
      </c>
      <c r="H577" t="n">
        <v>0</v>
      </c>
      <c r="I577" t="n">
        <v>0</v>
      </c>
      <c r="J577" t="n">
        <v>0</v>
      </c>
      <c r="K577" t="n">
        <v>0</v>
      </c>
      <c r="L577" t="n">
        <v>0</v>
      </c>
      <c r="M577" t="n">
        <v>0</v>
      </c>
      <c r="N577" t="n">
        <v>0</v>
      </c>
      <c r="O577" t="n">
        <v>0</v>
      </c>
      <c r="P577" t="n">
        <v>0</v>
      </c>
      <c r="Q577" t="n">
        <v>0</v>
      </c>
      <c r="R577" s="2" t="inlineStr"/>
    </row>
    <row r="578" ht="15" customHeight="1">
      <c r="A578" t="inlineStr">
        <is>
          <t>A 48565-2019</t>
        </is>
      </c>
      <c r="B578" s="1" t="n">
        <v>43727</v>
      </c>
      <c r="C578" s="1" t="n">
        <v>45648</v>
      </c>
      <c r="D578" t="inlineStr">
        <is>
          <t>JÄMTLANDS LÄN</t>
        </is>
      </c>
      <c r="E578" t="inlineStr">
        <is>
          <t>STRÖMSUND</t>
        </is>
      </c>
      <c r="G578" t="n">
        <v>2.8</v>
      </c>
      <c r="H578" t="n">
        <v>0</v>
      </c>
      <c r="I578" t="n">
        <v>0</v>
      </c>
      <c r="J578" t="n">
        <v>0</v>
      </c>
      <c r="K578" t="n">
        <v>0</v>
      </c>
      <c r="L578" t="n">
        <v>0</v>
      </c>
      <c r="M578" t="n">
        <v>0</v>
      </c>
      <c r="N578" t="n">
        <v>0</v>
      </c>
      <c r="O578" t="n">
        <v>0</v>
      </c>
      <c r="P578" t="n">
        <v>0</v>
      </c>
      <c r="Q578" t="n">
        <v>0</v>
      </c>
      <c r="R578" s="2" t="inlineStr"/>
    </row>
    <row r="579" ht="15" customHeight="1">
      <c r="A579" t="inlineStr">
        <is>
          <t>A 48620-2019</t>
        </is>
      </c>
      <c r="B579" s="1" t="n">
        <v>43727</v>
      </c>
      <c r="C579" s="1" t="n">
        <v>45648</v>
      </c>
      <c r="D579" t="inlineStr">
        <is>
          <t>JÄMTLANDS LÄN</t>
        </is>
      </c>
      <c r="E579" t="inlineStr">
        <is>
          <t>STRÖMSUND</t>
        </is>
      </c>
      <c r="G579" t="n">
        <v>2.4</v>
      </c>
      <c r="H579" t="n">
        <v>0</v>
      </c>
      <c r="I579" t="n">
        <v>0</v>
      </c>
      <c r="J579" t="n">
        <v>0</v>
      </c>
      <c r="K579" t="n">
        <v>0</v>
      </c>
      <c r="L579" t="n">
        <v>0</v>
      </c>
      <c r="M579" t="n">
        <v>0</v>
      </c>
      <c r="N579" t="n">
        <v>0</v>
      </c>
      <c r="O579" t="n">
        <v>0</v>
      </c>
      <c r="P579" t="n">
        <v>0</v>
      </c>
      <c r="Q579" t="n">
        <v>0</v>
      </c>
      <c r="R579" s="2" t="inlineStr"/>
    </row>
    <row r="580" ht="15" customHeight="1">
      <c r="A580" t="inlineStr">
        <is>
          <t>A 48573-2019</t>
        </is>
      </c>
      <c r="B580" s="1" t="n">
        <v>43727</v>
      </c>
      <c r="C580" s="1" t="n">
        <v>45648</v>
      </c>
      <c r="D580" t="inlineStr">
        <is>
          <t>JÄMTLANDS LÄN</t>
        </is>
      </c>
      <c r="E580" t="inlineStr">
        <is>
          <t>STRÖMSUND</t>
        </is>
      </c>
      <c r="G580" t="n">
        <v>7.5</v>
      </c>
      <c r="H580" t="n">
        <v>0</v>
      </c>
      <c r="I580" t="n">
        <v>0</v>
      </c>
      <c r="J580" t="n">
        <v>0</v>
      </c>
      <c r="K580" t="n">
        <v>0</v>
      </c>
      <c r="L580" t="n">
        <v>0</v>
      </c>
      <c r="M580" t="n">
        <v>0</v>
      </c>
      <c r="N580" t="n">
        <v>0</v>
      </c>
      <c r="O580" t="n">
        <v>0</v>
      </c>
      <c r="P580" t="n">
        <v>0</v>
      </c>
      <c r="Q580" t="n">
        <v>0</v>
      </c>
      <c r="R580" s="2" t="inlineStr"/>
    </row>
    <row r="581" ht="15" customHeight="1">
      <c r="A581" t="inlineStr">
        <is>
          <t>A 48951-2019</t>
        </is>
      </c>
      <c r="B581" s="1" t="n">
        <v>43728</v>
      </c>
      <c r="C581" s="1" t="n">
        <v>45648</v>
      </c>
      <c r="D581" t="inlineStr">
        <is>
          <t>JÄMTLANDS LÄN</t>
        </is>
      </c>
      <c r="E581" t="inlineStr">
        <is>
          <t>STRÖMSUND</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48965-2019</t>
        </is>
      </c>
      <c r="B582" s="1" t="n">
        <v>43728</v>
      </c>
      <c r="C582" s="1" t="n">
        <v>45648</v>
      </c>
      <c r="D582" t="inlineStr">
        <is>
          <t>JÄMTLANDS LÄN</t>
        </is>
      </c>
      <c r="E582" t="inlineStr">
        <is>
          <t>STRÖMSUND</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49291-2019</t>
        </is>
      </c>
      <c r="B583" s="1" t="n">
        <v>43731</v>
      </c>
      <c r="C583" s="1" t="n">
        <v>45648</v>
      </c>
      <c r="D583" t="inlineStr">
        <is>
          <t>JÄMTLANDS LÄN</t>
        </is>
      </c>
      <c r="E583" t="inlineStr">
        <is>
          <t>STRÖMSUND</t>
        </is>
      </c>
      <c r="G583" t="n">
        <v>20.7</v>
      </c>
      <c r="H583" t="n">
        <v>0</v>
      </c>
      <c r="I583" t="n">
        <v>0</v>
      </c>
      <c r="J583" t="n">
        <v>0</v>
      </c>
      <c r="K583" t="n">
        <v>0</v>
      </c>
      <c r="L583" t="n">
        <v>0</v>
      </c>
      <c r="M583" t="n">
        <v>0</v>
      </c>
      <c r="N583" t="n">
        <v>0</v>
      </c>
      <c r="O583" t="n">
        <v>0</v>
      </c>
      <c r="P583" t="n">
        <v>0</v>
      </c>
      <c r="Q583" t="n">
        <v>0</v>
      </c>
      <c r="R583" s="2" t="inlineStr"/>
    </row>
    <row r="584" ht="15" customHeight="1">
      <c r="A584" t="inlineStr">
        <is>
          <t>A 49316-2019</t>
        </is>
      </c>
      <c r="B584" s="1" t="n">
        <v>43731</v>
      </c>
      <c r="C584" s="1" t="n">
        <v>45648</v>
      </c>
      <c r="D584" t="inlineStr">
        <is>
          <t>JÄMTLANDS LÄN</t>
        </is>
      </c>
      <c r="E584" t="inlineStr">
        <is>
          <t>STRÖMSUND</t>
        </is>
      </c>
      <c r="G584" t="n">
        <v>1</v>
      </c>
      <c r="H584" t="n">
        <v>0</v>
      </c>
      <c r="I584" t="n">
        <v>0</v>
      </c>
      <c r="J584" t="n">
        <v>0</v>
      </c>
      <c r="K584" t="n">
        <v>0</v>
      </c>
      <c r="L584" t="n">
        <v>0</v>
      </c>
      <c r="M584" t="n">
        <v>0</v>
      </c>
      <c r="N584" t="n">
        <v>0</v>
      </c>
      <c r="O584" t="n">
        <v>0</v>
      </c>
      <c r="P584" t="n">
        <v>0</v>
      </c>
      <c r="Q584" t="n">
        <v>0</v>
      </c>
      <c r="R584" s="2" t="inlineStr"/>
    </row>
    <row r="585" ht="15" customHeight="1">
      <c r="A585" t="inlineStr">
        <is>
          <t>A 50001-2019</t>
        </is>
      </c>
      <c r="B585" s="1" t="n">
        <v>43733</v>
      </c>
      <c r="C585" s="1" t="n">
        <v>45648</v>
      </c>
      <c r="D585" t="inlineStr">
        <is>
          <t>JÄMTLANDS LÄN</t>
        </is>
      </c>
      <c r="E585" t="inlineStr">
        <is>
          <t>STRÖMSUND</t>
        </is>
      </c>
      <c r="F585" t="inlineStr">
        <is>
          <t>SCA</t>
        </is>
      </c>
      <c r="G585" t="n">
        <v>5.3</v>
      </c>
      <c r="H585" t="n">
        <v>0</v>
      </c>
      <c r="I585" t="n">
        <v>0</v>
      </c>
      <c r="J585" t="n">
        <v>0</v>
      </c>
      <c r="K585" t="n">
        <v>0</v>
      </c>
      <c r="L585" t="n">
        <v>0</v>
      </c>
      <c r="M585" t="n">
        <v>0</v>
      </c>
      <c r="N585" t="n">
        <v>0</v>
      </c>
      <c r="O585" t="n">
        <v>0</v>
      </c>
      <c r="P585" t="n">
        <v>0</v>
      </c>
      <c r="Q585" t="n">
        <v>0</v>
      </c>
      <c r="R585" s="2" t="inlineStr"/>
    </row>
    <row r="586" ht="15" customHeight="1">
      <c r="A586" t="inlineStr">
        <is>
          <t>A 50305-2019</t>
        </is>
      </c>
      <c r="B586" s="1" t="n">
        <v>43734</v>
      </c>
      <c r="C586" s="1" t="n">
        <v>45648</v>
      </c>
      <c r="D586" t="inlineStr">
        <is>
          <t>JÄMTLANDS LÄN</t>
        </is>
      </c>
      <c r="E586" t="inlineStr">
        <is>
          <t>STRÖMSUND</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50302-2019</t>
        </is>
      </c>
      <c r="B587" s="1" t="n">
        <v>43734</v>
      </c>
      <c r="C587" s="1" t="n">
        <v>45648</v>
      </c>
      <c r="D587" t="inlineStr">
        <is>
          <t>JÄMTLANDS LÄN</t>
        </is>
      </c>
      <c r="E587" t="inlineStr">
        <is>
          <t>STRÖMSUND</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51008-2019</t>
        </is>
      </c>
      <c r="B588" s="1" t="n">
        <v>43738</v>
      </c>
      <c r="C588" s="1" t="n">
        <v>45648</v>
      </c>
      <c r="D588" t="inlineStr">
        <is>
          <t>JÄMTLANDS LÄN</t>
        </is>
      </c>
      <c r="E588" t="inlineStr">
        <is>
          <t>STRÖMSUND</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51183-2019</t>
        </is>
      </c>
      <c r="B589" s="1" t="n">
        <v>43739</v>
      </c>
      <c r="C589" s="1" t="n">
        <v>45648</v>
      </c>
      <c r="D589" t="inlineStr">
        <is>
          <t>JÄMTLANDS LÄN</t>
        </is>
      </c>
      <c r="E589" t="inlineStr">
        <is>
          <t>STRÖMSUND</t>
        </is>
      </c>
      <c r="F589" t="inlineStr">
        <is>
          <t>Sveaskog</t>
        </is>
      </c>
      <c r="G589" t="n">
        <v>6.9</v>
      </c>
      <c r="H589" t="n">
        <v>0</v>
      </c>
      <c r="I589" t="n">
        <v>0</v>
      </c>
      <c r="J589" t="n">
        <v>0</v>
      </c>
      <c r="K589" t="n">
        <v>0</v>
      </c>
      <c r="L589" t="n">
        <v>0</v>
      </c>
      <c r="M589" t="n">
        <v>0</v>
      </c>
      <c r="N589" t="n">
        <v>0</v>
      </c>
      <c r="O589" t="n">
        <v>0</v>
      </c>
      <c r="P589" t="n">
        <v>0</v>
      </c>
      <c r="Q589" t="n">
        <v>0</v>
      </c>
      <c r="R589" s="2" t="inlineStr"/>
    </row>
    <row r="590" ht="15" customHeight="1">
      <c r="A590" t="inlineStr">
        <is>
          <t>A 51015-2019</t>
        </is>
      </c>
      <c r="B590" s="1" t="n">
        <v>43739</v>
      </c>
      <c r="C590" s="1" t="n">
        <v>45648</v>
      </c>
      <c r="D590" t="inlineStr">
        <is>
          <t>JÄMTLANDS LÄN</t>
        </is>
      </c>
      <c r="E590" t="inlineStr">
        <is>
          <t>STRÖMSUND</t>
        </is>
      </c>
      <c r="G590" t="n">
        <v>2.1</v>
      </c>
      <c r="H590" t="n">
        <v>0</v>
      </c>
      <c r="I590" t="n">
        <v>0</v>
      </c>
      <c r="J590" t="n">
        <v>0</v>
      </c>
      <c r="K590" t="n">
        <v>0</v>
      </c>
      <c r="L590" t="n">
        <v>0</v>
      </c>
      <c r="M590" t="n">
        <v>0</v>
      </c>
      <c r="N590" t="n">
        <v>0</v>
      </c>
      <c r="O590" t="n">
        <v>0</v>
      </c>
      <c r="P590" t="n">
        <v>0</v>
      </c>
      <c r="Q590" t="n">
        <v>0</v>
      </c>
      <c r="R590" s="2" t="inlineStr"/>
    </row>
    <row r="591" ht="15" customHeight="1">
      <c r="A591" t="inlineStr">
        <is>
          <t>A 51951-2019</t>
        </is>
      </c>
      <c r="B591" s="1" t="n">
        <v>43741</v>
      </c>
      <c r="C591" s="1" t="n">
        <v>45648</v>
      </c>
      <c r="D591" t="inlineStr">
        <is>
          <t>JÄMTLANDS LÄN</t>
        </is>
      </c>
      <c r="E591" t="inlineStr">
        <is>
          <t>STRÖMSUND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52258-2019</t>
        </is>
      </c>
      <c r="B592" s="1" t="n">
        <v>43742</v>
      </c>
      <c r="C592" s="1" t="n">
        <v>45648</v>
      </c>
      <c r="D592" t="inlineStr">
        <is>
          <t>JÄMTLANDS LÄN</t>
        </is>
      </c>
      <c r="E592" t="inlineStr">
        <is>
          <t>STRÖMSUND</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52384-2019</t>
        </is>
      </c>
      <c r="B593" s="1" t="n">
        <v>43745</v>
      </c>
      <c r="C593" s="1" t="n">
        <v>45648</v>
      </c>
      <c r="D593" t="inlineStr">
        <is>
          <t>JÄMTLANDS LÄN</t>
        </is>
      </c>
      <c r="E593" t="inlineStr">
        <is>
          <t>STRÖMSUND</t>
        </is>
      </c>
      <c r="G593" t="n">
        <v>3.7</v>
      </c>
      <c r="H593" t="n">
        <v>0</v>
      </c>
      <c r="I593" t="n">
        <v>0</v>
      </c>
      <c r="J593" t="n">
        <v>0</v>
      </c>
      <c r="K593" t="n">
        <v>0</v>
      </c>
      <c r="L593" t="n">
        <v>0</v>
      </c>
      <c r="M593" t="n">
        <v>0</v>
      </c>
      <c r="N593" t="n">
        <v>0</v>
      </c>
      <c r="O593" t="n">
        <v>0</v>
      </c>
      <c r="P593" t="n">
        <v>0</v>
      </c>
      <c r="Q593" t="n">
        <v>0</v>
      </c>
      <c r="R593" s="2" t="inlineStr"/>
    </row>
    <row r="594" ht="15" customHeight="1">
      <c r="A594" t="inlineStr">
        <is>
          <t>A 53874-2019</t>
        </is>
      </c>
      <c r="B594" s="1" t="n">
        <v>43745</v>
      </c>
      <c r="C594" s="1" t="n">
        <v>45648</v>
      </c>
      <c r="D594" t="inlineStr">
        <is>
          <t>JÄMTLANDS LÄN</t>
        </is>
      </c>
      <c r="E594" t="inlineStr">
        <is>
          <t>STRÖMSUND</t>
        </is>
      </c>
      <c r="G594" t="n">
        <v>10.1</v>
      </c>
      <c r="H594" t="n">
        <v>0</v>
      </c>
      <c r="I594" t="n">
        <v>0</v>
      </c>
      <c r="J594" t="n">
        <v>0</v>
      </c>
      <c r="K594" t="n">
        <v>0</v>
      </c>
      <c r="L594" t="n">
        <v>0</v>
      </c>
      <c r="M594" t="n">
        <v>0</v>
      </c>
      <c r="N594" t="n">
        <v>0</v>
      </c>
      <c r="O594" t="n">
        <v>0</v>
      </c>
      <c r="P594" t="n">
        <v>0</v>
      </c>
      <c r="Q594" t="n">
        <v>0</v>
      </c>
      <c r="R594" s="2" t="inlineStr"/>
    </row>
    <row r="595" ht="15" customHeight="1">
      <c r="A595" t="inlineStr">
        <is>
          <t>A 53886-2019</t>
        </is>
      </c>
      <c r="B595" s="1" t="n">
        <v>43745</v>
      </c>
      <c r="C595" s="1" t="n">
        <v>45648</v>
      </c>
      <c r="D595" t="inlineStr">
        <is>
          <t>JÄMTLANDS LÄN</t>
        </is>
      </c>
      <c r="E595" t="inlineStr">
        <is>
          <t>STRÖMSUND</t>
        </is>
      </c>
      <c r="G595" t="n">
        <v>15.2</v>
      </c>
      <c r="H595" t="n">
        <v>0</v>
      </c>
      <c r="I595" t="n">
        <v>0</v>
      </c>
      <c r="J595" t="n">
        <v>0</v>
      </c>
      <c r="K595" t="n">
        <v>0</v>
      </c>
      <c r="L595" t="n">
        <v>0</v>
      </c>
      <c r="M595" t="n">
        <v>0</v>
      </c>
      <c r="N595" t="n">
        <v>0</v>
      </c>
      <c r="O595" t="n">
        <v>0</v>
      </c>
      <c r="P595" t="n">
        <v>0</v>
      </c>
      <c r="Q595" t="n">
        <v>0</v>
      </c>
      <c r="R595" s="2" t="inlineStr"/>
    </row>
    <row r="596" ht="15" customHeight="1">
      <c r="A596" t="inlineStr">
        <is>
          <t>A 53483-2019</t>
        </is>
      </c>
      <c r="B596" s="1" t="n">
        <v>43748</v>
      </c>
      <c r="C596" s="1" t="n">
        <v>45648</v>
      </c>
      <c r="D596" t="inlineStr">
        <is>
          <t>JÄMTLANDS LÄN</t>
        </is>
      </c>
      <c r="E596" t="inlineStr">
        <is>
          <t>STRÖMSUND</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54235-2019</t>
        </is>
      </c>
      <c r="B597" s="1" t="n">
        <v>43748</v>
      </c>
      <c r="C597" s="1" t="n">
        <v>45648</v>
      </c>
      <c r="D597" t="inlineStr">
        <is>
          <t>JÄMTLANDS LÄN</t>
        </is>
      </c>
      <c r="E597" t="inlineStr">
        <is>
          <t>STRÖMSUND</t>
        </is>
      </c>
      <c r="G597" t="n">
        <v>0.9</v>
      </c>
      <c r="H597" t="n">
        <v>0</v>
      </c>
      <c r="I597" t="n">
        <v>0</v>
      </c>
      <c r="J597" t="n">
        <v>0</v>
      </c>
      <c r="K597" t="n">
        <v>0</v>
      </c>
      <c r="L597" t="n">
        <v>0</v>
      </c>
      <c r="M597" t="n">
        <v>0</v>
      </c>
      <c r="N597" t="n">
        <v>0</v>
      </c>
      <c r="O597" t="n">
        <v>0</v>
      </c>
      <c r="P597" t="n">
        <v>0</v>
      </c>
      <c r="Q597" t="n">
        <v>0</v>
      </c>
      <c r="R597" s="2" t="inlineStr"/>
    </row>
    <row r="598" ht="15" customHeight="1">
      <c r="A598" t="inlineStr">
        <is>
          <t>A 57227-2019</t>
        </is>
      </c>
      <c r="B598" s="1" t="n">
        <v>43748</v>
      </c>
      <c r="C598" s="1" t="n">
        <v>45648</v>
      </c>
      <c r="D598" t="inlineStr">
        <is>
          <t>JÄMTLANDS LÄN</t>
        </is>
      </c>
      <c r="E598" t="inlineStr">
        <is>
          <t>STRÖMSUND</t>
        </is>
      </c>
      <c r="G598" t="n">
        <v>1.1</v>
      </c>
      <c r="H598" t="n">
        <v>0</v>
      </c>
      <c r="I598" t="n">
        <v>0</v>
      </c>
      <c r="J598" t="n">
        <v>0</v>
      </c>
      <c r="K598" t="n">
        <v>0</v>
      </c>
      <c r="L598" t="n">
        <v>0</v>
      </c>
      <c r="M598" t="n">
        <v>0</v>
      </c>
      <c r="N598" t="n">
        <v>0</v>
      </c>
      <c r="O598" t="n">
        <v>0</v>
      </c>
      <c r="P598" t="n">
        <v>0</v>
      </c>
      <c r="Q598" t="n">
        <v>0</v>
      </c>
      <c r="R598" s="2" t="inlineStr"/>
    </row>
    <row r="599" ht="15" customHeight="1">
      <c r="A599" t="inlineStr">
        <is>
          <t>A 53898-2019</t>
        </is>
      </c>
      <c r="B599" s="1" t="n">
        <v>43748</v>
      </c>
      <c r="C599" s="1" t="n">
        <v>45648</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53482-2019</t>
        </is>
      </c>
      <c r="B600" s="1" t="n">
        <v>43748</v>
      </c>
      <c r="C600" s="1" t="n">
        <v>45648</v>
      </c>
      <c r="D600" t="inlineStr">
        <is>
          <t>JÄMTLANDS LÄN</t>
        </is>
      </c>
      <c r="E600" t="inlineStr">
        <is>
          <t>STRÖMSUND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53895-2019</t>
        </is>
      </c>
      <c r="B601" s="1" t="n">
        <v>43748</v>
      </c>
      <c r="C601" s="1" t="n">
        <v>45648</v>
      </c>
      <c r="D601" t="inlineStr">
        <is>
          <t>JÄMTLANDS LÄN</t>
        </is>
      </c>
      <c r="E601" t="inlineStr">
        <is>
          <t>STRÖMSUND</t>
        </is>
      </c>
      <c r="G601" t="n">
        <v>2.8</v>
      </c>
      <c r="H601" t="n">
        <v>0</v>
      </c>
      <c r="I601" t="n">
        <v>0</v>
      </c>
      <c r="J601" t="n">
        <v>0</v>
      </c>
      <c r="K601" t="n">
        <v>0</v>
      </c>
      <c r="L601" t="n">
        <v>0</v>
      </c>
      <c r="M601" t="n">
        <v>0</v>
      </c>
      <c r="N601" t="n">
        <v>0</v>
      </c>
      <c r="O601" t="n">
        <v>0</v>
      </c>
      <c r="P601" t="n">
        <v>0</v>
      </c>
      <c r="Q601" t="n">
        <v>0</v>
      </c>
      <c r="R601" s="2" t="inlineStr"/>
    </row>
    <row r="602" ht="15" customHeight="1">
      <c r="A602" t="inlineStr">
        <is>
          <t>A 54672-2019</t>
        </is>
      </c>
      <c r="B602" s="1" t="n">
        <v>43754</v>
      </c>
      <c r="C602" s="1" t="n">
        <v>45648</v>
      </c>
      <c r="D602" t="inlineStr">
        <is>
          <t>JÄMTLANDS LÄN</t>
        </is>
      </c>
      <c r="E602" t="inlineStr">
        <is>
          <t>STRÖMSUND</t>
        </is>
      </c>
      <c r="F602" t="inlineStr">
        <is>
          <t>SCA</t>
        </is>
      </c>
      <c r="G602" t="n">
        <v>15.7</v>
      </c>
      <c r="H602" t="n">
        <v>0</v>
      </c>
      <c r="I602" t="n">
        <v>0</v>
      </c>
      <c r="J602" t="n">
        <v>0</v>
      </c>
      <c r="K602" t="n">
        <v>0</v>
      </c>
      <c r="L602" t="n">
        <v>0</v>
      </c>
      <c r="M602" t="n">
        <v>0</v>
      </c>
      <c r="N602" t="n">
        <v>0</v>
      </c>
      <c r="O602" t="n">
        <v>0</v>
      </c>
      <c r="P602" t="n">
        <v>0</v>
      </c>
      <c r="Q602" t="n">
        <v>0</v>
      </c>
      <c r="R602" s="2" t="inlineStr"/>
    </row>
    <row r="603" ht="15" customHeight="1">
      <c r="A603" t="inlineStr">
        <is>
          <t>A 55028-2019</t>
        </is>
      </c>
      <c r="B603" s="1" t="n">
        <v>43755</v>
      </c>
      <c r="C603" s="1" t="n">
        <v>45648</v>
      </c>
      <c r="D603" t="inlineStr">
        <is>
          <t>JÄMTLANDS LÄN</t>
        </is>
      </c>
      <c r="E603" t="inlineStr">
        <is>
          <t>STRÖMSUND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56155-2019</t>
        </is>
      </c>
      <c r="B604" s="1" t="n">
        <v>43756</v>
      </c>
      <c r="C604" s="1" t="n">
        <v>45648</v>
      </c>
      <c r="D604" t="inlineStr">
        <is>
          <t>JÄMTLANDS LÄN</t>
        </is>
      </c>
      <c r="E604" t="inlineStr">
        <is>
          <t>STRÖMSUND</t>
        </is>
      </c>
      <c r="G604" t="n">
        <v>4.7</v>
      </c>
      <c r="H604" t="n">
        <v>0</v>
      </c>
      <c r="I604" t="n">
        <v>0</v>
      </c>
      <c r="J604" t="n">
        <v>0</v>
      </c>
      <c r="K604" t="n">
        <v>0</v>
      </c>
      <c r="L604" t="n">
        <v>0</v>
      </c>
      <c r="M604" t="n">
        <v>0</v>
      </c>
      <c r="N604" t="n">
        <v>0</v>
      </c>
      <c r="O604" t="n">
        <v>0</v>
      </c>
      <c r="P604" t="n">
        <v>0</v>
      </c>
      <c r="Q604" t="n">
        <v>0</v>
      </c>
      <c r="R604" s="2" t="inlineStr"/>
    </row>
    <row r="605" ht="15" customHeight="1">
      <c r="A605" t="inlineStr">
        <is>
          <t>A 23225-2020</t>
        </is>
      </c>
      <c r="B605" s="1" t="n">
        <v>43756</v>
      </c>
      <c r="C605" s="1" t="n">
        <v>45648</v>
      </c>
      <c r="D605" t="inlineStr">
        <is>
          <t>JÄMTLANDS LÄN</t>
        </is>
      </c>
      <c r="E605" t="inlineStr">
        <is>
          <t>STRÖMSUND</t>
        </is>
      </c>
      <c r="G605" t="n">
        <v>4.8</v>
      </c>
      <c r="H605" t="n">
        <v>0</v>
      </c>
      <c r="I605" t="n">
        <v>0</v>
      </c>
      <c r="J605" t="n">
        <v>0</v>
      </c>
      <c r="K605" t="n">
        <v>0</v>
      </c>
      <c r="L605" t="n">
        <v>0</v>
      </c>
      <c r="M605" t="n">
        <v>0</v>
      </c>
      <c r="N605" t="n">
        <v>0</v>
      </c>
      <c r="O605" t="n">
        <v>0</v>
      </c>
      <c r="P605" t="n">
        <v>0</v>
      </c>
      <c r="Q605" t="n">
        <v>0</v>
      </c>
      <c r="R605" s="2" t="inlineStr"/>
    </row>
    <row r="606" ht="15" customHeight="1">
      <c r="A606" t="inlineStr">
        <is>
          <t>A 55663-2019</t>
        </is>
      </c>
      <c r="B606" s="1" t="n">
        <v>43760</v>
      </c>
      <c r="C606" s="1" t="n">
        <v>45648</v>
      </c>
      <c r="D606" t="inlineStr">
        <is>
          <t>JÄMTLANDS LÄN</t>
        </is>
      </c>
      <c r="E606" t="inlineStr">
        <is>
          <t>STRÖMSUND</t>
        </is>
      </c>
      <c r="F606" t="inlineStr">
        <is>
          <t>Holmen skog AB</t>
        </is>
      </c>
      <c r="G606" t="n">
        <v>2.6</v>
      </c>
      <c r="H606" t="n">
        <v>0</v>
      </c>
      <c r="I606" t="n">
        <v>0</v>
      </c>
      <c r="J606" t="n">
        <v>0</v>
      </c>
      <c r="K606" t="n">
        <v>0</v>
      </c>
      <c r="L606" t="n">
        <v>0</v>
      </c>
      <c r="M606" t="n">
        <v>0</v>
      </c>
      <c r="N606" t="n">
        <v>0</v>
      </c>
      <c r="O606" t="n">
        <v>0</v>
      </c>
      <c r="P606" t="n">
        <v>0</v>
      </c>
      <c r="Q606" t="n">
        <v>0</v>
      </c>
      <c r="R606" s="2" t="inlineStr"/>
    </row>
    <row r="607" ht="15" customHeight="1">
      <c r="A607" t="inlineStr">
        <is>
          <t>A 55675-2019</t>
        </is>
      </c>
      <c r="B607" s="1" t="n">
        <v>43760</v>
      </c>
      <c r="C607" s="1" t="n">
        <v>45648</v>
      </c>
      <c r="D607" t="inlineStr">
        <is>
          <t>JÄMTLANDS LÄN</t>
        </is>
      </c>
      <c r="E607" t="inlineStr">
        <is>
          <t>STRÖMSUND</t>
        </is>
      </c>
      <c r="G607" t="n">
        <v>0.6</v>
      </c>
      <c r="H607" t="n">
        <v>0</v>
      </c>
      <c r="I607" t="n">
        <v>0</v>
      </c>
      <c r="J607" t="n">
        <v>0</v>
      </c>
      <c r="K607" t="n">
        <v>0</v>
      </c>
      <c r="L607" t="n">
        <v>0</v>
      </c>
      <c r="M607" t="n">
        <v>0</v>
      </c>
      <c r="N607" t="n">
        <v>0</v>
      </c>
      <c r="O607" t="n">
        <v>0</v>
      </c>
      <c r="P607" t="n">
        <v>0</v>
      </c>
      <c r="Q607" t="n">
        <v>0</v>
      </c>
      <c r="R607" s="2" t="inlineStr"/>
    </row>
    <row r="608" ht="15" customHeight="1">
      <c r="A608" t="inlineStr">
        <is>
          <t>A 55728-2019</t>
        </is>
      </c>
      <c r="B608" s="1" t="n">
        <v>43760</v>
      </c>
      <c r="C608" s="1" t="n">
        <v>45648</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55725-2019</t>
        </is>
      </c>
      <c r="B609" s="1" t="n">
        <v>43760</v>
      </c>
      <c r="C609" s="1" t="n">
        <v>45648</v>
      </c>
      <c r="D609" t="inlineStr">
        <is>
          <t>JÄMTLANDS LÄN</t>
        </is>
      </c>
      <c r="E609" t="inlineStr">
        <is>
          <t>STRÖMSUND</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56798-2019</t>
        </is>
      </c>
      <c r="B610" s="1" t="n">
        <v>43763</v>
      </c>
      <c r="C610" s="1" t="n">
        <v>45648</v>
      </c>
      <c r="D610" t="inlineStr">
        <is>
          <t>JÄMTLANDS LÄN</t>
        </is>
      </c>
      <c r="E610" t="inlineStr">
        <is>
          <t>STRÖMSUND</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56797-2019</t>
        </is>
      </c>
      <c r="B611" s="1" t="n">
        <v>43763</v>
      </c>
      <c r="C611" s="1" t="n">
        <v>45648</v>
      </c>
      <c r="D611" t="inlineStr">
        <is>
          <t>JÄMTLANDS LÄN</t>
        </is>
      </c>
      <c r="E611" t="inlineStr">
        <is>
          <t>STRÖMSUND</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56801-2019</t>
        </is>
      </c>
      <c r="B612" s="1" t="n">
        <v>43763</v>
      </c>
      <c r="C612" s="1" t="n">
        <v>45648</v>
      </c>
      <c r="D612" t="inlineStr">
        <is>
          <t>JÄMTLANDS LÄN</t>
        </is>
      </c>
      <c r="E612" t="inlineStr">
        <is>
          <t>STRÖMSUND</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56800-2019</t>
        </is>
      </c>
      <c r="B613" s="1" t="n">
        <v>43763</v>
      </c>
      <c r="C613" s="1" t="n">
        <v>45648</v>
      </c>
      <c r="D613" t="inlineStr">
        <is>
          <t>JÄMTLANDS LÄN</t>
        </is>
      </c>
      <c r="E613" t="inlineStr">
        <is>
          <t>STRÖMSUND</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56799-2019</t>
        </is>
      </c>
      <c r="B614" s="1" t="n">
        <v>43763</v>
      </c>
      <c r="C614" s="1" t="n">
        <v>45648</v>
      </c>
      <c r="D614" t="inlineStr">
        <is>
          <t>JÄMTLANDS LÄN</t>
        </is>
      </c>
      <c r="E614" t="inlineStr">
        <is>
          <t>STRÖMSUND</t>
        </is>
      </c>
      <c r="F614" t="inlineStr">
        <is>
          <t>SCA</t>
        </is>
      </c>
      <c r="G614" t="n">
        <v>4.7</v>
      </c>
      <c r="H614" t="n">
        <v>0</v>
      </c>
      <c r="I614" t="n">
        <v>0</v>
      </c>
      <c r="J614" t="n">
        <v>0</v>
      </c>
      <c r="K614" t="n">
        <v>0</v>
      </c>
      <c r="L614" t="n">
        <v>0</v>
      </c>
      <c r="M614" t="n">
        <v>0</v>
      </c>
      <c r="N614" t="n">
        <v>0</v>
      </c>
      <c r="O614" t="n">
        <v>0</v>
      </c>
      <c r="P614" t="n">
        <v>0</v>
      </c>
      <c r="Q614" t="n">
        <v>0</v>
      </c>
      <c r="R614" s="2" t="inlineStr"/>
    </row>
    <row r="615" ht="15" customHeight="1">
      <c r="A615" t="inlineStr">
        <is>
          <t>A 56692-2019</t>
        </is>
      </c>
      <c r="B615" s="1" t="n">
        <v>43763</v>
      </c>
      <c r="C615" s="1" t="n">
        <v>45648</v>
      </c>
      <c r="D615" t="inlineStr">
        <is>
          <t>JÄMTLANDS LÄN</t>
        </is>
      </c>
      <c r="E615" t="inlineStr">
        <is>
          <t>STRÖMSUND</t>
        </is>
      </c>
      <c r="G615" t="n">
        <v>0.8</v>
      </c>
      <c r="H615" t="n">
        <v>0</v>
      </c>
      <c r="I615" t="n">
        <v>0</v>
      </c>
      <c r="J615" t="n">
        <v>0</v>
      </c>
      <c r="K615" t="n">
        <v>0</v>
      </c>
      <c r="L615" t="n">
        <v>0</v>
      </c>
      <c r="M615" t="n">
        <v>0</v>
      </c>
      <c r="N615" t="n">
        <v>0</v>
      </c>
      <c r="O615" t="n">
        <v>0</v>
      </c>
      <c r="P615" t="n">
        <v>0</v>
      </c>
      <c r="Q615" t="n">
        <v>0</v>
      </c>
      <c r="R615" s="2" t="inlineStr"/>
    </row>
    <row r="616" ht="15" customHeight="1">
      <c r="A616" t="inlineStr">
        <is>
          <t>A 56808-2019</t>
        </is>
      </c>
      <c r="B616" s="1" t="n">
        <v>43763</v>
      </c>
      <c r="C616" s="1" t="n">
        <v>45648</v>
      </c>
      <c r="D616" t="inlineStr">
        <is>
          <t>JÄMTLANDS LÄN</t>
        </is>
      </c>
      <c r="E616" t="inlineStr">
        <is>
          <t>STRÖMSUND</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56809-2019</t>
        </is>
      </c>
      <c r="B617" s="1" t="n">
        <v>43763</v>
      </c>
      <c r="C617" s="1" t="n">
        <v>45648</v>
      </c>
      <c r="D617" t="inlineStr">
        <is>
          <t>JÄMTLANDS LÄN</t>
        </is>
      </c>
      <c r="E617" t="inlineStr">
        <is>
          <t>STRÖMSUND</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57546-2019</t>
        </is>
      </c>
      <c r="B618" s="1" t="n">
        <v>43767</v>
      </c>
      <c r="C618" s="1" t="n">
        <v>45648</v>
      </c>
      <c r="D618" t="inlineStr">
        <is>
          <t>JÄMTLANDS LÄN</t>
        </is>
      </c>
      <c r="E618" t="inlineStr">
        <is>
          <t>STRÖMSUND</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58662-2019</t>
        </is>
      </c>
      <c r="B619" s="1" t="n">
        <v>43767</v>
      </c>
      <c r="C619" s="1" t="n">
        <v>45648</v>
      </c>
      <c r="D619" t="inlineStr">
        <is>
          <t>JÄMTLANDS LÄN</t>
        </is>
      </c>
      <c r="E619" t="inlineStr">
        <is>
          <t>STRÖMSUND</t>
        </is>
      </c>
      <c r="G619" t="n">
        <v>18.4</v>
      </c>
      <c r="H619" t="n">
        <v>0</v>
      </c>
      <c r="I619" t="n">
        <v>0</v>
      </c>
      <c r="J619" t="n">
        <v>0</v>
      </c>
      <c r="K619" t="n">
        <v>0</v>
      </c>
      <c r="L619" t="n">
        <v>0</v>
      </c>
      <c r="M619" t="n">
        <v>0</v>
      </c>
      <c r="N619" t="n">
        <v>0</v>
      </c>
      <c r="O619" t="n">
        <v>0</v>
      </c>
      <c r="P619" t="n">
        <v>0</v>
      </c>
      <c r="Q619" t="n">
        <v>0</v>
      </c>
      <c r="R619" s="2" t="inlineStr"/>
    </row>
    <row r="620" ht="15" customHeight="1">
      <c r="A620" t="inlineStr">
        <is>
          <t>A 57547-2019</t>
        </is>
      </c>
      <c r="B620" s="1" t="n">
        <v>43767</v>
      </c>
      <c r="C620" s="1" t="n">
        <v>45648</v>
      </c>
      <c r="D620" t="inlineStr">
        <is>
          <t>JÄMTLANDS LÄN</t>
        </is>
      </c>
      <c r="E620" t="inlineStr">
        <is>
          <t>STRÖMSUND</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57552-2019</t>
        </is>
      </c>
      <c r="B621" s="1" t="n">
        <v>43767</v>
      </c>
      <c r="C621" s="1" t="n">
        <v>45648</v>
      </c>
      <c r="D621" t="inlineStr">
        <is>
          <t>JÄMTLANDS LÄN</t>
        </is>
      </c>
      <c r="E621" t="inlineStr">
        <is>
          <t>STRÖMSUND</t>
        </is>
      </c>
      <c r="G621" t="n">
        <v>1.4</v>
      </c>
      <c r="H621" t="n">
        <v>0</v>
      </c>
      <c r="I621" t="n">
        <v>0</v>
      </c>
      <c r="J621" t="n">
        <v>0</v>
      </c>
      <c r="K621" t="n">
        <v>0</v>
      </c>
      <c r="L621" t="n">
        <v>0</v>
      </c>
      <c r="M621" t="n">
        <v>0</v>
      </c>
      <c r="N621" t="n">
        <v>0</v>
      </c>
      <c r="O621" t="n">
        <v>0</v>
      </c>
      <c r="P621" t="n">
        <v>0</v>
      </c>
      <c r="Q621" t="n">
        <v>0</v>
      </c>
      <c r="R621" s="2" t="inlineStr"/>
    </row>
    <row r="622" ht="15" customHeight="1">
      <c r="A622" t="inlineStr">
        <is>
          <t>A 57873-2019</t>
        </is>
      </c>
      <c r="B622" s="1" t="n">
        <v>43768</v>
      </c>
      <c r="C622" s="1" t="n">
        <v>45648</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57872-2019</t>
        </is>
      </c>
      <c r="B623" s="1" t="n">
        <v>43768</v>
      </c>
      <c r="C623" s="1" t="n">
        <v>45648</v>
      </c>
      <c r="D623" t="inlineStr">
        <is>
          <t>JÄMTLANDS LÄN</t>
        </is>
      </c>
      <c r="E623" t="inlineStr">
        <is>
          <t>STRÖMSUND</t>
        </is>
      </c>
      <c r="G623" t="n">
        <v>47.2</v>
      </c>
      <c r="H623" t="n">
        <v>0</v>
      </c>
      <c r="I623" t="n">
        <v>0</v>
      </c>
      <c r="J623" t="n">
        <v>0</v>
      </c>
      <c r="K623" t="n">
        <v>0</v>
      </c>
      <c r="L623" t="n">
        <v>0</v>
      </c>
      <c r="M623" t="n">
        <v>0</v>
      </c>
      <c r="N623" t="n">
        <v>0</v>
      </c>
      <c r="O623" t="n">
        <v>0</v>
      </c>
      <c r="P623" t="n">
        <v>0</v>
      </c>
      <c r="Q623" t="n">
        <v>0</v>
      </c>
      <c r="R623" s="2" t="inlineStr"/>
    </row>
    <row r="624" ht="15" customHeight="1">
      <c r="A624" t="inlineStr">
        <is>
          <t>A 58844-2019</t>
        </is>
      </c>
      <c r="B624" s="1" t="n">
        <v>43768</v>
      </c>
      <c r="C624" s="1" t="n">
        <v>45648</v>
      </c>
      <c r="D624" t="inlineStr">
        <is>
          <t>JÄMTLANDS LÄN</t>
        </is>
      </c>
      <c r="E624" t="inlineStr">
        <is>
          <t>STRÖMSUND</t>
        </is>
      </c>
      <c r="G624" t="n">
        <v>4.8</v>
      </c>
      <c r="H624" t="n">
        <v>0</v>
      </c>
      <c r="I624" t="n">
        <v>0</v>
      </c>
      <c r="J624" t="n">
        <v>0</v>
      </c>
      <c r="K624" t="n">
        <v>0</v>
      </c>
      <c r="L624" t="n">
        <v>0</v>
      </c>
      <c r="M624" t="n">
        <v>0</v>
      </c>
      <c r="N624" t="n">
        <v>0</v>
      </c>
      <c r="O624" t="n">
        <v>0</v>
      </c>
      <c r="P624" t="n">
        <v>0</v>
      </c>
      <c r="Q624" t="n">
        <v>0</v>
      </c>
      <c r="R624" s="2" t="inlineStr"/>
    </row>
    <row r="625" ht="15" customHeight="1">
      <c r="A625" t="inlineStr">
        <is>
          <t>A 58172-2019</t>
        </is>
      </c>
      <c r="B625" s="1" t="n">
        <v>43769</v>
      </c>
      <c r="C625" s="1" t="n">
        <v>45648</v>
      </c>
      <c r="D625" t="inlineStr">
        <is>
          <t>JÄMTLANDS LÄN</t>
        </is>
      </c>
      <c r="E625" t="inlineStr">
        <is>
          <t>STRÖMSUND</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59543-2019</t>
        </is>
      </c>
      <c r="B626" s="1" t="n">
        <v>43773</v>
      </c>
      <c r="C626" s="1" t="n">
        <v>45648</v>
      </c>
      <c r="D626" t="inlineStr">
        <is>
          <t>JÄMTLANDS LÄN</t>
        </is>
      </c>
      <c r="E626" t="inlineStr">
        <is>
          <t>STRÖMSUND</t>
        </is>
      </c>
      <c r="G626" t="n">
        <v>6.3</v>
      </c>
      <c r="H626" t="n">
        <v>0</v>
      </c>
      <c r="I626" t="n">
        <v>0</v>
      </c>
      <c r="J626" t="n">
        <v>0</v>
      </c>
      <c r="K626" t="n">
        <v>0</v>
      </c>
      <c r="L626" t="n">
        <v>0</v>
      </c>
      <c r="M626" t="n">
        <v>0</v>
      </c>
      <c r="N626" t="n">
        <v>0</v>
      </c>
      <c r="O626" t="n">
        <v>0</v>
      </c>
      <c r="P626" t="n">
        <v>0</v>
      </c>
      <c r="Q626" t="n">
        <v>0</v>
      </c>
      <c r="R626" s="2" t="inlineStr"/>
    </row>
    <row r="627" ht="15" customHeight="1">
      <c r="A627" t="inlineStr">
        <is>
          <t>A 59425-2019</t>
        </is>
      </c>
      <c r="B627" s="1" t="n">
        <v>43775</v>
      </c>
      <c r="C627" s="1" t="n">
        <v>45648</v>
      </c>
      <c r="D627" t="inlineStr">
        <is>
          <t>JÄMTLANDS LÄN</t>
        </is>
      </c>
      <c r="E627" t="inlineStr">
        <is>
          <t>STRÖMSUND</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59456-2019</t>
        </is>
      </c>
      <c r="B628" s="1" t="n">
        <v>43776</v>
      </c>
      <c r="C628" s="1" t="n">
        <v>45648</v>
      </c>
      <c r="D628" t="inlineStr">
        <is>
          <t>JÄMTLANDS LÄN</t>
        </is>
      </c>
      <c r="E628" t="inlineStr">
        <is>
          <t>STRÖMSUND</t>
        </is>
      </c>
      <c r="G628" t="n">
        <v>2.1</v>
      </c>
      <c r="H628" t="n">
        <v>0</v>
      </c>
      <c r="I628" t="n">
        <v>0</v>
      </c>
      <c r="J628" t="n">
        <v>0</v>
      </c>
      <c r="K628" t="n">
        <v>0</v>
      </c>
      <c r="L628" t="n">
        <v>0</v>
      </c>
      <c r="M628" t="n">
        <v>0</v>
      </c>
      <c r="N628" t="n">
        <v>0</v>
      </c>
      <c r="O628" t="n">
        <v>0</v>
      </c>
      <c r="P628" t="n">
        <v>0</v>
      </c>
      <c r="Q628" t="n">
        <v>0</v>
      </c>
      <c r="R628" s="2" t="inlineStr"/>
    </row>
    <row r="629" ht="15" customHeight="1">
      <c r="A629" t="inlineStr">
        <is>
          <t>A 61411-2019</t>
        </is>
      </c>
      <c r="B629" s="1" t="n">
        <v>43780</v>
      </c>
      <c r="C629" s="1" t="n">
        <v>45648</v>
      </c>
      <c r="D629" t="inlineStr">
        <is>
          <t>JÄMTLANDS LÄN</t>
        </is>
      </c>
      <c r="E629" t="inlineStr">
        <is>
          <t>STRÖMSUND</t>
        </is>
      </c>
      <c r="G629" t="n">
        <v>2.3</v>
      </c>
      <c r="H629" t="n">
        <v>0</v>
      </c>
      <c r="I629" t="n">
        <v>0</v>
      </c>
      <c r="J629" t="n">
        <v>0</v>
      </c>
      <c r="K629" t="n">
        <v>0</v>
      </c>
      <c r="L629" t="n">
        <v>0</v>
      </c>
      <c r="M629" t="n">
        <v>0</v>
      </c>
      <c r="N629" t="n">
        <v>0</v>
      </c>
      <c r="O629" t="n">
        <v>0</v>
      </c>
      <c r="P629" t="n">
        <v>0</v>
      </c>
      <c r="Q629" t="n">
        <v>0</v>
      </c>
      <c r="R629" s="2" t="inlineStr"/>
    </row>
    <row r="630" ht="15" customHeight="1">
      <c r="A630" t="inlineStr">
        <is>
          <t>A 61703-2019</t>
        </is>
      </c>
      <c r="B630" s="1" t="n">
        <v>43780</v>
      </c>
      <c r="C630" s="1" t="n">
        <v>45648</v>
      </c>
      <c r="D630" t="inlineStr">
        <is>
          <t>JÄMTLANDS LÄN</t>
        </is>
      </c>
      <c r="E630" t="inlineStr">
        <is>
          <t>STRÖMSUND</t>
        </is>
      </c>
      <c r="G630" t="n">
        <v>4</v>
      </c>
      <c r="H630" t="n">
        <v>0</v>
      </c>
      <c r="I630" t="n">
        <v>0</v>
      </c>
      <c r="J630" t="n">
        <v>0</v>
      </c>
      <c r="K630" t="n">
        <v>0</v>
      </c>
      <c r="L630" t="n">
        <v>0</v>
      </c>
      <c r="M630" t="n">
        <v>0</v>
      </c>
      <c r="N630" t="n">
        <v>0</v>
      </c>
      <c r="O630" t="n">
        <v>0</v>
      </c>
      <c r="P630" t="n">
        <v>0</v>
      </c>
      <c r="Q630" t="n">
        <v>0</v>
      </c>
      <c r="R630" s="2" t="inlineStr"/>
    </row>
    <row r="631" ht="15" customHeight="1">
      <c r="A631" t="inlineStr">
        <is>
          <t>A 61705-2019</t>
        </is>
      </c>
      <c r="B631" s="1" t="n">
        <v>43780</v>
      </c>
      <c r="C631" s="1" t="n">
        <v>45648</v>
      </c>
      <c r="D631" t="inlineStr">
        <is>
          <t>JÄMTLANDS LÄN</t>
        </is>
      </c>
      <c r="E631" t="inlineStr">
        <is>
          <t>STRÖMSUND</t>
        </is>
      </c>
      <c r="G631" t="n">
        <v>6.4</v>
      </c>
      <c r="H631" t="n">
        <v>0</v>
      </c>
      <c r="I631" t="n">
        <v>0</v>
      </c>
      <c r="J631" t="n">
        <v>0</v>
      </c>
      <c r="K631" t="n">
        <v>0</v>
      </c>
      <c r="L631" t="n">
        <v>0</v>
      </c>
      <c r="M631" t="n">
        <v>0</v>
      </c>
      <c r="N631" t="n">
        <v>0</v>
      </c>
      <c r="O631" t="n">
        <v>0</v>
      </c>
      <c r="P631" t="n">
        <v>0</v>
      </c>
      <c r="Q631" t="n">
        <v>0</v>
      </c>
      <c r="R631" s="2" t="inlineStr"/>
    </row>
    <row r="632" ht="15" customHeight="1">
      <c r="A632" t="inlineStr">
        <is>
          <t>A 60569-2019</t>
        </is>
      </c>
      <c r="B632" s="1" t="n">
        <v>43781</v>
      </c>
      <c r="C632" s="1" t="n">
        <v>45648</v>
      </c>
      <c r="D632" t="inlineStr">
        <is>
          <t>JÄMTLANDS LÄN</t>
        </is>
      </c>
      <c r="E632" t="inlineStr">
        <is>
          <t>STRÖMSUND</t>
        </is>
      </c>
      <c r="G632" t="n">
        <v>1</v>
      </c>
      <c r="H632" t="n">
        <v>0</v>
      </c>
      <c r="I632" t="n">
        <v>0</v>
      </c>
      <c r="J632" t="n">
        <v>0</v>
      </c>
      <c r="K632" t="n">
        <v>0</v>
      </c>
      <c r="L632" t="n">
        <v>0</v>
      </c>
      <c r="M632" t="n">
        <v>0</v>
      </c>
      <c r="N632" t="n">
        <v>0</v>
      </c>
      <c r="O632" t="n">
        <v>0</v>
      </c>
      <c r="P632" t="n">
        <v>0</v>
      </c>
      <c r="Q632" t="n">
        <v>0</v>
      </c>
      <c r="R632" s="2" t="inlineStr"/>
    </row>
    <row r="633" ht="15" customHeight="1">
      <c r="A633" t="inlineStr">
        <is>
          <t>A 60536-2019</t>
        </is>
      </c>
      <c r="B633" s="1" t="n">
        <v>43781</v>
      </c>
      <c r="C633" s="1" t="n">
        <v>45648</v>
      </c>
      <c r="D633" t="inlineStr">
        <is>
          <t>JÄMTLANDS LÄN</t>
        </is>
      </c>
      <c r="E633" t="inlineStr">
        <is>
          <t>STRÖMSUND</t>
        </is>
      </c>
      <c r="G633" t="n">
        <v>0.2</v>
      </c>
      <c r="H633" t="n">
        <v>0</v>
      </c>
      <c r="I633" t="n">
        <v>0</v>
      </c>
      <c r="J633" t="n">
        <v>0</v>
      </c>
      <c r="K633" t="n">
        <v>0</v>
      </c>
      <c r="L633" t="n">
        <v>0</v>
      </c>
      <c r="M633" t="n">
        <v>0</v>
      </c>
      <c r="N633" t="n">
        <v>0</v>
      </c>
      <c r="O633" t="n">
        <v>0</v>
      </c>
      <c r="P633" t="n">
        <v>0</v>
      </c>
      <c r="Q633" t="n">
        <v>0</v>
      </c>
      <c r="R633" s="2" t="inlineStr"/>
    </row>
    <row r="634" ht="15" customHeight="1">
      <c r="A634" t="inlineStr">
        <is>
          <t>A 61122-2019</t>
        </is>
      </c>
      <c r="B634" s="1" t="n">
        <v>43782</v>
      </c>
      <c r="C634" s="1" t="n">
        <v>45648</v>
      </c>
      <c r="D634" t="inlineStr">
        <is>
          <t>JÄMTLANDS LÄN</t>
        </is>
      </c>
      <c r="E634" t="inlineStr">
        <is>
          <t>STRÖMSUND</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62256-2019</t>
        </is>
      </c>
      <c r="B635" s="1" t="n">
        <v>43782</v>
      </c>
      <c r="C635" s="1" t="n">
        <v>45648</v>
      </c>
      <c r="D635" t="inlineStr">
        <is>
          <t>JÄMTLANDS LÄN</t>
        </is>
      </c>
      <c r="E635" t="inlineStr">
        <is>
          <t>STRÖMSUND</t>
        </is>
      </c>
      <c r="G635" t="n">
        <v>1.6</v>
      </c>
      <c r="H635" t="n">
        <v>0</v>
      </c>
      <c r="I635" t="n">
        <v>0</v>
      </c>
      <c r="J635" t="n">
        <v>0</v>
      </c>
      <c r="K635" t="n">
        <v>0</v>
      </c>
      <c r="L635" t="n">
        <v>0</v>
      </c>
      <c r="M635" t="n">
        <v>0</v>
      </c>
      <c r="N635" t="n">
        <v>0</v>
      </c>
      <c r="O635" t="n">
        <v>0</v>
      </c>
      <c r="P635" t="n">
        <v>0</v>
      </c>
      <c r="Q635" t="n">
        <v>0</v>
      </c>
      <c r="R635" s="2" t="inlineStr"/>
    </row>
    <row r="636" ht="15" customHeight="1">
      <c r="A636" t="inlineStr">
        <is>
          <t>A 60955-2019</t>
        </is>
      </c>
      <c r="B636" s="1" t="n">
        <v>43782</v>
      </c>
      <c r="C636" s="1" t="n">
        <v>45648</v>
      </c>
      <c r="D636" t="inlineStr">
        <is>
          <t>JÄMTLANDS LÄN</t>
        </is>
      </c>
      <c r="E636" t="inlineStr">
        <is>
          <t>STRÖMSUND</t>
        </is>
      </c>
      <c r="F636" t="inlineStr">
        <is>
          <t>Holmen skog AB</t>
        </is>
      </c>
      <c r="G636" t="n">
        <v>6.6</v>
      </c>
      <c r="H636" t="n">
        <v>0</v>
      </c>
      <c r="I636" t="n">
        <v>0</v>
      </c>
      <c r="J636" t="n">
        <v>0</v>
      </c>
      <c r="K636" t="n">
        <v>0</v>
      </c>
      <c r="L636" t="n">
        <v>0</v>
      </c>
      <c r="M636" t="n">
        <v>0</v>
      </c>
      <c r="N636" t="n">
        <v>0</v>
      </c>
      <c r="O636" t="n">
        <v>0</v>
      </c>
      <c r="P636" t="n">
        <v>0</v>
      </c>
      <c r="Q636" t="n">
        <v>0</v>
      </c>
      <c r="R636" s="2" t="inlineStr"/>
    </row>
    <row r="637" ht="15" customHeight="1">
      <c r="A637" t="inlineStr">
        <is>
          <t>A 61690-2019</t>
        </is>
      </c>
      <c r="B637" s="1" t="n">
        <v>43784</v>
      </c>
      <c r="C637" s="1" t="n">
        <v>45648</v>
      </c>
      <c r="D637" t="inlineStr">
        <is>
          <t>JÄMTLANDS LÄN</t>
        </is>
      </c>
      <c r="E637" t="inlineStr">
        <is>
          <t>STRÖMSUND</t>
        </is>
      </c>
      <c r="G637" t="n">
        <v>6</v>
      </c>
      <c r="H637" t="n">
        <v>0</v>
      </c>
      <c r="I637" t="n">
        <v>0</v>
      </c>
      <c r="J637" t="n">
        <v>0</v>
      </c>
      <c r="K637" t="n">
        <v>0</v>
      </c>
      <c r="L637" t="n">
        <v>0</v>
      </c>
      <c r="M637" t="n">
        <v>0</v>
      </c>
      <c r="N637" t="n">
        <v>0</v>
      </c>
      <c r="O637" t="n">
        <v>0</v>
      </c>
      <c r="P637" t="n">
        <v>0</v>
      </c>
      <c r="Q637" t="n">
        <v>0</v>
      </c>
      <c r="R637" s="2" t="inlineStr"/>
    </row>
    <row r="638" ht="15" customHeight="1">
      <c r="A638" t="inlineStr">
        <is>
          <t>A 61778-2019</t>
        </is>
      </c>
      <c r="B638" s="1" t="n">
        <v>43784</v>
      </c>
      <c r="C638" s="1" t="n">
        <v>45648</v>
      </c>
      <c r="D638" t="inlineStr">
        <is>
          <t>JÄMTLANDS LÄN</t>
        </is>
      </c>
      <c r="E638" t="inlineStr">
        <is>
          <t>STRÖMSUND</t>
        </is>
      </c>
      <c r="G638" t="n">
        <v>1</v>
      </c>
      <c r="H638" t="n">
        <v>0</v>
      </c>
      <c r="I638" t="n">
        <v>0</v>
      </c>
      <c r="J638" t="n">
        <v>0</v>
      </c>
      <c r="K638" t="n">
        <v>0</v>
      </c>
      <c r="L638" t="n">
        <v>0</v>
      </c>
      <c r="M638" t="n">
        <v>0</v>
      </c>
      <c r="N638" t="n">
        <v>0</v>
      </c>
      <c r="O638" t="n">
        <v>0</v>
      </c>
      <c r="P638" t="n">
        <v>0</v>
      </c>
      <c r="Q638" t="n">
        <v>0</v>
      </c>
      <c r="R638" s="2" t="inlineStr"/>
    </row>
    <row r="639" ht="15" customHeight="1">
      <c r="A639" t="inlineStr">
        <is>
          <t>A 61833-2019</t>
        </is>
      </c>
      <c r="B639" s="1" t="n">
        <v>43786</v>
      </c>
      <c r="C639" s="1" t="n">
        <v>45648</v>
      </c>
      <c r="D639" t="inlineStr">
        <is>
          <t>JÄMTLANDS LÄN</t>
        </is>
      </c>
      <c r="E639" t="inlineStr">
        <is>
          <t>STRÖMSUND</t>
        </is>
      </c>
      <c r="G639" t="n">
        <v>11.5</v>
      </c>
      <c r="H639" t="n">
        <v>0</v>
      </c>
      <c r="I639" t="n">
        <v>0</v>
      </c>
      <c r="J639" t="n">
        <v>0</v>
      </c>
      <c r="K639" t="n">
        <v>0</v>
      </c>
      <c r="L639" t="n">
        <v>0</v>
      </c>
      <c r="M639" t="n">
        <v>0</v>
      </c>
      <c r="N639" t="n">
        <v>0</v>
      </c>
      <c r="O639" t="n">
        <v>0</v>
      </c>
      <c r="P639" t="n">
        <v>0</v>
      </c>
      <c r="Q639" t="n">
        <v>0</v>
      </c>
      <c r="R639" s="2" t="inlineStr"/>
    </row>
    <row r="640" ht="15" customHeight="1">
      <c r="A640" t="inlineStr">
        <is>
          <t>A 61838-2019</t>
        </is>
      </c>
      <c r="B640" s="1" t="n">
        <v>43786</v>
      </c>
      <c r="C640" s="1" t="n">
        <v>45648</v>
      </c>
      <c r="D640" t="inlineStr">
        <is>
          <t>JÄMTLANDS LÄN</t>
        </is>
      </c>
      <c r="E640" t="inlineStr">
        <is>
          <t>STRÖMSUND</t>
        </is>
      </c>
      <c r="G640" t="n">
        <v>0.8</v>
      </c>
      <c r="H640" t="n">
        <v>0</v>
      </c>
      <c r="I640" t="n">
        <v>0</v>
      </c>
      <c r="J640" t="n">
        <v>0</v>
      </c>
      <c r="K640" t="n">
        <v>0</v>
      </c>
      <c r="L640" t="n">
        <v>0</v>
      </c>
      <c r="M640" t="n">
        <v>0</v>
      </c>
      <c r="N640" t="n">
        <v>0</v>
      </c>
      <c r="O640" t="n">
        <v>0</v>
      </c>
      <c r="P640" t="n">
        <v>0</v>
      </c>
      <c r="Q640" t="n">
        <v>0</v>
      </c>
      <c r="R640" s="2" t="inlineStr"/>
    </row>
    <row r="641" ht="15" customHeight="1">
      <c r="A641" t="inlineStr">
        <is>
          <t>A 61830-2019</t>
        </is>
      </c>
      <c r="B641" s="1" t="n">
        <v>43786</v>
      </c>
      <c r="C641" s="1" t="n">
        <v>45648</v>
      </c>
      <c r="D641" t="inlineStr">
        <is>
          <t>JÄMTLANDS LÄN</t>
        </is>
      </c>
      <c r="E641" t="inlineStr">
        <is>
          <t>STRÖMSUND</t>
        </is>
      </c>
      <c r="G641" t="n">
        <v>8</v>
      </c>
      <c r="H641" t="n">
        <v>0</v>
      </c>
      <c r="I641" t="n">
        <v>0</v>
      </c>
      <c r="J641" t="n">
        <v>0</v>
      </c>
      <c r="K641" t="n">
        <v>0</v>
      </c>
      <c r="L641" t="n">
        <v>0</v>
      </c>
      <c r="M641" t="n">
        <v>0</v>
      </c>
      <c r="N641" t="n">
        <v>0</v>
      </c>
      <c r="O641" t="n">
        <v>0</v>
      </c>
      <c r="P641" t="n">
        <v>0</v>
      </c>
      <c r="Q641" t="n">
        <v>0</v>
      </c>
      <c r="R641" s="2" t="inlineStr"/>
    </row>
    <row r="642" ht="15" customHeight="1">
      <c r="A642" t="inlineStr">
        <is>
          <t>A 61835-2019</t>
        </is>
      </c>
      <c r="B642" s="1" t="n">
        <v>43786</v>
      </c>
      <c r="C642" s="1" t="n">
        <v>45648</v>
      </c>
      <c r="D642" t="inlineStr">
        <is>
          <t>JÄMTLANDS LÄN</t>
        </is>
      </c>
      <c r="E642" t="inlineStr">
        <is>
          <t>STRÖMSUND</t>
        </is>
      </c>
      <c r="G642" t="n">
        <v>6</v>
      </c>
      <c r="H642" t="n">
        <v>0</v>
      </c>
      <c r="I642" t="n">
        <v>0</v>
      </c>
      <c r="J642" t="n">
        <v>0</v>
      </c>
      <c r="K642" t="n">
        <v>0</v>
      </c>
      <c r="L642" t="n">
        <v>0</v>
      </c>
      <c r="M642" t="n">
        <v>0</v>
      </c>
      <c r="N642" t="n">
        <v>0</v>
      </c>
      <c r="O642" t="n">
        <v>0</v>
      </c>
      <c r="P642" t="n">
        <v>0</v>
      </c>
      <c r="Q642" t="n">
        <v>0</v>
      </c>
      <c r="R642" s="2" t="inlineStr"/>
    </row>
    <row r="643" ht="15" customHeight="1">
      <c r="A643" t="inlineStr">
        <is>
          <t>A 61829-2019</t>
        </is>
      </c>
      <c r="B643" s="1" t="n">
        <v>43786</v>
      </c>
      <c r="C643" s="1" t="n">
        <v>45648</v>
      </c>
      <c r="D643" t="inlineStr">
        <is>
          <t>JÄMTLANDS LÄN</t>
        </is>
      </c>
      <c r="E643" t="inlineStr">
        <is>
          <t>STRÖMSUND</t>
        </is>
      </c>
      <c r="G643" t="n">
        <v>4.3</v>
      </c>
      <c r="H643" t="n">
        <v>0</v>
      </c>
      <c r="I643" t="n">
        <v>0</v>
      </c>
      <c r="J643" t="n">
        <v>0</v>
      </c>
      <c r="K643" t="n">
        <v>0</v>
      </c>
      <c r="L643" t="n">
        <v>0</v>
      </c>
      <c r="M643" t="n">
        <v>0</v>
      </c>
      <c r="N643" t="n">
        <v>0</v>
      </c>
      <c r="O643" t="n">
        <v>0</v>
      </c>
      <c r="P643" t="n">
        <v>0</v>
      </c>
      <c r="Q643" t="n">
        <v>0</v>
      </c>
      <c r="R643" s="2" t="inlineStr"/>
    </row>
    <row r="644" ht="15" customHeight="1">
      <c r="A644" t="inlineStr">
        <is>
          <t>A 61834-2019</t>
        </is>
      </c>
      <c r="B644" s="1" t="n">
        <v>43786</v>
      </c>
      <c r="C644" s="1" t="n">
        <v>45648</v>
      </c>
      <c r="D644" t="inlineStr">
        <is>
          <t>JÄMTLANDS LÄN</t>
        </is>
      </c>
      <c r="E644" t="inlineStr">
        <is>
          <t>STRÖMSUND</t>
        </is>
      </c>
      <c r="G644" t="n">
        <v>6.7</v>
      </c>
      <c r="H644" t="n">
        <v>0</v>
      </c>
      <c r="I644" t="n">
        <v>0</v>
      </c>
      <c r="J644" t="n">
        <v>0</v>
      </c>
      <c r="K644" t="n">
        <v>0</v>
      </c>
      <c r="L644" t="n">
        <v>0</v>
      </c>
      <c r="M644" t="n">
        <v>0</v>
      </c>
      <c r="N644" t="n">
        <v>0</v>
      </c>
      <c r="O644" t="n">
        <v>0</v>
      </c>
      <c r="P644" t="n">
        <v>0</v>
      </c>
      <c r="Q644" t="n">
        <v>0</v>
      </c>
      <c r="R644" s="2" t="inlineStr"/>
    </row>
    <row r="645" ht="15" customHeight="1">
      <c r="A645" t="inlineStr">
        <is>
          <t>A 61836-2019</t>
        </is>
      </c>
      <c r="B645" s="1" t="n">
        <v>43786</v>
      </c>
      <c r="C645" s="1" t="n">
        <v>45648</v>
      </c>
      <c r="D645" t="inlineStr">
        <is>
          <t>JÄMTLANDS LÄN</t>
        </is>
      </c>
      <c r="E645" t="inlineStr">
        <is>
          <t>STRÖMSUND</t>
        </is>
      </c>
      <c r="G645" t="n">
        <v>3.1</v>
      </c>
      <c r="H645" t="n">
        <v>0</v>
      </c>
      <c r="I645" t="n">
        <v>0</v>
      </c>
      <c r="J645" t="n">
        <v>0</v>
      </c>
      <c r="K645" t="n">
        <v>0</v>
      </c>
      <c r="L645" t="n">
        <v>0</v>
      </c>
      <c r="M645" t="n">
        <v>0</v>
      </c>
      <c r="N645" t="n">
        <v>0</v>
      </c>
      <c r="O645" t="n">
        <v>0</v>
      </c>
      <c r="P645" t="n">
        <v>0</v>
      </c>
      <c r="Q645" t="n">
        <v>0</v>
      </c>
      <c r="R645" s="2" t="inlineStr"/>
    </row>
    <row r="646" ht="15" customHeight="1">
      <c r="A646" t="inlineStr">
        <is>
          <t>A 61832-2019</t>
        </is>
      </c>
      <c r="B646" s="1" t="n">
        <v>43786</v>
      </c>
      <c r="C646" s="1" t="n">
        <v>45648</v>
      </c>
      <c r="D646" t="inlineStr">
        <is>
          <t>JÄMTLANDS LÄN</t>
        </is>
      </c>
      <c r="E646" t="inlineStr">
        <is>
          <t>STRÖMSUND</t>
        </is>
      </c>
      <c r="G646" t="n">
        <v>19.9</v>
      </c>
      <c r="H646" t="n">
        <v>0</v>
      </c>
      <c r="I646" t="n">
        <v>0</v>
      </c>
      <c r="J646" t="n">
        <v>0</v>
      </c>
      <c r="K646" t="n">
        <v>0</v>
      </c>
      <c r="L646" t="n">
        <v>0</v>
      </c>
      <c r="M646" t="n">
        <v>0</v>
      </c>
      <c r="N646" t="n">
        <v>0</v>
      </c>
      <c r="O646" t="n">
        <v>0</v>
      </c>
      <c r="P646" t="n">
        <v>0</v>
      </c>
      <c r="Q646" t="n">
        <v>0</v>
      </c>
      <c r="R646" s="2" t="inlineStr"/>
    </row>
    <row r="647" ht="15" customHeight="1">
      <c r="A647" t="inlineStr">
        <is>
          <t>A 62492-2019</t>
        </is>
      </c>
      <c r="B647" s="1" t="n">
        <v>43788</v>
      </c>
      <c r="C647" s="1" t="n">
        <v>45648</v>
      </c>
      <c r="D647" t="inlineStr">
        <is>
          <t>JÄMTLANDS LÄN</t>
        </is>
      </c>
      <c r="E647" t="inlineStr">
        <is>
          <t>STRÖMSUND</t>
        </is>
      </c>
      <c r="F647" t="inlineStr">
        <is>
          <t>SCA</t>
        </is>
      </c>
      <c r="G647" t="n">
        <v>6.3</v>
      </c>
      <c r="H647" t="n">
        <v>0</v>
      </c>
      <c r="I647" t="n">
        <v>0</v>
      </c>
      <c r="J647" t="n">
        <v>0</v>
      </c>
      <c r="K647" t="n">
        <v>0</v>
      </c>
      <c r="L647" t="n">
        <v>0</v>
      </c>
      <c r="M647" t="n">
        <v>0</v>
      </c>
      <c r="N647" t="n">
        <v>0</v>
      </c>
      <c r="O647" t="n">
        <v>0</v>
      </c>
      <c r="P647" t="n">
        <v>0</v>
      </c>
      <c r="Q647" t="n">
        <v>0</v>
      </c>
      <c r="R647" s="2" t="inlineStr"/>
    </row>
    <row r="648" ht="15" customHeight="1">
      <c r="A648" t="inlineStr">
        <is>
          <t>A 63715-2019</t>
        </is>
      </c>
      <c r="B648" s="1" t="n">
        <v>43789</v>
      </c>
      <c r="C648" s="1" t="n">
        <v>45648</v>
      </c>
      <c r="D648" t="inlineStr">
        <is>
          <t>JÄMTLANDS LÄN</t>
        </is>
      </c>
      <c r="E648" t="inlineStr">
        <is>
          <t>STRÖMSUND</t>
        </is>
      </c>
      <c r="G648" t="n">
        <v>5.8</v>
      </c>
      <c r="H648" t="n">
        <v>0</v>
      </c>
      <c r="I648" t="n">
        <v>0</v>
      </c>
      <c r="J648" t="n">
        <v>0</v>
      </c>
      <c r="K648" t="n">
        <v>0</v>
      </c>
      <c r="L648" t="n">
        <v>0</v>
      </c>
      <c r="M648" t="n">
        <v>0</v>
      </c>
      <c r="N648" t="n">
        <v>0</v>
      </c>
      <c r="O648" t="n">
        <v>0</v>
      </c>
      <c r="P648" t="n">
        <v>0</v>
      </c>
      <c r="Q648" t="n">
        <v>0</v>
      </c>
      <c r="R648" s="2" t="inlineStr"/>
    </row>
    <row r="649" ht="15" customHeight="1">
      <c r="A649" t="inlineStr">
        <is>
          <t>A 62511-2019</t>
        </is>
      </c>
      <c r="B649" s="1" t="n">
        <v>43789</v>
      </c>
      <c r="C649" s="1" t="n">
        <v>45648</v>
      </c>
      <c r="D649" t="inlineStr">
        <is>
          <t>JÄMTLANDS LÄN</t>
        </is>
      </c>
      <c r="E649" t="inlineStr">
        <is>
          <t>STRÖMSUND</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63927-2019</t>
        </is>
      </c>
      <c r="B650" s="1" t="n">
        <v>43790</v>
      </c>
      <c r="C650" s="1" t="n">
        <v>45648</v>
      </c>
      <c r="D650" t="inlineStr">
        <is>
          <t>JÄMTLANDS LÄN</t>
        </is>
      </c>
      <c r="E650" t="inlineStr">
        <is>
          <t>STRÖMSUND</t>
        </is>
      </c>
      <c r="G650" t="n">
        <v>1</v>
      </c>
      <c r="H650" t="n">
        <v>0</v>
      </c>
      <c r="I650" t="n">
        <v>0</v>
      </c>
      <c r="J650" t="n">
        <v>0</v>
      </c>
      <c r="K650" t="n">
        <v>0</v>
      </c>
      <c r="L650" t="n">
        <v>0</v>
      </c>
      <c r="M650" t="n">
        <v>0</v>
      </c>
      <c r="N650" t="n">
        <v>0</v>
      </c>
      <c r="O650" t="n">
        <v>0</v>
      </c>
      <c r="P650" t="n">
        <v>0</v>
      </c>
      <c r="Q650" t="n">
        <v>0</v>
      </c>
      <c r="R650" s="2" t="inlineStr"/>
    </row>
    <row r="651" ht="15" customHeight="1">
      <c r="A651" t="inlineStr">
        <is>
          <t>A 63918-2019</t>
        </is>
      </c>
      <c r="B651" s="1" t="n">
        <v>43790</v>
      </c>
      <c r="C651" s="1" t="n">
        <v>45648</v>
      </c>
      <c r="D651" t="inlineStr">
        <is>
          <t>JÄMTLANDS LÄN</t>
        </is>
      </c>
      <c r="E651" t="inlineStr">
        <is>
          <t>STRÖMSUND</t>
        </is>
      </c>
      <c r="G651" t="n">
        <v>1.5</v>
      </c>
      <c r="H651" t="n">
        <v>0</v>
      </c>
      <c r="I651" t="n">
        <v>0</v>
      </c>
      <c r="J651" t="n">
        <v>0</v>
      </c>
      <c r="K651" t="n">
        <v>0</v>
      </c>
      <c r="L651" t="n">
        <v>0</v>
      </c>
      <c r="M651" t="n">
        <v>0</v>
      </c>
      <c r="N651" t="n">
        <v>0</v>
      </c>
      <c r="O651" t="n">
        <v>0</v>
      </c>
      <c r="P651" t="n">
        <v>0</v>
      </c>
      <c r="Q651" t="n">
        <v>0</v>
      </c>
      <c r="R651" s="2" t="inlineStr"/>
    </row>
    <row r="652" ht="15" customHeight="1">
      <c r="A652" t="inlineStr">
        <is>
          <t>A 63429-2019</t>
        </is>
      </c>
      <c r="B652" s="1" t="n">
        <v>43794</v>
      </c>
      <c r="C652" s="1" t="n">
        <v>45648</v>
      </c>
      <c r="D652" t="inlineStr">
        <is>
          <t>JÄMTLANDS LÄN</t>
        </is>
      </c>
      <c r="E652" t="inlineStr">
        <is>
          <t>STRÖMSUND</t>
        </is>
      </c>
      <c r="G652" t="n">
        <v>11</v>
      </c>
      <c r="H652" t="n">
        <v>0</v>
      </c>
      <c r="I652" t="n">
        <v>0</v>
      </c>
      <c r="J652" t="n">
        <v>0</v>
      </c>
      <c r="K652" t="n">
        <v>0</v>
      </c>
      <c r="L652" t="n">
        <v>0</v>
      </c>
      <c r="M652" t="n">
        <v>0</v>
      </c>
      <c r="N652" t="n">
        <v>0</v>
      </c>
      <c r="O652" t="n">
        <v>0</v>
      </c>
      <c r="P652" t="n">
        <v>0</v>
      </c>
      <c r="Q652" t="n">
        <v>0</v>
      </c>
      <c r="R652" s="2" t="inlineStr"/>
    </row>
    <row r="653" ht="15" customHeight="1">
      <c r="A653" t="inlineStr">
        <is>
          <t>A 63443-2019</t>
        </is>
      </c>
      <c r="B653" s="1" t="n">
        <v>43794</v>
      </c>
      <c r="C653" s="1" t="n">
        <v>45648</v>
      </c>
      <c r="D653" t="inlineStr">
        <is>
          <t>JÄMTLANDS LÄN</t>
        </is>
      </c>
      <c r="E653" t="inlineStr">
        <is>
          <t>STRÖMSUND</t>
        </is>
      </c>
      <c r="G653" t="n">
        <v>13.8</v>
      </c>
      <c r="H653" t="n">
        <v>0</v>
      </c>
      <c r="I653" t="n">
        <v>0</v>
      </c>
      <c r="J653" t="n">
        <v>0</v>
      </c>
      <c r="K653" t="n">
        <v>0</v>
      </c>
      <c r="L653" t="n">
        <v>0</v>
      </c>
      <c r="M653" t="n">
        <v>0</v>
      </c>
      <c r="N653" t="n">
        <v>0</v>
      </c>
      <c r="O653" t="n">
        <v>0</v>
      </c>
      <c r="P653" t="n">
        <v>0</v>
      </c>
      <c r="Q653" t="n">
        <v>0</v>
      </c>
      <c r="R653" s="2" t="inlineStr"/>
    </row>
    <row r="654" ht="15" customHeight="1">
      <c r="A654" t="inlineStr">
        <is>
          <t>A 63426-2019</t>
        </is>
      </c>
      <c r="B654" s="1" t="n">
        <v>43794</v>
      </c>
      <c r="C654" s="1" t="n">
        <v>45648</v>
      </c>
      <c r="D654" t="inlineStr">
        <is>
          <t>JÄMTLANDS LÄN</t>
        </is>
      </c>
      <c r="E654" t="inlineStr">
        <is>
          <t>STRÖMSUND</t>
        </is>
      </c>
      <c r="G654" t="n">
        <v>1.2</v>
      </c>
      <c r="H654" t="n">
        <v>0</v>
      </c>
      <c r="I654" t="n">
        <v>0</v>
      </c>
      <c r="J654" t="n">
        <v>0</v>
      </c>
      <c r="K654" t="n">
        <v>0</v>
      </c>
      <c r="L654" t="n">
        <v>0</v>
      </c>
      <c r="M654" t="n">
        <v>0</v>
      </c>
      <c r="N654" t="n">
        <v>0</v>
      </c>
      <c r="O654" t="n">
        <v>0</v>
      </c>
      <c r="P654" t="n">
        <v>0</v>
      </c>
      <c r="Q654" t="n">
        <v>0</v>
      </c>
      <c r="R654" s="2" t="inlineStr"/>
    </row>
    <row r="655" ht="15" customHeight="1">
      <c r="A655" t="inlineStr">
        <is>
          <t>A 63444-2019</t>
        </is>
      </c>
      <c r="B655" s="1" t="n">
        <v>43794</v>
      </c>
      <c r="C655" s="1" t="n">
        <v>45648</v>
      </c>
      <c r="D655" t="inlineStr">
        <is>
          <t>JÄMTLANDS LÄN</t>
        </is>
      </c>
      <c r="E655" t="inlineStr">
        <is>
          <t>STRÖMSUND</t>
        </is>
      </c>
      <c r="G655" t="n">
        <v>5.6</v>
      </c>
      <c r="H655" t="n">
        <v>0</v>
      </c>
      <c r="I655" t="n">
        <v>0</v>
      </c>
      <c r="J655" t="n">
        <v>0</v>
      </c>
      <c r="K655" t="n">
        <v>0</v>
      </c>
      <c r="L655" t="n">
        <v>0</v>
      </c>
      <c r="M655" t="n">
        <v>0</v>
      </c>
      <c r="N655" t="n">
        <v>0</v>
      </c>
      <c r="O655" t="n">
        <v>0</v>
      </c>
      <c r="P655" t="n">
        <v>0</v>
      </c>
      <c r="Q655" t="n">
        <v>0</v>
      </c>
      <c r="R655" s="2" t="inlineStr"/>
    </row>
    <row r="656" ht="15" customHeight="1">
      <c r="A656" t="inlineStr">
        <is>
          <t>A 64138-2019</t>
        </is>
      </c>
      <c r="B656" s="1" t="n">
        <v>43796</v>
      </c>
      <c r="C656" s="1" t="n">
        <v>45648</v>
      </c>
      <c r="D656" t="inlineStr">
        <is>
          <t>JÄMTLANDS LÄN</t>
        </is>
      </c>
      <c r="E656" t="inlineStr">
        <is>
          <t>STRÖMSUND</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64463-2019</t>
        </is>
      </c>
      <c r="B657" s="1" t="n">
        <v>43797</v>
      </c>
      <c r="C657" s="1" t="n">
        <v>45648</v>
      </c>
      <c r="D657" t="inlineStr">
        <is>
          <t>JÄMTLANDS LÄN</t>
        </is>
      </c>
      <c r="E657" t="inlineStr">
        <is>
          <t>STRÖMSUND</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65415-2019</t>
        </is>
      </c>
      <c r="B658" s="1" t="n">
        <v>43797</v>
      </c>
      <c r="C658" s="1" t="n">
        <v>45648</v>
      </c>
      <c r="D658" t="inlineStr">
        <is>
          <t>JÄMTLANDS LÄN</t>
        </is>
      </c>
      <c r="E658" t="inlineStr">
        <is>
          <t>STRÖMSUND</t>
        </is>
      </c>
      <c r="G658" t="n">
        <v>1.2</v>
      </c>
      <c r="H658" t="n">
        <v>0</v>
      </c>
      <c r="I658" t="n">
        <v>0</v>
      </c>
      <c r="J658" t="n">
        <v>0</v>
      </c>
      <c r="K658" t="n">
        <v>0</v>
      </c>
      <c r="L658" t="n">
        <v>0</v>
      </c>
      <c r="M658" t="n">
        <v>0</v>
      </c>
      <c r="N658" t="n">
        <v>0</v>
      </c>
      <c r="O658" t="n">
        <v>0</v>
      </c>
      <c r="P658" t="n">
        <v>0</v>
      </c>
      <c r="Q658" t="n">
        <v>0</v>
      </c>
      <c r="R658" s="2" t="inlineStr"/>
    </row>
    <row r="659" ht="15" customHeight="1">
      <c r="A659" t="inlineStr">
        <is>
          <t>A 65390-2019</t>
        </is>
      </c>
      <c r="B659" s="1" t="n">
        <v>43797</v>
      </c>
      <c r="C659" s="1" t="n">
        <v>45648</v>
      </c>
      <c r="D659" t="inlineStr">
        <is>
          <t>JÄMTLANDS LÄN</t>
        </is>
      </c>
      <c r="E659" t="inlineStr">
        <is>
          <t>STRÖMSUND</t>
        </is>
      </c>
      <c r="G659" t="n">
        <v>0.9</v>
      </c>
      <c r="H659" t="n">
        <v>0</v>
      </c>
      <c r="I659" t="n">
        <v>0</v>
      </c>
      <c r="J659" t="n">
        <v>0</v>
      </c>
      <c r="K659" t="n">
        <v>0</v>
      </c>
      <c r="L659" t="n">
        <v>0</v>
      </c>
      <c r="M659" t="n">
        <v>0</v>
      </c>
      <c r="N659" t="n">
        <v>0</v>
      </c>
      <c r="O659" t="n">
        <v>0</v>
      </c>
      <c r="P659" t="n">
        <v>0</v>
      </c>
      <c r="Q659" t="n">
        <v>0</v>
      </c>
      <c r="R659" s="2" t="inlineStr"/>
    </row>
    <row r="660" ht="15" customHeight="1">
      <c r="A660" t="inlineStr">
        <is>
          <t>A 66574-2019</t>
        </is>
      </c>
      <c r="B660" s="1" t="n">
        <v>43803</v>
      </c>
      <c r="C660" s="1" t="n">
        <v>45648</v>
      </c>
      <c r="D660" t="inlineStr">
        <is>
          <t>JÄMTLANDS LÄN</t>
        </is>
      </c>
      <c r="E660" t="inlineStr">
        <is>
          <t>STRÖMSUND</t>
        </is>
      </c>
      <c r="G660" t="n">
        <v>0.7</v>
      </c>
      <c r="H660" t="n">
        <v>0</v>
      </c>
      <c r="I660" t="n">
        <v>0</v>
      </c>
      <c r="J660" t="n">
        <v>0</v>
      </c>
      <c r="K660" t="n">
        <v>0</v>
      </c>
      <c r="L660" t="n">
        <v>0</v>
      </c>
      <c r="M660" t="n">
        <v>0</v>
      </c>
      <c r="N660" t="n">
        <v>0</v>
      </c>
      <c r="O660" t="n">
        <v>0</v>
      </c>
      <c r="P660" t="n">
        <v>0</v>
      </c>
      <c r="Q660" t="n">
        <v>0</v>
      </c>
      <c r="R660" s="2" t="inlineStr"/>
    </row>
    <row r="661" ht="15" customHeight="1">
      <c r="A661" t="inlineStr">
        <is>
          <t>A 65781-2019</t>
        </is>
      </c>
      <c r="B661" s="1" t="n">
        <v>43804</v>
      </c>
      <c r="C661" s="1" t="n">
        <v>45648</v>
      </c>
      <c r="D661" t="inlineStr">
        <is>
          <t>JÄMTLANDS LÄN</t>
        </is>
      </c>
      <c r="E661" t="inlineStr">
        <is>
          <t>STRÖMSUND</t>
        </is>
      </c>
      <c r="G661" t="n">
        <v>4.3</v>
      </c>
      <c r="H661" t="n">
        <v>0</v>
      </c>
      <c r="I661" t="n">
        <v>0</v>
      </c>
      <c r="J661" t="n">
        <v>0</v>
      </c>
      <c r="K661" t="n">
        <v>0</v>
      </c>
      <c r="L661" t="n">
        <v>0</v>
      </c>
      <c r="M661" t="n">
        <v>0</v>
      </c>
      <c r="N661" t="n">
        <v>0</v>
      </c>
      <c r="O661" t="n">
        <v>0</v>
      </c>
      <c r="P661" t="n">
        <v>0</v>
      </c>
      <c r="Q661" t="n">
        <v>0</v>
      </c>
      <c r="R661" s="2" t="inlineStr"/>
    </row>
    <row r="662" ht="15" customHeight="1">
      <c r="A662" t="inlineStr">
        <is>
          <t>A 67064-2019</t>
        </is>
      </c>
      <c r="B662" s="1" t="n">
        <v>43805</v>
      </c>
      <c r="C662" s="1" t="n">
        <v>45648</v>
      </c>
      <c r="D662" t="inlineStr">
        <is>
          <t>JÄMTLANDS LÄN</t>
        </is>
      </c>
      <c r="E662" t="inlineStr">
        <is>
          <t>STRÖMSUND</t>
        </is>
      </c>
      <c r="G662" t="n">
        <v>0.8</v>
      </c>
      <c r="H662" t="n">
        <v>0</v>
      </c>
      <c r="I662" t="n">
        <v>0</v>
      </c>
      <c r="J662" t="n">
        <v>0</v>
      </c>
      <c r="K662" t="n">
        <v>0</v>
      </c>
      <c r="L662" t="n">
        <v>0</v>
      </c>
      <c r="M662" t="n">
        <v>0</v>
      </c>
      <c r="N662" t="n">
        <v>0</v>
      </c>
      <c r="O662" t="n">
        <v>0</v>
      </c>
      <c r="P662" t="n">
        <v>0</v>
      </c>
      <c r="Q662" t="n">
        <v>0</v>
      </c>
      <c r="R662" s="2" t="inlineStr"/>
    </row>
    <row r="663" ht="15" customHeight="1">
      <c r="A663" t="inlineStr">
        <is>
          <t>A 66349-2019</t>
        </is>
      </c>
      <c r="B663" s="1" t="n">
        <v>43808</v>
      </c>
      <c r="C663" s="1" t="n">
        <v>45648</v>
      </c>
      <c r="D663" t="inlineStr">
        <is>
          <t>JÄMTLANDS LÄN</t>
        </is>
      </c>
      <c r="E663" t="inlineStr">
        <is>
          <t>STRÖMSUND</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67820-2019</t>
        </is>
      </c>
      <c r="B664" s="1" t="n">
        <v>43815</v>
      </c>
      <c r="C664" s="1" t="n">
        <v>45648</v>
      </c>
      <c r="D664" t="inlineStr">
        <is>
          <t>JÄMTLANDS LÄN</t>
        </is>
      </c>
      <c r="E664" t="inlineStr">
        <is>
          <t>STRÖMSUND</t>
        </is>
      </c>
      <c r="F664" t="inlineStr">
        <is>
          <t>SCA</t>
        </is>
      </c>
      <c r="G664" t="n">
        <v>28.7</v>
      </c>
      <c r="H664" t="n">
        <v>0</v>
      </c>
      <c r="I664" t="n">
        <v>0</v>
      </c>
      <c r="J664" t="n">
        <v>0</v>
      </c>
      <c r="K664" t="n">
        <v>0</v>
      </c>
      <c r="L664" t="n">
        <v>0</v>
      </c>
      <c r="M664" t="n">
        <v>0</v>
      </c>
      <c r="N664" t="n">
        <v>0</v>
      </c>
      <c r="O664" t="n">
        <v>0</v>
      </c>
      <c r="P664" t="n">
        <v>0</v>
      </c>
      <c r="Q664" t="n">
        <v>0</v>
      </c>
      <c r="R664" s="2" t="inlineStr"/>
    </row>
    <row r="665" ht="15" customHeight="1">
      <c r="A665" t="inlineStr">
        <is>
          <t>A 67914-2019</t>
        </is>
      </c>
      <c r="B665" s="1" t="n">
        <v>43816</v>
      </c>
      <c r="C665" s="1" t="n">
        <v>45648</v>
      </c>
      <c r="D665" t="inlineStr">
        <is>
          <t>JÄMTLANDS LÄN</t>
        </is>
      </c>
      <c r="E665" t="inlineStr">
        <is>
          <t>STRÖMSUND</t>
        </is>
      </c>
      <c r="F665" t="inlineStr">
        <is>
          <t>Holmen skog AB</t>
        </is>
      </c>
      <c r="G665" t="n">
        <v>27.7</v>
      </c>
      <c r="H665" t="n">
        <v>0</v>
      </c>
      <c r="I665" t="n">
        <v>0</v>
      </c>
      <c r="J665" t="n">
        <v>0</v>
      </c>
      <c r="K665" t="n">
        <v>0</v>
      </c>
      <c r="L665" t="n">
        <v>0</v>
      </c>
      <c r="M665" t="n">
        <v>0</v>
      </c>
      <c r="N665" t="n">
        <v>0</v>
      </c>
      <c r="O665" t="n">
        <v>0</v>
      </c>
      <c r="P665" t="n">
        <v>0</v>
      </c>
      <c r="Q665" t="n">
        <v>0</v>
      </c>
      <c r="R665" s="2" t="inlineStr"/>
    </row>
    <row r="666" ht="15" customHeight="1">
      <c r="A666" t="inlineStr">
        <is>
          <t>A 68080-2019</t>
        </is>
      </c>
      <c r="B666" s="1" t="n">
        <v>43816</v>
      </c>
      <c r="C666" s="1" t="n">
        <v>45648</v>
      </c>
      <c r="D666" t="inlineStr">
        <is>
          <t>JÄMTLANDS LÄN</t>
        </is>
      </c>
      <c r="E666" t="inlineStr">
        <is>
          <t>STRÖMSUND</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68607-2019</t>
        </is>
      </c>
      <c r="B667" s="1" t="n">
        <v>43818</v>
      </c>
      <c r="C667" s="1" t="n">
        <v>45648</v>
      </c>
      <c r="D667" t="inlineStr">
        <is>
          <t>JÄMTLANDS LÄN</t>
        </is>
      </c>
      <c r="E667" t="inlineStr">
        <is>
          <t>STRÖMSUND</t>
        </is>
      </c>
      <c r="G667" t="n">
        <v>2.5</v>
      </c>
      <c r="H667" t="n">
        <v>0</v>
      </c>
      <c r="I667" t="n">
        <v>0</v>
      </c>
      <c r="J667" t="n">
        <v>0</v>
      </c>
      <c r="K667" t="n">
        <v>0</v>
      </c>
      <c r="L667" t="n">
        <v>0</v>
      </c>
      <c r="M667" t="n">
        <v>0</v>
      </c>
      <c r="N667" t="n">
        <v>0</v>
      </c>
      <c r="O667" t="n">
        <v>0</v>
      </c>
      <c r="P667" t="n">
        <v>0</v>
      </c>
      <c r="Q667" t="n">
        <v>0</v>
      </c>
      <c r="R667" s="2" t="inlineStr"/>
    </row>
    <row r="668" ht="15" customHeight="1">
      <c r="A668" t="inlineStr">
        <is>
          <t>A 68335-2019</t>
        </is>
      </c>
      <c r="B668" s="1" t="n">
        <v>43818</v>
      </c>
      <c r="C668" s="1" t="n">
        <v>45648</v>
      </c>
      <c r="D668" t="inlineStr">
        <is>
          <t>JÄMTLANDS LÄN</t>
        </is>
      </c>
      <c r="E668" t="inlineStr">
        <is>
          <t>STRÖMSUND</t>
        </is>
      </c>
      <c r="G668" t="n">
        <v>3.4</v>
      </c>
      <c r="H668" t="n">
        <v>0</v>
      </c>
      <c r="I668" t="n">
        <v>0</v>
      </c>
      <c r="J668" t="n">
        <v>0</v>
      </c>
      <c r="K668" t="n">
        <v>0</v>
      </c>
      <c r="L668" t="n">
        <v>0</v>
      </c>
      <c r="M668" t="n">
        <v>0</v>
      </c>
      <c r="N668" t="n">
        <v>0</v>
      </c>
      <c r="O668" t="n">
        <v>0</v>
      </c>
      <c r="P668" t="n">
        <v>0</v>
      </c>
      <c r="Q668" t="n">
        <v>0</v>
      </c>
      <c r="R668" s="2" t="inlineStr"/>
    </row>
    <row r="669" ht="15" customHeight="1">
      <c r="A669" t="inlineStr">
        <is>
          <t>A 861-2020</t>
        </is>
      </c>
      <c r="B669" s="1" t="n">
        <v>43838</v>
      </c>
      <c r="C669" s="1" t="n">
        <v>45648</v>
      </c>
      <c r="D669" t="inlineStr">
        <is>
          <t>JÄMTLANDS LÄN</t>
        </is>
      </c>
      <c r="E669" t="inlineStr">
        <is>
          <t>STRÖMSUND</t>
        </is>
      </c>
      <c r="G669" t="n">
        <v>0.6</v>
      </c>
      <c r="H669" t="n">
        <v>0</v>
      </c>
      <c r="I669" t="n">
        <v>0</v>
      </c>
      <c r="J669" t="n">
        <v>0</v>
      </c>
      <c r="K669" t="n">
        <v>0</v>
      </c>
      <c r="L669" t="n">
        <v>0</v>
      </c>
      <c r="M669" t="n">
        <v>0</v>
      </c>
      <c r="N669" t="n">
        <v>0</v>
      </c>
      <c r="O669" t="n">
        <v>0</v>
      </c>
      <c r="P669" t="n">
        <v>0</v>
      </c>
      <c r="Q669" t="n">
        <v>0</v>
      </c>
      <c r="R669" s="2" t="inlineStr"/>
    </row>
    <row r="670" ht="15" customHeight="1">
      <c r="A670" t="inlineStr">
        <is>
          <t>A 1034-2020</t>
        </is>
      </c>
      <c r="B670" s="1" t="n">
        <v>43839</v>
      </c>
      <c r="C670" s="1" t="n">
        <v>45648</v>
      </c>
      <c r="D670" t="inlineStr">
        <is>
          <t>JÄMTLANDS LÄN</t>
        </is>
      </c>
      <c r="E670" t="inlineStr">
        <is>
          <t>STRÖMSUND</t>
        </is>
      </c>
      <c r="G670" t="n">
        <v>1.7</v>
      </c>
      <c r="H670" t="n">
        <v>0</v>
      </c>
      <c r="I670" t="n">
        <v>0</v>
      </c>
      <c r="J670" t="n">
        <v>0</v>
      </c>
      <c r="K670" t="n">
        <v>0</v>
      </c>
      <c r="L670" t="n">
        <v>0</v>
      </c>
      <c r="M670" t="n">
        <v>0</v>
      </c>
      <c r="N670" t="n">
        <v>0</v>
      </c>
      <c r="O670" t="n">
        <v>0</v>
      </c>
      <c r="P670" t="n">
        <v>0</v>
      </c>
      <c r="Q670" t="n">
        <v>0</v>
      </c>
      <c r="R670" s="2" t="inlineStr"/>
    </row>
    <row r="671" ht="15" customHeight="1">
      <c r="A671" t="inlineStr">
        <is>
          <t>A 1134-2020</t>
        </is>
      </c>
      <c r="B671" s="1" t="n">
        <v>43840</v>
      </c>
      <c r="C671" s="1" t="n">
        <v>45648</v>
      </c>
      <c r="D671" t="inlineStr">
        <is>
          <t>JÄMTLANDS LÄN</t>
        </is>
      </c>
      <c r="E671" t="inlineStr">
        <is>
          <t>STRÖMSUND</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1138-2020</t>
        </is>
      </c>
      <c r="B672" s="1" t="n">
        <v>43840</v>
      </c>
      <c r="C672" s="1" t="n">
        <v>45648</v>
      </c>
      <c r="D672" t="inlineStr">
        <is>
          <t>JÄMTLANDS LÄN</t>
        </is>
      </c>
      <c r="E672" t="inlineStr">
        <is>
          <t>STRÖMSUND</t>
        </is>
      </c>
      <c r="G672" t="n">
        <v>6.5</v>
      </c>
      <c r="H672" t="n">
        <v>0</v>
      </c>
      <c r="I672" t="n">
        <v>0</v>
      </c>
      <c r="J672" t="n">
        <v>0</v>
      </c>
      <c r="K672" t="n">
        <v>0</v>
      </c>
      <c r="L672" t="n">
        <v>0</v>
      </c>
      <c r="M672" t="n">
        <v>0</v>
      </c>
      <c r="N672" t="n">
        <v>0</v>
      </c>
      <c r="O672" t="n">
        <v>0</v>
      </c>
      <c r="P672" t="n">
        <v>0</v>
      </c>
      <c r="Q672" t="n">
        <v>0</v>
      </c>
      <c r="R672" s="2" t="inlineStr"/>
    </row>
    <row r="673" ht="15" customHeight="1">
      <c r="A673" t="inlineStr">
        <is>
          <t>A 1201-2020</t>
        </is>
      </c>
      <c r="B673" s="1" t="n">
        <v>43840</v>
      </c>
      <c r="C673" s="1" t="n">
        <v>45648</v>
      </c>
      <c r="D673" t="inlineStr">
        <is>
          <t>JÄMTLANDS LÄN</t>
        </is>
      </c>
      <c r="E673" t="inlineStr">
        <is>
          <t>STRÖMSUND</t>
        </is>
      </c>
      <c r="G673" t="n">
        <v>39.5</v>
      </c>
      <c r="H673" t="n">
        <v>0</v>
      </c>
      <c r="I673" t="n">
        <v>0</v>
      </c>
      <c r="J673" t="n">
        <v>0</v>
      </c>
      <c r="K673" t="n">
        <v>0</v>
      </c>
      <c r="L673" t="n">
        <v>0</v>
      </c>
      <c r="M673" t="n">
        <v>0</v>
      </c>
      <c r="N673" t="n">
        <v>0</v>
      </c>
      <c r="O673" t="n">
        <v>0</v>
      </c>
      <c r="P673" t="n">
        <v>0</v>
      </c>
      <c r="Q673" t="n">
        <v>0</v>
      </c>
      <c r="R673" s="2" t="inlineStr"/>
    </row>
    <row r="674" ht="15" customHeight="1">
      <c r="A674" t="inlineStr">
        <is>
          <t>A 1238-2020</t>
        </is>
      </c>
      <c r="B674" s="1" t="n">
        <v>43840</v>
      </c>
      <c r="C674" s="1" t="n">
        <v>45648</v>
      </c>
      <c r="D674" t="inlineStr">
        <is>
          <t>JÄMTLANDS LÄN</t>
        </is>
      </c>
      <c r="E674" t="inlineStr">
        <is>
          <t>STRÖMSUND</t>
        </is>
      </c>
      <c r="G674" t="n">
        <v>20.3</v>
      </c>
      <c r="H674" t="n">
        <v>0</v>
      </c>
      <c r="I674" t="n">
        <v>0</v>
      </c>
      <c r="J674" t="n">
        <v>0</v>
      </c>
      <c r="K674" t="n">
        <v>0</v>
      </c>
      <c r="L674" t="n">
        <v>0</v>
      </c>
      <c r="M674" t="n">
        <v>0</v>
      </c>
      <c r="N674" t="n">
        <v>0</v>
      </c>
      <c r="O674" t="n">
        <v>0</v>
      </c>
      <c r="P674" t="n">
        <v>0</v>
      </c>
      <c r="Q674" t="n">
        <v>0</v>
      </c>
      <c r="R674" s="2" t="inlineStr"/>
    </row>
    <row r="675" ht="15" customHeight="1">
      <c r="A675" t="inlineStr">
        <is>
          <t>A 2250-2020</t>
        </is>
      </c>
      <c r="B675" s="1" t="n">
        <v>43846</v>
      </c>
      <c r="C675" s="1" t="n">
        <v>45648</v>
      </c>
      <c r="D675" t="inlineStr">
        <is>
          <t>JÄMTLANDS LÄN</t>
        </is>
      </c>
      <c r="E675" t="inlineStr">
        <is>
          <t>STRÖMSUND</t>
        </is>
      </c>
      <c r="G675" t="n">
        <v>0.1</v>
      </c>
      <c r="H675" t="n">
        <v>0</v>
      </c>
      <c r="I675" t="n">
        <v>0</v>
      </c>
      <c r="J675" t="n">
        <v>0</v>
      </c>
      <c r="K675" t="n">
        <v>0</v>
      </c>
      <c r="L675" t="n">
        <v>0</v>
      </c>
      <c r="M675" t="n">
        <v>0</v>
      </c>
      <c r="N675" t="n">
        <v>0</v>
      </c>
      <c r="O675" t="n">
        <v>0</v>
      </c>
      <c r="P675" t="n">
        <v>0</v>
      </c>
      <c r="Q675" t="n">
        <v>0</v>
      </c>
      <c r="R675" s="2" t="inlineStr"/>
    </row>
    <row r="676" ht="15" customHeight="1">
      <c r="A676" t="inlineStr">
        <is>
          <t>A 2184-2020</t>
        </is>
      </c>
      <c r="B676" s="1" t="n">
        <v>43846</v>
      </c>
      <c r="C676" s="1" t="n">
        <v>45648</v>
      </c>
      <c r="D676" t="inlineStr">
        <is>
          <t>JÄMTLANDS LÄN</t>
        </is>
      </c>
      <c r="E676" t="inlineStr">
        <is>
          <t>STRÖMSUND</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2705-2020</t>
        </is>
      </c>
      <c r="B677" s="1" t="n">
        <v>43850</v>
      </c>
      <c r="C677" s="1" t="n">
        <v>45648</v>
      </c>
      <c r="D677" t="inlineStr">
        <is>
          <t>JÄMTLANDS LÄN</t>
        </is>
      </c>
      <c r="E677" t="inlineStr">
        <is>
          <t>STRÖMSUND</t>
        </is>
      </c>
      <c r="G677" t="n">
        <v>11.2</v>
      </c>
      <c r="H677" t="n">
        <v>0</v>
      </c>
      <c r="I677" t="n">
        <v>0</v>
      </c>
      <c r="J677" t="n">
        <v>0</v>
      </c>
      <c r="K677" t="n">
        <v>0</v>
      </c>
      <c r="L677" t="n">
        <v>0</v>
      </c>
      <c r="M677" t="n">
        <v>0</v>
      </c>
      <c r="N677" t="n">
        <v>0</v>
      </c>
      <c r="O677" t="n">
        <v>0</v>
      </c>
      <c r="P677" t="n">
        <v>0</v>
      </c>
      <c r="Q677" t="n">
        <v>0</v>
      </c>
      <c r="R677" s="2" t="inlineStr"/>
    </row>
    <row r="678" ht="15" customHeight="1">
      <c r="A678" t="inlineStr">
        <is>
          <t>A 2911-2020</t>
        </is>
      </c>
      <c r="B678" s="1" t="n">
        <v>43850</v>
      </c>
      <c r="C678" s="1" t="n">
        <v>45648</v>
      </c>
      <c r="D678" t="inlineStr">
        <is>
          <t>JÄMTLANDS LÄN</t>
        </is>
      </c>
      <c r="E678" t="inlineStr">
        <is>
          <t>STRÖMSUND</t>
        </is>
      </c>
      <c r="G678" t="n">
        <v>6.4</v>
      </c>
      <c r="H678" t="n">
        <v>0</v>
      </c>
      <c r="I678" t="n">
        <v>0</v>
      </c>
      <c r="J678" t="n">
        <v>0</v>
      </c>
      <c r="K678" t="n">
        <v>0</v>
      </c>
      <c r="L678" t="n">
        <v>0</v>
      </c>
      <c r="M678" t="n">
        <v>0</v>
      </c>
      <c r="N678" t="n">
        <v>0</v>
      </c>
      <c r="O678" t="n">
        <v>0</v>
      </c>
      <c r="P678" t="n">
        <v>0</v>
      </c>
      <c r="Q678" t="n">
        <v>0</v>
      </c>
      <c r="R678" s="2" t="inlineStr"/>
    </row>
    <row r="679" ht="15" customHeight="1">
      <c r="A679" t="inlineStr">
        <is>
          <t>A 5127-2020</t>
        </is>
      </c>
      <c r="B679" s="1" t="n">
        <v>43850</v>
      </c>
      <c r="C679" s="1" t="n">
        <v>45648</v>
      </c>
      <c r="D679" t="inlineStr">
        <is>
          <t>JÄMTLANDS LÄN</t>
        </is>
      </c>
      <c r="E679" t="inlineStr">
        <is>
          <t>STRÖMSUND</t>
        </is>
      </c>
      <c r="G679" t="n">
        <v>15.4</v>
      </c>
      <c r="H679" t="n">
        <v>0</v>
      </c>
      <c r="I679" t="n">
        <v>0</v>
      </c>
      <c r="J679" t="n">
        <v>0</v>
      </c>
      <c r="K679" t="n">
        <v>0</v>
      </c>
      <c r="L679" t="n">
        <v>0</v>
      </c>
      <c r="M679" t="n">
        <v>0</v>
      </c>
      <c r="N679" t="n">
        <v>0</v>
      </c>
      <c r="O679" t="n">
        <v>0</v>
      </c>
      <c r="P679" t="n">
        <v>0</v>
      </c>
      <c r="Q679" t="n">
        <v>0</v>
      </c>
      <c r="R679" s="2" t="inlineStr"/>
    </row>
    <row r="680" ht="15" customHeight="1">
      <c r="A680" t="inlineStr">
        <is>
          <t>A 5119-2020</t>
        </is>
      </c>
      <c r="B680" s="1" t="n">
        <v>43850</v>
      </c>
      <c r="C680" s="1" t="n">
        <v>45648</v>
      </c>
      <c r="D680" t="inlineStr">
        <is>
          <t>JÄMTLANDS LÄN</t>
        </is>
      </c>
      <c r="E680" t="inlineStr">
        <is>
          <t>STRÖMSUND</t>
        </is>
      </c>
      <c r="G680" t="n">
        <v>0.7</v>
      </c>
      <c r="H680" t="n">
        <v>0</v>
      </c>
      <c r="I680" t="n">
        <v>0</v>
      </c>
      <c r="J680" t="n">
        <v>0</v>
      </c>
      <c r="K680" t="n">
        <v>0</v>
      </c>
      <c r="L680" t="n">
        <v>0</v>
      </c>
      <c r="M680" t="n">
        <v>0</v>
      </c>
      <c r="N680" t="n">
        <v>0</v>
      </c>
      <c r="O680" t="n">
        <v>0</v>
      </c>
      <c r="P680" t="n">
        <v>0</v>
      </c>
      <c r="Q680" t="n">
        <v>0</v>
      </c>
      <c r="R680" s="2" t="inlineStr"/>
    </row>
    <row r="681" ht="15" customHeight="1">
      <c r="A681" t="inlineStr">
        <is>
          <t>A 2987-2020</t>
        </is>
      </c>
      <c r="B681" s="1" t="n">
        <v>43850</v>
      </c>
      <c r="C681" s="1" t="n">
        <v>45648</v>
      </c>
      <c r="D681" t="inlineStr">
        <is>
          <t>JÄMTLANDS LÄN</t>
        </is>
      </c>
      <c r="E681" t="inlineStr">
        <is>
          <t>STRÖMSUND</t>
        </is>
      </c>
      <c r="G681" t="n">
        <v>7.3</v>
      </c>
      <c r="H681" t="n">
        <v>0</v>
      </c>
      <c r="I681" t="n">
        <v>0</v>
      </c>
      <c r="J681" t="n">
        <v>0</v>
      </c>
      <c r="K681" t="n">
        <v>0</v>
      </c>
      <c r="L681" t="n">
        <v>0</v>
      </c>
      <c r="M681" t="n">
        <v>0</v>
      </c>
      <c r="N681" t="n">
        <v>0</v>
      </c>
      <c r="O681" t="n">
        <v>0</v>
      </c>
      <c r="P681" t="n">
        <v>0</v>
      </c>
      <c r="Q681" t="n">
        <v>0</v>
      </c>
      <c r="R681" s="2" t="inlineStr"/>
    </row>
    <row r="682" ht="15" customHeight="1">
      <c r="A682" t="inlineStr">
        <is>
          <t>A 5147-2020</t>
        </is>
      </c>
      <c r="B682" s="1" t="n">
        <v>43850</v>
      </c>
      <c r="C682" s="1" t="n">
        <v>45648</v>
      </c>
      <c r="D682" t="inlineStr">
        <is>
          <t>JÄMTLANDS LÄN</t>
        </is>
      </c>
      <c r="E682" t="inlineStr">
        <is>
          <t>STRÖMSUND</t>
        </is>
      </c>
      <c r="G682" t="n">
        <v>10.8</v>
      </c>
      <c r="H682" t="n">
        <v>0</v>
      </c>
      <c r="I682" t="n">
        <v>0</v>
      </c>
      <c r="J682" t="n">
        <v>0</v>
      </c>
      <c r="K682" t="n">
        <v>0</v>
      </c>
      <c r="L682" t="n">
        <v>0</v>
      </c>
      <c r="M682" t="n">
        <v>0</v>
      </c>
      <c r="N682" t="n">
        <v>0</v>
      </c>
      <c r="O682" t="n">
        <v>0</v>
      </c>
      <c r="P682" t="n">
        <v>0</v>
      </c>
      <c r="Q682" t="n">
        <v>0</v>
      </c>
      <c r="R682" s="2" t="inlineStr"/>
    </row>
    <row r="683" ht="15" customHeight="1">
      <c r="A683" t="inlineStr">
        <is>
          <t>A 4654-2020</t>
        </is>
      </c>
      <c r="B683" s="1" t="n">
        <v>43851</v>
      </c>
      <c r="C683" s="1" t="n">
        <v>45648</v>
      </c>
      <c r="D683" t="inlineStr">
        <is>
          <t>JÄMTLANDS LÄN</t>
        </is>
      </c>
      <c r="E683" t="inlineStr">
        <is>
          <t>STRÖMSUND</t>
        </is>
      </c>
      <c r="G683" t="n">
        <v>4</v>
      </c>
      <c r="H683" t="n">
        <v>0</v>
      </c>
      <c r="I683" t="n">
        <v>0</v>
      </c>
      <c r="J683" t="n">
        <v>0</v>
      </c>
      <c r="K683" t="n">
        <v>0</v>
      </c>
      <c r="L683" t="n">
        <v>0</v>
      </c>
      <c r="M683" t="n">
        <v>0</v>
      </c>
      <c r="N683" t="n">
        <v>0</v>
      </c>
      <c r="O683" t="n">
        <v>0</v>
      </c>
      <c r="P683" t="n">
        <v>0</v>
      </c>
      <c r="Q683" t="n">
        <v>0</v>
      </c>
      <c r="R683" s="2" t="inlineStr"/>
    </row>
    <row r="684" ht="15" customHeight="1">
      <c r="A684" t="inlineStr">
        <is>
          <t>A 4898-2020</t>
        </is>
      </c>
      <c r="B684" s="1" t="n">
        <v>43852</v>
      </c>
      <c r="C684" s="1" t="n">
        <v>45648</v>
      </c>
      <c r="D684" t="inlineStr">
        <is>
          <t>JÄMTLANDS LÄN</t>
        </is>
      </c>
      <c r="E684" t="inlineStr">
        <is>
          <t>STRÖMSUND</t>
        </is>
      </c>
      <c r="G684" t="n">
        <v>6.7</v>
      </c>
      <c r="H684" t="n">
        <v>0</v>
      </c>
      <c r="I684" t="n">
        <v>0</v>
      </c>
      <c r="J684" t="n">
        <v>0</v>
      </c>
      <c r="K684" t="n">
        <v>0</v>
      </c>
      <c r="L684" t="n">
        <v>0</v>
      </c>
      <c r="M684" t="n">
        <v>0</v>
      </c>
      <c r="N684" t="n">
        <v>0</v>
      </c>
      <c r="O684" t="n">
        <v>0</v>
      </c>
      <c r="P684" t="n">
        <v>0</v>
      </c>
      <c r="Q684" t="n">
        <v>0</v>
      </c>
      <c r="R684" s="2" t="inlineStr"/>
    </row>
    <row r="685" ht="15" customHeight="1">
      <c r="A685" t="inlineStr">
        <is>
          <t>A 3862-2020</t>
        </is>
      </c>
      <c r="B685" s="1" t="n">
        <v>43854</v>
      </c>
      <c r="C685" s="1" t="n">
        <v>45648</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3895-2020</t>
        </is>
      </c>
      <c r="B686" s="1" t="n">
        <v>43854</v>
      </c>
      <c r="C686" s="1" t="n">
        <v>45648</v>
      </c>
      <c r="D686" t="inlineStr">
        <is>
          <t>JÄMTLANDS LÄN</t>
        </is>
      </c>
      <c r="E686" t="inlineStr">
        <is>
          <t>STRÖMSUND</t>
        </is>
      </c>
      <c r="G686" t="n">
        <v>0.5</v>
      </c>
      <c r="H686" t="n">
        <v>0</v>
      </c>
      <c r="I686" t="n">
        <v>0</v>
      </c>
      <c r="J686" t="n">
        <v>0</v>
      </c>
      <c r="K686" t="n">
        <v>0</v>
      </c>
      <c r="L686" t="n">
        <v>0</v>
      </c>
      <c r="M686" t="n">
        <v>0</v>
      </c>
      <c r="N686" t="n">
        <v>0</v>
      </c>
      <c r="O686" t="n">
        <v>0</v>
      </c>
      <c r="P686" t="n">
        <v>0</v>
      </c>
      <c r="Q686" t="n">
        <v>0</v>
      </c>
      <c r="R686" s="2" t="inlineStr"/>
    </row>
    <row r="687" ht="15" customHeight="1">
      <c r="A687" t="inlineStr">
        <is>
          <t>A 3988-2020</t>
        </is>
      </c>
      <c r="B687" s="1" t="n">
        <v>43856</v>
      </c>
      <c r="C687" s="1" t="n">
        <v>45648</v>
      </c>
      <c r="D687" t="inlineStr">
        <is>
          <t>JÄMTLANDS LÄN</t>
        </is>
      </c>
      <c r="E687" t="inlineStr">
        <is>
          <t>STRÖMSUND</t>
        </is>
      </c>
      <c r="G687" t="n">
        <v>12.4</v>
      </c>
      <c r="H687" t="n">
        <v>0</v>
      </c>
      <c r="I687" t="n">
        <v>0</v>
      </c>
      <c r="J687" t="n">
        <v>0</v>
      </c>
      <c r="K687" t="n">
        <v>0</v>
      </c>
      <c r="L687" t="n">
        <v>0</v>
      </c>
      <c r="M687" t="n">
        <v>0</v>
      </c>
      <c r="N687" t="n">
        <v>0</v>
      </c>
      <c r="O687" t="n">
        <v>0</v>
      </c>
      <c r="P687" t="n">
        <v>0</v>
      </c>
      <c r="Q687" t="n">
        <v>0</v>
      </c>
      <c r="R687" s="2" t="inlineStr"/>
    </row>
    <row r="688" ht="15" customHeight="1">
      <c r="A688" t="inlineStr">
        <is>
          <t>A 4905-2020</t>
        </is>
      </c>
      <c r="B688" s="1" t="n">
        <v>43859</v>
      </c>
      <c r="C688" s="1" t="n">
        <v>45648</v>
      </c>
      <c r="D688" t="inlineStr">
        <is>
          <t>JÄMTLANDS LÄN</t>
        </is>
      </c>
      <c r="E688" t="inlineStr">
        <is>
          <t>STRÖMSUND</t>
        </is>
      </c>
      <c r="G688" t="n">
        <v>22.3</v>
      </c>
      <c r="H688" t="n">
        <v>0</v>
      </c>
      <c r="I688" t="n">
        <v>0</v>
      </c>
      <c r="J688" t="n">
        <v>0</v>
      </c>
      <c r="K688" t="n">
        <v>0</v>
      </c>
      <c r="L688" t="n">
        <v>0</v>
      </c>
      <c r="M688" t="n">
        <v>0</v>
      </c>
      <c r="N688" t="n">
        <v>0</v>
      </c>
      <c r="O688" t="n">
        <v>0</v>
      </c>
      <c r="P688" t="n">
        <v>0</v>
      </c>
      <c r="Q688" t="n">
        <v>0</v>
      </c>
      <c r="R688" s="2" t="inlineStr"/>
    </row>
    <row r="689" ht="15" customHeight="1">
      <c r="A689" t="inlineStr">
        <is>
          <t>A 5915-2020</t>
        </is>
      </c>
      <c r="B689" s="1" t="n">
        <v>43861</v>
      </c>
      <c r="C689" s="1" t="n">
        <v>45648</v>
      </c>
      <c r="D689" t="inlineStr">
        <is>
          <t>JÄMTLANDS LÄN</t>
        </is>
      </c>
      <c r="E689" t="inlineStr">
        <is>
          <t>STRÖMSUND</t>
        </is>
      </c>
      <c r="G689" t="n">
        <v>10.3</v>
      </c>
      <c r="H689" t="n">
        <v>0</v>
      </c>
      <c r="I689" t="n">
        <v>0</v>
      </c>
      <c r="J689" t="n">
        <v>0</v>
      </c>
      <c r="K689" t="n">
        <v>0</v>
      </c>
      <c r="L689" t="n">
        <v>0</v>
      </c>
      <c r="M689" t="n">
        <v>0</v>
      </c>
      <c r="N689" t="n">
        <v>0</v>
      </c>
      <c r="O689" t="n">
        <v>0</v>
      </c>
      <c r="P689" t="n">
        <v>0</v>
      </c>
      <c r="Q689" t="n">
        <v>0</v>
      </c>
      <c r="R689" s="2" t="inlineStr"/>
    </row>
    <row r="690" ht="15" customHeight="1">
      <c r="A690" t="inlineStr">
        <is>
          <t>A 6146-2020</t>
        </is>
      </c>
      <c r="B690" s="1" t="n">
        <v>43865</v>
      </c>
      <c r="C690" s="1" t="n">
        <v>45648</v>
      </c>
      <c r="D690" t="inlineStr">
        <is>
          <t>JÄMTLANDS LÄN</t>
        </is>
      </c>
      <c r="E690" t="inlineStr">
        <is>
          <t>STRÖMSUND</t>
        </is>
      </c>
      <c r="G690" t="n">
        <v>1.9</v>
      </c>
      <c r="H690" t="n">
        <v>0</v>
      </c>
      <c r="I690" t="n">
        <v>0</v>
      </c>
      <c r="J690" t="n">
        <v>0</v>
      </c>
      <c r="K690" t="n">
        <v>0</v>
      </c>
      <c r="L690" t="n">
        <v>0</v>
      </c>
      <c r="M690" t="n">
        <v>0</v>
      </c>
      <c r="N690" t="n">
        <v>0</v>
      </c>
      <c r="O690" t="n">
        <v>0</v>
      </c>
      <c r="P690" t="n">
        <v>0</v>
      </c>
      <c r="Q690" t="n">
        <v>0</v>
      </c>
      <c r="R690" s="2" t="inlineStr"/>
    </row>
    <row r="691" ht="15" customHeight="1">
      <c r="A691" t="inlineStr">
        <is>
          <t>A 7192-2020</t>
        </is>
      </c>
      <c r="B691" s="1" t="n">
        <v>43871</v>
      </c>
      <c r="C691" s="1" t="n">
        <v>45648</v>
      </c>
      <c r="D691" t="inlineStr">
        <is>
          <t>JÄMTLANDS LÄN</t>
        </is>
      </c>
      <c r="E691" t="inlineStr">
        <is>
          <t>STRÖMSUND</t>
        </is>
      </c>
      <c r="G691" t="n">
        <v>11.4</v>
      </c>
      <c r="H691" t="n">
        <v>0</v>
      </c>
      <c r="I691" t="n">
        <v>0</v>
      </c>
      <c r="J691" t="n">
        <v>0</v>
      </c>
      <c r="K691" t="n">
        <v>0</v>
      </c>
      <c r="L691" t="n">
        <v>0</v>
      </c>
      <c r="M691" t="n">
        <v>0</v>
      </c>
      <c r="N691" t="n">
        <v>0</v>
      </c>
      <c r="O691" t="n">
        <v>0</v>
      </c>
      <c r="P691" t="n">
        <v>0</v>
      </c>
      <c r="Q691" t="n">
        <v>0</v>
      </c>
      <c r="R691" s="2" t="inlineStr"/>
    </row>
    <row r="692" ht="15" customHeight="1">
      <c r="A692" t="inlineStr">
        <is>
          <t>A 7630-2020</t>
        </is>
      </c>
      <c r="B692" s="1" t="n">
        <v>43871</v>
      </c>
      <c r="C692" s="1" t="n">
        <v>45648</v>
      </c>
      <c r="D692" t="inlineStr">
        <is>
          <t>JÄMTLANDS LÄN</t>
        </is>
      </c>
      <c r="E692" t="inlineStr">
        <is>
          <t>STRÖMSUND</t>
        </is>
      </c>
      <c r="G692" t="n">
        <v>3</v>
      </c>
      <c r="H692" t="n">
        <v>0</v>
      </c>
      <c r="I692" t="n">
        <v>0</v>
      </c>
      <c r="J692" t="n">
        <v>0</v>
      </c>
      <c r="K692" t="n">
        <v>0</v>
      </c>
      <c r="L692" t="n">
        <v>0</v>
      </c>
      <c r="M692" t="n">
        <v>0</v>
      </c>
      <c r="N692" t="n">
        <v>0</v>
      </c>
      <c r="O692" t="n">
        <v>0</v>
      </c>
      <c r="P692" t="n">
        <v>0</v>
      </c>
      <c r="Q692" t="n">
        <v>0</v>
      </c>
      <c r="R692" s="2" t="inlineStr"/>
    </row>
    <row r="693" ht="15" customHeight="1">
      <c r="A693" t="inlineStr">
        <is>
          <t>A 7963-2020</t>
        </is>
      </c>
      <c r="B693" s="1" t="n">
        <v>43872</v>
      </c>
      <c r="C693" s="1" t="n">
        <v>45648</v>
      </c>
      <c r="D693" t="inlineStr">
        <is>
          <t>JÄMTLANDS LÄN</t>
        </is>
      </c>
      <c r="E693" t="inlineStr">
        <is>
          <t>STRÖMSUND</t>
        </is>
      </c>
      <c r="G693" t="n">
        <v>0.5</v>
      </c>
      <c r="H693" t="n">
        <v>0</v>
      </c>
      <c r="I693" t="n">
        <v>0</v>
      </c>
      <c r="J693" t="n">
        <v>0</v>
      </c>
      <c r="K693" t="n">
        <v>0</v>
      </c>
      <c r="L693" t="n">
        <v>0</v>
      </c>
      <c r="M693" t="n">
        <v>0</v>
      </c>
      <c r="N693" t="n">
        <v>0</v>
      </c>
      <c r="O693" t="n">
        <v>0</v>
      </c>
      <c r="P693" t="n">
        <v>0</v>
      </c>
      <c r="Q693" t="n">
        <v>0</v>
      </c>
      <c r="R693" s="2" t="inlineStr"/>
    </row>
    <row r="694" ht="15" customHeight="1">
      <c r="A694" t="inlineStr">
        <is>
          <t>A 7974-2020</t>
        </is>
      </c>
      <c r="B694" s="1" t="n">
        <v>43873</v>
      </c>
      <c r="C694" s="1" t="n">
        <v>45648</v>
      </c>
      <c r="D694" t="inlineStr">
        <is>
          <t>JÄMTLANDS LÄN</t>
        </is>
      </c>
      <c r="E694" t="inlineStr">
        <is>
          <t>STRÖMSUND</t>
        </is>
      </c>
      <c r="G694" t="n">
        <v>24.1</v>
      </c>
      <c r="H694" t="n">
        <v>0</v>
      </c>
      <c r="I694" t="n">
        <v>0</v>
      </c>
      <c r="J694" t="n">
        <v>0</v>
      </c>
      <c r="K694" t="n">
        <v>0</v>
      </c>
      <c r="L694" t="n">
        <v>0</v>
      </c>
      <c r="M694" t="n">
        <v>0</v>
      </c>
      <c r="N694" t="n">
        <v>0</v>
      </c>
      <c r="O694" t="n">
        <v>0</v>
      </c>
      <c r="P694" t="n">
        <v>0</v>
      </c>
      <c r="Q694" t="n">
        <v>0</v>
      </c>
      <c r="R694" s="2" t="inlineStr"/>
    </row>
    <row r="695" ht="15" customHeight="1">
      <c r="A695" t="inlineStr">
        <is>
          <t>A 8482-2020</t>
        </is>
      </c>
      <c r="B695" s="1" t="n">
        <v>43875</v>
      </c>
      <c r="C695" s="1" t="n">
        <v>45648</v>
      </c>
      <c r="D695" t="inlineStr">
        <is>
          <t>JÄMTLANDS LÄN</t>
        </is>
      </c>
      <c r="E695" t="inlineStr">
        <is>
          <t>STRÖMSUND</t>
        </is>
      </c>
      <c r="G695" t="n">
        <v>25.5</v>
      </c>
      <c r="H695" t="n">
        <v>0</v>
      </c>
      <c r="I695" t="n">
        <v>0</v>
      </c>
      <c r="J695" t="n">
        <v>0</v>
      </c>
      <c r="K695" t="n">
        <v>0</v>
      </c>
      <c r="L695" t="n">
        <v>0</v>
      </c>
      <c r="M695" t="n">
        <v>0</v>
      </c>
      <c r="N695" t="n">
        <v>0</v>
      </c>
      <c r="O695" t="n">
        <v>0</v>
      </c>
      <c r="P695" t="n">
        <v>0</v>
      </c>
      <c r="Q695" t="n">
        <v>0</v>
      </c>
      <c r="R695" s="2" t="inlineStr"/>
    </row>
    <row r="696" ht="15" customHeight="1">
      <c r="A696" t="inlineStr">
        <is>
          <t>A 8775-2020</t>
        </is>
      </c>
      <c r="B696" s="1" t="n">
        <v>43878</v>
      </c>
      <c r="C696" s="1" t="n">
        <v>45648</v>
      </c>
      <c r="D696" t="inlineStr">
        <is>
          <t>JÄMTLANDS LÄN</t>
        </is>
      </c>
      <c r="E696" t="inlineStr">
        <is>
          <t>STRÖMSUND</t>
        </is>
      </c>
      <c r="G696" t="n">
        <v>4.2</v>
      </c>
      <c r="H696" t="n">
        <v>0</v>
      </c>
      <c r="I696" t="n">
        <v>0</v>
      </c>
      <c r="J696" t="n">
        <v>0</v>
      </c>
      <c r="K696" t="n">
        <v>0</v>
      </c>
      <c r="L696" t="n">
        <v>0</v>
      </c>
      <c r="M696" t="n">
        <v>0</v>
      </c>
      <c r="N696" t="n">
        <v>0</v>
      </c>
      <c r="O696" t="n">
        <v>0</v>
      </c>
      <c r="P696" t="n">
        <v>0</v>
      </c>
      <c r="Q696" t="n">
        <v>0</v>
      </c>
      <c r="R696" s="2" t="inlineStr"/>
    </row>
    <row r="697" ht="15" customHeight="1">
      <c r="A697" t="inlineStr">
        <is>
          <t>A 12609-2020</t>
        </is>
      </c>
      <c r="B697" s="1" t="n">
        <v>43899</v>
      </c>
      <c r="C697" s="1" t="n">
        <v>45648</v>
      </c>
      <c r="D697" t="inlineStr">
        <is>
          <t>JÄMTLANDS LÄN</t>
        </is>
      </c>
      <c r="E697" t="inlineStr">
        <is>
          <t>STRÖMSUND</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13233-2020</t>
        </is>
      </c>
      <c r="B698" s="1" t="n">
        <v>43901</v>
      </c>
      <c r="C698" s="1" t="n">
        <v>45648</v>
      </c>
      <c r="D698" t="inlineStr">
        <is>
          <t>JÄMTLANDS LÄN</t>
        </is>
      </c>
      <c r="E698" t="inlineStr">
        <is>
          <t>STRÖMSUND</t>
        </is>
      </c>
      <c r="G698" t="n">
        <v>6.9</v>
      </c>
      <c r="H698" t="n">
        <v>0</v>
      </c>
      <c r="I698" t="n">
        <v>0</v>
      </c>
      <c r="J698" t="n">
        <v>0</v>
      </c>
      <c r="K698" t="n">
        <v>0</v>
      </c>
      <c r="L698" t="n">
        <v>0</v>
      </c>
      <c r="M698" t="n">
        <v>0</v>
      </c>
      <c r="N698" t="n">
        <v>0</v>
      </c>
      <c r="O698" t="n">
        <v>0</v>
      </c>
      <c r="P698" t="n">
        <v>0</v>
      </c>
      <c r="Q698" t="n">
        <v>0</v>
      </c>
      <c r="R698" s="2" t="inlineStr"/>
    </row>
    <row r="699" ht="15" customHeight="1">
      <c r="A699" t="inlineStr">
        <is>
          <t>A 13241-2020</t>
        </is>
      </c>
      <c r="B699" s="1" t="n">
        <v>43901</v>
      </c>
      <c r="C699" s="1" t="n">
        <v>45648</v>
      </c>
      <c r="D699" t="inlineStr">
        <is>
          <t>JÄMTLANDS LÄN</t>
        </is>
      </c>
      <c r="E699" t="inlineStr">
        <is>
          <t>STRÖMSUND</t>
        </is>
      </c>
      <c r="G699" t="n">
        <v>4</v>
      </c>
      <c r="H699" t="n">
        <v>0</v>
      </c>
      <c r="I699" t="n">
        <v>0</v>
      </c>
      <c r="J699" t="n">
        <v>0</v>
      </c>
      <c r="K699" t="n">
        <v>0</v>
      </c>
      <c r="L699" t="n">
        <v>0</v>
      </c>
      <c r="M699" t="n">
        <v>0</v>
      </c>
      <c r="N699" t="n">
        <v>0</v>
      </c>
      <c r="O699" t="n">
        <v>0</v>
      </c>
      <c r="P699" t="n">
        <v>0</v>
      </c>
      <c r="Q699" t="n">
        <v>0</v>
      </c>
      <c r="R699" s="2" t="inlineStr"/>
    </row>
    <row r="700" ht="15" customHeight="1">
      <c r="A700" t="inlineStr">
        <is>
          <t>A 14259-2020</t>
        </is>
      </c>
      <c r="B700" s="1" t="n">
        <v>43901</v>
      </c>
      <c r="C700" s="1" t="n">
        <v>45648</v>
      </c>
      <c r="D700" t="inlineStr">
        <is>
          <t>JÄMTLANDS LÄN</t>
        </is>
      </c>
      <c r="E700" t="inlineStr">
        <is>
          <t>STRÖMSUND</t>
        </is>
      </c>
      <c r="G700" t="n">
        <v>17.8</v>
      </c>
      <c r="H700" t="n">
        <v>0</v>
      </c>
      <c r="I700" t="n">
        <v>0</v>
      </c>
      <c r="J700" t="n">
        <v>0</v>
      </c>
      <c r="K700" t="n">
        <v>0</v>
      </c>
      <c r="L700" t="n">
        <v>0</v>
      </c>
      <c r="M700" t="n">
        <v>0</v>
      </c>
      <c r="N700" t="n">
        <v>0</v>
      </c>
      <c r="O700" t="n">
        <v>0</v>
      </c>
      <c r="P700" t="n">
        <v>0</v>
      </c>
      <c r="Q700" t="n">
        <v>0</v>
      </c>
      <c r="R700" s="2" t="inlineStr"/>
    </row>
    <row r="701" ht="15" customHeight="1">
      <c r="A701" t="inlineStr">
        <is>
          <t>A 14904-2020</t>
        </is>
      </c>
      <c r="B701" s="1" t="n">
        <v>43906</v>
      </c>
      <c r="C701" s="1" t="n">
        <v>45648</v>
      </c>
      <c r="D701" t="inlineStr">
        <is>
          <t>JÄMTLANDS LÄN</t>
        </is>
      </c>
      <c r="E701" t="inlineStr">
        <is>
          <t>STRÖMSUND</t>
        </is>
      </c>
      <c r="G701" t="n">
        <v>7.5</v>
      </c>
      <c r="H701" t="n">
        <v>0</v>
      </c>
      <c r="I701" t="n">
        <v>0</v>
      </c>
      <c r="J701" t="n">
        <v>0</v>
      </c>
      <c r="K701" t="n">
        <v>0</v>
      </c>
      <c r="L701" t="n">
        <v>0</v>
      </c>
      <c r="M701" t="n">
        <v>0</v>
      </c>
      <c r="N701" t="n">
        <v>0</v>
      </c>
      <c r="O701" t="n">
        <v>0</v>
      </c>
      <c r="P701" t="n">
        <v>0</v>
      </c>
      <c r="Q701" t="n">
        <v>0</v>
      </c>
      <c r="R701" s="2" t="inlineStr"/>
    </row>
    <row r="702" ht="15" customHeight="1">
      <c r="A702" t="inlineStr">
        <is>
          <t>A 16335-2020</t>
        </is>
      </c>
      <c r="B702" s="1" t="n">
        <v>43917</v>
      </c>
      <c r="C702" s="1" t="n">
        <v>45648</v>
      </c>
      <c r="D702" t="inlineStr">
        <is>
          <t>JÄMTLANDS LÄN</t>
        </is>
      </c>
      <c r="E702" t="inlineStr">
        <is>
          <t>STRÖMSUND</t>
        </is>
      </c>
      <c r="F702" t="inlineStr">
        <is>
          <t>Kyrkan</t>
        </is>
      </c>
      <c r="G702" t="n">
        <v>2.6</v>
      </c>
      <c r="H702" t="n">
        <v>0</v>
      </c>
      <c r="I702" t="n">
        <v>0</v>
      </c>
      <c r="J702" t="n">
        <v>0</v>
      </c>
      <c r="K702" t="n">
        <v>0</v>
      </c>
      <c r="L702" t="n">
        <v>0</v>
      </c>
      <c r="M702" t="n">
        <v>0</v>
      </c>
      <c r="N702" t="n">
        <v>0</v>
      </c>
      <c r="O702" t="n">
        <v>0</v>
      </c>
      <c r="P702" t="n">
        <v>0</v>
      </c>
      <c r="Q702" t="n">
        <v>0</v>
      </c>
      <c r="R702" s="2" t="inlineStr"/>
    </row>
    <row r="703" ht="15" customHeight="1">
      <c r="A703" t="inlineStr">
        <is>
          <t>A 17063-2020</t>
        </is>
      </c>
      <c r="B703" s="1" t="n">
        <v>43921</v>
      </c>
      <c r="C703" s="1" t="n">
        <v>45648</v>
      </c>
      <c r="D703" t="inlineStr">
        <is>
          <t>JÄMTLANDS LÄN</t>
        </is>
      </c>
      <c r="E703" t="inlineStr">
        <is>
          <t>STRÖMSUND</t>
        </is>
      </c>
      <c r="G703" t="n">
        <v>3.4</v>
      </c>
      <c r="H703" t="n">
        <v>0</v>
      </c>
      <c r="I703" t="n">
        <v>0</v>
      </c>
      <c r="J703" t="n">
        <v>0</v>
      </c>
      <c r="K703" t="n">
        <v>0</v>
      </c>
      <c r="L703" t="n">
        <v>0</v>
      </c>
      <c r="M703" t="n">
        <v>0</v>
      </c>
      <c r="N703" t="n">
        <v>0</v>
      </c>
      <c r="O703" t="n">
        <v>0</v>
      </c>
      <c r="P703" t="n">
        <v>0</v>
      </c>
      <c r="Q703" t="n">
        <v>0</v>
      </c>
      <c r="R703" s="2" t="inlineStr"/>
    </row>
    <row r="704" ht="15" customHeight="1">
      <c r="A704" t="inlineStr">
        <is>
          <t>A 18731-2020</t>
        </is>
      </c>
      <c r="B704" s="1" t="n">
        <v>43930</v>
      </c>
      <c r="C704" s="1" t="n">
        <v>45648</v>
      </c>
      <c r="D704" t="inlineStr">
        <is>
          <t>JÄMTLANDS LÄN</t>
        </is>
      </c>
      <c r="E704" t="inlineStr">
        <is>
          <t>STRÖMSUND</t>
        </is>
      </c>
      <c r="G704" t="n">
        <v>0.9</v>
      </c>
      <c r="H704" t="n">
        <v>0</v>
      </c>
      <c r="I704" t="n">
        <v>0</v>
      </c>
      <c r="J704" t="n">
        <v>0</v>
      </c>
      <c r="K704" t="n">
        <v>0</v>
      </c>
      <c r="L704" t="n">
        <v>0</v>
      </c>
      <c r="M704" t="n">
        <v>0</v>
      </c>
      <c r="N704" t="n">
        <v>0</v>
      </c>
      <c r="O704" t="n">
        <v>0</v>
      </c>
      <c r="P704" t="n">
        <v>0</v>
      </c>
      <c r="Q704" t="n">
        <v>0</v>
      </c>
      <c r="R704" s="2" t="inlineStr"/>
    </row>
    <row r="705" ht="15" customHeight="1">
      <c r="A705" t="inlineStr">
        <is>
          <t>A 18780-2020</t>
        </is>
      </c>
      <c r="B705" s="1" t="n">
        <v>43930</v>
      </c>
      <c r="C705" s="1" t="n">
        <v>45648</v>
      </c>
      <c r="D705" t="inlineStr">
        <is>
          <t>JÄMTLANDS LÄN</t>
        </is>
      </c>
      <c r="E705" t="inlineStr">
        <is>
          <t>STRÖMSUND</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19089-2020</t>
        </is>
      </c>
      <c r="B706" s="1" t="n">
        <v>43935</v>
      </c>
      <c r="C706" s="1" t="n">
        <v>45648</v>
      </c>
      <c r="D706" t="inlineStr">
        <is>
          <t>JÄMTLANDS LÄN</t>
        </is>
      </c>
      <c r="E706" t="inlineStr">
        <is>
          <t>STRÖMSUND</t>
        </is>
      </c>
      <c r="G706" t="n">
        <v>15</v>
      </c>
      <c r="H706" t="n">
        <v>0</v>
      </c>
      <c r="I706" t="n">
        <v>0</v>
      </c>
      <c r="J706" t="n">
        <v>0</v>
      </c>
      <c r="K706" t="n">
        <v>0</v>
      </c>
      <c r="L706" t="n">
        <v>0</v>
      </c>
      <c r="M706" t="n">
        <v>0</v>
      </c>
      <c r="N706" t="n">
        <v>0</v>
      </c>
      <c r="O706" t="n">
        <v>0</v>
      </c>
      <c r="P706" t="n">
        <v>0</v>
      </c>
      <c r="Q706" t="n">
        <v>0</v>
      </c>
      <c r="R706" s="2" t="inlineStr"/>
    </row>
    <row r="707" ht="15" customHeight="1">
      <c r="A707" t="inlineStr">
        <is>
          <t>A 19842-2020</t>
        </is>
      </c>
      <c r="B707" s="1" t="n">
        <v>43942</v>
      </c>
      <c r="C707" s="1" t="n">
        <v>45648</v>
      </c>
      <c r="D707" t="inlineStr">
        <is>
          <t>JÄMTLANDS LÄN</t>
        </is>
      </c>
      <c r="E707" t="inlineStr">
        <is>
          <t>STRÖMSUND</t>
        </is>
      </c>
      <c r="G707" t="n">
        <v>20.3</v>
      </c>
      <c r="H707" t="n">
        <v>0</v>
      </c>
      <c r="I707" t="n">
        <v>0</v>
      </c>
      <c r="J707" t="n">
        <v>0</v>
      </c>
      <c r="K707" t="n">
        <v>0</v>
      </c>
      <c r="L707" t="n">
        <v>0</v>
      </c>
      <c r="M707" t="n">
        <v>0</v>
      </c>
      <c r="N707" t="n">
        <v>0</v>
      </c>
      <c r="O707" t="n">
        <v>0</v>
      </c>
      <c r="P707" t="n">
        <v>0</v>
      </c>
      <c r="Q707" t="n">
        <v>0</v>
      </c>
      <c r="R707" s="2" t="inlineStr"/>
    </row>
    <row r="708" ht="15" customHeight="1">
      <c r="A708" t="inlineStr">
        <is>
          <t>A 20816-2020</t>
        </is>
      </c>
      <c r="B708" s="1" t="n">
        <v>43949</v>
      </c>
      <c r="C708" s="1" t="n">
        <v>45648</v>
      </c>
      <c r="D708" t="inlineStr">
        <is>
          <t>JÄMTLANDS LÄN</t>
        </is>
      </c>
      <c r="E708" t="inlineStr">
        <is>
          <t>STRÖMSUND</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20812-2020</t>
        </is>
      </c>
      <c r="B709" s="1" t="n">
        <v>43950</v>
      </c>
      <c r="C709" s="1" t="n">
        <v>45648</v>
      </c>
      <c r="D709" t="inlineStr">
        <is>
          <t>JÄMTLANDS LÄN</t>
        </is>
      </c>
      <c r="E709" t="inlineStr">
        <is>
          <t>STRÖMSUND</t>
        </is>
      </c>
      <c r="G709" t="n">
        <v>6.1</v>
      </c>
      <c r="H709" t="n">
        <v>0</v>
      </c>
      <c r="I709" t="n">
        <v>0</v>
      </c>
      <c r="J709" t="n">
        <v>0</v>
      </c>
      <c r="K709" t="n">
        <v>0</v>
      </c>
      <c r="L709" t="n">
        <v>0</v>
      </c>
      <c r="M709" t="n">
        <v>0</v>
      </c>
      <c r="N709" t="n">
        <v>0</v>
      </c>
      <c r="O709" t="n">
        <v>0</v>
      </c>
      <c r="P709" t="n">
        <v>0</v>
      </c>
      <c r="Q709" t="n">
        <v>0</v>
      </c>
      <c r="R709" s="2" t="inlineStr"/>
    </row>
    <row r="710" ht="15" customHeight="1">
      <c r="A710" t="inlineStr">
        <is>
          <t>A 21939-2020</t>
        </is>
      </c>
      <c r="B710" s="1" t="n">
        <v>43955</v>
      </c>
      <c r="C710" s="1" t="n">
        <v>45648</v>
      </c>
      <c r="D710" t="inlineStr">
        <is>
          <t>JÄMTLANDS LÄN</t>
        </is>
      </c>
      <c r="E710" t="inlineStr">
        <is>
          <t>STRÖMSUND</t>
        </is>
      </c>
      <c r="G710" t="n">
        <v>4.5</v>
      </c>
      <c r="H710" t="n">
        <v>0</v>
      </c>
      <c r="I710" t="n">
        <v>0</v>
      </c>
      <c r="J710" t="n">
        <v>0</v>
      </c>
      <c r="K710" t="n">
        <v>0</v>
      </c>
      <c r="L710" t="n">
        <v>0</v>
      </c>
      <c r="M710" t="n">
        <v>0</v>
      </c>
      <c r="N710" t="n">
        <v>0</v>
      </c>
      <c r="O710" t="n">
        <v>0</v>
      </c>
      <c r="P710" t="n">
        <v>0</v>
      </c>
      <c r="Q710" t="n">
        <v>0</v>
      </c>
      <c r="R710" s="2" t="inlineStr"/>
    </row>
    <row r="711" ht="15" customHeight="1">
      <c r="A711" t="inlineStr">
        <is>
          <t>A 21602-2020</t>
        </is>
      </c>
      <c r="B711" s="1" t="n">
        <v>43957</v>
      </c>
      <c r="C711" s="1" t="n">
        <v>45648</v>
      </c>
      <c r="D711" t="inlineStr">
        <is>
          <t>JÄMTLANDS LÄN</t>
        </is>
      </c>
      <c r="E711" t="inlineStr">
        <is>
          <t>STRÖMSUND</t>
        </is>
      </c>
      <c r="G711" t="n">
        <v>15.4</v>
      </c>
      <c r="H711" t="n">
        <v>0</v>
      </c>
      <c r="I711" t="n">
        <v>0</v>
      </c>
      <c r="J711" t="n">
        <v>0</v>
      </c>
      <c r="K711" t="n">
        <v>0</v>
      </c>
      <c r="L711" t="n">
        <v>0</v>
      </c>
      <c r="M711" t="n">
        <v>0</v>
      </c>
      <c r="N711" t="n">
        <v>0</v>
      </c>
      <c r="O711" t="n">
        <v>0</v>
      </c>
      <c r="P711" t="n">
        <v>0</v>
      </c>
      <c r="Q711" t="n">
        <v>0</v>
      </c>
      <c r="R711" s="2" t="inlineStr"/>
    </row>
    <row r="712" ht="15" customHeight="1">
      <c r="A712" t="inlineStr">
        <is>
          <t>A 21773-2020</t>
        </is>
      </c>
      <c r="B712" s="1" t="n">
        <v>43957</v>
      </c>
      <c r="C712" s="1" t="n">
        <v>45648</v>
      </c>
      <c r="D712" t="inlineStr">
        <is>
          <t>JÄMTLANDS LÄN</t>
        </is>
      </c>
      <c r="E712" t="inlineStr">
        <is>
          <t>STRÖMSUND</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21971-2020</t>
        </is>
      </c>
      <c r="B713" s="1" t="n">
        <v>43958</v>
      </c>
      <c r="C713" s="1" t="n">
        <v>45648</v>
      </c>
      <c r="D713" t="inlineStr">
        <is>
          <t>JÄMTLANDS LÄN</t>
        </is>
      </c>
      <c r="E713" t="inlineStr">
        <is>
          <t>STRÖMSUND</t>
        </is>
      </c>
      <c r="F713" t="inlineStr">
        <is>
          <t>SCA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22092-2020</t>
        </is>
      </c>
      <c r="B714" s="1" t="n">
        <v>43959</v>
      </c>
      <c r="C714" s="1" t="n">
        <v>45648</v>
      </c>
      <c r="D714" t="inlineStr">
        <is>
          <t>JÄMTLANDS LÄN</t>
        </is>
      </c>
      <c r="E714" t="inlineStr">
        <is>
          <t>STRÖMSUND</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22699-2020</t>
        </is>
      </c>
      <c r="B715" s="1" t="n">
        <v>43963</v>
      </c>
      <c r="C715" s="1" t="n">
        <v>45648</v>
      </c>
      <c r="D715" t="inlineStr">
        <is>
          <t>JÄMTLANDS LÄN</t>
        </is>
      </c>
      <c r="E715" t="inlineStr">
        <is>
          <t>STRÖMSUND</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22905-2020</t>
        </is>
      </c>
      <c r="B716" s="1" t="n">
        <v>43964</v>
      </c>
      <c r="C716" s="1" t="n">
        <v>45648</v>
      </c>
      <c r="D716" t="inlineStr">
        <is>
          <t>JÄMTLANDS LÄN</t>
        </is>
      </c>
      <c r="E716" t="inlineStr">
        <is>
          <t>STRÖMSUND</t>
        </is>
      </c>
      <c r="F716" t="inlineStr">
        <is>
          <t>SCA</t>
        </is>
      </c>
      <c r="G716" t="n">
        <v>5.3</v>
      </c>
      <c r="H716" t="n">
        <v>0</v>
      </c>
      <c r="I716" t="n">
        <v>0</v>
      </c>
      <c r="J716" t="n">
        <v>0</v>
      </c>
      <c r="K716" t="n">
        <v>0</v>
      </c>
      <c r="L716" t="n">
        <v>0</v>
      </c>
      <c r="M716" t="n">
        <v>0</v>
      </c>
      <c r="N716" t="n">
        <v>0</v>
      </c>
      <c r="O716" t="n">
        <v>0</v>
      </c>
      <c r="P716" t="n">
        <v>0</v>
      </c>
      <c r="Q716" t="n">
        <v>0</v>
      </c>
      <c r="R716" s="2" t="inlineStr"/>
    </row>
    <row r="717" ht="15" customHeight="1">
      <c r="A717" t="inlineStr">
        <is>
          <t>A 22906-2020</t>
        </is>
      </c>
      <c r="B717" s="1" t="n">
        <v>43964</v>
      </c>
      <c r="C717" s="1" t="n">
        <v>45648</v>
      </c>
      <c r="D717" t="inlineStr">
        <is>
          <t>JÄMTLANDS LÄN</t>
        </is>
      </c>
      <c r="E717" t="inlineStr">
        <is>
          <t>STRÖMSUND</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22912-2020</t>
        </is>
      </c>
      <c r="B718" s="1" t="n">
        <v>43964</v>
      </c>
      <c r="C718" s="1" t="n">
        <v>45648</v>
      </c>
      <c r="D718" t="inlineStr">
        <is>
          <t>JÄMTLANDS LÄN</t>
        </is>
      </c>
      <c r="E718" t="inlineStr">
        <is>
          <t>STRÖMSUND</t>
        </is>
      </c>
      <c r="F718" t="inlineStr">
        <is>
          <t>SCA</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23412-2020</t>
        </is>
      </c>
      <c r="B719" s="1" t="n">
        <v>43969</v>
      </c>
      <c r="C719" s="1" t="n">
        <v>45648</v>
      </c>
      <c r="D719" t="inlineStr">
        <is>
          <t>JÄMTLANDS LÄN</t>
        </is>
      </c>
      <c r="E719" t="inlineStr">
        <is>
          <t>STRÖMSUND</t>
        </is>
      </c>
      <c r="F719" t="inlineStr">
        <is>
          <t>Holmen skog AB</t>
        </is>
      </c>
      <c r="G719" t="n">
        <v>1.6</v>
      </c>
      <c r="H719" t="n">
        <v>0</v>
      </c>
      <c r="I719" t="n">
        <v>0</v>
      </c>
      <c r="J719" t="n">
        <v>0</v>
      </c>
      <c r="K719" t="n">
        <v>0</v>
      </c>
      <c r="L719" t="n">
        <v>0</v>
      </c>
      <c r="M719" t="n">
        <v>0</v>
      </c>
      <c r="N719" t="n">
        <v>0</v>
      </c>
      <c r="O719" t="n">
        <v>0</v>
      </c>
      <c r="P719" t="n">
        <v>0</v>
      </c>
      <c r="Q719" t="n">
        <v>0</v>
      </c>
      <c r="R719" s="2" t="inlineStr"/>
    </row>
    <row r="720" ht="15" customHeight="1">
      <c r="A720" t="inlineStr">
        <is>
          <t>A 23647-2020</t>
        </is>
      </c>
      <c r="B720" s="1" t="n">
        <v>43969</v>
      </c>
      <c r="C720" s="1" t="n">
        <v>45648</v>
      </c>
      <c r="D720" t="inlineStr">
        <is>
          <t>JÄMTLANDS LÄN</t>
        </is>
      </c>
      <c r="E720" t="inlineStr">
        <is>
          <t>STRÖMSUND</t>
        </is>
      </c>
      <c r="F720" t="inlineStr">
        <is>
          <t>SCA</t>
        </is>
      </c>
      <c r="G720" t="n">
        <v>6.1</v>
      </c>
      <c r="H720" t="n">
        <v>0</v>
      </c>
      <c r="I720" t="n">
        <v>0</v>
      </c>
      <c r="J720" t="n">
        <v>0</v>
      </c>
      <c r="K720" t="n">
        <v>0</v>
      </c>
      <c r="L720" t="n">
        <v>0</v>
      </c>
      <c r="M720" t="n">
        <v>0</v>
      </c>
      <c r="N720" t="n">
        <v>0</v>
      </c>
      <c r="O720" t="n">
        <v>0</v>
      </c>
      <c r="P720" t="n">
        <v>0</v>
      </c>
      <c r="Q720" t="n">
        <v>0</v>
      </c>
      <c r="R720" s="2" t="inlineStr"/>
    </row>
    <row r="721" ht="15" customHeight="1">
      <c r="A721" t="inlineStr">
        <is>
          <t>A 24054-2020</t>
        </is>
      </c>
      <c r="B721" s="1" t="n">
        <v>43971</v>
      </c>
      <c r="C721" s="1" t="n">
        <v>45648</v>
      </c>
      <c r="D721" t="inlineStr">
        <is>
          <t>JÄMTLANDS LÄN</t>
        </is>
      </c>
      <c r="E721" t="inlineStr">
        <is>
          <t>STRÖMSUND</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24064-2020</t>
        </is>
      </c>
      <c r="B722" s="1" t="n">
        <v>43971</v>
      </c>
      <c r="C722" s="1" t="n">
        <v>45648</v>
      </c>
      <c r="D722" t="inlineStr">
        <is>
          <t>JÄMTLANDS LÄN</t>
        </is>
      </c>
      <c r="E722" t="inlineStr">
        <is>
          <t>STRÖMSUND</t>
        </is>
      </c>
      <c r="F722" t="inlineStr">
        <is>
          <t>SCA</t>
        </is>
      </c>
      <c r="G722" t="n">
        <v>15.3</v>
      </c>
      <c r="H722" t="n">
        <v>0</v>
      </c>
      <c r="I722" t="n">
        <v>0</v>
      </c>
      <c r="J722" t="n">
        <v>0</v>
      </c>
      <c r="K722" t="n">
        <v>0</v>
      </c>
      <c r="L722" t="n">
        <v>0</v>
      </c>
      <c r="M722" t="n">
        <v>0</v>
      </c>
      <c r="N722" t="n">
        <v>0</v>
      </c>
      <c r="O722" t="n">
        <v>0</v>
      </c>
      <c r="P722" t="n">
        <v>0</v>
      </c>
      <c r="Q722" t="n">
        <v>0</v>
      </c>
      <c r="R722" s="2" t="inlineStr"/>
    </row>
    <row r="723" ht="15" customHeight="1">
      <c r="A723" t="inlineStr">
        <is>
          <t>A 24335-2020</t>
        </is>
      </c>
      <c r="B723" s="1" t="n">
        <v>43971</v>
      </c>
      <c r="C723" s="1" t="n">
        <v>45648</v>
      </c>
      <c r="D723" t="inlineStr">
        <is>
          <t>JÄMTLANDS LÄN</t>
        </is>
      </c>
      <c r="E723" t="inlineStr">
        <is>
          <t>STRÖMSUND</t>
        </is>
      </c>
      <c r="G723" t="n">
        <v>14.3</v>
      </c>
      <c r="H723" t="n">
        <v>0</v>
      </c>
      <c r="I723" t="n">
        <v>0</v>
      </c>
      <c r="J723" t="n">
        <v>0</v>
      </c>
      <c r="K723" t="n">
        <v>0</v>
      </c>
      <c r="L723" t="n">
        <v>0</v>
      </c>
      <c r="M723" t="n">
        <v>0</v>
      </c>
      <c r="N723" t="n">
        <v>0</v>
      </c>
      <c r="O723" t="n">
        <v>0</v>
      </c>
      <c r="P723" t="n">
        <v>0</v>
      </c>
      <c r="Q723" t="n">
        <v>0</v>
      </c>
      <c r="R723" s="2" t="inlineStr"/>
    </row>
    <row r="724" ht="15" customHeight="1">
      <c r="A724" t="inlineStr">
        <is>
          <t>A 24117-2020</t>
        </is>
      </c>
      <c r="B724" s="1" t="n">
        <v>43973</v>
      </c>
      <c r="C724" s="1" t="n">
        <v>45648</v>
      </c>
      <c r="D724" t="inlineStr">
        <is>
          <t>JÄMTLANDS LÄN</t>
        </is>
      </c>
      <c r="E724" t="inlineStr">
        <is>
          <t>STRÖMSUND</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24414-2020</t>
        </is>
      </c>
      <c r="B725" s="1" t="n">
        <v>43976</v>
      </c>
      <c r="C725" s="1" t="n">
        <v>45648</v>
      </c>
      <c r="D725" t="inlineStr">
        <is>
          <t>JÄMTLANDS LÄN</t>
        </is>
      </c>
      <c r="E725" t="inlineStr">
        <is>
          <t>STRÖMSUND</t>
        </is>
      </c>
      <c r="F725" t="inlineStr">
        <is>
          <t>SCA</t>
        </is>
      </c>
      <c r="G725" t="n">
        <v>4.9</v>
      </c>
      <c r="H725" t="n">
        <v>0</v>
      </c>
      <c r="I725" t="n">
        <v>0</v>
      </c>
      <c r="J725" t="n">
        <v>0</v>
      </c>
      <c r="K725" t="n">
        <v>0</v>
      </c>
      <c r="L725" t="n">
        <v>0</v>
      </c>
      <c r="M725" t="n">
        <v>0</v>
      </c>
      <c r="N725" t="n">
        <v>0</v>
      </c>
      <c r="O725" t="n">
        <v>0</v>
      </c>
      <c r="P725" t="n">
        <v>0</v>
      </c>
      <c r="Q725" t="n">
        <v>0</v>
      </c>
      <c r="R725" s="2" t="inlineStr"/>
    </row>
    <row r="726" ht="15" customHeight="1">
      <c r="A726" t="inlineStr">
        <is>
          <t>A 24379-2020</t>
        </is>
      </c>
      <c r="B726" s="1" t="n">
        <v>43976</v>
      </c>
      <c r="C726" s="1" t="n">
        <v>45648</v>
      </c>
      <c r="D726" t="inlineStr">
        <is>
          <t>JÄMTLANDS LÄN</t>
        </is>
      </c>
      <c r="E726" t="inlineStr">
        <is>
          <t>STRÖMSUND</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24415-2020</t>
        </is>
      </c>
      <c r="B727" s="1" t="n">
        <v>43976</v>
      </c>
      <c r="C727" s="1" t="n">
        <v>45648</v>
      </c>
      <c r="D727" t="inlineStr">
        <is>
          <t>JÄMTLANDS LÄN</t>
        </is>
      </c>
      <c r="E727" t="inlineStr">
        <is>
          <t>STRÖMSUND</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24384-2020</t>
        </is>
      </c>
      <c r="B728" s="1" t="n">
        <v>43976</v>
      </c>
      <c r="C728" s="1" t="n">
        <v>45648</v>
      </c>
      <c r="D728" t="inlineStr">
        <is>
          <t>JÄMTLANDS LÄN</t>
        </is>
      </c>
      <c r="E728" t="inlineStr">
        <is>
          <t>STRÖMSUND</t>
        </is>
      </c>
      <c r="G728" t="n">
        <v>1.1</v>
      </c>
      <c r="H728" t="n">
        <v>0</v>
      </c>
      <c r="I728" t="n">
        <v>0</v>
      </c>
      <c r="J728" t="n">
        <v>0</v>
      </c>
      <c r="K728" t="n">
        <v>0</v>
      </c>
      <c r="L728" t="n">
        <v>0</v>
      </c>
      <c r="M728" t="n">
        <v>0</v>
      </c>
      <c r="N728" t="n">
        <v>0</v>
      </c>
      <c r="O728" t="n">
        <v>0</v>
      </c>
      <c r="P728" t="n">
        <v>0</v>
      </c>
      <c r="Q728" t="n">
        <v>0</v>
      </c>
      <c r="R728" s="2" t="inlineStr"/>
    </row>
    <row r="729" ht="15" customHeight="1">
      <c r="A729" t="inlineStr">
        <is>
          <t>A 24413-2020</t>
        </is>
      </c>
      <c r="B729" s="1" t="n">
        <v>43976</v>
      </c>
      <c r="C729" s="1" t="n">
        <v>45648</v>
      </c>
      <c r="D729" t="inlineStr">
        <is>
          <t>JÄMTLANDS LÄN</t>
        </is>
      </c>
      <c r="E729" t="inlineStr">
        <is>
          <t>STRÖMSUND</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25109-2020</t>
        </is>
      </c>
      <c r="B730" s="1" t="n">
        <v>43979</v>
      </c>
      <c r="C730" s="1" t="n">
        <v>45648</v>
      </c>
      <c r="D730" t="inlineStr">
        <is>
          <t>JÄMTLANDS LÄN</t>
        </is>
      </c>
      <c r="E730" t="inlineStr">
        <is>
          <t>STRÖMSUND</t>
        </is>
      </c>
      <c r="F730" t="inlineStr">
        <is>
          <t>SCA</t>
        </is>
      </c>
      <c r="G730" t="n">
        <v>10.7</v>
      </c>
      <c r="H730" t="n">
        <v>0</v>
      </c>
      <c r="I730" t="n">
        <v>0</v>
      </c>
      <c r="J730" t="n">
        <v>0</v>
      </c>
      <c r="K730" t="n">
        <v>0</v>
      </c>
      <c r="L730" t="n">
        <v>0</v>
      </c>
      <c r="M730" t="n">
        <v>0</v>
      </c>
      <c r="N730" t="n">
        <v>0</v>
      </c>
      <c r="O730" t="n">
        <v>0</v>
      </c>
      <c r="P730" t="n">
        <v>0</v>
      </c>
      <c r="Q730" t="n">
        <v>0</v>
      </c>
      <c r="R730" s="2" t="inlineStr"/>
    </row>
    <row r="731" ht="15" customHeight="1">
      <c r="A731" t="inlineStr">
        <is>
          <t>A 25107-2020</t>
        </is>
      </c>
      <c r="B731" s="1" t="n">
        <v>43979</v>
      </c>
      <c r="C731" s="1" t="n">
        <v>45648</v>
      </c>
      <c r="D731" t="inlineStr">
        <is>
          <t>JÄMTLANDS LÄN</t>
        </is>
      </c>
      <c r="E731" t="inlineStr">
        <is>
          <t>STRÖMSUND</t>
        </is>
      </c>
      <c r="F731" t="inlineStr">
        <is>
          <t>SCA</t>
        </is>
      </c>
      <c r="G731" t="n">
        <v>0.2</v>
      </c>
      <c r="H731" t="n">
        <v>0</v>
      </c>
      <c r="I731" t="n">
        <v>0</v>
      </c>
      <c r="J731" t="n">
        <v>0</v>
      </c>
      <c r="K731" t="n">
        <v>0</v>
      </c>
      <c r="L731" t="n">
        <v>0</v>
      </c>
      <c r="M731" t="n">
        <v>0</v>
      </c>
      <c r="N731" t="n">
        <v>0</v>
      </c>
      <c r="O731" t="n">
        <v>0</v>
      </c>
      <c r="P731" t="n">
        <v>0</v>
      </c>
      <c r="Q731" t="n">
        <v>0</v>
      </c>
      <c r="R731" s="2" t="inlineStr"/>
    </row>
    <row r="732" ht="15" customHeight="1">
      <c r="A732" t="inlineStr">
        <is>
          <t>A 25396-2020</t>
        </is>
      </c>
      <c r="B732" s="1" t="n">
        <v>43980</v>
      </c>
      <c r="C732" s="1" t="n">
        <v>45648</v>
      </c>
      <c r="D732" t="inlineStr">
        <is>
          <t>JÄMTLANDS LÄN</t>
        </is>
      </c>
      <c r="E732" t="inlineStr">
        <is>
          <t>STRÖMSUND</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25375-2020</t>
        </is>
      </c>
      <c r="B733" s="1" t="n">
        <v>43980</v>
      </c>
      <c r="C733" s="1" t="n">
        <v>45648</v>
      </c>
      <c r="D733" t="inlineStr">
        <is>
          <t>JÄMTLANDS LÄN</t>
        </is>
      </c>
      <c r="E733" t="inlineStr">
        <is>
          <t>STRÖMSUND</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25390-2020</t>
        </is>
      </c>
      <c r="B734" s="1" t="n">
        <v>43980</v>
      </c>
      <c r="C734" s="1" t="n">
        <v>45648</v>
      </c>
      <c r="D734" t="inlineStr">
        <is>
          <t>JÄMTLANDS LÄN</t>
        </is>
      </c>
      <c r="E734" t="inlineStr">
        <is>
          <t>STRÖMSUND</t>
        </is>
      </c>
      <c r="F734" t="inlineStr">
        <is>
          <t>SCA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25388-2020</t>
        </is>
      </c>
      <c r="B735" s="1" t="n">
        <v>43980</v>
      </c>
      <c r="C735" s="1" t="n">
        <v>45648</v>
      </c>
      <c r="D735" t="inlineStr">
        <is>
          <t>JÄMTLANDS LÄN</t>
        </is>
      </c>
      <c r="E735" t="inlineStr">
        <is>
          <t>STRÖMSUND</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25398-2020</t>
        </is>
      </c>
      <c r="B736" s="1" t="n">
        <v>43980</v>
      </c>
      <c r="C736" s="1" t="n">
        <v>45648</v>
      </c>
      <c r="D736" t="inlineStr">
        <is>
          <t>JÄMTLANDS LÄN</t>
        </is>
      </c>
      <c r="E736" t="inlineStr">
        <is>
          <t>STRÖMSUND</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25381-2020</t>
        </is>
      </c>
      <c r="B737" s="1" t="n">
        <v>43980</v>
      </c>
      <c r="C737" s="1" t="n">
        <v>45648</v>
      </c>
      <c r="D737" t="inlineStr">
        <is>
          <t>JÄMTLANDS LÄN</t>
        </is>
      </c>
      <c r="E737" t="inlineStr">
        <is>
          <t>STRÖMSUND</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25392-2020</t>
        </is>
      </c>
      <c r="B738" s="1" t="n">
        <v>43980</v>
      </c>
      <c r="C738" s="1" t="n">
        <v>45648</v>
      </c>
      <c r="D738" t="inlineStr">
        <is>
          <t>JÄMTLANDS LÄN</t>
        </is>
      </c>
      <c r="E738" t="inlineStr">
        <is>
          <t>STRÖMSUND</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25680-2020</t>
        </is>
      </c>
      <c r="B739" s="1" t="n">
        <v>43983</v>
      </c>
      <c r="C739" s="1" t="n">
        <v>45648</v>
      </c>
      <c r="D739" t="inlineStr">
        <is>
          <t>JÄMTLANDS LÄN</t>
        </is>
      </c>
      <c r="E739" t="inlineStr">
        <is>
          <t>STRÖMSUND</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25892-2020</t>
        </is>
      </c>
      <c r="B740" s="1" t="n">
        <v>43984</v>
      </c>
      <c r="C740" s="1" t="n">
        <v>45648</v>
      </c>
      <c r="D740" t="inlineStr">
        <is>
          <t>JÄMTLANDS LÄN</t>
        </is>
      </c>
      <c r="E740" t="inlineStr">
        <is>
          <t>STRÖMSUND</t>
        </is>
      </c>
      <c r="G740" t="n">
        <v>3.5</v>
      </c>
      <c r="H740" t="n">
        <v>0</v>
      </c>
      <c r="I740" t="n">
        <v>0</v>
      </c>
      <c r="J740" t="n">
        <v>0</v>
      </c>
      <c r="K740" t="n">
        <v>0</v>
      </c>
      <c r="L740" t="n">
        <v>0</v>
      </c>
      <c r="M740" t="n">
        <v>0</v>
      </c>
      <c r="N740" t="n">
        <v>0</v>
      </c>
      <c r="O740" t="n">
        <v>0</v>
      </c>
      <c r="P740" t="n">
        <v>0</v>
      </c>
      <c r="Q740" t="n">
        <v>0</v>
      </c>
      <c r="R740" s="2" t="inlineStr"/>
    </row>
    <row r="741" ht="15" customHeight="1">
      <c r="A741" t="inlineStr">
        <is>
          <t>A 25913-2020</t>
        </is>
      </c>
      <c r="B741" s="1" t="n">
        <v>43984</v>
      </c>
      <c r="C741" s="1" t="n">
        <v>45648</v>
      </c>
      <c r="D741" t="inlineStr">
        <is>
          <t>JÄMTLANDS LÄN</t>
        </is>
      </c>
      <c r="E741" t="inlineStr">
        <is>
          <t>STRÖMSUND</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25997-2020</t>
        </is>
      </c>
      <c r="B742" s="1" t="n">
        <v>43985</v>
      </c>
      <c r="C742" s="1" t="n">
        <v>45648</v>
      </c>
      <c r="D742" t="inlineStr">
        <is>
          <t>JÄMTLANDS LÄN</t>
        </is>
      </c>
      <c r="E742" t="inlineStr">
        <is>
          <t>STRÖMSUND</t>
        </is>
      </c>
      <c r="G742" t="n">
        <v>2.4</v>
      </c>
      <c r="H742" t="n">
        <v>0</v>
      </c>
      <c r="I742" t="n">
        <v>0</v>
      </c>
      <c r="J742" t="n">
        <v>0</v>
      </c>
      <c r="K742" t="n">
        <v>0</v>
      </c>
      <c r="L742" t="n">
        <v>0</v>
      </c>
      <c r="M742" t="n">
        <v>0</v>
      </c>
      <c r="N742" t="n">
        <v>0</v>
      </c>
      <c r="O742" t="n">
        <v>0</v>
      </c>
      <c r="P742" t="n">
        <v>0</v>
      </c>
      <c r="Q742" t="n">
        <v>0</v>
      </c>
      <c r="R742" s="2" t="inlineStr"/>
    </row>
    <row r="743" ht="15" customHeight="1">
      <c r="A743" t="inlineStr">
        <is>
          <t>A 26190-2020</t>
        </is>
      </c>
      <c r="B743" s="1" t="n">
        <v>43985</v>
      </c>
      <c r="C743" s="1" t="n">
        <v>45648</v>
      </c>
      <c r="D743" t="inlineStr">
        <is>
          <t>JÄMTLANDS LÄN</t>
        </is>
      </c>
      <c r="E743" t="inlineStr">
        <is>
          <t>STRÖMSUND</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26669-2020</t>
        </is>
      </c>
      <c r="B744" s="1" t="n">
        <v>43989</v>
      </c>
      <c r="C744" s="1" t="n">
        <v>45648</v>
      </c>
      <c r="D744" t="inlineStr">
        <is>
          <t>JÄMTLANDS LÄN</t>
        </is>
      </c>
      <c r="E744" t="inlineStr">
        <is>
          <t>STRÖMSUND</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26670-2020</t>
        </is>
      </c>
      <c r="B745" s="1" t="n">
        <v>43989</v>
      </c>
      <c r="C745" s="1" t="n">
        <v>45648</v>
      </c>
      <c r="D745" t="inlineStr">
        <is>
          <t>JÄMTLANDS LÄN</t>
        </is>
      </c>
      <c r="E745" t="inlineStr">
        <is>
          <t>STRÖMSUND</t>
        </is>
      </c>
      <c r="G745" t="n">
        <v>2.3</v>
      </c>
      <c r="H745" t="n">
        <v>0</v>
      </c>
      <c r="I745" t="n">
        <v>0</v>
      </c>
      <c r="J745" t="n">
        <v>0</v>
      </c>
      <c r="K745" t="n">
        <v>0</v>
      </c>
      <c r="L745" t="n">
        <v>0</v>
      </c>
      <c r="M745" t="n">
        <v>0</v>
      </c>
      <c r="N745" t="n">
        <v>0</v>
      </c>
      <c r="O745" t="n">
        <v>0</v>
      </c>
      <c r="P745" t="n">
        <v>0</v>
      </c>
      <c r="Q745" t="n">
        <v>0</v>
      </c>
      <c r="R745" s="2" t="inlineStr"/>
    </row>
    <row r="746" ht="15" customHeight="1">
      <c r="A746" t="inlineStr">
        <is>
          <t>A 27415-2020</t>
        </is>
      </c>
      <c r="B746" s="1" t="n">
        <v>43992</v>
      </c>
      <c r="C746" s="1" t="n">
        <v>45648</v>
      </c>
      <c r="D746" t="inlineStr">
        <is>
          <t>JÄMTLANDS LÄN</t>
        </is>
      </c>
      <c r="E746" t="inlineStr">
        <is>
          <t>STRÖMSUND</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27709-2020</t>
        </is>
      </c>
      <c r="B747" s="1" t="n">
        <v>43994</v>
      </c>
      <c r="C747" s="1" t="n">
        <v>45648</v>
      </c>
      <c r="D747" t="inlineStr">
        <is>
          <t>JÄMTLANDS LÄN</t>
        </is>
      </c>
      <c r="E747" t="inlineStr">
        <is>
          <t>STRÖMSUND</t>
        </is>
      </c>
      <c r="G747" t="n">
        <v>2.9</v>
      </c>
      <c r="H747" t="n">
        <v>0</v>
      </c>
      <c r="I747" t="n">
        <v>0</v>
      </c>
      <c r="J747" t="n">
        <v>0</v>
      </c>
      <c r="K747" t="n">
        <v>0</v>
      </c>
      <c r="L747" t="n">
        <v>0</v>
      </c>
      <c r="M747" t="n">
        <v>0</v>
      </c>
      <c r="N747" t="n">
        <v>0</v>
      </c>
      <c r="O747" t="n">
        <v>0</v>
      </c>
      <c r="P747" t="n">
        <v>0</v>
      </c>
      <c r="Q747" t="n">
        <v>0</v>
      </c>
      <c r="R747" s="2" t="inlineStr"/>
    </row>
    <row r="748" ht="15" customHeight="1">
      <c r="A748" t="inlineStr">
        <is>
          <t>A 28196-2020</t>
        </is>
      </c>
      <c r="B748" s="1" t="n">
        <v>43997</v>
      </c>
      <c r="C748" s="1" t="n">
        <v>45648</v>
      </c>
      <c r="D748" t="inlineStr">
        <is>
          <t>JÄMTLANDS LÄN</t>
        </is>
      </c>
      <c r="E748" t="inlineStr">
        <is>
          <t>STRÖMSUND</t>
        </is>
      </c>
      <c r="F748" t="inlineStr">
        <is>
          <t>SCA</t>
        </is>
      </c>
      <c r="G748" t="n">
        <v>7.7</v>
      </c>
      <c r="H748" t="n">
        <v>0</v>
      </c>
      <c r="I748" t="n">
        <v>0</v>
      </c>
      <c r="J748" t="n">
        <v>0</v>
      </c>
      <c r="K748" t="n">
        <v>0</v>
      </c>
      <c r="L748" t="n">
        <v>0</v>
      </c>
      <c r="M748" t="n">
        <v>0</v>
      </c>
      <c r="N748" t="n">
        <v>0</v>
      </c>
      <c r="O748" t="n">
        <v>0</v>
      </c>
      <c r="P748" t="n">
        <v>0</v>
      </c>
      <c r="Q748" t="n">
        <v>0</v>
      </c>
      <c r="R748" s="2" t="inlineStr"/>
    </row>
    <row r="749" ht="15" customHeight="1">
      <c r="A749" t="inlineStr">
        <is>
          <t>A 28765-2020</t>
        </is>
      </c>
      <c r="B749" s="1" t="n">
        <v>43999</v>
      </c>
      <c r="C749" s="1" t="n">
        <v>45648</v>
      </c>
      <c r="D749" t="inlineStr">
        <is>
          <t>JÄMTLANDS LÄN</t>
        </is>
      </c>
      <c r="E749" t="inlineStr">
        <is>
          <t>STRÖMSUND</t>
        </is>
      </c>
      <c r="F749" t="inlineStr">
        <is>
          <t>SCA</t>
        </is>
      </c>
      <c r="G749" t="n">
        <v>7.1</v>
      </c>
      <c r="H749" t="n">
        <v>0</v>
      </c>
      <c r="I749" t="n">
        <v>0</v>
      </c>
      <c r="J749" t="n">
        <v>0</v>
      </c>
      <c r="K749" t="n">
        <v>0</v>
      </c>
      <c r="L749" t="n">
        <v>0</v>
      </c>
      <c r="M749" t="n">
        <v>0</v>
      </c>
      <c r="N749" t="n">
        <v>0</v>
      </c>
      <c r="O749" t="n">
        <v>0</v>
      </c>
      <c r="P749" t="n">
        <v>0</v>
      </c>
      <c r="Q749" t="n">
        <v>0</v>
      </c>
      <c r="R749" s="2" t="inlineStr"/>
    </row>
    <row r="750" ht="15" customHeight="1">
      <c r="A750" t="inlineStr">
        <is>
          <t>A 29046-2020</t>
        </is>
      </c>
      <c r="B750" s="1" t="n">
        <v>44000</v>
      </c>
      <c r="C750" s="1" t="n">
        <v>45648</v>
      </c>
      <c r="D750" t="inlineStr">
        <is>
          <t>JÄMTLANDS LÄN</t>
        </is>
      </c>
      <c r="E750" t="inlineStr">
        <is>
          <t>STRÖMSUND</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30804-2020</t>
        </is>
      </c>
      <c r="B751" s="1" t="n">
        <v>44010</v>
      </c>
      <c r="C751" s="1" t="n">
        <v>45648</v>
      </c>
      <c r="D751" t="inlineStr">
        <is>
          <t>JÄMTLANDS LÄN</t>
        </is>
      </c>
      <c r="E751" t="inlineStr">
        <is>
          <t>STRÖMSUND</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30981-2020</t>
        </is>
      </c>
      <c r="B752" s="1" t="n">
        <v>44011</v>
      </c>
      <c r="C752" s="1" t="n">
        <v>45648</v>
      </c>
      <c r="D752" t="inlineStr">
        <is>
          <t>JÄMTLANDS LÄN</t>
        </is>
      </c>
      <c r="E752" t="inlineStr">
        <is>
          <t>STRÖMSUND</t>
        </is>
      </c>
      <c r="G752" t="n">
        <v>6.7</v>
      </c>
      <c r="H752" t="n">
        <v>0</v>
      </c>
      <c r="I752" t="n">
        <v>0</v>
      </c>
      <c r="J752" t="n">
        <v>0</v>
      </c>
      <c r="K752" t="n">
        <v>0</v>
      </c>
      <c r="L752" t="n">
        <v>0</v>
      </c>
      <c r="M752" t="n">
        <v>0</v>
      </c>
      <c r="N752" t="n">
        <v>0</v>
      </c>
      <c r="O752" t="n">
        <v>0</v>
      </c>
      <c r="P752" t="n">
        <v>0</v>
      </c>
      <c r="Q752" t="n">
        <v>0</v>
      </c>
      <c r="R752" s="2" t="inlineStr"/>
    </row>
    <row r="753" ht="15" customHeight="1">
      <c r="A753" t="inlineStr">
        <is>
          <t>A 31077-2020</t>
        </is>
      </c>
      <c r="B753" s="1" t="n">
        <v>44011</v>
      </c>
      <c r="C753" s="1" t="n">
        <v>45648</v>
      </c>
      <c r="D753" t="inlineStr">
        <is>
          <t>JÄMTLANDS LÄN</t>
        </is>
      </c>
      <c r="E753" t="inlineStr">
        <is>
          <t>STRÖMSUND</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31337-2020</t>
        </is>
      </c>
      <c r="B754" s="1" t="n">
        <v>44012</v>
      </c>
      <c r="C754" s="1" t="n">
        <v>45648</v>
      </c>
      <c r="D754" t="inlineStr">
        <is>
          <t>JÄMTLANDS LÄN</t>
        </is>
      </c>
      <c r="E754" t="inlineStr">
        <is>
          <t>STRÖMSUND</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31465-2020</t>
        </is>
      </c>
      <c r="B755" s="1" t="n">
        <v>44013</v>
      </c>
      <c r="C755" s="1" t="n">
        <v>45648</v>
      </c>
      <c r="D755" t="inlineStr">
        <is>
          <t>JÄMTLANDS LÄN</t>
        </is>
      </c>
      <c r="E755" t="inlineStr">
        <is>
          <t>STRÖMSUND</t>
        </is>
      </c>
      <c r="G755" t="n">
        <v>0.2</v>
      </c>
      <c r="H755" t="n">
        <v>0</v>
      </c>
      <c r="I755" t="n">
        <v>0</v>
      </c>
      <c r="J755" t="n">
        <v>0</v>
      </c>
      <c r="K755" t="n">
        <v>0</v>
      </c>
      <c r="L755" t="n">
        <v>0</v>
      </c>
      <c r="M755" t="n">
        <v>0</v>
      </c>
      <c r="N755" t="n">
        <v>0</v>
      </c>
      <c r="O755" t="n">
        <v>0</v>
      </c>
      <c r="P755" t="n">
        <v>0</v>
      </c>
      <c r="Q755" t="n">
        <v>0</v>
      </c>
      <c r="R755" s="2" t="inlineStr"/>
    </row>
    <row r="756" ht="15" customHeight="1">
      <c r="A756" t="inlineStr">
        <is>
          <t>A 31663-2020</t>
        </is>
      </c>
      <c r="B756" s="1" t="n">
        <v>44013</v>
      </c>
      <c r="C756" s="1" t="n">
        <v>45648</v>
      </c>
      <c r="D756" t="inlineStr">
        <is>
          <t>JÄMTLANDS LÄN</t>
        </is>
      </c>
      <c r="E756" t="inlineStr">
        <is>
          <t>STRÖMSUND</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31634-2020</t>
        </is>
      </c>
      <c r="B757" s="1" t="n">
        <v>44013</v>
      </c>
      <c r="C757" s="1" t="n">
        <v>45648</v>
      </c>
      <c r="D757" t="inlineStr">
        <is>
          <t>JÄMTLANDS LÄN</t>
        </is>
      </c>
      <c r="E757" t="inlineStr">
        <is>
          <t>STRÖMSUND</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31658-2020</t>
        </is>
      </c>
      <c r="B758" s="1" t="n">
        <v>44013</v>
      </c>
      <c r="C758" s="1" t="n">
        <v>45648</v>
      </c>
      <c r="D758" t="inlineStr">
        <is>
          <t>JÄMTLANDS LÄN</t>
        </is>
      </c>
      <c r="E758" t="inlineStr">
        <is>
          <t>STRÖMSUND</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31990-2020</t>
        </is>
      </c>
      <c r="B759" s="1" t="n">
        <v>44014</v>
      </c>
      <c r="C759" s="1" t="n">
        <v>45648</v>
      </c>
      <c r="D759" t="inlineStr">
        <is>
          <t>JÄMTLANDS LÄN</t>
        </is>
      </c>
      <c r="E759" t="inlineStr">
        <is>
          <t>STRÖMSUND</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31991-2020</t>
        </is>
      </c>
      <c r="B760" s="1" t="n">
        <v>44014</v>
      </c>
      <c r="C760" s="1" t="n">
        <v>45648</v>
      </c>
      <c r="D760" t="inlineStr">
        <is>
          <t>JÄMTLANDS LÄN</t>
        </is>
      </c>
      <c r="E760" t="inlineStr">
        <is>
          <t>STRÖMSUND</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32315-2020</t>
        </is>
      </c>
      <c r="B761" s="1" t="n">
        <v>44015</v>
      </c>
      <c r="C761" s="1" t="n">
        <v>45648</v>
      </c>
      <c r="D761" t="inlineStr">
        <is>
          <t>JÄMTLANDS LÄN</t>
        </is>
      </c>
      <c r="E761" t="inlineStr">
        <is>
          <t>STRÖMSUND</t>
        </is>
      </c>
      <c r="F761" t="inlineStr">
        <is>
          <t>SCA</t>
        </is>
      </c>
      <c r="G761" t="n">
        <v>4.7</v>
      </c>
      <c r="H761" t="n">
        <v>0</v>
      </c>
      <c r="I761" t="n">
        <v>0</v>
      </c>
      <c r="J761" t="n">
        <v>0</v>
      </c>
      <c r="K761" t="n">
        <v>0</v>
      </c>
      <c r="L761" t="n">
        <v>0</v>
      </c>
      <c r="M761" t="n">
        <v>0</v>
      </c>
      <c r="N761" t="n">
        <v>0</v>
      </c>
      <c r="O761" t="n">
        <v>0</v>
      </c>
      <c r="P761" t="n">
        <v>0</v>
      </c>
      <c r="Q761" t="n">
        <v>0</v>
      </c>
      <c r="R761" s="2" t="inlineStr"/>
    </row>
    <row r="762" ht="15" customHeight="1">
      <c r="A762" t="inlineStr">
        <is>
          <t>A 32307-2020</t>
        </is>
      </c>
      <c r="B762" s="1" t="n">
        <v>44015</v>
      </c>
      <c r="C762" s="1" t="n">
        <v>45648</v>
      </c>
      <c r="D762" t="inlineStr">
        <is>
          <t>JÄMTLANDS LÄN</t>
        </is>
      </c>
      <c r="E762" t="inlineStr">
        <is>
          <t>STRÖMSUND</t>
        </is>
      </c>
      <c r="F762" t="inlineStr">
        <is>
          <t>SCA</t>
        </is>
      </c>
      <c r="G762" t="n">
        <v>6.6</v>
      </c>
      <c r="H762" t="n">
        <v>0</v>
      </c>
      <c r="I762" t="n">
        <v>0</v>
      </c>
      <c r="J762" t="n">
        <v>0</v>
      </c>
      <c r="K762" t="n">
        <v>0</v>
      </c>
      <c r="L762" t="n">
        <v>0</v>
      </c>
      <c r="M762" t="n">
        <v>0</v>
      </c>
      <c r="N762" t="n">
        <v>0</v>
      </c>
      <c r="O762" t="n">
        <v>0</v>
      </c>
      <c r="P762" t="n">
        <v>0</v>
      </c>
      <c r="Q762" t="n">
        <v>0</v>
      </c>
      <c r="R762" s="2" t="inlineStr"/>
    </row>
    <row r="763" ht="15" customHeight="1">
      <c r="A763" t="inlineStr">
        <is>
          <t>A 32316-2020</t>
        </is>
      </c>
      <c r="B763" s="1" t="n">
        <v>44015</v>
      </c>
      <c r="C763" s="1" t="n">
        <v>45648</v>
      </c>
      <c r="D763" t="inlineStr">
        <is>
          <t>JÄMTLANDS LÄN</t>
        </is>
      </c>
      <c r="E763" t="inlineStr">
        <is>
          <t>STRÖMSUND</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32326-2020</t>
        </is>
      </c>
      <c r="B764" s="1" t="n">
        <v>44015</v>
      </c>
      <c r="C764" s="1" t="n">
        <v>45648</v>
      </c>
      <c r="D764" t="inlineStr">
        <is>
          <t>JÄMTLANDS LÄN</t>
        </is>
      </c>
      <c r="E764" t="inlineStr">
        <is>
          <t>STRÖMSUND</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32199-2020</t>
        </is>
      </c>
      <c r="B765" s="1" t="n">
        <v>44015</v>
      </c>
      <c r="C765" s="1" t="n">
        <v>45648</v>
      </c>
      <c r="D765" t="inlineStr">
        <is>
          <t>JÄMTLANDS LÄN</t>
        </is>
      </c>
      <c r="E765" t="inlineStr">
        <is>
          <t>STRÖMSUND</t>
        </is>
      </c>
      <c r="G765" t="n">
        <v>3.4</v>
      </c>
      <c r="H765" t="n">
        <v>0</v>
      </c>
      <c r="I765" t="n">
        <v>0</v>
      </c>
      <c r="J765" t="n">
        <v>0</v>
      </c>
      <c r="K765" t="n">
        <v>0</v>
      </c>
      <c r="L765" t="n">
        <v>0</v>
      </c>
      <c r="M765" t="n">
        <v>0</v>
      </c>
      <c r="N765" t="n">
        <v>0</v>
      </c>
      <c r="O765" t="n">
        <v>0</v>
      </c>
      <c r="P765" t="n">
        <v>0</v>
      </c>
      <c r="Q765" t="n">
        <v>0</v>
      </c>
      <c r="R765" s="2" t="inlineStr"/>
    </row>
    <row r="766" ht="15" customHeight="1">
      <c r="A766" t="inlineStr">
        <is>
          <t>A 32783-2020</t>
        </is>
      </c>
      <c r="B766" s="1" t="n">
        <v>44019</v>
      </c>
      <c r="C766" s="1" t="n">
        <v>45648</v>
      </c>
      <c r="D766" t="inlineStr">
        <is>
          <t>JÄMTLANDS LÄN</t>
        </is>
      </c>
      <c r="E766" t="inlineStr">
        <is>
          <t>STRÖMSUND</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33135-2020</t>
        </is>
      </c>
      <c r="B767" s="1" t="n">
        <v>44019</v>
      </c>
      <c r="C767" s="1" t="n">
        <v>45648</v>
      </c>
      <c r="D767" t="inlineStr">
        <is>
          <t>JÄMTLANDS LÄN</t>
        </is>
      </c>
      <c r="E767" t="inlineStr">
        <is>
          <t>STRÖMSUND</t>
        </is>
      </c>
      <c r="G767" t="n">
        <v>0.4</v>
      </c>
      <c r="H767" t="n">
        <v>0</v>
      </c>
      <c r="I767" t="n">
        <v>0</v>
      </c>
      <c r="J767" t="n">
        <v>0</v>
      </c>
      <c r="K767" t="n">
        <v>0</v>
      </c>
      <c r="L767" t="n">
        <v>0</v>
      </c>
      <c r="M767" t="n">
        <v>0</v>
      </c>
      <c r="N767" t="n">
        <v>0</v>
      </c>
      <c r="O767" t="n">
        <v>0</v>
      </c>
      <c r="P767" t="n">
        <v>0</v>
      </c>
      <c r="Q767" t="n">
        <v>0</v>
      </c>
      <c r="R767" s="2" t="inlineStr"/>
    </row>
    <row r="768" ht="15" customHeight="1">
      <c r="A768" t="inlineStr">
        <is>
          <t>A 32763-2020</t>
        </is>
      </c>
      <c r="B768" s="1" t="n">
        <v>44019</v>
      </c>
      <c r="C768" s="1" t="n">
        <v>45648</v>
      </c>
      <c r="D768" t="inlineStr">
        <is>
          <t>JÄMTLANDS LÄN</t>
        </is>
      </c>
      <c r="E768" t="inlineStr">
        <is>
          <t>STRÖMSUND</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33006-2020</t>
        </is>
      </c>
      <c r="B769" s="1" t="n">
        <v>44020</v>
      </c>
      <c r="C769" s="1" t="n">
        <v>45648</v>
      </c>
      <c r="D769" t="inlineStr">
        <is>
          <t>JÄMTLANDS LÄN</t>
        </is>
      </c>
      <c r="E769" t="inlineStr">
        <is>
          <t>STRÖMSUND</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33017-2020</t>
        </is>
      </c>
      <c r="B770" s="1" t="n">
        <v>44020</v>
      </c>
      <c r="C770" s="1" t="n">
        <v>45648</v>
      </c>
      <c r="D770" t="inlineStr">
        <is>
          <t>JÄMTLANDS LÄN</t>
        </is>
      </c>
      <c r="E770" t="inlineStr">
        <is>
          <t>STRÖMSUND</t>
        </is>
      </c>
      <c r="F770" t="inlineStr">
        <is>
          <t>Sveaskog</t>
        </is>
      </c>
      <c r="G770" t="n">
        <v>20.8</v>
      </c>
      <c r="H770" t="n">
        <v>0</v>
      </c>
      <c r="I770" t="n">
        <v>0</v>
      </c>
      <c r="J770" t="n">
        <v>0</v>
      </c>
      <c r="K770" t="n">
        <v>0</v>
      </c>
      <c r="L770" t="n">
        <v>0</v>
      </c>
      <c r="M770" t="n">
        <v>0</v>
      </c>
      <c r="N770" t="n">
        <v>0</v>
      </c>
      <c r="O770" t="n">
        <v>0</v>
      </c>
      <c r="P770" t="n">
        <v>0</v>
      </c>
      <c r="Q770" t="n">
        <v>0</v>
      </c>
      <c r="R770" s="2" t="inlineStr"/>
    </row>
    <row r="771" ht="15" customHeight="1">
      <c r="A771" t="inlineStr">
        <is>
          <t>A 33007-2020</t>
        </is>
      </c>
      <c r="B771" s="1" t="n">
        <v>44020</v>
      </c>
      <c r="C771" s="1" t="n">
        <v>45648</v>
      </c>
      <c r="D771" t="inlineStr">
        <is>
          <t>JÄMTLANDS LÄN</t>
        </is>
      </c>
      <c r="E771" t="inlineStr">
        <is>
          <t>STRÖMSUND</t>
        </is>
      </c>
      <c r="F771" t="inlineStr">
        <is>
          <t>SCA</t>
        </is>
      </c>
      <c r="G771" t="n">
        <v>4.9</v>
      </c>
      <c r="H771" t="n">
        <v>0</v>
      </c>
      <c r="I771" t="n">
        <v>0</v>
      </c>
      <c r="J771" t="n">
        <v>0</v>
      </c>
      <c r="K771" t="n">
        <v>0</v>
      </c>
      <c r="L771" t="n">
        <v>0</v>
      </c>
      <c r="M771" t="n">
        <v>0</v>
      </c>
      <c r="N771" t="n">
        <v>0</v>
      </c>
      <c r="O771" t="n">
        <v>0</v>
      </c>
      <c r="P771" t="n">
        <v>0</v>
      </c>
      <c r="Q771" t="n">
        <v>0</v>
      </c>
      <c r="R771" s="2" t="inlineStr"/>
    </row>
    <row r="772" ht="15" customHeight="1">
      <c r="A772" t="inlineStr">
        <is>
          <t>A 33205-2020</t>
        </is>
      </c>
      <c r="B772" s="1" t="n">
        <v>44021</v>
      </c>
      <c r="C772" s="1" t="n">
        <v>45648</v>
      </c>
      <c r="D772" t="inlineStr">
        <is>
          <t>JÄMTLANDS LÄN</t>
        </is>
      </c>
      <c r="E772" t="inlineStr">
        <is>
          <t>STRÖMSUND</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33207-2020</t>
        </is>
      </c>
      <c r="B773" s="1" t="n">
        <v>44021</v>
      </c>
      <c r="C773" s="1" t="n">
        <v>45648</v>
      </c>
      <c r="D773" t="inlineStr">
        <is>
          <t>JÄMTLANDS LÄN</t>
        </is>
      </c>
      <c r="E773" t="inlineStr">
        <is>
          <t>STRÖMSUND</t>
        </is>
      </c>
      <c r="F773" t="inlineStr">
        <is>
          <t>SCA</t>
        </is>
      </c>
      <c r="G773" t="n">
        <v>7.2</v>
      </c>
      <c r="H773" t="n">
        <v>0</v>
      </c>
      <c r="I773" t="n">
        <v>0</v>
      </c>
      <c r="J773" t="n">
        <v>0</v>
      </c>
      <c r="K773" t="n">
        <v>0</v>
      </c>
      <c r="L773" t="n">
        <v>0</v>
      </c>
      <c r="M773" t="n">
        <v>0</v>
      </c>
      <c r="N773" t="n">
        <v>0</v>
      </c>
      <c r="O773" t="n">
        <v>0</v>
      </c>
      <c r="P773" t="n">
        <v>0</v>
      </c>
      <c r="Q773" t="n">
        <v>0</v>
      </c>
      <c r="R773" s="2" t="inlineStr"/>
    </row>
    <row r="774" ht="15" customHeight="1">
      <c r="A774" t="inlineStr">
        <is>
          <t>A 33460-2020</t>
        </is>
      </c>
      <c r="B774" s="1" t="n">
        <v>44022</v>
      </c>
      <c r="C774" s="1" t="n">
        <v>45648</v>
      </c>
      <c r="D774" t="inlineStr">
        <is>
          <t>JÄMTLANDS LÄN</t>
        </is>
      </c>
      <c r="E774" t="inlineStr">
        <is>
          <t>STRÖMSUND</t>
        </is>
      </c>
      <c r="F774" t="inlineStr">
        <is>
          <t>SCA</t>
        </is>
      </c>
      <c r="G774" t="n">
        <v>10.5</v>
      </c>
      <c r="H774" t="n">
        <v>0</v>
      </c>
      <c r="I774" t="n">
        <v>0</v>
      </c>
      <c r="J774" t="n">
        <v>0</v>
      </c>
      <c r="K774" t="n">
        <v>0</v>
      </c>
      <c r="L774" t="n">
        <v>0</v>
      </c>
      <c r="M774" t="n">
        <v>0</v>
      </c>
      <c r="N774" t="n">
        <v>0</v>
      </c>
      <c r="O774" t="n">
        <v>0</v>
      </c>
      <c r="P774" t="n">
        <v>0</v>
      </c>
      <c r="Q774" t="n">
        <v>0</v>
      </c>
      <c r="R774" s="2" t="inlineStr"/>
    </row>
    <row r="775" ht="15" customHeight="1">
      <c r="A775" t="inlineStr">
        <is>
          <t>A 33439-2020</t>
        </is>
      </c>
      <c r="B775" s="1" t="n">
        <v>44022</v>
      </c>
      <c r="C775" s="1" t="n">
        <v>45648</v>
      </c>
      <c r="D775" t="inlineStr">
        <is>
          <t>JÄMTLANDS LÄN</t>
        </is>
      </c>
      <c r="E775" t="inlineStr">
        <is>
          <t>STRÖMSUND</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33446-2020</t>
        </is>
      </c>
      <c r="B776" s="1" t="n">
        <v>44022</v>
      </c>
      <c r="C776" s="1" t="n">
        <v>45648</v>
      </c>
      <c r="D776" t="inlineStr">
        <is>
          <t>JÄMTLANDS LÄN</t>
        </is>
      </c>
      <c r="E776" t="inlineStr">
        <is>
          <t>STRÖMSUND</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33632-2020</t>
        </is>
      </c>
      <c r="B777" s="1" t="n">
        <v>44025</v>
      </c>
      <c r="C777" s="1" t="n">
        <v>45648</v>
      </c>
      <c r="D777" t="inlineStr">
        <is>
          <t>JÄMTLANDS LÄN</t>
        </is>
      </c>
      <c r="E777" t="inlineStr">
        <is>
          <t>STRÖMSUND</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33617-2020</t>
        </is>
      </c>
      <c r="B778" s="1" t="n">
        <v>44025</v>
      </c>
      <c r="C778" s="1" t="n">
        <v>45648</v>
      </c>
      <c r="D778" t="inlineStr">
        <is>
          <t>JÄMTLANDS LÄN</t>
        </is>
      </c>
      <c r="E778" t="inlineStr">
        <is>
          <t>STRÖMSUND</t>
        </is>
      </c>
      <c r="F778" t="inlineStr">
        <is>
          <t>SCA</t>
        </is>
      </c>
      <c r="G778" t="n">
        <v>135.3</v>
      </c>
      <c r="H778" t="n">
        <v>0</v>
      </c>
      <c r="I778" t="n">
        <v>0</v>
      </c>
      <c r="J778" t="n">
        <v>0</v>
      </c>
      <c r="K778" t="n">
        <v>0</v>
      </c>
      <c r="L778" t="n">
        <v>0</v>
      </c>
      <c r="M778" t="n">
        <v>0</v>
      </c>
      <c r="N778" t="n">
        <v>0</v>
      </c>
      <c r="O778" t="n">
        <v>0</v>
      </c>
      <c r="P778" t="n">
        <v>0</v>
      </c>
      <c r="Q778" t="n">
        <v>0</v>
      </c>
      <c r="R778" s="2" t="inlineStr"/>
    </row>
    <row r="779" ht="15" customHeight="1">
      <c r="A779" t="inlineStr">
        <is>
          <t>A 34079-2020</t>
        </is>
      </c>
      <c r="B779" s="1" t="n">
        <v>44028</v>
      </c>
      <c r="C779" s="1" t="n">
        <v>45648</v>
      </c>
      <c r="D779" t="inlineStr">
        <is>
          <t>JÄMTLANDS LÄN</t>
        </is>
      </c>
      <c r="E779" t="inlineStr">
        <is>
          <t>STRÖMSUND</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34084-2020</t>
        </is>
      </c>
      <c r="B780" s="1" t="n">
        <v>44028</v>
      </c>
      <c r="C780" s="1" t="n">
        <v>45648</v>
      </c>
      <c r="D780" t="inlineStr">
        <is>
          <t>JÄMTLANDS LÄN</t>
        </is>
      </c>
      <c r="E780" t="inlineStr">
        <is>
          <t>STRÖMSUND</t>
        </is>
      </c>
      <c r="F780" t="inlineStr">
        <is>
          <t>SCA</t>
        </is>
      </c>
      <c r="G780" t="n">
        <v>6.4</v>
      </c>
      <c r="H780" t="n">
        <v>0</v>
      </c>
      <c r="I780" t="n">
        <v>0</v>
      </c>
      <c r="J780" t="n">
        <v>0</v>
      </c>
      <c r="K780" t="n">
        <v>0</v>
      </c>
      <c r="L780" t="n">
        <v>0</v>
      </c>
      <c r="M780" t="n">
        <v>0</v>
      </c>
      <c r="N780" t="n">
        <v>0</v>
      </c>
      <c r="O780" t="n">
        <v>0</v>
      </c>
      <c r="P780" t="n">
        <v>0</v>
      </c>
      <c r="Q780" t="n">
        <v>0</v>
      </c>
      <c r="R780" s="2" t="inlineStr"/>
    </row>
    <row r="781" ht="15" customHeight="1">
      <c r="A781" t="inlineStr">
        <is>
          <t>A 34080-2020</t>
        </is>
      </c>
      <c r="B781" s="1" t="n">
        <v>44028</v>
      </c>
      <c r="C781" s="1" t="n">
        <v>45648</v>
      </c>
      <c r="D781" t="inlineStr">
        <is>
          <t>JÄMTLANDS LÄN</t>
        </is>
      </c>
      <c r="E781" t="inlineStr">
        <is>
          <t>STRÖMSUND</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33959-2020</t>
        </is>
      </c>
      <c r="B782" s="1" t="n">
        <v>44028</v>
      </c>
      <c r="C782" s="1" t="n">
        <v>45648</v>
      </c>
      <c r="D782" t="inlineStr">
        <is>
          <t>JÄMTLANDS LÄN</t>
        </is>
      </c>
      <c r="E782" t="inlineStr">
        <is>
          <t>STRÖMSUND</t>
        </is>
      </c>
      <c r="G782" t="n">
        <v>1.7</v>
      </c>
      <c r="H782" t="n">
        <v>0</v>
      </c>
      <c r="I782" t="n">
        <v>0</v>
      </c>
      <c r="J782" t="n">
        <v>0</v>
      </c>
      <c r="K782" t="n">
        <v>0</v>
      </c>
      <c r="L782" t="n">
        <v>0</v>
      </c>
      <c r="M782" t="n">
        <v>0</v>
      </c>
      <c r="N782" t="n">
        <v>0</v>
      </c>
      <c r="O782" t="n">
        <v>0</v>
      </c>
      <c r="P782" t="n">
        <v>0</v>
      </c>
      <c r="Q782" t="n">
        <v>0</v>
      </c>
      <c r="R782" s="2" t="inlineStr"/>
    </row>
    <row r="783" ht="15" customHeight="1">
      <c r="A783" t="inlineStr">
        <is>
          <t>A 34082-2020</t>
        </is>
      </c>
      <c r="B783" s="1" t="n">
        <v>44028</v>
      </c>
      <c r="C783" s="1" t="n">
        <v>45648</v>
      </c>
      <c r="D783" t="inlineStr">
        <is>
          <t>JÄMTLANDS LÄN</t>
        </is>
      </c>
      <c r="E783" t="inlineStr">
        <is>
          <t>STRÖMSUND</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34086-2020</t>
        </is>
      </c>
      <c r="B784" s="1" t="n">
        <v>44028</v>
      </c>
      <c r="C784" s="1" t="n">
        <v>45648</v>
      </c>
      <c r="D784" t="inlineStr">
        <is>
          <t>JÄMTLANDS LÄN</t>
        </is>
      </c>
      <c r="E784" t="inlineStr">
        <is>
          <t>STRÖMSUND</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34078-2020</t>
        </is>
      </c>
      <c r="B785" s="1" t="n">
        <v>44028</v>
      </c>
      <c r="C785" s="1" t="n">
        <v>45648</v>
      </c>
      <c r="D785" t="inlineStr">
        <is>
          <t>JÄMTLANDS LÄN</t>
        </is>
      </c>
      <c r="E785" t="inlineStr">
        <is>
          <t>STRÖMSUND</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34083-2020</t>
        </is>
      </c>
      <c r="B786" s="1" t="n">
        <v>44028</v>
      </c>
      <c r="C786" s="1" t="n">
        <v>45648</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34162-2020</t>
        </is>
      </c>
      <c r="B787" s="1" t="n">
        <v>44029</v>
      </c>
      <c r="C787" s="1" t="n">
        <v>45648</v>
      </c>
      <c r="D787" t="inlineStr">
        <is>
          <t>JÄMTLANDS LÄN</t>
        </is>
      </c>
      <c r="E787" t="inlineStr">
        <is>
          <t>STRÖMSUND</t>
        </is>
      </c>
      <c r="F787" t="inlineStr">
        <is>
          <t>Sveaskog</t>
        </is>
      </c>
      <c r="G787" t="n">
        <v>3</v>
      </c>
      <c r="H787" t="n">
        <v>0</v>
      </c>
      <c r="I787" t="n">
        <v>0</v>
      </c>
      <c r="J787" t="n">
        <v>0</v>
      </c>
      <c r="K787" t="n">
        <v>0</v>
      </c>
      <c r="L787" t="n">
        <v>0</v>
      </c>
      <c r="M787" t="n">
        <v>0</v>
      </c>
      <c r="N787" t="n">
        <v>0</v>
      </c>
      <c r="O787" t="n">
        <v>0</v>
      </c>
      <c r="P787" t="n">
        <v>0</v>
      </c>
      <c r="Q787" t="n">
        <v>0</v>
      </c>
      <c r="R787" s="2" t="inlineStr"/>
    </row>
    <row r="788" ht="15" customHeight="1">
      <c r="A788" t="inlineStr">
        <is>
          <t>A 34280-2020</t>
        </is>
      </c>
      <c r="B788" s="1" t="n">
        <v>44029</v>
      </c>
      <c r="C788" s="1" t="n">
        <v>45648</v>
      </c>
      <c r="D788" t="inlineStr">
        <is>
          <t>JÄMTLANDS LÄN</t>
        </is>
      </c>
      <c r="E788" t="inlineStr">
        <is>
          <t>STRÖMSUND</t>
        </is>
      </c>
      <c r="F788" t="inlineStr">
        <is>
          <t>SCA</t>
        </is>
      </c>
      <c r="G788" t="n">
        <v>7.3</v>
      </c>
      <c r="H788" t="n">
        <v>0</v>
      </c>
      <c r="I788" t="n">
        <v>0</v>
      </c>
      <c r="J788" t="n">
        <v>0</v>
      </c>
      <c r="K788" t="n">
        <v>0</v>
      </c>
      <c r="L788" t="n">
        <v>0</v>
      </c>
      <c r="M788" t="n">
        <v>0</v>
      </c>
      <c r="N788" t="n">
        <v>0</v>
      </c>
      <c r="O788" t="n">
        <v>0</v>
      </c>
      <c r="P788" t="n">
        <v>0</v>
      </c>
      <c r="Q788" t="n">
        <v>0</v>
      </c>
      <c r="R788" s="2" t="inlineStr"/>
    </row>
    <row r="789" ht="15" customHeight="1">
      <c r="A789" t="inlineStr">
        <is>
          <t>A 34292-2020</t>
        </is>
      </c>
      <c r="B789" s="1" t="n">
        <v>44029</v>
      </c>
      <c r="C789" s="1" t="n">
        <v>45648</v>
      </c>
      <c r="D789" t="inlineStr">
        <is>
          <t>JÄMTLANDS LÄN</t>
        </is>
      </c>
      <c r="E789" t="inlineStr">
        <is>
          <t>STRÖMSUND</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34289-2020</t>
        </is>
      </c>
      <c r="B790" s="1" t="n">
        <v>44029</v>
      </c>
      <c r="C790" s="1" t="n">
        <v>45648</v>
      </c>
      <c r="D790" t="inlineStr">
        <is>
          <t>JÄMTLANDS LÄN</t>
        </is>
      </c>
      <c r="E790" t="inlineStr">
        <is>
          <t>STRÖMSUND</t>
        </is>
      </c>
      <c r="F790" t="inlineStr">
        <is>
          <t>SCA</t>
        </is>
      </c>
      <c r="G790" t="n">
        <v>3.6</v>
      </c>
      <c r="H790" t="n">
        <v>0</v>
      </c>
      <c r="I790" t="n">
        <v>0</v>
      </c>
      <c r="J790" t="n">
        <v>0</v>
      </c>
      <c r="K790" t="n">
        <v>0</v>
      </c>
      <c r="L790" t="n">
        <v>0</v>
      </c>
      <c r="M790" t="n">
        <v>0</v>
      </c>
      <c r="N790" t="n">
        <v>0</v>
      </c>
      <c r="O790" t="n">
        <v>0</v>
      </c>
      <c r="P790" t="n">
        <v>0</v>
      </c>
      <c r="Q790" t="n">
        <v>0</v>
      </c>
      <c r="R790" s="2" t="inlineStr"/>
    </row>
    <row r="791" ht="15" customHeight="1">
      <c r="A791" t="inlineStr">
        <is>
          <t>A 34658-2020</t>
        </is>
      </c>
      <c r="B791" s="1" t="n">
        <v>44034</v>
      </c>
      <c r="C791" s="1" t="n">
        <v>45648</v>
      </c>
      <c r="D791" t="inlineStr">
        <is>
          <t>JÄMTLANDS LÄN</t>
        </is>
      </c>
      <c r="E791" t="inlineStr">
        <is>
          <t>STRÖMSUND</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34796-2020</t>
        </is>
      </c>
      <c r="B792" s="1" t="n">
        <v>44035</v>
      </c>
      <c r="C792" s="1" t="n">
        <v>45648</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34855-2020</t>
        </is>
      </c>
      <c r="B793" s="1" t="n">
        <v>44036</v>
      </c>
      <c r="C793" s="1" t="n">
        <v>45648</v>
      </c>
      <c r="D793" t="inlineStr">
        <is>
          <t>JÄMTLANDS LÄN</t>
        </is>
      </c>
      <c r="E793" t="inlineStr">
        <is>
          <t>STRÖMSUND</t>
        </is>
      </c>
      <c r="G793" t="n">
        <v>20.2</v>
      </c>
      <c r="H793" t="n">
        <v>0</v>
      </c>
      <c r="I793" t="n">
        <v>0</v>
      </c>
      <c r="J793" t="n">
        <v>0</v>
      </c>
      <c r="K793" t="n">
        <v>0</v>
      </c>
      <c r="L793" t="n">
        <v>0</v>
      </c>
      <c r="M793" t="n">
        <v>0</v>
      </c>
      <c r="N793" t="n">
        <v>0</v>
      </c>
      <c r="O793" t="n">
        <v>0</v>
      </c>
      <c r="P793" t="n">
        <v>0</v>
      </c>
      <c r="Q793" t="n">
        <v>0</v>
      </c>
      <c r="R793" s="2" t="inlineStr"/>
    </row>
    <row r="794" ht="15" customHeight="1">
      <c r="A794" t="inlineStr">
        <is>
          <t>A 34952-2020</t>
        </is>
      </c>
      <c r="B794" s="1" t="n">
        <v>44038</v>
      </c>
      <c r="C794" s="1" t="n">
        <v>45648</v>
      </c>
      <c r="D794" t="inlineStr">
        <is>
          <t>JÄMTLANDS LÄN</t>
        </is>
      </c>
      <c r="E794" t="inlineStr">
        <is>
          <t>STRÖMSUND</t>
        </is>
      </c>
      <c r="G794" t="n">
        <v>26.1</v>
      </c>
      <c r="H794" t="n">
        <v>0</v>
      </c>
      <c r="I794" t="n">
        <v>0</v>
      </c>
      <c r="J794" t="n">
        <v>0</v>
      </c>
      <c r="K794" t="n">
        <v>0</v>
      </c>
      <c r="L794" t="n">
        <v>0</v>
      </c>
      <c r="M794" t="n">
        <v>0</v>
      </c>
      <c r="N794" t="n">
        <v>0</v>
      </c>
      <c r="O794" t="n">
        <v>0</v>
      </c>
      <c r="P794" t="n">
        <v>0</v>
      </c>
      <c r="Q794" t="n">
        <v>0</v>
      </c>
      <c r="R794" s="2" t="inlineStr"/>
    </row>
    <row r="795" ht="15" customHeight="1">
      <c r="A795" t="inlineStr">
        <is>
          <t>A 35393-2020</t>
        </is>
      </c>
      <c r="B795" s="1" t="n">
        <v>44042</v>
      </c>
      <c r="C795" s="1" t="n">
        <v>45648</v>
      </c>
      <c r="D795" t="inlineStr">
        <is>
          <t>JÄMTLANDS LÄN</t>
        </is>
      </c>
      <c r="E795" t="inlineStr">
        <is>
          <t>STRÖMSUND</t>
        </is>
      </c>
      <c r="G795" t="n">
        <v>0.8</v>
      </c>
      <c r="H795" t="n">
        <v>0</v>
      </c>
      <c r="I795" t="n">
        <v>0</v>
      </c>
      <c r="J795" t="n">
        <v>0</v>
      </c>
      <c r="K795" t="n">
        <v>0</v>
      </c>
      <c r="L795" t="n">
        <v>0</v>
      </c>
      <c r="M795" t="n">
        <v>0</v>
      </c>
      <c r="N795" t="n">
        <v>0</v>
      </c>
      <c r="O795" t="n">
        <v>0</v>
      </c>
      <c r="P795" t="n">
        <v>0</v>
      </c>
      <c r="Q795" t="n">
        <v>0</v>
      </c>
      <c r="R795" s="2" t="inlineStr"/>
    </row>
    <row r="796" ht="15" customHeight="1">
      <c r="A796" t="inlineStr">
        <is>
          <t>A 35605-2020</t>
        </is>
      </c>
      <c r="B796" s="1" t="n">
        <v>44043</v>
      </c>
      <c r="C796" s="1" t="n">
        <v>45648</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35658-2020</t>
        </is>
      </c>
      <c r="B797" s="1" t="n">
        <v>44046</v>
      </c>
      <c r="C797" s="1" t="n">
        <v>45648</v>
      </c>
      <c r="D797" t="inlineStr">
        <is>
          <t>JÄMTLANDS LÄN</t>
        </is>
      </c>
      <c r="E797" t="inlineStr">
        <is>
          <t>STRÖMSUND</t>
        </is>
      </c>
      <c r="F797" t="inlineStr">
        <is>
          <t>Holmen skog AB</t>
        </is>
      </c>
      <c r="G797" t="n">
        <v>18</v>
      </c>
      <c r="H797" t="n">
        <v>0</v>
      </c>
      <c r="I797" t="n">
        <v>0</v>
      </c>
      <c r="J797" t="n">
        <v>0</v>
      </c>
      <c r="K797" t="n">
        <v>0</v>
      </c>
      <c r="L797" t="n">
        <v>0</v>
      </c>
      <c r="M797" t="n">
        <v>0</v>
      </c>
      <c r="N797" t="n">
        <v>0</v>
      </c>
      <c r="O797" t="n">
        <v>0</v>
      </c>
      <c r="P797" t="n">
        <v>0</v>
      </c>
      <c r="Q797" t="n">
        <v>0</v>
      </c>
      <c r="R797" s="2" t="inlineStr"/>
    </row>
    <row r="798" ht="15" customHeight="1">
      <c r="A798" t="inlineStr">
        <is>
          <t>A 36504-2020</t>
        </is>
      </c>
      <c r="B798" s="1" t="n">
        <v>44050</v>
      </c>
      <c r="C798" s="1" t="n">
        <v>45648</v>
      </c>
      <c r="D798" t="inlineStr">
        <is>
          <t>JÄMTLANDS LÄN</t>
        </is>
      </c>
      <c r="E798" t="inlineStr">
        <is>
          <t>STRÖMSUND</t>
        </is>
      </c>
      <c r="F798" t="inlineStr">
        <is>
          <t>Holmen skog AB</t>
        </is>
      </c>
      <c r="G798" t="n">
        <v>3.2</v>
      </c>
      <c r="H798" t="n">
        <v>0</v>
      </c>
      <c r="I798" t="n">
        <v>0</v>
      </c>
      <c r="J798" t="n">
        <v>0</v>
      </c>
      <c r="K798" t="n">
        <v>0</v>
      </c>
      <c r="L798" t="n">
        <v>0</v>
      </c>
      <c r="M798" t="n">
        <v>0</v>
      </c>
      <c r="N798" t="n">
        <v>0</v>
      </c>
      <c r="O798" t="n">
        <v>0</v>
      </c>
      <c r="P798" t="n">
        <v>0</v>
      </c>
      <c r="Q798" t="n">
        <v>0</v>
      </c>
      <c r="R798" s="2" t="inlineStr"/>
    </row>
    <row r="799" ht="15" customHeight="1">
      <c r="A799" t="inlineStr">
        <is>
          <t>A 36574-2020</t>
        </is>
      </c>
      <c r="B799" s="1" t="n">
        <v>44050</v>
      </c>
      <c r="C799" s="1" t="n">
        <v>45648</v>
      </c>
      <c r="D799" t="inlineStr">
        <is>
          <t>JÄMTLANDS LÄN</t>
        </is>
      </c>
      <c r="E799" t="inlineStr">
        <is>
          <t>STRÖMSUND</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36787-2020</t>
        </is>
      </c>
      <c r="B800" s="1" t="n">
        <v>44053</v>
      </c>
      <c r="C800" s="1" t="n">
        <v>45648</v>
      </c>
      <c r="D800" t="inlineStr">
        <is>
          <t>JÄMTLANDS LÄN</t>
        </is>
      </c>
      <c r="E800" t="inlineStr">
        <is>
          <t>STRÖMSUND</t>
        </is>
      </c>
      <c r="F800" t="inlineStr">
        <is>
          <t>Holmen skog AB</t>
        </is>
      </c>
      <c r="G800" t="n">
        <v>5.3</v>
      </c>
      <c r="H800" t="n">
        <v>0</v>
      </c>
      <c r="I800" t="n">
        <v>0</v>
      </c>
      <c r="J800" t="n">
        <v>0</v>
      </c>
      <c r="K800" t="n">
        <v>0</v>
      </c>
      <c r="L800" t="n">
        <v>0</v>
      </c>
      <c r="M800" t="n">
        <v>0</v>
      </c>
      <c r="N800" t="n">
        <v>0</v>
      </c>
      <c r="O800" t="n">
        <v>0</v>
      </c>
      <c r="P800" t="n">
        <v>0</v>
      </c>
      <c r="Q800" t="n">
        <v>0</v>
      </c>
      <c r="R800" s="2" t="inlineStr"/>
    </row>
    <row r="801" ht="15" customHeight="1">
      <c r="A801" t="inlineStr">
        <is>
          <t>A 36963-2020</t>
        </is>
      </c>
      <c r="B801" s="1" t="n">
        <v>44053</v>
      </c>
      <c r="C801" s="1" t="n">
        <v>45648</v>
      </c>
      <c r="D801" t="inlineStr">
        <is>
          <t>JÄMTLANDS LÄN</t>
        </is>
      </c>
      <c r="E801" t="inlineStr">
        <is>
          <t>STRÖMSUND</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37308-2020</t>
        </is>
      </c>
      <c r="B802" s="1" t="n">
        <v>44055</v>
      </c>
      <c r="C802" s="1" t="n">
        <v>45648</v>
      </c>
      <c r="D802" t="inlineStr">
        <is>
          <t>JÄMTLANDS LÄN</t>
        </is>
      </c>
      <c r="E802" t="inlineStr">
        <is>
          <t>STRÖMSUND</t>
        </is>
      </c>
      <c r="F802" t="inlineStr">
        <is>
          <t>Holmen skog AB</t>
        </is>
      </c>
      <c r="G802" t="n">
        <v>1.3</v>
      </c>
      <c r="H802" t="n">
        <v>0</v>
      </c>
      <c r="I802" t="n">
        <v>0</v>
      </c>
      <c r="J802" t="n">
        <v>0</v>
      </c>
      <c r="K802" t="n">
        <v>0</v>
      </c>
      <c r="L802" t="n">
        <v>0</v>
      </c>
      <c r="M802" t="n">
        <v>0</v>
      </c>
      <c r="N802" t="n">
        <v>0</v>
      </c>
      <c r="O802" t="n">
        <v>0</v>
      </c>
      <c r="P802" t="n">
        <v>0</v>
      </c>
      <c r="Q802" t="n">
        <v>0</v>
      </c>
      <c r="R802" s="2" t="inlineStr"/>
    </row>
    <row r="803" ht="15" customHeight="1">
      <c r="A803" t="inlineStr">
        <is>
          <t>A 37501-2020</t>
        </is>
      </c>
      <c r="B803" s="1" t="n">
        <v>44055</v>
      </c>
      <c r="C803" s="1" t="n">
        <v>45648</v>
      </c>
      <c r="D803" t="inlineStr">
        <is>
          <t>JÄMTLANDS LÄN</t>
        </is>
      </c>
      <c r="E803" t="inlineStr">
        <is>
          <t>STRÖMSUND</t>
        </is>
      </c>
      <c r="G803" t="n">
        <v>1.1</v>
      </c>
      <c r="H803" t="n">
        <v>0</v>
      </c>
      <c r="I803" t="n">
        <v>0</v>
      </c>
      <c r="J803" t="n">
        <v>0</v>
      </c>
      <c r="K803" t="n">
        <v>0</v>
      </c>
      <c r="L803" t="n">
        <v>0</v>
      </c>
      <c r="M803" t="n">
        <v>0</v>
      </c>
      <c r="N803" t="n">
        <v>0</v>
      </c>
      <c r="O803" t="n">
        <v>0</v>
      </c>
      <c r="P803" t="n">
        <v>0</v>
      </c>
      <c r="Q803" t="n">
        <v>0</v>
      </c>
      <c r="R803" s="2" t="inlineStr"/>
    </row>
    <row r="804" ht="15" customHeight="1">
      <c r="A804" t="inlineStr">
        <is>
          <t>A 37878-2020</t>
        </is>
      </c>
      <c r="B804" s="1" t="n">
        <v>44057</v>
      </c>
      <c r="C804" s="1" t="n">
        <v>45648</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38019-2020</t>
        </is>
      </c>
      <c r="B805" s="1" t="n">
        <v>44057</v>
      </c>
      <c r="C805" s="1" t="n">
        <v>45648</v>
      </c>
      <c r="D805" t="inlineStr">
        <is>
          <t>JÄMTLANDS LÄN</t>
        </is>
      </c>
      <c r="E805" t="inlineStr">
        <is>
          <t>STRÖMSUND</t>
        </is>
      </c>
      <c r="G805" t="n">
        <v>0.2</v>
      </c>
      <c r="H805" t="n">
        <v>0</v>
      </c>
      <c r="I805" t="n">
        <v>0</v>
      </c>
      <c r="J805" t="n">
        <v>0</v>
      </c>
      <c r="K805" t="n">
        <v>0</v>
      </c>
      <c r="L805" t="n">
        <v>0</v>
      </c>
      <c r="M805" t="n">
        <v>0</v>
      </c>
      <c r="N805" t="n">
        <v>0</v>
      </c>
      <c r="O805" t="n">
        <v>0</v>
      </c>
      <c r="P805" t="n">
        <v>0</v>
      </c>
      <c r="Q805" t="n">
        <v>0</v>
      </c>
      <c r="R805" s="2" t="inlineStr"/>
    </row>
    <row r="806" ht="15" customHeight="1">
      <c r="A806" t="inlineStr">
        <is>
          <t>A 38029-2020</t>
        </is>
      </c>
      <c r="B806" s="1" t="n">
        <v>44057</v>
      </c>
      <c r="C806" s="1" t="n">
        <v>45648</v>
      </c>
      <c r="D806" t="inlineStr">
        <is>
          <t>JÄMTLANDS LÄN</t>
        </is>
      </c>
      <c r="E806" t="inlineStr">
        <is>
          <t>STRÖMSUND</t>
        </is>
      </c>
      <c r="G806" t="n">
        <v>0.6</v>
      </c>
      <c r="H806" t="n">
        <v>0</v>
      </c>
      <c r="I806" t="n">
        <v>0</v>
      </c>
      <c r="J806" t="n">
        <v>0</v>
      </c>
      <c r="K806" t="n">
        <v>0</v>
      </c>
      <c r="L806" t="n">
        <v>0</v>
      </c>
      <c r="M806" t="n">
        <v>0</v>
      </c>
      <c r="N806" t="n">
        <v>0</v>
      </c>
      <c r="O806" t="n">
        <v>0</v>
      </c>
      <c r="P806" t="n">
        <v>0</v>
      </c>
      <c r="Q806" t="n">
        <v>0</v>
      </c>
      <c r="R806" s="2" t="inlineStr"/>
    </row>
    <row r="807" ht="15" customHeight="1">
      <c r="A807" t="inlineStr">
        <is>
          <t>A 38070-2020</t>
        </is>
      </c>
      <c r="B807" s="1" t="n">
        <v>44057</v>
      </c>
      <c r="C807" s="1" t="n">
        <v>45648</v>
      </c>
      <c r="D807" t="inlineStr">
        <is>
          <t>JÄMTLANDS LÄN</t>
        </is>
      </c>
      <c r="E807" t="inlineStr">
        <is>
          <t>STRÖMSUND</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38071-2020</t>
        </is>
      </c>
      <c r="B808" s="1" t="n">
        <v>44057</v>
      </c>
      <c r="C808" s="1" t="n">
        <v>45648</v>
      </c>
      <c r="D808" t="inlineStr">
        <is>
          <t>JÄMTLANDS LÄN</t>
        </is>
      </c>
      <c r="E808" t="inlineStr">
        <is>
          <t>STRÖMSUND</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38266-2020</t>
        </is>
      </c>
      <c r="B809" s="1" t="n">
        <v>44060</v>
      </c>
      <c r="C809" s="1" t="n">
        <v>45648</v>
      </c>
      <c r="D809" t="inlineStr">
        <is>
          <t>JÄMTLANDS LÄN</t>
        </is>
      </c>
      <c r="E809" t="inlineStr">
        <is>
          <t>STRÖMSUND</t>
        </is>
      </c>
      <c r="G809" t="n">
        <v>2.5</v>
      </c>
      <c r="H809" t="n">
        <v>0</v>
      </c>
      <c r="I809" t="n">
        <v>0</v>
      </c>
      <c r="J809" t="n">
        <v>0</v>
      </c>
      <c r="K809" t="n">
        <v>0</v>
      </c>
      <c r="L809" t="n">
        <v>0</v>
      </c>
      <c r="M809" t="n">
        <v>0</v>
      </c>
      <c r="N809" t="n">
        <v>0</v>
      </c>
      <c r="O809" t="n">
        <v>0</v>
      </c>
      <c r="P809" t="n">
        <v>0</v>
      </c>
      <c r="Q809" t="n">
        <v>0</v>
      </c>
      <c r="R809" s="2" t="inlineStr"/>
    </row>
    <row r="810" ht="15" customHeight="1">
      <c r="A810" t="inlineStr">
        <is>
          <t>A 38261-2020</t>
        </is>
      </c>
      <c r="B810" s="1" t="n">
        <v>44060</v>
      </c>
      <c r="C810" s="1" t="n">
        <v>45648</v>
      </c>
      <c r="D810" t="inlineStr">
        <is>
          <t>JÄMTLANDS LÄN</t>
        </is>
      </c>
      <c r="E810" t="inlineStr">
        <is>
          <t>STRÖMSUND</t>
        </is>
      </c>
      <c r="G810" t="n">
        <v>2.8</v>
      </c>
      <c r="H810" t="n">
        <v>0</v>
      </c>
      <c r="I810" t="n">
        <v>0</v>
      </c>
      <c r="J810" t="n">
        <v>0</v>
      </c>
      <c r="K810" t="n">
        <v>0</v>
      </c>
      <c r="L810" t="n">
        <v>0</v>
      </c>
      <c r="M810" t="n">
        <v>0</v>
      </c>
      <c r="N810" t="n">
        <v>0</v>
      </c>
      <c r="O810" t="n">
        <v>0</v>
      </c>
      <c r="P810" t="n">
        <v>0</v>
      </c>
      <c r="Q810" t="n">
        <v>0</v>
      </c>
      <c r="R810" s="2" t="inlineStr"/>
    </row>
    <row r="811" ht="15" customHeight="1">
      <c r="A811" t="inlineStr">
        <is>
          <t>A 38268-2020</t>
        </is>
      </c>
      <c r="B811" s="1" t="n">
        <v>44060</v>
      </c>
      <c r="C811" s="1" t="n">
        <v>45648</v>
      </c>
      <c r="D811" t="inlineStr">
        <is>
          <t>JÄMTLANDS LÄN</t>
        </is>
      </c>
      <c r="E811" t="inlineStr">
        <is>
          <t>STRÖMSUND</t>
        </is>
      </c>
      <c r="G811" t="n">
        <v>6.4</v>
      </c>
      <c r="H811" t="n">
        <v>0</v>
      </c>
      <c r="I811" t="n">
        <v>0</v>
      </c>
      <c r="J811" t="n">
        <v>0</v>
      </c>
      <c r="K811" t="n">
        <v>0</v>
      </c>
      <c r="L811" t="n">
        <v>0</v>
      </c>
      <c r="M811" t="n">
        <v>0</v>
      </c>
      <c r="N811" t="n">
        <v>0</v>
      </c>
      <c r="O811" t="n">
        <v>0</v>
      </c>
      <c r="P811" t="n">
        <v>0</v>
      </c>
      <c r="Q811" t="n">
        <v>0</v>
      </c>
      <c r="R811" s="2" t="inlineStr"/>
    </row>
    <row r="812" ht="15" customHeight="1">
      <c r="A812" t="inlineStr">
        <is>
          <t>A 38484-2020</t>
        </is>
      </c>
      <c r="B812" s="1" t="n">
        <v>44060</v>
      </c>
      <c r="C812" s="1" t="n">
        <v>45648</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38467-2020</t>
        </is>
      </c>
      <c r="B813" s="1" t="n">
        <v>44060</v>
      </c>
      <c r="C813" s="1" t="n">
        <v>45648</v>
      </c>
      <c r="D813" t="inlineStr">
        <is>
          <t>JÄMTLANDS LÄN</t>
        </is>
      </c>
      <c r="E813" t="inlineStr">
        <is>
          <t>STRÖMSUND</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38485-2020</t>
        </is>
      </c>
      <c r="B814" s="1" t="n">
        <v>44060</v>
      </c>
      <c r="C814" s="1" t="n">
        <v>45648</v>
      </c>
      <c r="D814" t="inlineStr">
        <is>
          <t>JÄMTLANDS LÄN</t>
        </is>
      </c>
      <c r="E814" t="inlineStr">
        <is>
          <t>STRÖMSUND</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38779-2020</t>
        </is>
      </c>
      <c r="B815" s="1" t="n">
        <v>44061</v>
      </c>
      <c r="C815" s="1" t="n">
        <v>45648</v>
      </c>
      <c r="D815" t="inlineStr">
        <is>
          <t>JÄMTLANDS LÄN</t>
        </is>
      </c>
      <c r="E815" t="inlineStr">
        <is>
          <t>STRÖMSUND</t>
        </is>
      </c>
      <c r="F815" t="inlineStr">
        <is>
          <t>SCA</t>
        </is>
      </c>
      <c r="G815" t="n">
        <v>34.2</v>
      </c>
      <c r="H815" t="n">
        <v>0</v>
      </c>
      <c r="I815" t="n">
        <v>0</v>
      </c>
      <c r="J815" t="n">
        <v>0</v>
      </c>
      <c r="K815" t="n">
        <v>0</v>
      </c>
      <c r="L815" t="n">
        <v>0</v>
      </c>
      <c r="M815" t="n">
        <v>0</v>
      </c>
      <c r="N815" t="n">
        <v>0</v>
      </c>
      <c r="O815" t="n">
        <v>0</v>
      </c>
      <c r="P815" t="n">
        <v>0</v>
      </c>
      <c r="Q815" t="n">
        <v>0</v>
      </c>
      <c r="R815" s="2" t="inlineStr"/>
    </row>
    <row r="816" ht="15" customHeight="1">
      <c r="A816" t="inlineStr">
        <is>
          <t>A 38781-2020</t>
        </is>
      </c>
      <c r="B816" s="1" t="n">
        <v>44061</v>
      </c>
      <c r="C816" s="1" t="n">
        <v>45648</v>
      </c>
      <c r="D816" t="inlineStr">
        <is>
          <t>JÄMTLANDS LÄN</t>
        </is>
      </c>
      <c r="E816" t="inlineStr">
        <is>
          <t>STRÖMSUND</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38780-2020</t>
        </is>
      </c>
      <c r="B817" s="1" t="n">
        <v>44061</v>
      </c>
      <c r="C817" s="1" t="n">
        <v>45648</v>
      </c>
      <c r="D817" t="inlineStr">
        <is>
          <t>JÄMTLANDS LÄN</t>
        </is>
      </c>
      <c r="E817" t="inlineStr">
        <is>
          <t>STRÖMSUND</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38782-2020</t>
        </is>
      </c>
      <c r="B818" s="1" t="n">
        <v>44061</v>
      </c>
      <c r="C818" s="1" t="n">
        <v>45648</v>
      </c>
      <c r="D818" t="inlineStr">
        <is>
          <t>JÄMTLANDS LÄN</t>
        </is>
      </c>
      <c r="E818" t="inlineStr">
        <is>
          <t>STRÖMSUND</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39396-2020</t>
        </is>
      </c>
      <c r="B819" s="1" t="n">
        <v>44064</v>
      </c>
      <c r="C819" s="1" t="n">
        <v>45648</v>
      </c>
      <c r="D819" t="inlineStr">
        <is>
          <t>JÄMTLANDS LÄN</t>
        </is>
      </c>
      <c r="E819" t="inlineStr">
        <is>
          <t>STRÖMSUND</t>
        </is>
      </c>
      <c r="F819" t="inlineStr">
        <is>
          <t>Holmen skog AB</t>
        </is>
      </c>
      <c r="G819" t="n">
        <v>7.2</v>
      </c>
      <c r="H819" t="n">
        <v>0</v>
      </c>
      <c r="I819" t="n">
        <v>0</v>
      </c>
      <c r="J819" t="n">
        <v>0</v>
      </c>
      <c r="K819" t="n">
        <v>0</v>
      </c>
      <c r="L819" t="n">
        <v>0</v>
      </c>
      <c r="M819" t="n">
        <v>0</v>
      </c>
      <c r="N819" t="n">
        <v>0</v>
      </c>
      <c r="O819" t="n">
        <v>0</v>
      </c>
      <c r="P819" t="n">
        <v>0</v>
      </c>
      <c r="Q819" t="n">
        <v>0</v>
      </c>
      <c r="R819" s="2" t="inlineStr"/>
    </row>
    <row r="820" ht="15" customHeight="1">
      <c r="A820" t="inlineStr">
        <is>
          <t>A 39390-2020</t>
        </is>
      </c>
      <c r="B820" s="1" t="n">
        <v>44064</v>
      </c>
      <c r="C820" s="1" t="n">
        <v>45648</v>
      </c>
      <c r="D820" t="inlineStr">
        <is>
          <t>JÄMTLANDS LÄN</t>
        </is>
      </c>
      <c r="E820" t="inlineStr">
        <is>
          <t>STRÖMSUND</t>
        </is>
      </c>
      <c r="G820" t="n">
        <v>1.7</v>
      </c>
      <c r="H820" t="n">
        <v>0</v>
      </c>
      <c r="I820" t="n">
        <v>0</v>
      </c>
      <c r="J820" t="n">
        <v>0</v>
      </c>
      <c r="K820" t="n">
        <v>0</v>
      </c>
      <c r="L820" t="n">
        <v>0</v>
      </c>
      <c r="M820" t="n">
        <v>0</v>
      </c>
      <c r="N820" t="n">
        <v>0</v>
      </c>
      <c r="O820" t="n">
        <v>0</v>
      </c>
      <c r="P820" t="n">
        <v>0</v>
      </c>
      <c r="Q820" t="n">
        <v>0</v>
      </c>
      <c r="R820" s="2" t="inlineStr"/>
    </row>
    <row r="821" ht="15" customHeight="1">
      <c r="A821" t="inlineStr">
        <is>
          <t>A 39397-2020</t>
        </is>
      </c>
      <c r="B821" s="1" t="n">
        <v>44064</v>
      </c>
      <c r="C821" s="1" t="n">
        <v>45648</v>
      </c>
      <c r="D821" t="inlineStr">
        <is>
          <t>JÄMTLANDS LÄN</t>
        </is>
      </c>
      <c r="E821" t="inlineStr">
        <is>
          <t>STRÖMSUND</t>
        </is>
      </c>
      <c r="G821" t="n">
        <v>6.1</v>
      </c>
      <c r="H821" t="n">
        <v>0</v>
      </c>
      <c r="I821" t="n">
        <v>0</v>
      </c>
      <c r="J821" t="n">
        <v>0</v>
      </c>
      <c r="K821" t="n">
        <v>0</v>
      </c>
      <c r="L821" t="n">
        <v>0</v>
      </c>
      <c r="M821" t="n">
        <v>0</v>
      </c>
      <c r="N821" t="n">
        <v>0</v>
      </c>
      <c r="O821" t="n">
        <v>0</v>
      </c>
      <c r="P821" t="n">
        <v>0</v>
      </c>
      <c r="Q821" t="n">
        <v>0</v>
      </c>
      <c r="R821" s="2" t="inlineStr"/>
    </row>
    <row r="822" ht="15" customHeight="1">
      <c r="A822" t="inlineStr">
        <is>
          <t>A 39648-2020</t>
        </is>
      </c>
      <c r="B822" s="1" t="n">
        <v>44065</v>
      </c>
      <c r="C822" s="1" t="n">
        <v>45648</v>
      </c>
      <c r="D822" t="inlineStr">
        <is>
          <t>JÄMTLANDS LÄN</t>
        </is>
      </c>
      <c r="E822" t="inlineStr">
        <is>
          <t>STRÖMSUND</t>
        </is>
      </c>
      <c r="G822" t="n">
        <v>1</v>
      </c>
      <c r="H822" t="n">
        <v>0</v>
      </c>
      <c r="I822" t="n">
        <v>0</v>
      </c>
      <c r="J822" t="n">
        <v>0</v>
      </c>
      <c r="K822" t="n">
        <v>0</v>
      </c>
      <c r="L822" t="n">
        <v>0</v>
      </c>
      <c r="M822" t="n">
        <v>0</v>
      </c>
      <c r="N822" t="n">
        <v>0</v>
      </c>
      <c r="O822" t="n">
        <v>0</v>
      </c>
      <c r="P822" t="n">
        <v>0</v>
      </c>
      <c r="Q822" t="n">
        <v>0</v>
      </c>
      <c r="R822" s="2" t="inlineStr"/>
    </row>
    <row r="823" ht="15" customHeight="1">
      <c r="A823" t="inlineStr">
        <is>
          <t>A 40080-2020</t>
        </is>
      </c>
      <c r="B823" s="1" t="n">
        <v>44067</v>
      </c>
      <c r="C823" s="1" t="n">
        <v>45648</v>
      </c>
      <c r="D823" t="inlineStr">
        <is>
          <t>JÄMTLANDS LÄN</t>
        </is>
      </c>
      <c r="E823" t="inlineStr">
        <is>
          <t>STRÖMSUND</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40519-2020</t>
        </is>
      </c>
      <c r="B824" s="1" t="n">
        <v>44069</v>
      </c>
      <c r="C824" s="1" t="n">
        <v>45648</v>
      </c>
      <c r="D824" t="inlineStr">
        <is>
          <t>JÄMTLANDS LÄN</t>
        </is>
      </c>
      <c r="E824" t="inlineStr">
        <is>
          <t>STRÖMSUND</t>
        </is>
      </c>
      <c r="G824" t="n">
        <v>11.7</v>
      </c>
      <c r="H824" t="n">
        <v>0</v>
      </c>
      <c r="I824" t="n">
        <v>0</v>
      </c>
      <c r="J824" t="n">
        <v>0</v>
      </c>
      <c r="K824" t="n">
        <v>0</v>
      </c>
      <c r="L824" t="n">
        <v>0</v>
      </c>
      <c r="M824" t="n">
        <v>0</v>
      </c>
      <c r="N824" t="n">
        <v>0</v>
      </c>
      <c r="O824" t="n">
        <v>0</v>
      </c>
      <c r="P824" t="n">
        <v>0</v>
      </c>
      <c r="Q824" t="n">
        <v>0</v>
      </c>
      <c r="R824" s="2" t="inlineStr"/>
    </row>
    <row r="825" ht="15" customHeight="1">
      <c r="A825" t="inlineStr">
        <is>
          <t>A 41368-2020</t>
        </is>
      </c>
      <c r="B825" s="1" t="n">
        <v>44071</v>
      </c>
      <c r="C825" s="1" t="n">
        <v>45648</v>
      </c>
      <c r="D825" t="inlineStr">
        <is>
          <t>JÄMTLANDS LÄN</t>
        </is>
      </c>
      <c r="E825" t="inlineStr">
        <is>
          <t>STRÖMSUND</t>
        </is>
      </c>
      <c r="F825" t="inlineStr">
        <is>
          <t>SCA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41451-2020</t>
        </is>
      </c>
      <c r="B826" s="1" t="n">
        <v>44073</v>
      </c>
      <c r="C826" s="1" t="n">
        <v>45648</v>
      </c>
      <c r="D826" t="inlineStr">
        <is>
          <t>JÄMTLANDS LÄN</t>
        </is>
      </c>
      <c r="E826" t="inlineStr">
        <is>
          <t>STRÖMSUND</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41450-2020</t>
        </is>
      </c>
      <c r="B827" s="1" t="n">
        <v>44073</v>
      </c>
      <c r="C827" s="1" t="n">
        <v>45648</v>
      </c>
      <c r="D827" t="inlineStr">
        <is>
          <t>JÄMTLANDS LÄN</t>
        </is>
      </c>
      <c r="E827" t="inlineStr">
        <is>
          <t>STRÖMSUND</t>
        </is>
      </c>
      <c r="F827" t="inlineStr">
        <is>
          <t>SCA</t>
        </is>
      </c>
      <c r="G827" t="n">
        <v>5.5</v>
      </c>
      <c r="H827" t="n">
        <v>0</v>
      </c>
      <c r="I827" t="n">
        <v>0</v>
      </c>
      <c r="J827" t="n">
        <v>0</v>
      </c>
      <c r="K827" t="n">
        <v>0</v>
      </c>
      <c r="L827" t="n">
        <v>0</v>
      </c>
      <c r="M827" t="n">
        <v>0</v>
      </c>
      <c r="N827" t="n">
        <v>0</v>
      </c>
      <c r="O827" t="n">
        <v>0</v>
      </c>
      <c r="P827" t="n">
        <v>0</v>
      </c>
      <c r="Q827" t="n">
        <v>0</v>
      </c>
      <c r="R827" s="2" t="inlineStr"/>
    </row>
    <row r="828" ht="15" customHeight="1">
      <c r="A828" t="inlineStr">
        <is>
          <t>A 41454-2020</t>
        </is>
      </c>
      <c r="B828" s="1" t="n">
        <v>44073</v>
      </c>
      <c r="C828" s="1" t="n">
        <v>45648</v>
      </c>
      <c r="D828" t="inlineStr">
        <is>
          <t>JÄMTLANDS LÄN</t>
        </is>
      </c>
      <c r="E828" t="inlineStr">
        <is>
          <t>STRÖMSUND</t>
        </is>
      </c>
      <c r="F828" t="inlineStr">
        <is>
          <t>SCA</t>
        </is>
      </c>
      <c r="G828" t="n">
        <v>11.8</v>
      </c>
      <c r="H828" t="n">
        <v>0</v>
      </c>
      <c r="I828" t="n">
        <v>0</v>
      </c>
      <c r="J828" t="n">
        <v>0</v>
      </c>
      <c r="K828" t="n">
        <v>0</v>
      </c>
      <c r="L828" t="n">
        <v>0</v>
      </c>
      <c r="M828" t="n">
        <v>0</v>
      </c>
      <c r="N828" t="n">
        <v>0</v>
      </c>
      <c r="O828" t="n">
        <v>0</v>
      </c>
      <c r="P828" t="n">
        <v>0</v>
      </c>
      <c r="Q828" t="n">
        <v>0</v>
      </c>
      <c r="R828" s="2" t="inlineStr"/>
    </row>
    <row r="829" ht="15" customHeight="1">
      <c r="A829" t="inlineStr">
        <is>
          <t>A 41892-2020</t>
        </is>
      </c>
      <c r="B829" s="1" t="n">
        <v>44074</v>
      </c>
      <c r="C829" s="1" t="n">
        <v>45648</v>
      </c>
      <c r="D829" t="inlineStr">
        <is>
          <t>JÄMTLANDS LÄN</t>
        </is>
      </c>
      <c r="E829" t="inlineStr">
        <is>
          <t>STRÖMSUND</t>
        </is>
      </c>
      <c r="F829" t="inlineStr">
        <is>
          <t>SCA</t>
        </is>
      </c>
      <c r="G829" t="n">
        <v>12.2</v>
      </c>
      <c r="H829" t="n">
        <v>0</v>
      </c>
      <c r="I829" t="n">
        <v>0</v>
      </c>
      <c r="J829" t="n">
        <v>0</v>
      </c>
      <c r="K829" t="n">
        <v>0</v>
      </c>
      <c r="L829" t="n">
        <v>0</v>
      </c>
      <c r="M829" t="n">
        <v>0</v>
      </c>
      <c r="N829" t="n">
        <v>0</v>
      </c>
      <c r="O829" t="n">
        <v>0</v>
      </c>
      <c r="P829" t="n">
        <v>0</v>
      </c>
      <c r="Q829" t="n">
        <v>0</v>
      </c>
      <c r="R829" s="2" t="inlineStr"/>
    </row>
    <row r="830" ht="15" customHeight="1">
      <c r="A830" t="inlineStr">
        <is>
          <t>A 41490-2020</t>
        </is>
      </c>
      <c r="B830" s="1" t="n">
        <v>44074</v>
      </c>
      <c r="C830" s="1" t="n">
        <v>45648</v>
      </c>
      <c r="D830" t="inlineStr">
        <is>
          <t>JÄMTLANDS LÄN</t>
        </is>
      </c>
      <c r="E830" t="inlineStr">
        <is>
          <t>STRÖMSUND</t>
        </is>
      </c>
      <c r="F830" t="inlineStr">
        <is>
          <t>SCA</t>
        </is>
      </c>
      <c r="G830" t="n">
        <v>0.1</v>
      </c>
      <c r="H830" t="n">
        <v>0</v>
      </c>
      <c r="I830" t="n">
        <v>0</v>
      </c>
      <c r="J830" t="n">
        <v>0</v>
      </c>
      <c r="K830" t="n">
        <v>0</v>
      </c>
      <c r="L830" t="n">
        <v>0</v>
      </c>
      <c r="M830" t="n">
        <v>0</v>
      </c>
      <c r="N830" t="n">
        <v>0</v>
      </c>
      <c r="O830" t="n">
        <v>0</v>
      </c>
      <c r="P830" t="n">
        <v>0</v>
      </c>
      <c r="Q830" t="n">
        <v>0</v>
      </c>
      <c r="R830" s="2" t="inlineStr"/>
    </row>
    <row r="831" ht="15" customHeight="1">
      <c r="A831" t="inlineStr">
        <is>
          <t>A 43447-2020</t>
        </is>
      </c>
      <c r="B831" s="1" t="n">
        <v>44081</v>
      </c>
      <c r="C831" s="1" t="n">
        <v>45648</v>
      </c>
      <c r="D831" t="inlineStr">
        <is>
          <t>JÄMTLANDS LÄN</t>
        </is>
      </c>
      <c r="E831" t="inlineStr">
        <is>
          <t>STRÖMSUND</t>
        </is>
      </c>
      <c r="F831" t="inlineStr">
        <is>
          <t>SCA</t>
        </is>
      </c>
      <c r="G831" t="n">
        <v>24.7</v>
      </c>
      <c r="H831" t="n">
        <v>0</v>
      </c>
      <c r="I831" t="n">
        <v>0</v>
      </c>
      <c r="J831" t="n">
        <v>0</v>
      </c>
      <c r="K831" t="n">
        <v>0</v>
      </c>
      <c r="L831" t="n">
        <v>0</v>
      </c>
      <c r="M831" t="n">
        <v>0</v>
      </c>
      <c r="N831" t="n">
        <v>0</v>
      </c>
      <c r="O831" t="n">
        <v>0</v>
      </c>
      <c r="P831" t="n">
        <v>0</v>
      </c>
      <c r="Q831" t="n">
        <v>0</v>
      </c>
      <c r="R831" s="2" t="inlineStr"/>
    </row>
    <row r="832" ht="15" customHeight="1">
      <c r="A832" t="inlineStr">
        <is>
          <t>A 43448-2020</t>
        </is>
      </c>
      <c r="B832" s="1" t="n">
        <v>44081</v>
      </c>
      <c r="C832" s="1" t="n">
        <v>45648</v>
      </c>
      <c r="D832" t="inlineStr">
        <is>
          <t>JÄMTLANDS LÄN</t>
        </is>
      </c>
      <c r="E832" t="inlineStr">
        <is>
          <t>STRÖMSUND</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44009-2020</t>
        </is>
      </c>
      <c r="B833" s="1" t="n">
        <v>44083</v>
      </c>
      <c r="C833" s="1" t="n">
        <v>45648</v>
      </c>
      <c r="D833" t="inlineStr">
        <is>
          <t>JÄMTLANDS LÄN</t>
        </is>
      </c>
      <c r="E833" t="inlineStr">
        <is>
          <t>STRÖMSUND</t>
        </is>
      </c>
      <c r="G833" t="n">
        <v>3.2</v>
      </c>
      <c r="H833" t="n">
        <v>0</v>
      </c>
      <c r="I833" t="n">
        <v>0</v>
      </c>
      <c r="J833" t="n">
        <v>0</v>
      </c>
      <c r="K833" t="n">
        <v>0</v>
      </c>
      <c r="L833" t="n">
        <v>0</v>
      </c>
      <c r="M833" t="n">
        <v>0</v>
      </c>
      <c r="N833" t="n">
        <v>0</v>
      </c>
      <c r="O833" t="n">
        <v>0</v>
      </c>
      <c r="P833" t="n">
        <v>0</v>
      </c>
      <c r="Q833" t="n">
        <v>0</v>
      </c>
      <c r="R833" s="2" t="inlineStr"/>
    </row>
    <row r="834" ht="15" customHeight="1">
      <c r="A834" t="inlineStr">
        <is>
          <t>A 44197-2020</t>
        </is>
      </c>
      <c r="B834" s="1" t="n">
        <v>44083</v>
      </c>
      <c r="C834" s="1" t="n">
        <v>45648</v>
      </c>
      <c r="D834" t="inlineStr">
        <is>
          <t>JÄMTLANDS LÄN</t>
        </is>
      </c>
      <c r="E834" t="inlineStr">
        <is>
          <t>STRÖMSUND</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44989-2020</t>
        </is>
      </c>
      <c r="B835" s="1" t="n">
        <v>44083</v>
      </c>
      <c r="C835" s="1" t="n">
        <v>45648</v>
      </c>
      <c r="D835" t="inlineStr">
        <is>
          <t>JÄMTLANDS LÄN</t>
        </is>
      </c>
      <c r="E835" t="inlineStr">
        <is>
          <t>STRÖMSUND</t>
        </is>
      </c>
      <c r="G835" t="n">
        <v>8</v>
      </c>
      <c r="H835" t="n">
        <v>0</v>
      </c>
      <c r="I835" t="n">
        <v>0</v>
      </c>
      <c r="J835" t="n">
        <v>0</v>
      </c>
      <c r="K835" t="n">
        <v>0</v>
      </c>
      <c r="L835" t="n">
        <v>0</v>
      </c>
      <c r="M835" t="n">
        <v>0</v>
      </c>
      <c r="N835" t="n">
        <v>0</v>
      </c>
      <c r="O835" t="n">
        <v>0</v>
      </c>
      <c r="P835" t="n">
        <v>0</v>
      </c>
      <c r="Q835" t="n">
        <v>0</v>
      </c>
      <c r="R835" s="2" t="inlineStr"/>
    </row>
    <row r="836" ht="15" customHeight="1">
      <c r="A836" t="inlineStr">
        <is>
          <t>A 44992-2020</t>
        </is>
      </c>
      <c r="B836" s="1" t="n">
        <v>44083</v>
      </c>
      <c r="C836" s="1" t="n">
        <v>45648</v>
      </c>
      <c r="D836" t="inlineStr">
        <is>
          <t>JÄMTLANDS LÄN</t>
        </is>
      </c>
      <c r="E836" t="inlineStr">
        <is>
          <t>STRÖMSUND</t>
        </is>
      </c>
      <c r="G836" t="n">
        <v>20.3</v>
      </c>
      <c r="H836" t="n">
        <v>0</v>
      </c>
      <c r="I836" t="n">
        <v>0</v>
      </c>
      <c r="J836" t="n">
        <v>0</v>
      </c>
      <c r="K836" t="n">
        <v>0</v>
      </c>
      <c r="L836" t="n">
        <v>0</v>
      </c>
      <c r="M836" t="n">
        <v>0</v>
      </c>
      <c r="N836" t="n">
        <v>0</v>
      </c>
      <c r="O836" t="n">
        <v>0</v>
      </c>
      <c r="P836" t="n">
        <v>0</v>
      </c>
      <c r="Q836" t="n">
        <v>0</v>
      </c>
      <c r="R836" s="2" t="inlineStr"/>
    </row>
    <row r="837" ht="15" customHeight="1">
      <c r="A837" t="inlineStr">
        <is>
          <t>A 46425-2020</t>
        </is>
      </c>
      <c r="B837" s="1" t="n">
        <v>44095</v>
      </c>
      <c r="C837" s="1" t="n">
        <v>45648</v>
      </c>
      <c r="D837" t="inlineStr">
        <is>
          <t>JÄMTLANDS LÄN</t>
        </is>
      </c>
      <c r="E837" t="inlineStr">
        <is>
          <t>STRÖMSUND</t>
        </is>
      </c>
      <c r="F837" t="inlineStr">
        <is>
          <t>Sveaskog</t>
        </is>
      </c>
      <c r="G837" t="n">
        <v>4.4</v>
      </c>
      <c r="H837" t="n">
        <v>0</v>
      </c>
      <c r="I837" t="n">
        <v>0</v>
      </c>
      <c r="J837" t="n">
        <v>0</v>
      </c>
      <c r="K837" t="n">
        <v>0</v>
      </c>
      <c r="L837" t="n">
        <v>0</v>
      </c>
      <c r="M837" t="n">
        <v>0</v>
      </c>
      <c r="N837" t="n">
        <v>0</v>
      </c>
      <c r="O837" t="n">
        <v>0</v>
      </c>
      <c r="P837" t="n">
        <v>0</v>
      </c>
      <c r="Q837" t="n">
        <v>0</v>
      </c>
      <c r="R837" s="2" t="inlineStr"/>
    </row>
    <row r="838" ht="15" customHeight="1">
      <c r="A838" t="inlineStr">
        <is>
          <t>A 46540-2020</t>
        </is>
      </c>
      <c r="B838" s="1" t="n">
        <v>44095</v>
      </c>
      <c r="C838" s="1" t="n">
        <v>45648</v>
      </c>
      <c r="D838" t="inlineStr">
        <is>
          <t>JÄMTLANDS LÄN</t>
        </is>
      </c>
      <c r="E838" t="inlineStr">
        <is>
          <t>STRÖMSUND</t>
        </is>
      </c>
      <c r="F838" t="inlineStr">
        <is>
          <t>Holmen skog AB</t>
        </is>
      </c>
      <c r="G838" t="n">
        <v>10.8</v>
      </c>
      <c r="H838" t="n">
        <v>0</v>
      </c>
      <c r="I838" t="n">
        <v>0</v>
      </c>
      <c r="J838" t="n">
        <v>0</v>
      </c>
      <c r="K838" t="n">
        <v>0</v>
      </c>
      <c r="L838" t="n">
        <v>0</v>
      </c>
      <c r="M838" t="n">
        <v>0</v>
      </c>
      <c r="N838" t="n">
        <v>0</v>
      </c>
      <c r="O838" t="n">
        <v>0</v>
      </c>
      <c r="P838" t="n">
        <v>0</v>
      </c>
      <c r="Q838" t="n">
        <v>0</v>
      </c>
      <c r="R838" s="2" t="inlineStr"/>
    </row>
    <row r="839" ht="15" customHeight="1">
      <c r="A839" t="inlineStr">
        <is>
          <t>A 46426-2020</t>
        </is>
      </c>
      <c r="B839" s="1" t="n">
        <v>44095</v>
      </c>
      <c r="C839" s="1" t="n">
        <v>45648</v>
      </c>
      <c r="D839" t="inlineStr">
        <is>
          <t>JÄMTLANDS LÄN</t>
        </is>
      </c>
      <c r="E839" t="inlineStr">
        <is>
          <t>STRÖMSUND</t>
        </is>
      </c>
      <c r="F839" t="inlineStr">
        <is>
          <t>Sveaskog</t>
        </is>
      </c>
      <c r="G839" t="n">
        <v>7.9</v>
      </c>
      <c r="H839" t="n">
        <v>0</v>
      </c>
      <c r="I839" t="n">
        <v>0</v>
      </c>
      <c r="J839" t="n">
        <v>0</v>
      </c>
      <c r="K839" t="n">
        <v>0</v>
      </c>
      <c r="L839" t="n">
        <v>0</v>
      </c>
      <c r="M839" t="n">
        <v>0</v>
      </c>
      <c r="N839" t="n">
        <v>0</v>
      </c>
      <c r="O839" t="n">
        <v>0</v>
      </c>
      <c r="P839" t="n">
        <v>0</v>
      </c>
      <c r="Q839" t="n">
        <v>0</v>
      </c>
      <c r="R839" s="2" t="inlineStr"/>
    </row>
    <row r="840" ht="15" customHeight="1">
      <c r="A840" t="inlineStr">
        <is>
          <t>A 47126-2020</t>
        </is>
      </c>
      <c r="B840" s="1" t="n">
        <v>44096</v>
      </c>
      <c r="C840" s="1" t="n">
        <v>45648</v>
      </c>
      <c r="D840" t="inlineStr">
        <is>
          <t>JÄMTLANDS LÄN</t>
        </is>
      </c>
      <c r="E840" t="inlineStr">
        <is>
          <t>STRÖMSUND</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47504-2020</t>
        </is>
      </c>
      <c r="B841" s="1" t="n">
        <v>44098</v>
      </c>
      <c r="C841" s="1" t="n">
        <v>45648</v>
      </c>
      <c r="D841" t="inlineStr">
        <is>
          <t>JÄMTLANDS LÄN</t>
        </is>
      </c>
      <c r="E841" t="inlineStr">
        <is>
          <t>STRÖMSUND</t>
        </is>
      </c>
      <c r="F841" t="inlineStr">
        <is>
          <t>Holmen skog AB</t>
        </is>
      </c>
      <c r="G841" t="n">
        <v>6.6</v>
      </c>
      <c r="H841" t="n">
        <v>0</v>
      </c>
      <c r="I841" t="n">
        <v>0</v>
      </c>
      <c r="J841" t="n">
        <v>0</v>
      </c>
      <c r="K841" t="n">
        <v>0</v>
      </c>
      <c r="L841" t="n">
        <v>0</v>
      </c>
      <c r="M841" t="n">
        <v>0</v>
      </c>
      <c r="N841" t="n">
        <v>0</v>
      </c>
      <c r="O841" t="n">
        <v>0</v>
      </c>
      <c r="P841" t="n">
        <v>0</v>
      </c>
      <c r="Q841" t="n">
        <v>0</v>
      </c>
      <c r="R841" s="2" t="inlineStr"/>
    </row>
    <row r="842" ht="15" customHeight="1">
      <c r="A842" t="inlineStr">
        <is>
          <t>A 48227-2020</t>
        </is>
      </c>
      <c r="B842" s="1" t="n">
        <v>44102</v>
      </c>
      <c r="C842" s="1" t="n">
        <v>45648</v>
      </c>
      <c r="D842" t="inlineStr">
        <is>
          <t>JÄMTLANDS LÄN</t>
        </is>
      </c>
      <c r="E842" t="inlineStr">
        <is>
          <t>STRÖMSUND</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48224-2020</t>
        </is>
      </c>
      <c r="B843" s="1" t="n">
        <v>44102</v>
      </c>
      <c r="C843" s="1" t="n">
        <v>45648</v>
      </c>
      <c r="D843" t="inlineStr">
        <is>
          <t>JÄMTLANDS LÄN</t>
        </is>
      </c>
      <c r="E843" t="inlineStr">
        <is>
          <t>STRÖMSUND</t>
        </is>
      </c>
      <c r="F843" t="inlineStr">
        <is>
          <t>Holmen skog AB</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49772-2020</t>
        </is>
      </c>
      <c r="B844" s="1" t="n">
        <v>44103</v>
      </c>
      <c r="C844" s="1" t="n">
        <v>45648</v>
      </c>
      <c r="D844" t="inlineStr">
        <is>
          <t>JÄMTLANDS LÄN</t>
        </is>
      </c>
      <c r="E844" t="inlineStr">
        <is>
          <t>STRÖMSUND</t>
        </is>
      </c>
      <c r="G844" t="n">
        <v>7.6</v>
      </c>
      <c r="H844" t="n">
        <v>0</v>
      </c>
      <c r="I844" t="n">
        <v>0</v>
      </c>
      <c r="J844" t="n">
        <v>0</v>
      </c>
      <c r="K844" t="n">
        <v>0</v>
      </c>
      <c r="L844" t="n">
        <v>0</v>
      </c>
      <c r="M844" t="n">
        <v>0</v>
      </c>
      <c r="N844" t="n">
        <v>0</v>
      </c>
      <c r="O844" t="n">
        <v>0</v>
      </c>
      <c r="P844" t="n">
        <v>0</v>
      </c>
      <c r="Q844" t="n">
        <v>0</v>
      </c>
      <c r="R844" s="2" t="inlineStr"/>
    </row>
    <row r="845" ht="15" customHeight="1">
      <c r="A845" t="inlineStr">
        <is>
          <t>A 49156-2020</t>
        </is>
      </c>
      <c r="B845" s="1" t="n">
        <v>44104</v>
      </c>
      <c r="C845" s="1" t="n">
        <v>45648</v>
      </c>
      <c r="D845" t="inlineStr">
        <is>
          <t>JÄMTLANDS LÄN</t>
        </is>
      </c>
      <c r="E845" t="inlineStr">
        <is>
          <t>STRÖMSUND</t>
        </is>
      </c>
      <c r="F845" t="inlineStr">
        <is>
          <t>SCA</t>
        </is>
      </c>
      <c r="G845" t="n">
        <v>7</v>
      </c>
      <c r="H845" t="n">
        <v>0</v>
      </c>
      <c r="I845" t="n">
        <v>0</v>
      </c>
      <c r="J845" t="n">
        <v>0</v>
      </c>
      <c r="K845" t="n">
        <v>0</v>
      </c>
      <c r="L845" t="n">
        <v>0</v>
      </c>
      <c r="M845" t="n">
        <v>0</v>
      </c>
      <c r="N845" t="n">
        <v>0</v>
      </c>
      <c r="O845" t="n">
        <v>0</v>
      </c>
      <c r="P845" t="n">
        <v>0</v>
      </c>
      <c r="Q845" t="n">
        <v>0</v>
      </c>
      <c r="R845" s="2" t="inlineStr"/>
    </row>
    <row r="846" ht="15" customHeight="1">
      <c r="A846" t="inlineStr">
        <is>
          <t>A 49161-2020</t>
        </is>
      </c>
      <c r="B846" s="1" t="n">
        <v>44104</v>
      </c>
      <c r="C846" s="1" t="n">
        <v>45648</v>
      </c>
      <c r="D846" t="inlineStr">
        <is>
          <t>JÄMTLANDS LÄN</t>
        </is>
      </c>
      <c r="E846" t="inlineStr">
        <is>
          <t>STRÖMSUND</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49152-2020</t>
        </is>
      </c>
      <c r="B847" s="1" t="n">
        <v>44104</v>
      </c>
      <c r="C847" s="1" t="n">
        <v>45648</v>
      </c>
      <c r="D847" t="inlineStr">
        <is>
          <t>JÄMTLANDS LÄN</t>
        </is>
      </c>
      <c r="E847" t="inlineStr">
        <is>
          <t>STRÖMSUND</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49167-2020</t>
        </is>
      </c>
      <c r="B848" s="1" t="n">
        <v>44104</v>
      </c>
      <c r="C848" s="1" t="n">
        <v>45648</v>
      </c>
      <c r="D848" t="inlineStr">
        <is>
          <t>JÄMTLANDS LÄN</t>
        </is>
      </c>
      <c r="E848" t="inlineStr">
        <is>
          <t>STRÖMSUND</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49511-2020</t>
        </is>
      </c>
      <c r="B849" s="1" t="n">
        <v>44105</v>
      </c>
      <c r="C849" s="1" t="n">
        <v>45648</v>
      </c>
      <c r="D849" t="inlineStr">
        <is>
          <t>JÄMTLANDS LÄN</t>
        </is>
      </c>
      <c r="E849" t="inlineStr">
        <is>
          <t>STRÖMSUND</t>
        </is>
      </c>
      <c r="F849" t="inlineStr">
        <is>
          <t>SCA</t>
        </is>
      </c>
      <c r="G849" t="n">
        <v>13.6</v>
      </c>
      <c r="H849" t="n">
        <v>0</v>
      </c>
      <c r="I849" t="n">
        <v>0</v>
      </c>
      <c r="J849" t="n">
        <v>0</v>
      </c>
      <c r="K849" t="n">
        <v>0</v>
      </c>
      <c r="L849" t="n">
        <v>0</v>
      </c>
      <c r="M849" t="n">
        <v>0</v>
      </c>
      <c r="N849" t="n">
        <v>0</v>
      </c>
      <c r="O849" t="n">
        <v>0</v>
      </c>
      <c r="P849" t="n">
        <v>0</v>
      </c>
      <c r="Q849" t="n">
        <v>0</v>
      </c>
      <c r="R849" s="2" t="inlineStr"/>
    </row>
    <row r="850" ht="15" customHeight="1">
      <c r="A850" t="inlineStr">
        <is>
          <t>A 49510-2020</t>
        </is>
      </c>
      <c r="B850" s="1" t="n">
        <v>44105</v>
      </c>
      <c r="C850" s="1" t="n">
        <v>45648</v>
      </c>
      <c r="D850" t="inlineStr">
        <is>
          <t>JÄMTLANDS LÄN</t>
        </is>
      </c>
      <c r="E850" t="inlineStr">
        <is>
          <t>STRÖMSUND</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49997-2020</t>
        </is>
      </c>
      <c r="B851" s="1" t="n">
        <v>44109</v>
      </c>
      <c r="C851" s="1" t="n">
        <v>45648</v>
      </c>
      <c r="D851" t="inlineStr">
        <is>
          <t>JÄMTLANDS LÄN</t>
        </is>
      </c>
      <c r="E851" t="inlineStr">
        <is>
          <t>STRÖMSUND</t>
        </is>
      </c>
      <c r="G851" t="n">
        <v>1.2</v>
      </c>
      <c r="H851" t="n">
        <v>0</v>
      </c>
      <c r="I851" t="n">
        <v>0</v>
      </c>
      <c r="J851" t="n">
        <v>0</v>
      </c>
      <c r="K851" t="n">
        <v>0</v>
      </c>
      <c r="L851" t="n">
        <v>0</v>
      </c>
      <c r="M851" t="n">
        <v>0</v>
      </c>
      <c r="N851" t="n">
        <v>0</v>
      </c>
      <c r="O851" t="n">
        <v>0</v>
      </c>
      <c r="P851" t="n">
        <v>0</v>
      </c>
      <c r="Q851" t="n">
        <v>0</v>
      </c>
      <c r="R851" s="2" t="inlineStr"/>
    </row>
    <row r="852" ht="15" customHeight="1">
      <c r="A852" t="inlineStr">
        <is>
          <t>A 50645-2020</t>
        </is>
      </c>
      <c r="B852" s="1" t="n">
        <v>44110</v>
      </c>
      <c r="C852" s="1" t="n">
        <v>45648</v>
      </c>
      <c r="D852" t="inlineStr">
        <is>
          <t>JÄMTLANDS LÄN</t>
        </is>
      </c>
      <c r="E852" t="inlineStr">
        <is>
          <t>STRÖMSUND</t>
        </is>
      </c>
      <c r="F852" t="inlineStr">
        <is>
          <t>SCA</t>
        </is>
      </c>
      <c r="G852" t="n">
        <v>8.4</v>
      </c>
      <c r="H852" t="n">
        <v>0</v>
      </c>
      <c r="I852" t="n">
        <v>0</v>
      </c>
      <c r="J852" t="n">
        <v>0</v>
      </c>
      <c r="K852" t="n">
        <v>0</v>
      </c>
      <c r="L852" t="n">
        <v>0</v>
      </c>
      <c r="M852" t="n">
        <v>0</v>
      </c>
      <c r="N852" t="n">
        <v>0</v>
      </c>
      <c r="O852" t="n">
        <v>0</v>
      </c>
      <c r="P852" t="n">
        <v>0</v>
      </c>
      <c r="Q852" t="n">
        <v>0</v>
      </c>
      <c r="R852" s="2" t="inlineStr"/>
    </row>
    <row r="853" ht="15" customHeight="1">
      <c r="A853" t="inlineStr">
        <is>
          <t>A 51042-2020</t>
        </is>
      </c>
      <c r="B853" s="1" t="n">
        <v>44112</v>
      </c>
      <c r="C853" s="1" t="n">
        <v>45648</v>
      </c>
      <c r="D853" t="inlineStr">
        <is>
          <t>JÄMTLANDS LÄN</t>
        </is>
      </c>
      <c r="E853" t="inlineStr">
        <is>
          <t>STRÖMSUND</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51670-2020</t>
        </is>
      </c>
      <c r="B854" s="1" t="n">
        <v>44113</v>
      </c>
      <c r="C854" s="1" t="n">
        <v>45648</v>
      </c>
      <c r="D854" t="inlineStr">
        <is>
          <t>JÄMTLANDS LÄN</t>
        </is>
      </c>
      <c r="E854" t="inlineStr">
        <is>
          <t>STRÖMSUND</t>
        </is>
      </c>
      <c r="G854" t="n">
        <v>2.9</v>
      </c>
      <c r="H854" t="n">
        <v>0</v>
      </c>
      <c r="I854" t="n">
        <v>0</v>
      </c>
      <c r="J854" t="n">
        <v>0</v>
      </c>
      <c r="K854" t="n">
        <v>0</v>
      </c>
      <c r="L854" t="n">
        <v>0</v>
      </c>
      <c r="M854" t="n">
        <v>0</v>
      </c>
      <c r="N854" t="n">
        <v>0</v>
      </c>
      <c r="O854" t="n">
        <v>0</v>
      </c>
      <c r="P854" t="n">
        <v>0</v>
      </c>
      <c r="Q854" t="n">
        <v>0</v>
      </c>
      <c r="R854" s="2" t="inlineStr"/>
    </row>
    <row r="855" ht="15" customHeight="1">
      <c r="A855" t="inlineStr">
        <is>
          <t>A 51689-2020</t>
        </is>
      </c>
      <c r="B855" s="1" t="n">
        <v>44113</v>
      </c>
      <c r="C855" s="1" t="n">
        <v>45648</v>
      </c>
      <c r="D855" t="inlineStr">
        <is>
          <t>JÄMTLANDS LÄN</t>
        </is>
      </c>
      <c r="E855" t="inlineStr">
        <is>
          <t>STRÖMSUND</t>
        </is>
      </c>
      <c r="F855" t="inlineStr">
        <is>
          <t>SCA</t>
        </is>
      </c>
      <c r="G855" t="n">
        <v>4.9</v>
      </c>
      <c r="H855" t="n">
        <v>0</v>
      </c>
      <c r="I855" t="n">
        <v>0</v>
      </c>
      <c r="J855" t="n">
        <v>0</v>
      </c>
      <c r="K855" t="n">
        <v>0</v>
      </c>
      <c r="L855" t="n">
        <v>0</v>
      </c>
      <c r="M855" t="n">
        <v>0</v>
      </c>
      <c r="N855" t="n">
        <v>0</v>
      </c>
      <c r="O855" t="n">
        <v>0</v>
      </c>
      <c r="P855" t="n">
        <v>0</v>
      </c>
      <c r="Q855" t="n">
        <v>0</v>
      </c>
      <c r="R855" s="2" t="inlineStr"/>
    </row>
    <row r="856" ht="15" customHeight="1">
      <c r="A856" t="inlineStr">
        <is>
          <t>A 52030-2020</t>
        </is>
      </c>
      <c r="B856" s="1" t="n">
        <v>44116</v>
      </c>
      <c r="C856" s="1" t="n">
        <v>45648</v>
      </c>
      <c r="D856" t="inlineStr">
        <is>
          <t>JÄMTLANDS LÄN</t>
        </is>
      </c>
      <c r="E856" t="inlineStr">
        <is>
          <t>STRÖMSUND</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52622-2020</t>
        </is>
      </c>
      <c r="B857" s="1" t="n">
        <v>44118</v>
      </c>
      <c r="C857" s="1" t="n">
        <v>45648</v>
      </c>
      <c r="D857" t="inlineStr">
        <is>
          <t>JÄMTLANDS LÄN</t>
        </is>
      </c>
      <c r="E857" t="inlineStr">
        <is>
          <t>STRÖMSUND</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53293-2020</t>
        </is>
      </c>
      <c r="B858" s="1" t="n">
        <v>44123</v>
      </c>
      <c r="C858" s="1" t="n">
        <v>45648</v>
      </c>
      <c r="D858" t="inlineStr">
        <is>
          <t>JÄMTLANDS LÄN</t>
        </is>
      </c>
      <c r="E858" t="inlineStr">
        <is>
          <t>STRÖMSUND</t>
        </is>
      </c>
      <c r="F858" t="inlineStr">
        <is>
          <t>Holmen skog AB</t>
        </is>
      </c>
      <c r="G858" t="n">
        <v>4.2</v>
      </c>
      <c r="H858" t="n">
        <v>0</v>
      </c>
      <c r="I858" t="n">
        <v>0</v>
      </c>
      <c r="J858" t="n">
        <v>0</v>
      </c>
      <c r="K858" t="n">
        <v>0</v>
      </c>
      <c r="L858" t="n">
        <v>0</v>
      </c>
      <c r="M858" t="n">
        <v>0</v>
      </c>
      <c r="N858" t="n">
        <v>0</v>
      </c>
      <c r="O858" t="n">
        <v>0</v>
      </c>
      <c r="P858" t="n">
        <v>0</v>
      </c>
      <c r="Q858" t="n">
        <v>0</v>
      </c>
      <c r="R858" s="2" t="inlineStr"/>
    </row>
    <row r="859" ht="15" customHeight="1">
      <c r="A859" t="inlineStr">
        <is>
          <t>A 55342-2020</t>
        </is>
      </c>
      <c r="B859" s="1" t="n">
        <v>44130</v>
      </c>
      <c r="C859" s="1" t="n">
        <v>45648</v>
      </c>
      <c r="D859" t="inlineStr">
        <is>
          <t>JÄMTLANDS LÄN</t>
        </is>
      </c>
      <c r="E859" t="inlineStr">
        <is>
          <t>STRÖMSUND</t>
        </is>
      </c>
      <c r="G859" t="n">
        <v>2.9</v>
      </c>
      <c r="H859" t="n">
        <v>0</v>
      </c>
      <c r="I859" t="n">
        <v>0</v>
      </c>
      <c r="J859" t="n">
        <v>0</v>
      </c>
      <c r="K859" t="n">
        <v>0</v>
      </c>
      <c r="L859" t="n">
        <v>0</v>
      </c>
      <c r="M859" t="n">
        <v>0</v>
      </c>
      <c r="N859" t="n">
        <v>0</v>
      </c>
      <c r="O859" t="n">
        <v>0</v>
      </c>
      <c r="P859" t="n">
        <v>0</v>
      </c>
      <c r="Q859" t="n">
        <v>0</v>
      </c>
      <c r="R859" s="2" t="inlineStr"/>
    </row>
    <row r="860" ht="15" customHeight="1">
      <c r="A860" t="inlineStr">
        <is>
          <t>A 55708-2020</t>
        </is>
      </c>
      <c r="B860" s="1" t="n">
        <v>44131</v>
      </c>
      <c r="C860" s="1" t="n">
        <v>45648</v>
      </c>
      <c r="D860" t="inlineStr">
        <is>
          <t>JÄMTLANDS LÄN</t>
        </is>
      </c>
      <c r="E860" t="inlineStr">
        <is>
          <t>STRÖMSUND</t>
        </is>
      </c>
      <c r="G860" t="n">
        <v>1</v>
      </c>
      <c r="H860" t="n">
        <v>0</v>
      </c>
      <c r="I860" t="n">
        <v>0</v>
      </c>
      <c r="J860" t="n">
        <v>0</v>
      </c>
      <c r="K860" t="n">
        <v>0</v>
      </c>
      <c r="L860" t="n">
        <v>0</v>
      </c>
      <c r="M860" t="n">
        <v>0</v>
      </c>
      <c r="N860" t="n">
        <v>0</v>
      </c>
      <c r="O860" t="n">
        <v>0</v>
      </c>
      <c r="P860" t="n">
        <v>0</v>
      </c>
      <c r="Q860" t="n">
        <v>0</v>
      </c>
      <c r="R860" s="2" t="inlineStr"/>
    </row>
    <row r="861" ht="15" customHeight="1">
      <c r="A861" t="inlineStr">
        <is>
          <t>A 56251-2020</t>
        </is>
      </c>
      <c r="B861" s="1" t="n">
        <v>44134</v>
      </c>
      <c r="C861" s="1" t="n">
        <v>45648</v>
      </c>
      <c r="D861" t="inlineStr">
        <is>
          <t>JÄMTLANDS LÄN</t>
        </is>
      </c>
      <c r="E861" t="inlineStr">
        <is>
          <t>STRÖMSUND</t>
        </is>
      </c>
      <c r="F861" t="inlineStr">
        <is>
          <t>Holmen skog AB</t>
        </is>
      </c>
      <c r="G861" t="n">
        <v>7.3</v>
      </c>
      <c r="H861" t="n">
        <v>0</v>
      </c>
      <c r="I861" t="n">
        <v>0</v>
      </c>
      <c r="J861" t="n">
        <v>0</v>
      </c>
      <c r="K861" t="n">
        <v>0</v>
      </c>
      <c r="L861" t="n">
        <v>0</v>
      </c>
      <c r="M861" t="n">
        <v>0</v>
      </c>
      <c r="N861" t="n">
        <v>0</v>
      </c>
      <c r="O861" t="n">
        <v>0</v>
      </c>
      <c r="P861" t="n">
        <v>0</v>
      </c>
      <c r="Q861" t="n">
        <v>0</v>
      </c>
      <c r="R861" s="2" t="inlineStr"/>
    </row>
    <row r="862" ht="15" customHeight="1">
      <c r="A862" t="inlineStr">
        <is>
          <t>A 56290-2020</t>
        </is>
      </c>
      <c r="B862" s="1" t="n">
        <v>44134</v>
      </c>
      <c r="C862" s="1" t="n">
        <v>45648</v>
      </c>
      <c r="D862" t="inlineStr">
        <is>
          <t>JÄMTLANDS LÄN</t>
        </is>
      </c>
      <c r="E862" t="inlineStr">
        <is>
          <t>STRÖMSUND</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56493-2020</t>
        </is>
      </c>
      <c r="B863" s="1" t="n">
        <v>44137</v>
      </c>
      <c r="C863" s="1" t="n">
        <v>45648</v>
      </c>
      <c r="D863" t="inlineStr">
        <is>
          <t>JÄMTLANDS LÄN</t>
        </is>
      </c>
      <c r="E863" t="inlineStr">
        <is>
          <t>STRÖMSUND</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56966-2020</t>
        </is>
      </c>
      <c r="B864" s="1" t="n">
        <v>44137</v>
      </c>
      <c r="C864" s="1" t="n">
        <v>45648</v>
      </c>
      <c r="D864" t="inlineStr">
        <is>
          <t>JÄMTLANDS LÄN</t>
        </is>
      </c>
      <c r="E864" t="inlineStr">
        <is>
          <t>STRÖMSUND</t>
        </is>
      </c>
      <c r="G864" t="n">
        <v>2.6</v>
      </c>
      <c r="H864" t="n">
        <v>0</v>
      </c>
      <c r="I864" t="n">
        <v>0</v>
      </c>
      <c r="J864" t="n">
        <v>0</v>
      </c>
      <c r="K864" t="n">
        <v>0</v>
      </c>
      <c r="L864" t="n">
        <v>0</v>
      </c>
      <c r="M864" t="n">
        <v>0</v>
      </c>
      <c r="N864" t="n">
        <v>0</v>
      </c>
      <c r="O864" t="n">
        <v>0</v>
      </c>
      <c r="P864" t="n">
        <v>0</v>
      </c>
      <c r="Q864" t="n">
        <v>0</v>
      </c>
      <c r="R864" s="2" t="inlineStr"/>
    </row>
    <row r="865" ht="15" customHeight="1">
      <c r="A865" t="inlineStr">
        <is>
          <t>A 57336-2020</t>
        </is>
      </c>
      <c r="B865" s="1" t="n">
        <v>44139</v>
      </c>
      <c r="C865" s="1" t="n">
        <v>45648</v>
      </c>
      <c r="D865" t="inlineStr">
        <is>
          <t>JÄMTLANDS LÄN</t>
        </is>
      </c>
      <c r="E865" t="inlineStr">
        <is>
          <t>STRÖMSUND</t>
        </is>
      </c>
      <c r="G865" t="n">
        <v>2</v>
      </c>
      <c r="H865" t="n">
        <v>0</v>
      </c>
      <c r="I865" t="n">
        <v>0</v>
      </c>
      <c r="J865" t="n">
        <v>0</v>
      </c>
      <c r="K865" t="n">
        <v>0</v>
      </c>
      <c r="L865" t="n">
        <v>0</v>
      </c>
      <c r="M865" t="n">
        <v>0</v>
      </c>
      <c r="N865" t="n">
        <v>0</v>
      </c>
      <c r="O865" t="n">
        <v>0</v>
      </c>
      <c r="P865" t="n">
        <v>0</v>
      </c>
      <c r="Q865" t="n">
        <v>0</v>
      </c>
      <c r="R865" s="2" t="inlineStr"/>
    </row>
    <row r="866" ht="15" customHeight="1">
      <c r="A866" t="inlineStr">
        <is>
          <t>A 57511-2020</t>
        </is>
      </c>
      <c r="B866" s="1" t="n">
        <v>44140</v>
      </c>
      <c r="C866" s="1" t="n">
        <v>45648</v>
      </c>
      <c r="D866" t="inlineStr">
        <is>
          <t>JÄMTLANDS LÄN</t>
        </is>
      </c>
      <c r="E866" t="inlineStr">
        <is>
          <t>STRÖMSUND</t>
        </is>
      </c>
      <c r="F866" t="inlineStr">
        <is>
          <t>Holmen skog AB</t>
        </is>
      </c>
      <c r="G866" t="n">
        <v>6.7</v>
      </c>
      <c r="H866" t="n">
        <v>0</v>
      </c>
      <c r="I866" t="n">
        <v>0</v>
      </c>
      <c r="J866" t="n">
        <v>0</v>
      </c>
      <c r="K866" t="n">
        <v>0</v>
      </c>
      <c r="L866" t="n">
        <v>0</v>
      </c>
      <c r="M866" t="n">
        <v>0</v>
      </c>
      <c r="N866" t="n">
        <v>0</v>
      </c>
      <c r="O866" t="n">
        <v>0</v>
      </c>
      <c r="P866" t="n">
        <v>0</v>
      </c>
      <c r="Q866" t="n">
        <v>0</v>
      </c>
      <c r="R866" s="2" t="inlineStr"/>
    </row>
    <row r="867" ht="15" customHeight="1">
      <c r="A867" t="inlineStr">
        <is>
          <t>A 57550-2020</t>
        </is>
      </c>
      <c r="B867" s="1" t="n">
        <v>44140</v>
      </c>
      <c r="C867" s="1" t="n">
        <v>45648</v>
      </c>
      <c r="D867" t="inlineStr">
        <is>
          <t>JÄMTLANDS LÄN</t>
        </is>
      </c>
      <c r="E867" t="inlineStr">
        <is>
          <t>STRÖMSUND</t>
        </is>
      </c>
      <c r="F867" t="inlineStr">
        <is>
          <t>Holmen skog AB</t>
        </is>
      </c>
      <c r="G867" t="n">
        <v>7.1</v>
      </c>
      <c r="H867" t="n">
        <v>0</v>
      </c>
      <c r="I867" t="n">
        <v>0</v>
      </c>
      <c r="J867" t="n">
        <v>0</v>
      </c>
      <c r="K867" t="n">
        <v>0</v>
      </c>
      <c r="L867" t="n">
        <v>0</v>
      </c>
      <c r="M867" t="n">
        <v>0</v>
      </c>
      <c r="N867" t="n">
        <v>0</v>
      </c>
      <c r="O867" t="n">
        <v>0</v>
      </c>
      <c r="P867" t="n">
        <v>0</v>
      </c>
      <c r="Q867" t="n">
        <v>0</v>
      </c>
      <c r="R867" s="2" t="inlineStr"/>
    </row>
    <row r="868" ht="15" customHeight="1">
      <c r="A868" t="inlineStr">
        <is>
          <t>A 57423-2020</t>
        </is>
      </c>
      <c r="B868" s="1" t="n">
        <v>44140</v>
      </c>
      <c r="C868" s="1" t="n">
        <v>45648</v>
      </c>
      <c r="D868" t="inlineStr">
        <is>
          <t>JÄMTLANDS LÄN</t>
        </is>
      </c>
      <c r="E868" t="inlineStr">
        <is>
          <t>STRÖMSUND</t>
        </is>
      </c>
      <c r="F868" t="inlineStr">
        <is>
          <t>Holmen skog AB</t>
        </is>
      </c>
      <c r="G868" t="n">
        <v>2.6</v>
      </c>
      <c r="H868" t="n">
        <v>0</v>
      </c>
      <c r="I868" t="n">
        <v>0</v>
      </c>
      <c r="J868" t="n">
        <v>0</v>
      </c>
      <c r="K868" t="n">
        <v>0</v>
      </c>
      <c r="L868" t="n">
        <v>0</v>
      </c>
      <c r="M868" t="n">
        <v>0</v>
      </c>
      <c r="N868" t="n">
        <v>0</v>
      </c>
      <c r="O868" t="n">
        <v>0</v>
      </c>
      <c r="P868" t="n">
        <v>0</v>
      </c>
      <c r="Q868" t="n">
        <v>0</v>
      </c>
      <c r="R868" s="2" t="inlineStr"/>
    </row>
    <row r="869" ht="15" customHeight="1">
      <c r="A869" t="inlineStr">
        <is>
          <t>A 57808-2020</t>
        </is>
      </c>
      <c r="B869" s="1" t="n">
        <v>44141</v>
      </c>
      <c r="C869" s="1" t="n">
        <v>45648</v>
      </c>
      <c r="D869" t="inlineStr">
        <is>
          <t>JÄMTLANDS LÄN</t>
        </is>
      </c>
      <c r="E869" t="inlineStr">
        <is>
          <t>STRÖMSUND</t>
        </is>
      </c>
      <c r="G869" t="n">
        <v>6.8</v>
      </c>
      <c r="H869" t="n">
        <v>0</v>
      </c>
      <c r="I869" t="n">
        <v>0</v>
      </c>
      <c r="J869" t="n">
        <v>0</v>
      </c>
      <c r="K869" t="n">
        <v>0</v>
      </c>
      <c r="L869" t="n">
        <v>0</v>
      </c>
      <c r="M869" t="n">
        <v>0</v>
      </c>
      <c r="N869" t="n">
        <v>0</v>
      </c>
      <c r="O869" t="n">
        <v>0</v>
      </c>
      <c r="P869" t="n">
        <v>0</v>
      </c>
      <c r="Q869" t="n">
        <v>0</v>
      </c>
      <c r="R869" s="2" t="inlineStr"/>
    </row>
    <row r="870" ht="15" customHeight="1">
      <c r="A870" t="inlineStr">
        <is>
          <t>A 58219-2020</t>
        </is>
      </c>
      <c r="B870" s="1" t="n">
        <v>44144</v>
      </c>
      <c r="C870" s="1" t="n">
        <v>45648</v>
      </c>
      <c r="D870" t="inlineStr">
        <is>
          <t>JÄMTLANDS LÄN</t>
        </is>
      </c>
      <c r="E870" t="inlineStr">
        <is>
          <t>STRÖMSUND</t>
        </is>
      </c>
      <c r="F870" t="inlineStr">
        <is>
          <t>Holmen skog AB</t>
        </is>
      </c>
      <c r="G870" t="n">
        <v>4.9</v>
      </c>
      <c r="H870" t="n">
        <v>0</v>
      </c>
      <c r="I870" t="n">
        <v>0</v>
      </c>
      <c r="J870" t="n">
        <v>0</v>
      </c>
      <c r="K870" t="n">
        <v>0</v>
      </c>
      <c r="L870" t="n">
        <v>0</v>
      </c>
      <c r="M870" t="n">
        <v>0</v>
      </c>
      <c r="N870" t="n">
        <v>0</v>
      </c>
      <c r="O870" t="n">
        <v>0</v>
      </c>
      <c r="P870" t="n">
        <v>0</v>
      </c>
      <c r="Q870" t="n">
        <v>0</v>
      </c>
      <c r="R870" s="2" t="inlineStr"/>
    </row>
    <row r="871" ht="15" customHeight="1">
      <c r="A871" t="inlineStr">
        <is>
          <t>A 59012-2020</t>
        </is>
      </c>
      <c r="B871" s="1" t="n">
        <v>44146</v>
      </c>
      <c r="C871" s="1" t="n">
        <v>45648</v>
      </c>
      <c r="D871" t="inlineStr">
        <is>
          <t>JÄMTLANDS LÄN</t>
        </is>
      </c>
      <c r="E871" t="inlineStr">
        <is>
          <t>STRÖMSUND</t>
        </is>
      </c>
      <c r="F871" t="inlineStr">
        <is>
          <t>SCA</t>
        </is>
      </c>
      <c r="G871" t="n">
        <v>15.5</v>
      </c>
      <c r="H871" t="n">
        <v>0</v>
      </c>
      <c r="I871" t="n">
        <v>0</v>
      </c>
      <c r="J871" t="n">
        <v>0</v>
      </c>
      <c r="K871" t="n">
        <v>0</v>
      </c>
      <c r="L871" t="n">
        <v>0</v>
      </c>
      <c r="M871" t="n">
        <v>0</v>
      </c>
      <c r="N871" t="n">
        <v>0</v>
      </c>
      <c r="O871" t="n">
        <v>0</v>
      </c>
      <c r="P871" t="n">
        <v>0</v>
      </c>
      <c r="Q871" t="n">
        <v>0</v>
      </c>
      <c r="R871" s="2" t="inlineStr"/>
    </row>
    <row r="872" ht="15" customHeight="1">
      <c r="A872" t="inlineStr">
        <is>
          <t>A 59330-2020</t>
        </is>
      </c>
      <c r="B872" s="1" t="n">
        <v>44147</v>
      </c>
      <c r="C872" s="1" t="n">
        <v>45648</v>
      </c>
      <c r="D872" t="inlineStr">
        <is>
          <t>JÄMTLANDS LÄN</t>
        </is>
      </c>
      <c r="E872" t="inlineStr">
        <is>
          <t>STRÖMSUND</t>
        </is>
      </c>
      <c r="G872" t="n">
        <v>0.6</v>
      </c>
      <c r="H872" t="n">
        <v>0</v>
      </c>
      <c r="I872" t="n">
        <v>0</v>
      </c>
      <c r="J872" t="n">
        <v>0</v>
      </c>
      <c r="K872" t="n">
        <v>0</v>
      </c>
      <c r="L872" t="n">
        <v>0</v>
      </c>
      <c r="M872" t="n">
        <v>0</v>
      </c>
      <c r="N872" t="n">
        <v>0</v>
      </c>
      <c r="O872" t="n">
        <v>0</v>
      </c>
      <c r="P872" t="n">
        <v>0</v>
      </c>
      <c r="Q872" t="n">
        <v>0</v>
      </c>
      <c r="R872" s="2" t="inlineStr"/>
    </row>
    <row r="873" ht="15" customHeight="1">
      <c r="A873" t="inlineStr">
        <is>
          <t>A 60256-2020</t>
        </is>
      </c>
      <c r="B873" s="1" t="n">
        <v>44151</v>
      </c>
      <c r="C873" s="1" t="n">
        <v>45648</v>
      </c>
      <c r="D873" t="inlineStr">
        <is>
          <t>JÄMTLANDS LÄN</t>
        </is>
      </c>
      <c r="E873" t="inlineStr">
        <is>
          <t>STRÖMSUND</t>
        </is>
      </c>
      <c r="G873" t="n">
        <v>0.3</v>
      </c>
      <c r="H873" t="n">
        <v>0</v>
      </c>
      <c r="I873" t="n">
        <v>0</v>
      </c>
      <c r="J873" t="n">
        <v>0</v>
      </c>
      <c r="K873" t="n">
        <v>0</v>
      </c>
      <c r="L873" t="n">
        <v>0</v>
      </c>
      <c r="M873" t="n">
        <v>0</v>
      </c>
      <c r="N873" t="n">
        <v>0</v>
      </c>
      <c r="O873" t="n">
        <v>0</v>
      </c>
      <c r="P873" t="n">
        <v>0</v>
      </c>
      <c r="Q873" t="n">
        <v>0</v>
      </c>
      <c r="R873" s="2" t="inlineStr"/>
    </row>
    <row r="874" ht="15" customHeight="1">
      <c r="A874" t="inlineStr">
        <is>
          <t>A 60061-2020</t>
        </is>
      </c>
      <c r="B874" s="1" t="n">
        <v>44151</v>
      </c>
      <c r="C874" s="1" t="n">
        <v>45648</v>
      </c>
      <c r="D874" t="inlineStr">
        <is>
          <t>JÄMTLANDS LÄN</t>
        </is>
      </c>
      <c r="E874" t="inlineStr">
        <is>
          <t>STRÖMSUND</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60395-2020</t>
        </is>
      </c>
      <c r="B875" s="1" t="n">
        <v>44152</v>
      </c>
      <c r="C875" s="1" t="n">
        <v>45648</v>
      </c>
      <c r="D875" t="inlineStr">
        <is>
          <t>JÄMTLANDS LÄN</t>
        </is>
      </c>
      <c r="E875" t="inlineStr">
        <is>
          <t>STRÖMSUND</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60703-2020</t>
        </is>
      </c>
      <c r="B876" s="1" t="n">
        <v>44153</v>
      </c>
      <c r="C876" s="1" t="n">
        <v>45648</v>
      </c>
      <c r="D876" t="inlineStr">
        <is>
          <t>JÄMTLANDS LÄN</t>
        </is>
      </c>
      <c r="E876" t="inlineStr">
        <is>
          <t>STRÖMSUND</t>
        </is>
      </c>
      <c r="G876" t="n">
        <v>1.1</v>
      </c>
      <c r="H876" t="n">
        <v>0</v>
      </c>
      <c r="I876" t="n">
        <v>0</v>
      </c>
      <c r="J876" t="n">
        <v>0</v>
      </c>
      <c r="K876" t="n">
        <v>0</v>
      </c>
      <c r="L876" t="n">
        <v>0</v>
      </c>
      <c r="M876" t="n">
        <v>0</v>
      </c>
      <c r="N876" t="n">
        <v>0</v>
      </c>
      <c r="O876" t="n">
        <v>0</v>
      </c>
      <c r="P876" t="n">
        <v>0</v>
      </c>
      <c r="Q876" t="n">
        <v>0</v>
      </c>
      <c r="R876" s="2" t="inlineStr"/>
    </row>
    <row r="877" ht="15" customHeight="1">
      <c r="A877" t="inlineStr">
        <is>
          <t>A 61149-2020</t>
        </is>
      </c>
      <c r="B877" s="1" t="n">
        <v>44154</v>
      </c>
      <c r="C877" s="1" t="n">
        <v>45648</v>
      </c>
      <c r="D877" t="inlineStr">
        <is>
          <t>JÄMTLANDS LÄN</t>
        </is>
      </c>
      <c r="E877" t="inlineStr">
        <is>
          <t>STRÖMSUND</t>
        </is>
      </c>
      <c r="G877" t="n">
        <v>0.5</v>
      </c>
      <c r="H877" t="n">
        <v>0</v>
      </c>
      <c r="I877" t="n">
        <v>0</v>
      </c>
      <c r="J877" t="n">
        <v>0</v>
      </c>
      <c r="K877" t="n">
        <v>0</v>
      </c>
      <c r="L877" t="n">
        <v>0</v>
      </c>
      <c r="M877" t="n">
        <v>0</v>
      </c>
      <c r="N877" t="n">
        <v>0</v>
      </c>
      <c r="O877" t="n">
        <v>0</v>
      </c>
      <c r="P877" t="n">
        <v>0</v>
      </c>
      <c r="Q877" t="n">
        <v>0</v>
      </c>
      <c r="R877" s="2" t="inlineStr"/>
    </row>
    <row r="878" ht="15" customHeight="1">
      <c r="A878" t="inlineStr">
        <is>
          <t>A 61586-2020</t>
        </is>
      </c>
      <c r="B878" s="1" t="n">
        <v>44158</v>
      </c>
      <c r="C878" s="1" t="n">
        <v>45648</v>
      </c>
      <c r="D878" t="inlineStr">
        <is>
          <t>JÄMTLANDS LÄN</t>
        </is>
      </c>
      <c r="E878" t="inlineStr">
        <is>
          <t>STRÖMSUND</t>
        </is>
      </c>
      <c r="F878" t="inlineStr">
        <is>
          <t>Holmen skog AB</t>
        </is>
      </c>
      <c r="G878" t="n">
        <v>1.8</v>
      </c>
      <c r="H878" t="n">
        <v>0</v>
      </c>
      <c r="I878" t="n">
        <v>0</v>
      </c>
      <c r="J878" t="n">
        <v>0</v>
      </c>
      <c r="K878" t="n">
        <v>0</v>
      </c>
      <c r="L878" t="n">
        <v>0</v>
      </c>
      <c r="M878" t="n">
        <v>0</v>
      </c>
      <c r="N878" t="n">
        <v>0</v>
      </c>
      <c r="O878" t="n">
        <v>0</v>
      </c>
      <c r="P878" t="n">
        <v>0</v>
      </c>
      <c r="Q878" t="n">
        <v>0</v>
      </c>
      <c r="R878" s="2" t="inlineStr"/>
    </row>
    <row r="879" ht="15" customHeight="1">
      <c r="A879" t="inlineStr">
        <is>
          <t>A 61662-2020</t>
        </is>
      </c>
      <c r="B879" s="1" t="n">
        <v>44158</v>
      </c>
      <c r="C879" s="1" t="n">
        <v>45648</v>
      </c>
      <c r="D879" t="inlineStr">
        <is>
          <t>JÄMTLANDS LÄN</t>
        </is>
      </c>
      <c r="E879" t="inlineStr">
        <is>
          <t>STRÖMSUND</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61811-2020</t>
        </is>
      </c>
      <c r="B880" s="1" t="n">
        <v>44158</v>
      </c>
      <c r="C880" s="1" t="n">
        <v>45648</v>
      </c>
      <c r="D880" t="inlineStr">
        <is>
          <t>JÄMTLANDS LÄN</t>
        </is>
      </c>
      <c r="E880" t="inlineStr">
        <is>
          <t>STRÖMSUND</t>
        </is>
      </c>
      <c r="G880" t="n">
        <v>1.9</v>
      </c>
      <c r="H880" t="n">
        <v>0</v>
      </c>
      <c r="I880" t="n">
        <v>0</v>
      </c>
      <c r="J880" t="n">
        <v>0</v>
      </c>
      <c r="K880" t="n">
        <v>0</v>
      </c>
      <c r="L880" t="n">
        <v>0</v>
      </c>
      <c r="M880" t="n">
        <v>0</v>
      </c>
      <c r="N880" t="n">
        <v>0</v>
      </c>
      <c r="O880" t="n">
        <v>0</v>
      </c>
      <c r="P880" t="n">
        <v>0</v>
      </c>
      <c r="Q880" t="n">
        <v>0</v>
      </c>
      <c r="R880" s="2" t="inlineStr"/>
    </row>
    <row r="881" ht="15" customHeight="1">
      <c r="A881" t="inlineStr">
        <is>
          <t>A 61807-2020</t>
        </is>
      </c>
      <c r="B881" s="1" t="n">
        <v>44158</v>
      </c>
      <c r="C881" s="1" t="n">
        <v>45648</v>
      </c>
      <c r="D881" t="inlineStr">
        <is>
          <t>JÄMTLANDS LÄN</t>
        </is>
      </c>
      <c r="E881" t="inlineStr">
        <is>
          <t>STRÖMSUND</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62503-2020</t>
        </is>
      </c>
      <c r="B882" s="1" t="n">
        <v>44160</v>
      </c>
      <c r="C882" s="1" t="n">
        <v>45648</v>
      </c>
      <c r="D882" t="inlineStr">
        <is>
          <t>JÄMTLANDS LÄN</t>
        </is>
      </c>
      <c r="E882" t="inlineStr">
        <is>
          <t>STRÖMSUND</t>
        </is>
      </c>
      <c r="G882" t="n">
        <v>7.9</v>
      </c>
      <c r="H882" t="n">
        <v>0</v>
      </c>
      <c r="I882" t="n">
        <v>0</v>
      </c>
      <c r="J882" t="n">
        <v>0</v>
      </c>
      <c r="K882" t="n">
        <v>0</v>
      </c>
      <c r="L882" t="n">
        <v>0</v>
      </c>
      <c r="M882" t="n">
        <v>0</v>
      </c>
      <c r="N882" t="n">
        <v>0</v>
      </c>
      <c r="O882" t="n">
        <v>0</v>
      </c>
      <c r="P882" t="n">
        <v>0</v>
      </c>
      <c r="Q882" t="n">
        <v>0</v>
      </c>
      <c r="R882" s="2" t="inlineStr"/>
    </row>
    <row r="883" ht="15" customHeight="1">
      <c r="A883" t="inlineStr">
        <is>
          <t>A 63692-2020</t>
        </is>
      </c>
      <c r="B883" s="1" t="n">
        <v>44161</v>
      </c>
      <c r="C883" s="1" t="n">
        <v>45648</v>
      </c>
      <c r="D883" t="inlineStr">
        <is>
          <t>JÄMTLANDS LÄN</t>
        </is>
      </c>
      <c r="E883" t="inlineStr">
        <is>
          <t>STRÖMSUND</t>
        </is>
      </c>
      <c r="G883" t="n">
        <v>1</v>
      </c>
      <c r="H883" t="n">
        <v>0</v>
      </c>
      <c r="I883" t="n">
        <v>0</v>
      </c>
      <c r="J883" t="n">
        <v>0</v>
      </c>
      <c r="K883" t="n">
        <v>0</v>
      </c>
      <c r="L883" t="n">
        <v>0</v>
      </c>
      <c r="M883" t="n">
        <v>0</v>
      </c>
      <c r="N883" t="n">
        <v>0</v>
      </c>
      <c r="O883" t="n">
        <v>0</v>
      </c>
      <c r="P883" t="n">
        <v>0</v>
      </c>
      <c r="Q883" t="n">
        <v>0</v>
      </c>
      <c r="R883" s="2" t="inlineStr"/>
    </row>
    <row r="884" ht="15" customHeight="1">
      <c r="A884" t="inlineStr">
        <is>
          <t>A 63699-2020</t>
        </is>
      </c>
      <c r="B884" s="1" t="n">
        <v>44161</v>
      </c>
      <c r="C884" s="1" t="n">
        <v>45648</v>
      </c>
      <c r="D884" t="inlineStr">
        <is>
          <t>JÄMTLANDS LÄN</t>
        </is>
      </c>
      <c r="E884" t="inlineStr">
        <is>
          <t>STRÖMSUND</t>
        </is>
      </c>
      <c r="G884" t="n">
        <v>1.1</v>
      </c>
      <c r="H884" t="n">
        <v>0</v>
      </c>
      <c r="I884" t="n">
        <v>0</v>
      </c>
      <c r="J884" t="n">
        <v>0</v>
      </c>
      <c r="K884" t="n">
        <v>0</v>
      </c>
      <c r="L884" t="n">
        <v>0</v>
      </c>
      <c r="M884" t="n">
        <v>0</v>
      </c>
      <c r="N884" t="n">
        <v>0</v>
      </c>
      <c r="O884" t="n">
        <v>0</v>
      </c>
      <c r="P884" t="n">
        <v>0</v>
      </c>
      <c r="Q884" t="n">
        <v>0</v>
      </c>
      <c r="R884" s="2" t="inlineStr"/>
    </row>
    <row r="885" ht="15" customHeight="1">
      <c r="A885" t="inlineStr">
        <is>
          <t>A 63678-2020</t>
        </is>
      </c>
      <c r="B885" s="1" t="n">
        <v>44162</v>
      </c>
      <c r="C885" s="1" t="n">
        <v>45648</v>
      </c>
      <c r="D885" t="inlineStr">
        <is>
          <t>JÄMTLANDS LÄN</t>
        </is>
      </c>
      <c r="E885" t="inlineStr">
        <is>
          <t>STRÖMSUND</t>
        </is>
      </c>
      <c r="G885" t="n">
        <v>1.7</v>
      </c>
      <c r="H885" t="n">
        <v>0</v>
      </c>
      <c r="I885" t="n">
        <v>0</v>
      </c>
      <c r="J885" t="n">
        <v>0</v>
      </c>
      <c r="K885" t="n">
        <v>0</v>
      </c>
      <c r="L885" t="n">
        <v>0</v>
      </c>
      <c r="M885" t="n">
        <v>0</v>
      </c>
      <c r="N885" t="n">
        <v>0</v>
      </c>
      <c r="O885" t="n">
        <v>0</v>
      </c>
      <c r="P885" t="n">
        <v>0</v>
      </c>
      <c r="Q885" t="n">
        <v>0</v>
      </c>
      <c r="R885" s="2" t="inlineStr"/>
    </row>
    <row r="886" ht="15" customHeight="1">
      <c r="A886" t="inlineStr">
        <is>
          <t>A 63567-2020</t>
        </is>
      </c>
      <c r="B886" s="1" t="n">
        <v>44165</v>
      </c>
      <c r="C886" s="1" t="n">
        <v>45648</v>
      </c>
      <c r="D886" t="inlineStr">
        <is>
          <t>JÄMTLANDS LÄN</t>
        </is>
      </c>
      <c r="E886" t="inlineStr">
        <is>
          <t>STRÖMSUND</t>
        </is>
      </c>
      <c r="G886" t="n">
        <v>14.4</v>
      </c>
      <c r="H886" t="n">
        <v>0</v>
      </c>
      <c r="I886" t="n">
        <v>0</v>
      </c>
      <c r="J886" t="n">
        <v>0</v>
      </c>
      <c r="K886" t="n">
        <v>0</v>
      </c>
      <c r="L886" t="n">
        <v>0</v>
      </c>
      <c r="M886" t="n">
        <v>0</v>
      </c>
      <c r="N886" t="n">
        <v>0</v>
      </c>
      <c r="O886" t="n">
        <v>0</v>
      </c>
      <c r="P886" t="n">
        <v>0</v>
      </c>
      <c r="Q886" t="n">
        <v>0</v>
      </c>
      <c r="R886" s="2" t="inlineStr"/>
    </row>
    <row r="887" ht="15" customHeight="1">
      <c r="A887" t="inlineStr">
        <is>
          <t>A 64124-2020</t>
        </is>
      </c>
      <c r="B887" s="1" t="n">
        <v>44165</v>
      </c>
      <c r="C887" s="1" t="n">
        <v>45648</v>
      </c>
      <c r="D887" t="inlineStr">
        <is>
          <t>JÄMTLANDS LÄN</t>
        </is>
      </c>
      <c r="E887" t="inlineStr">
        <is>
          <t>STRÖMSUND</t>
        </is>
      </c>
      <c r="G887" t="n">
        <v>1.6</v>
      </c>
      <c r="H887" t="n">
        <v>0</v>
      </c>
      <c r="I887" t="n">
        <v>0</v>
      </c>
      <c r="J887" t="n">
        <v>0</v>
      </c>
      <c r="K887" t="n">
        <v>0</v>
      </c>
      <c r="L887" t="n">
        <v>0</v>
      </c>
      <c r="M887" t="n">
        <v>0</v>
      </c>
      <c r="N887" t="n">
        <v>0</v>
      </c>
      <c r="O887" t="n">
        <v>0</v>
      </c>
      <c r="P887" t="n">
        <v>0</v>
      </c>
      <c r="Q887" t="n">
        <v>0</v>
      </c>
      <c r="R887" s="2" t="inlineStr"/>
    </row>
    <row r="888" ht="15" customHeight="1">
      <c r="A888" t="inlineStr">
        <is>
          <t>A 65115-2020</t>
        </is>
      </c>
      <c r="B888" s="1" t="n">
        <v>44165</v>
      </c>
      <c r="C888" s="1" t="n">
        <v>45648</v>
      </c>
      <c r="D888" t="inlineStr">
        <is>
          <t>JÄMTLANDS LÄN</t>
        </is>
      </c>
      <c r="E888" t="inlineStr">
        <is>
          <t>STRÖMSUND</t>
        </is>
      </c>
      <c r="G888" t="n">
        <v>3.6</v>
      </c>
      <c r="H888" t="n">
        <v>0</v>
      </c>
      <c r="I888" t="n">
        <v>0</v>
      </c>
      <c r="J888" t="n">
        <v>0</v>
      </c>
      <c r="K888" t="n">
        <v>0</v>
      </c>
      <c r="L888" t="n">
        <v>0</v>
      </c>
      <c r="M888" t="n">
        <v>0</v>
      </c>
      <c r="N888" t="n">
        <v>0</v>
      </c>
      <c r="O888" t="n">
        <v>0</v>
      </c>
      <c r="P888" t="n">
        <v>0</v>
      </c>
      <c r="Q888" t="n">
        <v>0</v>
      </c>
      <c r="R888" s="2" t="inlineStr"/>
    </row>
    <row r="889" ht="15" customHeight="1">
      <c r="A889" t="inlineStr">
        <is>
          <t>A 65078-2020</t>
        </is>
      </c>
      <c r="B889" s="1" t="n">
        <v>44165</v>
      </c>
      <c r="C889" s="1" t="n">
        <v>45648</v>
      </c>
      <c r="D889" t="inlineStr">
        <is>
          <t>JÄMTLANDS LÄN</t>
        </is>
      </c>
      <c r="E889" t="inlineStr">
        <is>
          <t>STRÖMSUND</t>
        </is>
      </c>
      <c r="G889" t="n">
        <v>3.4</v>
      </c>
      <c r="H889" t="n">
        <v>0</v>
      </c>
      <c r="I889" t="n">
        <v>0</v>
      </c>
      <c r="J889" t="n">
        <v>0</v>
      </c>
      <c r="K889" t="n">
        <v>0</v>
      </c>
      <c r="L889" t="n">
        <v>0</v>
      </c>
      <c r="M889" t="n">
        <v>0</v>
      </c>
      <c r="N889" t="n">
        <v>0</v>
      </c>
      <c r="O889" t="n">
        <v>0</v>
      </c>
      <c r="P889" t="n">
        <v>0</v>
      </c>
      <c r="Q889" t="n">
        <v>0</v>
      </c>
      <c r="R889" s="2" t="inlineStr"/>
    </row>
    <row r="890" ht="15" customHeight="1">
      <c r="A890" t="inlineStr">
        <is>
          <t>A 65076-2020</t>
        </is>
      </c>
      <c r="B890" s="1" t="n">
        <v>44165</v>
      </c>
      <c r="C890" s="1" t="n">
        <v>45648</v>
      </c>
      <c r="D890" t="inlineStr">
        <is>
          <t>JÄMTLANDS LÄN</t>
        </is>
      </c>
      <c r="E890" t="inlineStr">
        <is>
          <t>STRÖMSUND</t>
        </is>
      </c>
      <c r="G890" t="n">
        <v>20.3</v>
      </c>
      <c r="H890" t="n">
        <v>0</v>
      </c>
      <c r="I890" t="n">
        <v>0</v>
      </c>
      <c r="J890" t="n">
        <v>0</v>
      </c>
      <c r="K890" t="n">
        <v>0</v>
      </c>
      <c r="L890" t="n">
        <v>0</v>
      </c>
      <c r="M890" t="n">
        <v>0</v>
      </c>
      <c r="N890" t="n">
        <v>0</v>
      </c>
      <c r="O890" t="n">
        <v>0</v>
      </c>
      <c r="P890" t="n">
        <v>0</v>
      </c>
      <c r="Q890" t="n">
        <v>0</v>
      </c>
      <c r="R890" s="2" t="inlineStr"/>
    </row>
    <row r="891" ht="15" customHeight="1">
      <c r="A891" t="inlineStr">
        <is>
          <t>A 65110-2020</t>
        </is>
      </c>
      <c r="B891" s="1" t="n">
        <v>44165</v>
      </c>
      <c r="C891" s="1" t="n">
        <v>45648</v>
      </c>
      <c r="D891" t="inlineStr">
        <is>
          <t>JÄMTLANDS LÄN</t>
        </is>
      </c>
      <c r="E891" t="inlineStr">
        <is>
          <t>STRÖMSUND</t>
        </is>
      </c>
      <c r="G891" t="n">
        <v>6.8</v>
      </c>
      <c r="H891" t="n">
        <v>0</v>
      </c>
      <c r="I891" t="n">
        <v>0</v>
      </c>
      <c r="J891" t="n">
        <v>0</v>
      </c>
      <c r="K891" t="n">
        <v>0</v>
      </c>
      <c r="L891" t="n">
        <v>0</v>
      </c>
      <c r="M891" t="n">
        <v>0</v>
      </c>
      <c r="N891" t="n">
        <v>0</v>
      </c>
      <c r="O891" t="n">
        <v>0</v>
      </c>
      <c r="P891" t="n">
        <v>0</v>
      </c>
      <c r="Q891" t="n">
        <v>0</v>
      </c>
      <c r="R891" s="2" t="inlineStr"/>
    </row>
    <row r="892" ht="15" customHeight="1">
      <c r="A892" t="inlineStr">
        <is>
          <t>A 63755-2020</t>
        </is>
      </c>
      <c r="B892" s="1" t="n">
        <v>44166</v>
      </c>
      <c r="C892" s="1" t="n">
        <v>45648</v>
      </c>
      <c r="D892" t="inlineStr">
        <is>
          <t>JÄMTLANDS LÄN</t>
        </is>
      </c>
      <c r="E892" t="inlineStr">
        <is>
          <t>STRÖMSUND</t>
        </is>
      </c>
      <c r="G892" t="n">
        <v>0.7</v>
      </c>
      <c r="H892" t="n">
        <v>0</v>
      </c>
      <c r="I892" t="n">
        <v>0</v>
      </c>
      <c r="J892" t="n">
        <v>0</v>
      </c>
      <c r="K892" t="n">
        <v>0</v>
      </c>
      <c r="L892" t="n">
        <v>0</v>
      </c>
      <c r="M892" t="n">
        <v>0</v>
      </c>
      <c r="N892" t="n">
        <v>0</v>
      </c>
      <c r="O892" t="n">
        <v>0</v>
      </c>
      <c r="P892" t="n">
        <v>0</v>
      </c>
      <c r="Q892" t="n">
        <v>0</v>
      </c>
      <c r="R892" s="2" t="inlineStr"/>
    </row>
    <row r="893" ht="15" customHeight="1">
      <c r="A893" t="inlineStr">
        <is>
          <t>A 64186-2020</t>
        </is>
      </c>
      <c r="B893" s="1" t="n">
        <v>44167</v>
      </c>
      <c r="C893" s="1" t="n">
        <v>45648</v>
      </c>
      <c r="D893" t="inlineStr">
        <is>
          <t>JÄMTLANDS LÄN</t>
        </is>
      </c>
      <c r="E893" t="inlineStr">
        <is>
          <t>STRÖMSUND</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64608-2020</t>
        </is>
      </c>
      <c r="B894" s="1" t="n">
        <v>44169</v>
      </c>
      <c r="C894" s="1" t="n">
        <v>45648</v>
      </c>
      <c r="D894" t="inlineStr">
        <is>
          <t>JÄMTLANDS LÄN</t>
        </is>
      </c>
      <c r="E894" t="inlineStr">
        <is>
          <t>STRÖMSUND</t>
        </is>
      </c>
      <c r="F894" t="inlineStr">
        <is>
          <t>Holmen skog AB</t>
        </is>
      </c>
      <c r="G894" t="n">
        <v>17.7</v>
      </c>
      <c r="H894" t="n">
        <v>0</v>
      </c>
      <c r="I894" t="n">
        <v>0</v>
      </c>
      <c r="J894" t="n">
        <v>0</v>
      </c>
      <c r="K894" t="n">
        <v>0</v>
      </c>
      <c r="L894" t="n">
        <v>0</v>
      </c>
      <c r="M894" t="n">
        <v>0</v>
      </c>
      <c r="N894" t="n">
        <v>0</v>
      </c>
      <c r="O894" t="n">
        <v>0</v>
      </c>
      <c r="P894" t="n">
        <v>0</v>
      </c>
      <c r="Q894" t="n">
        <v>0</v>
      </c>
      <c r="R894" s="2" t="inlineStr"/>
    </row>
    <row r="895" ht="15" customHeight="1">
      <c r="A895" t="inlineStr">
        <is>
          <t>A 64825-2020</t>
        </is>
      </c>
      <c r="B895" s="1" t="n">
        <v>44169</v>
      </c>
      <c r="C895" s="1" t="n">
        <v>45648</v>
      </c>
      <c r="D895" t="inlineStr">
        <is>
          <t>JÄMTLANDS LÄN</t>
        </is>
      </c>
      <c r="E895" t="inlineStr">
        <is>
          <t>STRÖMSUND</t>
        </is>
      </c>
      <c r="F895" t="inlineStr">
        <is>
          <t>SCA</t>
        </is>
      </c>
      <c r="G895" t="n">
        <v>8.1</v>
      </c>
      <c r="H895" t="n">
        <v>0</v>
      </c>
      <c r="I895" t="n">
        <v>0</v>
      </c>
      <c r="J895" t="n">
        <v>0</v>
      </c>
      <c r="K895" t="n">
        <v>0</v>
      </c>
      <c r="L895" t="n">
        <v>0</v>
      </c>
      <c r="M895" t="n">
        <v>0</v>
      </c>
      <c r="N895" t="n">
        <v>0</v>
      </c>
      <c r="O895" t="n">
        <v>0</v>
      </c>
      <c r="P895" t="n">
        <v>0</v>
      </c>
      <c r="Q895" t="n">
        <v>0</v>
      </c>
      <c r="R895" s="2" t="inlineStr"/>
    </row>
    <row r="896" ht="15" customHeight="1">
      <c r="A896" t="inlineStr">
        <is>
          <t>A 64828-2020</t>
        </is>
      </c>
      <c r="B896" s="1" t="n">
        <v>44169</v>
      </c>
      <c r="C896" s="1" t="n">
        <v>45648</v>
      </c>
      <c r="D896" t="inlineStr">
        <is>
          <t>JÄMTLANDS LÄN</t>
        </is>
      </c>
      <c r="E896" t="inlineStr">
        <is>
          <t>STRÖMSUND</t>
        </is>
      </c>
      <c r="F896" t="inlineStr">
        <is>
          <t>SCA</t>
        </is>
      </c>
      <c r="G896" t="n">
        <v>5.3</v>
      </c>
      <c r="H896" t="n">
        <v>0</v>
      </c>
      <c r="I896" t="n">
        <v>0</v>
      </c>
      <c r="J896" t="n">
        <v>0</v>
      </c>
      <c r="K896" t="n">
        <v>0</v>
      </c>
      <c r="L896" t="n">
        <v>0</v>
      </c>
      <c r="M896" t="n">
        <v>0</v>
      </c>
      <c r="N896" t="n">
        <v>0</v>
      </c>
      <c r="O896" t="n">
        <v>0</v>
      </c>
      <c r="P896" t="n">
        <v>0</v>
      </c>
      <c r="Q896" t="n">
        <v>0</v>
      </c>
      <c r="R896" s="2" t="inlineStr"/>
    </row>
    <row r="897" ht="15" customHeight="1">
      <c r="A897" t="inlineStr">
        <is>
          <t>A 65530-2020</t>
        </is>
      </c>
      <c r="B897" s="1" t="n">
        <v>44173</v>
      </c>
      <c r="C897" s="1" t="n">
        <v>45648</v>
      </c>
      <c r="D897" t="inlineStr">
        <is>
          <t>JÄMTLANDS LÄN</t>
        </is>
      </c>
      <c r="E897" t="inlineStr">
        <is>
          <t>STRÖMSUND</t>
        </is>
      </c>
      <c r="F897" t="inlineStr">
        <is>
          <t>Sveaskog</t>
        </is>
      </c>
      <c r="G897" t="n">
        <v>1.5</v>
      </c>
      <c r="H897" t="n">
        <v>0</v>
      </c>
      <c r="I897" t="n">
        <v>0</v>
      </c>
      <c r="J897" t="n">
        <v>0</v>
      </c>
      <c r="K897" t="n">
        <v>0</v>
      </c>
      <c r="L897" t="n">
        <v>0</v>
      </c>
      <c r="M897" t="n">
        <v>0</v>
      </c>
      <c r="N897" t="n">
        <v>0</v>
      </c>
      <c r="O897" t="n">
        <v>0</v>
      </c>
      <c r="P897" t="n">
        <v>0</v>
      </c>
      <c r="Q897" t="n">
        <v>0</v>
      </c>
      <c r="R897" s="2" t="inlineStr"/>
    </row>
    <row r="898" ht="15" customHeight="1">
      <c r="A898" t="inlineStr">
        <is>
          <t>A 65618-2020</t>
        </is>
      </c>
      <c r="B898" s="1" t="n">
        <v>44173</v>
      </c>
      <c r="C898" s="1" t="n">
        <v>45648</v>
      </c>
      <c r="D898" t="inlineStr">
        <is>
          <t>JÄMTLANDS LÄN</t>
        </is>
      </c>
      <c r="E898" t="inlineStr">
        <is>
          <t>STRÖMSUND</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65797-2020</t>
        </is>
      </c>
      <c r="B899" s="1" t="n">
        <v>44174</v>
      </c>
      <c r="C899" s="1" t="n">
        <v>45648</v>
      </c>
      <c r="D899" t="inlineStr">
        <is>
          <t>JÄMTLANDS LÄN</t>
        </is>
      </c>
      <c r="E899" t="inlineStr">
        <is>
          <t>STRÖMSUND</t>
        </is>
      </c>
      <c r="F899" t="inlineStr">
        <is>
          <t>Holmen skog AB</t>
        </is>
      </c>
      <c r="G899" t="n">
        <v>24</v>
      </c>
      <c r="H899" t="n">
        <v>0</v>
      </c>
      <c r="I899" t="n">
        <v>0</v>
      </c>
      <c r="J899" t="n">
        <v>0</v>
      </c>
      <c r="K899" t="n">
        <v>0</v>
      </c>
      <c r="L899" t="n">
        <v>0</v>
      </c>
      <c r="M899" t="n">
        <v>0</v>
      </c>
      <c r="N899" t="n">
        <v>0</v>
      </c>
      <c r="O899" t="n">
        <v>0</v>
      </c>
      <c r="P899" t="n">
        <v>0</v>
      </c>
      <c r="Q899" t="n">
        <v>0</v>
      </c>
      <c r="R899" s="2" t="inlineStr"/>
    </row>
    <row r="900" ht="15" customHeight="1">
      <c r="A900" t="inlineStr">
        <is>
          <t>A 65762-2020</t>
        </is>
      </c>
      <c r="B900" s="1" t="n">
        <v>44174</v>
      </c>
      <c r="C900" s="1" t="n">
        <v>45648</v>
      </c>
      <c r="D900" t="inlineStr">
        <is>
          <t>JÄMTLANDS LÄN</t>
        </is>
      </c>
      <c r="E900" t="inlineStr">
        <is>
          <t>STRÖMSUND</t>
        </is>
      </c>
      <c r="F900" t="inlineStr">
        <is>
          <t>Holmen skog AB</t>
        </is>
      </c>
      <c r="G900" t="n">
        <v>8.5</v>
      </c>
      <c r="H900" t="n">
        <v>0</v>
      </c>
      <c r="I900" t="n">
        <v>0</v>
      </c>
      <c r="J900" t="n">
        <v>0</v>
      </c>
      <c r="K900" t="n">
        <v>0</v>
      </c>
      <c r="L900" t="n">
        <v>0</v>
      </c>
      <c r="M900" t="n">
        <v>0</v>
      </c>
      <c r="N900" t="n">
        <v>0</v>
      </c>
      <c r="O900" t="n">
        <v>0</v>
      </c>
      <c r="P900" t="n">
        <v>0</v>
      </c>
      <c r="Q900" t="n">
        <v>0</v>
      </c>
      <c r="R900" s="2" t="inlineStr"/>
    </row>
    <row r="901" ht="15" customHeight="1">
      <c r="A901" t="inlineStr">
        <is>
          <t>A 65768-2020</t>
        </is>
      </c>
      <c r="B901" s="1" t="n">
        <v>44174</v>
      </c>
      <c r="C901" s="1" t="n">
        <v>45648</v>
      </c>
      <c r="D901" t="inlineStr">
        <is>
          <t>JÄMTLANDS LÄN</t>
        </is>
      </c>
      <c r="E901" t="inlineStr">
        <is>
          <t>STRÖMSUND</t>
        </is>
      </c>
      <c r="F901" t="inlineStr">
        <is>
          <t>Holmen skog AB</t>
        </is>
      </c>
      <c r="G901" t="n">
        <v>21.7</v>
      </c>
      <c r="H901" t="n">
        <v>0</v>
      </c>
      <c r="I901" t="n">
        <v>0</v>
      </c>
      <c r="J901" t="n">
        <v>0</v>
      </c>
      <c r="K901" t="n">
        <v>0</v>
      </c>
      <c r="L901" t="n">
        <v>0</v>
      </c>
      <c r="M901" t="n">
        <v>0</v>
      </c>
      <c r="N901" t="n">
        <v>0</v>
      </c>
      <c r="O901" t="n">
        <v>0</v>
      </c>
      <c r="P901" t="n">
        <v>0</v>
      </c>
      <c r="Q901" t="n">
        <v>0</v>
      </c>
      <c r="R901" s="2" t="inlineStr"/>
    </row>
    <row r="902" ht="15" customHeight="1">
      <c r="A902" t="inlineStr">
        <is>
          <t>A 66130-2020</t>
        </is>
      </c>
      <c r="B902" s="1" t="n">
        <v>44175</v>
      </c>
      <c r="C902" s="1" t="n">
        <v>45648</v>
      </c>
      <c r="D902" t="inlineStr">
        <is>
          <t>JÄMTLANDS LÄN</t>
        </is>
      </c>
      <c r="E902" t="inlineStr">
        <is>
          <t>STRÖMSUND</t>
        </is>
      </c>
      <c r="F902" t="inlineStr">
        <is>
          <t>Holmen skog AB</t>
        </is>
      </c>
      <c r="G902" t="n">
        <v>20.1</v>
      </c>
      <c r="H902" t="n">
        <v>0</v>
      </c>
      <c r="I902" t="n">
        <v>0</v>
      </c>
      <c r="J902" t="n">
        <v>0</v>
      </c>
      <c r="K902" t="n">
        <v>0</v>
      </c>
      <c r="L902" t="n">
        <v>0</v>
      </c>
      <c r="M902" t="n">
        <v>0</v>
      </c>
      <c r="N902" t="n">
        <v>0</v>
      </c>
      <c r="O902" t="n">
        <v>0</v>
      </c>
      <c r="P902" t="n">
        <v>0</v>
      </c>
      <c r="Q902" t="n">
        <v>0</v>
      </c>
      <c r="R902" s="2" t="inlineStr"/>
    </row>
    <row r="903" ht="15" customHeight="1">
      <c r="A903" t="inlineStr">
        <is>
          <t>A 65997-2020</t>
        </is>
      </c>
      <c r="B903" s="1" t="n">
        <v>44175</v>
      </c>
      <c r="C903" s="1" t="n">
        <v>45648</v>
      </c>
      <c r="D903" t="inlineStr">
        <is>
          <t>JÄMTLANDS LÄN</t>
        </is>
      </c>
      <c r="E903" t="inlineStr">
        <is>
          <t>STRÖMSUND</t>
        </is>
      </c>
      <c r="F903" t="inlineStr">
        <is>
          <t>Kyrkan</t>
        </is>
      </c>
      <c r="G903" t="n">
        <v>3.7</v>
      </c>
      <c r="H903" t="n">
        <v>0</v>
      </c>
      <c r="I903" t="n">
        <v>0</v>
      </c>
      <c r="J903" t="n">
        <v>0</v>
      </c>
      <c r="K903" t="n">
        <v>0</v>
      </c>
      <c r="L903" t="n">
        <v>0</v>
      </c>
      <c r="M903" t="n">
        <v>0</v>
      </c>
      <c r="N903" t="n">
        <v>0</v>
      </c>
      <c r="O903" t="n">
        <v>0</v>
      </c>
      <c r="P903" t="n">
        <v>0</v>
      </c>
      <c r="Q903" t="n">
        <v>0</v>
      </c>
      <c r="R903" s="2" t="inlineStr"/>
    </row>
    <row r="904" ht="15" customHeight="1">
      <c r="A904" t="inlineStr">
        <is>
          <t>A 66982-2020</t>
        </is>
      </c>
      <c r="B904" s="1" t="n">
        <v>44176</v>
      </c>
      <c r="C904" s="1" t="n">
        <v>45648</v>
      </c>
      <c r="D904" t="inlineStr">
        <is>
          <t>JÄMTLANDS LÄN</t>
        </is>
      </c>
      <c r="E904" t="inlineStr">
        <is>
          <t>STRÖMSUND</t>
        </is>
      </c>
      <c r="G904" t="n">
        <v>2.4</v>
      </c>
      <c r="H904" t="n">
        <v>0</v>
      </c>
      <c r="I904" t="n">
        <v>0</v>
      </c>
      <c r="J904" t="n">
        <v>0</v>
      </c>
      <c r="K904" t="n">
        <v>0</v>
      </c>
      <c r="L904" t="n">
        <v>0</v>
      </c>
      <c r="M904" t="n">
        <v>0</v>
      </c>
      <c r="N904" t="n">
        <v>0</v>
      </c>
      <c r="O904" t="n">
        <v>0</v>
      </c>
      <c r="P904" t="n">
        <v>0</v>
      </c>
      <c r="Q904" t="n">
        <v>0</v>
      </c>
      <c r="R904" s="2" t="inlineStr"/>
    </row>
    <row r="905" ht="15" customHeight="1">
      <c r="A905" t="inlineStr">
        <is>
          <t>A 66983-2020</t>
        </is>
      </c>
      <c r="B905" s="1" t="n">
        <v>44176</v>
      </c>
      <c r="C905" s="1" t="n">
        <v>45648</v>
      </c>
      <c r="D905" t="inlineStr">
        <is>
          <t>JÄMTLANDS LÄN</t>
        </is>
      </c>
      <c r="E905" t="inlineStr">
        <is>
          <t>STRÖMSUND</t>
        </is>
      </c>
      <c r="G905" t="n">
        <v>4.8</v>
      </c>
      <c r="H905" t="n">
        <v>0</v>
      </c>
      <c r="I905" t="n">
        <v>0</v>
      </c>
      <c r="J905" t="n">
        <v>0</v>
      </c>
      <c r="K905" t="n">
        <v>0</v>
      </c>
      <c r="L905" t="n">
        <v>0</v>
      </c>
      <c r="M905" t="n">
        <v>0</v>
      </c>
      <c r="N905" t="n">
        <v>0</v>
      </c>
      <c r="O905" t="n">
        <v>0</v>
      </c>
      <c r="P905" t="n">
        <v>0</v>
      </c>
      <c r="Q905" t="n">
        <v>0</v>
      </c>
      <c r="R905" s="2" t="inlineStr"/>
    </row>
    <row r="906" ht="15" customHeight="1">
      <c r="A906" t="inlineStr">
        <is>
          <t>A 66770-2020</t>
        </is>
      </c>
      <c r="B906" s="1" t="n">
        <v>44179</v>
      </c>
      <c r="C906" s="1" t="n">
        <v>45648</v>
      </c>
      <c r="D906" t="inlineStr">
        <is>
          <t>JÄMTLANDS LÄN</t>
        </is>
      </c>
      <c r="E906" t="inlineStr">
        <is>
          <t>STRÖMSUND</t>
        </is>
      </c>
      <c r="F906" t="inlineStr">
        <is>
          <t>Holmen skog AB</t>
        </is>
      </c>
      <c r="G906" t="n">
        <v>17.9</v>
      </c>
      <c r="H906" t="n">
        <v>0</v>
      </c>
      <c r="I906" t="n">
        <v>0</v>
      </c>
      <c r="J906" t="n">
        <v>0</v>
      </c>
      <c r="K906" t="n">
        <v>0</v>
      </c>
      <c r="L906" t="n">
        <v>0</v>
      </c>
      <c r="M906" t="n">
        <v>0</v>
      </c>
      <c r="N906" t="n">
        <v>0</v>
      </c>
      <c r="O906" t="n">
        <v>0</v>
      </c>
      <c r="P906" t="n">
        <v>0</v>
      </c>
      <c r="Q906" t="n">
        <v>0</v>
      </c>
      <c r="R906" s="2" t="inlineStr"/>
    </row>
    <row r="907" ht="15" customHeight="1">
      <c r="A907" t="inlineStr">
        <is>
          <t>A 66653-2020</t>
        </is>
      </c>
      <c r="B907" s="1" t="n">
        <v>44179</v>
      </c>
      <c r="C907" s="1" t="n">
        <v>45648</v>
      </c>
      <c r="D907" t="inlineStr">
        <is>
          <t>JÄMTLANDS LÄN</t>
        </is>
      </c>
      <c r="E907" t="inlineStr">
        <is>
          <t>STRÖMSUND</t>
        </is>
      </c>
      <c r="F907" t="inlineStr">
        <is>
          <t>SCA</t>
        </is>
      </c>
      <c r="G907" t="n">
        <v>27.7</v>
      </c>
      <c r="H907" t="n">
        <v>0</v>
      </c>
      <c r="I907" t="n">
        <v>0</v>
      </c>
      <c r="J907" t="n">
        <v>0</v>
      </c>
      <c r="K907" t="n">
        <v>0</v>
      </c>
      <c r="L907" t="n">
        <v>0</v>
      </c>
      <c r="M907" t="n">
        <v>0</v>
      </c>
      <c r="N907" t="n">
        <v>0</v>
      </c>
      <c r="O907" t="n">
        <v>0</v>
      </c>
      <c r="P907" t="n">
        <v>0</v>
      </c>
      <c r="Q907" t="n">
        <v>0</v>
      </c>
      <c r="R907" s="2" t="inlineStr"/>
    </row>
    <row r="908" ht="15" customHeight="1">
      <c r="A908" t="inlineStr">
        <is>
          <t>A 66702-2020</t>
        </is>
      </c>
      <c r="B908" s="1" t="n">
        <v>44179</v>
      </c>
      <c r="C908" s="1" t="n">
        <v>45648</v>
      </c>
      <c r="D908" t="inlineStr">
        <is>
          <t>JÄMTLANDS LÄN</t>
        </is>
      </c>
      <c r="E908" t="inlineStr">
        <is>
          <t>STRÖMSUND</t>
        </is>
      </c>
      <c r="F908" t="inlineStr">
        <is>
          <t>SCA</t>
        </is>
      </c>
      <c r="G908" t="n">
        <v>23.5</v>
      </c>
      <c r="H908" t="n">
        <v>0</v>
      </c>
      <c r="I908" t="n">
        <v>0</v>
      </c>
      <c r="J908" t="n">
        <v>0</v>
      </c>
      <c r="K908" t="n">
        <v>0</v>
      </c>
      <c r="L908" t="n">
        <v>0</v>
      </c>
      <c r="M908" t="n">
        <v>0</v>
      </c>
      <c r="N908" t="n">
        <v>0</v>
      </c>
      <c r="O908" t="n">
        <v>0</v>
      </c>
      <c r="P908" t="n">
        <v>0</v>
      </c>
      <c r="Q908" t="n">
        <v>0</v>
      </c>
      <c r="R908" s="2" t="inlineStr"/>
    </row>
    <row r="909" ht="15" customHeight="1">
      <c r="A909" t="inlineStr">
        <is>
          <t>A 66739-2020</t>
        </is>
      </c>
      <c r="B909" s="1" t="n">
        <v>44179</v>
      </c>
      <c r="C909" s="1" t="n">
        <v>45648</v>
      </c>
      <c r="D909" t="inlineStr">
        <is>
          <t>JÄMTLANDS LÄN</t>
        </is>
      </c>
      <c r="E909" t="inlineStr">
        <is>
          <t>STRÖMSUND</t>
        </is>
      </c>
      <c r="F909" t="inlineStr">
        <is>
          <t>SCA</t>
        </is>
      </c>
      <c r="G909" t="n">
        <v>23.7</v>
      </c>
      <c r="H909" t="n">
        <v>0</v>
      </c>
      <c r="I909" t="n">
        <v>0</v>
      </c>
      <c r="J909" t="n">
        <v>0</v>
      </c>
      <c r="K909" t="n">
        <v>0</v>
      </c>
      <c r="L909" t="n">
        <v>0</v>
      </c>
      <c r="M909" t="n">
        <v>0</v>
      </c>
      <c r="N909" t="n">
        <v>0</v>
      </c>
      <c r="O909" t="n">
        <v>0</v>
      </c>
      <c r="P909" t="n">
        <v>0</v>
      </c>
      <c r="Q909" t="n">
        <v>0</v>
      </c>
      <c r="R909" s="2" t="inlineStr"/>
    </row>
    <row r="910" ht="15" customHeight="1">
      <c r="A910" t="inlineStr">
        <is>
          <t>A 67620-2020</t>
        </is>
      </c>
      <c r="B910" s="1" t="n">
        <v>44181</v>
      </c>
      <c r="C910" s="1" t="n">
        <v>45648</v>
      </c>
      <c r="D910" t="inlineStr">
        <is>
          <t>JÄMTLANDS LÄN</t>
        </is>
      </c>
      <c r="E910" t="inlineStr">
        <is>
          <t>STRÖMSUND</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67621-2020</t>
        </is>
      </c>
      <c r="B911" s="1" t="n">
        <v>44181</v>
      </c>
      <c r="C911" s="1" t="n">
        <v>45648</v>
      </c>
      <c r="D911" t="inlineStr">
        <is>
          <t>JÄMTLANDS LÄN</t>
        </is>
      </c>
      <c r="E911" t="inlineStr">
        <is>
          <t>STRÖMSUND</t>
        </is>
      </c>
      <c r="F911" t="inlineStr">
        <is>
          <t>SCA</t>
        </is>
      </c>
      <c r="G911" t="n">
        <v>7</v>
      </c>
      <c r="H911" t="n">
        <v>0</v>
      </c>
      <c r="I911" t="n">
        <v>0</v>
      </c>
      <c r="J911" t="n">
        <v>0</v>
      </c>
      <c r="K911" t="n">
        <v>0</v>
      </c>
      <c r="L911" t="n">
        <v>0</v>
      </c>
      <c r="M911" t="n">
        <v>0</v>
      </c>
      <c r="N911" t="n">
        <v>0</v>
      </c>
      <c r="O911" t="n">
        <v>0</v>
      </c>
      <c r="P911" t="n">
        <v>0</v>
      </c>
      <c r="Q911" t="n">
        <v>0</v>
      </c>
      <c r="R911" s="2" t="inlineStr"/>
    </row>
    <row r="912" ht="15" customHeight="1">
      <c r="A912" t="inlineStr">
        <is>
          <t>A 67618-2020</t>
        </is>
      </c>
      <c r="B912" s="1" t="n">
        <v>44181</v>
      </c>
      <c r="C912" s="1" t="n">
        <v>45648</v>
      </c>
      <c r="D912" t="inlineStr">
        <is>
          <t>JÄMTLANDS LÄN</t>
        </is>
      </c>
      <c r="E912" t="inlineStr">
        <is>
          <t>STRÖMSUND</t>
        </is>
      </c>
      <c r="F912" t="inlineStr">
        <is>
          <t>SCA</t>
        </is>
      </c>
      <c r="G912" t="n">
        <v>8.4</v>
      </c>
      <c r="H912" t="n">
        <v>0</v>
      </c>
      <c r="I912" t="n">
        <v>0</v>
      </c>
      <c r="J912" t="n">
        <v>0</v>
      </c>
      <c r="K912" t="n">
        <v>0</v>
      </c>
      <c r="L912" t="n">
        <v>0</v>
      </c>
      <c r="M912" t="n">
        <v>0</v>
      </c>
      <c r="N912" t="n">
        <v>0</v>
      </c>
      <c r="O912" t="n">
        <v>0</v>
      </c>
      <c r="P912" t="n">
        <v>0</v>
      </c>
      <c r="Q912" t="n">
        <v>0</v>
      </c>
      <c r="R912" s="2" t="inlineStr"/>
    </row>
    <row r="913" ht="15" customHeight="1">
      <c r="A913" t="inlineStr">
        <is>
          <t>A 68006-2020</t>
        </is>
      </c>
      <c r="B913" s="1" t="n">
        <v>44182</v>
      </c>
      <c r="C913" s="1" t="n">
        <v>45648</v>
      </c>
      <c r="D913" t="inlineStr">
        <is>
          <t>JÄMTLANDS LÄN</t>
        </is>
      </c>
      <c r="E913" t="inlineStr">
        <is>
          <t>STRÖMSUND</t>
        </is>
      </c>
      <c r="G913" t="n">
        <v>1.3</v>
      </c>
      <c r="H913" t="n">
        <v>0</v>
      </c>
      <c r="I913" t="n">
        <v>0</v>
      </c>
      <c r="J913" t="n">
        <v>0</v>
      </c>
      <c r="K913" t="n">
        <v>0</v>
      </c>
      <c r="L913" t="n">
        <v>0</v>
      </c>
      <c r="M913" t="n">
        <v>0</v>
      </c>
      <c r="N913" t="n">
        <v>0</v>
      </c>
      <c r="O913" t="n">
        <v>0</v>
      </c>
      <c r="P913" t="n">
        <v>0</v>
      </c>
      <c r="Q913" t="n">
        <v>0</v>
      </c>
      <c r="R913" s="2" t="inlineStr"/>
    </row>
    <row r="914" ht="15" customHeight="1">
      <c r="A914" t="inlineStr">
        <is>
          <t>A 68522-2020</t>
        </is>
      </c>
      <c r="B914" s="1" t="n">
        <v>44186</v>
      </c>
      <c r="C914" s="1" t="n">
        <v>45648</v>
      </c>
      <c r="D914" t="inlineStr">
        <is>
          <t>JÄMTLANDS LÄN</t>
        </is>
      </c>
      <c r="E914" t="inlineStr">
        <is>
          <t>STRÖMSUND</t>
        </is>
      </c>
      <c r="G914" t="n">
        <v>1.1</v>
      </c>
      <c r="H914" t="n">
        <v>0</v>
      </c>
      <c r="I914" t="n">
        <v>0</v>
      </c>
      <c r="J914" t="n">
        <v>0</v>
      </c>
      <c r="K914" t="n">
        <v>0</v>
      </c>
      <c r="L914" t="n">
        <v>0</v>
      </c>
      <c r="M914" t="n">
        <v>0</v>
      </c>
      <c r="N914" t="n">
        <v>0</v>
      </c>
      <c r="O914" t="n">
        <v>0</v>
      </c>
      <c r="P914" t="n">
        <v>0</v>
      </c>
      <c r="Q914" t="n">
        <v>0</v>
      </c>
      <c r="R914" s="2" t="inlineStr"/>
    </row>
    <row r="915" ht="15" customHeight="1">
      <c r="A915" t="inlineStr">
        <is>
          <t>A 68568-2020</t>
        </is>
      </c>
      <c r="B915" s="1" t="n">
        <v>44186</v>
      </c>
      <c r="C915" s="1" t="n">
        <v>45648</v>
      </c>
      <c r="D915" t="inlineStr">
        <is>
          <t>JÄMTLANDS LÄN</t>
        </is>
      </c>
      <c r="E915" t="inlineStr">
        <is>
          <t>STRÖMSUND</t>
        </is>
      </c>
      <c r="F915" t="inlineStr">
        <is>
          <t>Holmen skog AB</t>
        </is>
      </c>
      <c r="G915" t="n">
        <v>39.3</v>
      </c>
      <c r="H915" t="n">
        <v>0</v>
      </c>
      <c r="I915" t="n">
        <v>0</v>
      </c>
      <c r="J915" t="n">
        <v>0</v>
      </c>
      <c r="K915" t="n">
        <v>0</v>
      </c>
      <c r="L915" t="n">
        <v>0</v>
      </c>
      <c r="M915" t="n">
        <v>0</v>
      </c>
      <c r="N915" t="n">
        <v>0</v>
      </c>
      <c r="O915" t="n">
        <v>0</v>
      </c>
      <c r="P915" t="n">
        <v>0</v>
      </c>
      <c r="Q915" t="n">
        <v>0</v>
      </c>
      <c r="R915" s="2" t="inlineStr"/>
    </row>
    <row r="916" ht="15" customHeight="1">
      <c r="A916" t="inlineStr">
        <is>
          <t>A 68783-2020</t>
        </is>
      </c>
      <c r="B916" s="1" t="n">
        <v>44186</v>
      </c>
      <c r="C916" s="1" t="n">
        <v>45648</v>
      </c>
      <c r="D916" t="inlineStr">
        <is>
          <t>JÄMTLANDS LÄN</t>
        </is>
      </c>
      <c r="E916" t="inlineStr">
        <is>
          <t>STRÖMSUND</t>
        </is>
      </c>
      <c r="G916" t="n">
        <v>0.5</v>
      </c>
      <c r="H916" t="n">
        <v>0</v>
      </c>
      <c r="I916" t="n">
        <v>0</v>
      </c>
      <c r="J916" t="n">
        <v>0</v>
      </c>
      <c r="K916" t="n">
        <v>0</v>
      </c>
      <c r="L916" t="n">
        <v>0</v>
      </c>
      <c r="M916" t="n">
        <v>0</v>
      </c>
      <c r="N916" t="n">
        <v>0</v>
      </c>
      <c r="O916" t="n">
        <v>0</v>
      </c>
      <c r="P916" t="n">
        <v>0</v>
      </c>
      <c r="Q916" t="n">
        <v>0</v>
      </c>
      <c r="R916" s="2" t="inlineStr"/>
    </row>
    <row r="917" ht="15" customHeight="1">
      <c r="A917" t="inlineStr">
        <is>
          <t>A 68653-2020</t>
        </is>
      </c>
      <c r="B917" s="1" t="n">
        <v>44186</v>
      </c>
      <c r="C917" s="1" t="n">
        <v>45648</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69282-2020</t>
        </is>
      </c>
      <c r="B918" s="1" t="n">
        <v>44188</v>
      </c>
      <c r="C918" s="1" t="n">
        <v>45648</v>
      </c>
      <c r="D918" t="inlineStr">
        <is>
          <t>JÄMTLANDS LÄN</t>
        </is>
      </c>
      <c r="E918" t="inlineStr">
        <is>
          <t>STRÖMSUND</t>
        </is>
      </c>
      <c r="G918" t="n">
        <v>13.8</v>
      </c>
      <c r="H918" t="n">
        <v>0</v>
      </c>
      <c r="I918" t="n">
        <v>0</v>
      </c>
      <c r="J918" t="n">
        <v>0</v>
      </c>
      <c r="K918" t="n">
        <v>0</v>
      </c>
      <c r="L918" t="n">
        <v>0</v>
      </c>
      <c r="M918" t="n">
        <v>0</v>
      </c>
      <c r="N918" t="n">
        <v>0</v>
      </c>
      <c r="O918" t="n">
        <v>0</v>
      </c>
      <c r="P918" t="n">
        <v>0</v>
      </c>
      <c r="Q918" t="n">
        <v>0</v>
      </c>
      <c r="R918" s="2" t="inlineStr"/>
    </row>
    <row r="919" ht="15" customHeight="1">
      <c r="A919" t="inlineStr">
        <is>
          <t>A 69346-2020</t>
        </is>
      </c>
      <c r="B919" s="1" t="n">
        <v>44193</v>
      </c>
      <c r="C919" s="1" t="n">
        <v>45648</v>
      </c>
      <c r="D919" t="inlineStr">
        <is>
          <t>JÄMTLANDS LÄN</t>
        </is>
      </c>
      <c r="E919" t="inlineStr">
        <is>
          <t>STRÖMSUND</t>
        </is>
      </c>
      <c r="G919" t="n">
        <v>1.6</v>
      </c>
      <c r="H919" t="n">
        <v>0</v>
      </c>
      <c r="I919" t="n">
        <v>0</v>
      </c>
      <c r="J919" t="n">
        <v>0</v>
      </c>
      <c r="K919" t="n">
        <v>0</v>
      </c>
      <c r="L919" t="n">
        <v>0</v>
      </c>
      <c r="M919" t="n">
        <v>0</v>
      </c>
      <c r="N919" t="n">
        <v>0</v>
      </c>
      <c r="O919" t="n">
        <v>0</v>
      </c>
      <c r="P919" t="n">
        <v>0</v>
      </c>
      <c r="Q919" t="n">
        <v>0</v>
      </c>
      <c r="R919" s="2" t="inlineStr"/>
    </row>
    <row r="920" ht="15" customHeight="1">
      <c r="A920" t="inlineStr">
        <is>
          <t>A 69508-2020</t>
        </is>
      </c>
      <c r="B920" s="1" t="n">
        <v>44193</v>
      </c>
      <c r="C920" s="1" t="n">
        <v>45648</v>
      </c>
      <c r="D920" t="inlineStr">
        <is>
          <t>JÄMTLANDS LÄN</t>
        </is>
      </c>
      <c r="E920" t="inlineStr">
        <is>
          <t>STRÖMSUND</t>
        </is>
      </c>
      <c r="F920" t="inlineStr">
        <is>
          <t>Övriga statliga verk och myndigheter</t>
        </is>
      </c>
      <c r="G920" t="n">
        <v>6.1</v>
      </c>
      <c r="H920" t="n">
        <v>0</v>
      </c>
      <c r="I920" t="n">
        <v>0</v>
      </c>
      <c r="J920" t="n">
        <v>0</v>
      </c>
      <c r="K920" t="n">
        <v>0</v>
      </c>
      <c r="L920" t="n">
        <v>0</v>
      </c>
      <c r="M920" t="n">
        <v>0</v>
      </c>
      <c r="N920" t="n">
        <v>0</v>
      </c>
      <c r="O920" t="n">
        <v>0</v>
      </c>
      <c r="P920" t="n">
        <v>0</v>
      </c>
      <c r="Q920" t="n">
        <v>0</v>
      </c>
      <c r="R920" s="2" t="inlineStr"/>
    </row>
    <row r="921" ht="15" customHeight="1">
      <c r="A921" t="inlineStr">
        <is>
          <t>A 69506-2020</t>
        </is>
      </c>
      <c r="B921" s="1" t="n">
        <v>44193</v>
      </c>
      <c r="C921" s="1" t="n">
        <v>45648</v>
      </c>
      <c r="D921" t="inlineStr">
        <is>
          <t>JÄMTLANDS LÄN</t>
        </is>
      </c>
      <c r="E921" t="inlineStr">
        <is>
          <t>STRÖMSUND</t>
        </is>
      </c>
      <c r="F921" t="inlineStr">
        <is>
          <t>Övriga statliga verk och myndigheter</t>
        </is>
      </c>
      <c r="G921" t="n">
        <v>14.1</v>
      </c>
      <c r="H921" t="n">
        <v>0</v>
      </c>
      <c r="I921" t="n">
        <v>0</v>
      </c>
      <c r="J921" t="n">
        <v>0</v>
      </c>
      <c r="K921" t="n">
        <v>0</v>
      </c>
      <c r="L921" t="n">
        <v>0</v>
      </c>
      <c r="M921" t="n">
        <v>0</v>
      </c>
      <c r="N921" t="n">
        <v>0</v>
      </c>
      <c r="O921" t="n">
        <v>0</v>
      </c>
      <c r="P921" t="n">
        <v>0</v>
      </c>
      <c r="Q921" t="n">
        <v>0</v>
      </c>
      <c r="R921" s="2" t="inlineStr"/>
    </row>
    <row r="922" ht="15" customHeight="1">
      <c r="A922" t="inlineStr">
        <is>
          <t>A 108-2021</t>
        </is>
      </c>
      <c r="B922" s="1" t="n">
        <v>44195</v>
      </c>
      <c r="C922" s="1" t="n">
        <v>45648</v>
      </c>
      <c r="D922" t="inlineStr">
        <is>
          <t>JÄMTLANDS LÄN</t>
        </is>
      </c>
      <c r="E922" t="inlineStr">
        <is>
          <t>STRÖMSUND</t>
        </is>
      </c>
      <c r="G922" t="n">
        <v>3.3</v>
      </c>
      <c r="H922" t="n">
        <v>0</v>
      </c>
      <c r="I922" t="n">
        <v>0</v>
      </c>
      <c r="J922" t="n">
        <v>0</v>
      </c>
      <c r="K922" t="n">
        <v>0</v>
      </c>
      <c r="L922" t="n">
        <v>0</v>
      </c>
      <c r="M922" t="n">
        <v>0</v>
      </c>
      <c r="N922" t="n">
        <v>0</v>
      </c>
      <c r="O922" t="n">
        <v>0</v>
      </c>
      <c r="P922" t="n">
        <v>0</v>
      </c>
      <c r="Q922" t="n">
        <v>0</v>
      </c>
      <c r="R922" s="2" t="inlineStr"/>
    </row>
    <row r="923" ht="15" customHeight="1">
      <c r="A923" t="inlineStr">
        <is>
          <t>A 135-2021</t>
        </is>
      </c>
      <c r="B923" s="1" t="n">
        <v>44196</v>
      </c>
      <c r="C923" s="1" t="n">
        <v>45648</v>
      </c>
      <c r="D923" t="inlineStr">
        <is>
          <t>JÄMTLANDS LÄN</t>
        </is>
      </c>
      <c r="E923" t="inlineStr">
        <is>
          <t>STRÖMSUND</t>
        </is>
      </c>
      <c r="G923" t="n">
        <v>2.5</v>
      </c>
      <c r="H923" t="n">
        <v>0</v>
      </c>
      <c r="I923" t="n">
        <v>0</v>
      </c>
      <c r="J923" t="n">
        <v>0</v>
      </c>
      <c r="K923" t="n">
        <v>0</v>
      </c>
      <c r="L923" t="n">
        <v>0</v>
      </c>
      <c r="M923" t="n">
        <v>0</v>
      </c>
      <c r="N923" t="n">
        <v>0</v>
      </c>
      <c r="O923" t="n">
        <v>0</v>
      </c>
      <c r="P923" t="n">
        <v>0</v>
      </c>
      <c r="Q923" t="n">
        <v>0</v>
      </c>
      <c r="R923" s="2" t="inlineStr"/>
    </row>
    <row r="924" ht="15" customHeight="1">
      <c r="A924" t="inlineStr">
        <is>
          <t>A 142-2021</t>
        </is>
      </c>
      <c r="B924" s="1" t="n">
        <v>44196</v>
      </c>
      <c r="C924" s="1" t="n">
        <v>45648</v>
      </c>
      <c r="D924" t="inlineStr">
        <is>
          <t>JÄMTLANDS LÄN</t>
        </is>
      </c>
      <c r="E924" t="inlineStr">
        <is>
          <t>STRÖMSUND</t>
        </is>
      </c>
      <c r="G924" t="n">
        <v>6.1</v>
      </c>
      <c r="H924" t="n">
        <v>0</v>
      </c>
      <c r="I924" t="n">
        <v>0</v>
      </c>
      <c r="J924" t="n">
        <v>0</v>
      </c>
      <c r="K924" t="n">
        <v>0</v>
      </c>
      <c r="L924" t="n">
        <v>0</v>
      </c>
      <c r="M924" t="n">
        <v>0</v>
      </c>
      <c r="N924" t="n">
        <v>0</v>
      </c>
      <c r="O924" t="n">
        <v>0</v>
      </c>
      <c r="P924" t="n">
        <v>0</v>
      </c>
      <c r="Q924" t="n">
        <v>0</v>
      </c>
      <c r="R924" s="2" t="inlineStr"/>
    </row>
    <row r="925" ht="15" customHeight="1">
      <c r="A925" t="inlineStr">
        <is>
          <t>A 138-2021</t>
        </is>
      </c>
      <c r="B925" s="1" t="n">
        <v>44196</v>
      </c>
      <c r="C925" s="1" t="n">
        <v>45648</v>
      </c>
      <c r="D925" t="inlineStr">
        <is>
          <t>JÄMTLANDS LÄN</t>
        </is>
      </c>
      <c r="E925" t="inlineStr">
        <is>
          <t>STRÖMSUND</t>
        </is>
      </c>
      <c r="G925" t="n">
        <v>3.3</v>
      </c>
      <c r="H925" t="n">
        <v>0</v>
      </c>
      <c r="I925" t="n">
        <v>0</v>
      </c>
      <c r="J925" t="n">
        <v>0</v>
      </c>
      <c r="K925" t="n">
        <v>0</v>
      </c>
      <c r="L925" t="n">
        <v>0</v>
      </c>
      <c r="M925" t="n">
        <v>0</v>
      </c>
      <c r="N925" t="n">
        <v>0</v>
      </c>
      <c r="O925" t="n">
        <v>0</v>
      </c>
      <c r="P925" t="n">
        <v>0</v>
      </c>
      <c r="Q925" t="n">
        <v>0</v>
      </c>
      <c r="R925" s="2" t="inlineStr"/>
    </row>
    <row r="926" ht="15" customHeight="1">
      <c r="A926" t="inlineStr">
        <is>
          <t>A 326-2021</t>
        </is>
      </c>
      <c r="B926" s="1" t="n">
        <v>44201</v>
      </c>
      <c r="C926" s="1" t="n">
        <v>45648</v>
      </c>
      <c r="D926" t="inlineStr">
        <is>
          <t>JÄMTLANDS LÄN</t>
        </is>
      </c>
      <c r="E926" t="inlineStr">
        <is>
          <t>STRÖMSUND</t>
        </is>
      </c>
      <c r="F926" t="inlineStr">
        <is>
          <t>SCA</t>
        </is>
      </c>
      <c r="G926" t="n">
        <v>88.09999999999999</v>
      </c>
      <c r="H926" t="n">
        <v>0</v>
      </c>
      <c r="I926" t="n">
        <v>0</v>
      </c>
      <c r="J926" t="n">
        <v>0</v>
      </c>
      <c r="K926" t="n">
        <v>0</v>
      </c>
      <c r="L926" t="n">
        <v>0</v>
      </c>
      <c r="M926" t="n">
        <v>0</v>
      </c>
      <c r="N926" t="n">
        <v>0</v>
      </c>
      <c r="O926" t="n">
        <v>0</v>
      </c>
      <c r="P926" t="n">
        <v>0</v>
      </c>
      <c r="Q926" t="n">
        <v>0</v>
      </c>
      <c r="R926" s="2" t="inlineStr"/>
    </row>
    <row r="927" ht="15" customHeight="1">
      <c r="A927" t="inlineStr">
        <is>
          <t>A 363-2021</t>
        </is>
      </c>
      <c r="B927" s="1" t="n">
        <v>44201</v>
      </c>
      <c r="C927" s="1" t="n">
        <v>45648</v>
      </c>
      <c r="D927" t="inlineStr">
        <is>
          <t>JÄMTLANDS LÄN</t>
        </is>
      </c>
      <c r="E927" t="inlineStr">
        <is>
          <t>STRÖMSUND</t>
        </is>
      </c>
      <c r="F927" t="inlineStr">
        <is>
          <t>SCA</t>
        </is>
      </c>
      <c r="G927" t="n">
        <v>52.4</v>
      </c>
      <c r="H927" t="n">
        <v>0</v>
      </c>
      <c r="I927" t="n">
        <v>0</v>
      </c>
      <c r="J927" t="n">
        <v>0</v>
      </c>
      <c r="K927" t="n">
        <v>0</v>
      </c>
      <c r="L927" t="n">
        <v>0</v>
      </c>
      <c r="M927" t="n">
        <v>0</v>
      </c>
      <c r="N927" t="n">
        <v>0</v>
      </c>
      <c r="O927" t="n">
        <v>0</v>
      </c>
      <c r="P927" t="n">
        <v>0</v>
      </c>
      <c r="Q927" t="n">
        <v>0</v>
      </c>
      <c r="R927" s="2" t="inlineStr"/>
    </row>
    <row r="928" ht="15" customHeight="1">
      <c r="A928" t="inlineStr">
        <is>
          <t>A 457-2021</t>
        </is>
      </c>
      <c r="B928" s="1" t="n">
        <v>44202</v>
      </c>
      <c r="C928" s="1" t="n">
        <v>45648</v>
      </c>
      <c r="D928" t="inlineStr">
        <is>
          <t>JÄMTLANDS LÄN</t>
        </is>
      </c>
      <c r="E928" t="inlineStr">
        <is>
          <t>STRÖMSUND</t>
        </is>
      </c>
      <c r="G928" t="n">
        <v>2.3</v>
      </c>
      <c r="H928" t="n">
        <v>0</v>
      </c>
      <c r="I928" t="n">
        <v>0</v>
      </c>
      <c r="J928" t="n">
        <v>0</v>
      </c>
      <c r="K928" t="n">
        <v>0</v>
      </c>
      <c r="L928" t="n">
        <v>0</v>
      </c>
      <c r="M928" t="n">
        <v>0</v>
      </c>
      <c r="N928" t="n">
        <v>0</v>
      </c>
      <c r="O928" t="n">
        <v>0</v>
      </c>
      <c r="P928" t="n">
        <v>0</v>
      </c>
      <c r="Q928" t="n">
        <v>0</v>
      </c>
      <c r="R928" s="2" t="inlineStr"/>
    </row>
    <row r="929" ht="15" customHeight="1">
      <c r="A929" t="inlineStr">
        <is>
          <t>A 582-2021</t>
        </is>
      </c>
      <c r="B929" s="1" t="n">
        <v>44203</v>
      </c>
      <c r="C929" s="1" t="n">
        <v>45648</v>
      </c>
      <c r="D929" t="inlineStr">
        <is>
          <t>JÄMTLANDS LÄN</t>
        </is>
      </c>
      <c r="E929" t="inlineStr">
        <is>
          <t>STRÖMSUND</t>
        </is>
      </c>
      <c r="F929" t="inlineStr">
        <is>
          <t>SCA</t>
        </is>
      </c>
      <c r="G929" t="n">
        <v>54.9</v>
      </c>
      <c r="H929" t="n">
        <v>0</v>
      </c>
      <c r="I929" t="n">
        <v>0</v>
      </c>
      <c r="J929" t="n">
        <v>0</v>
      </c>
      <c r="K929" t="n">
        <v>0</v>
      </c>
      <c r="L929" t="n">
        <v>0</v>
      </c>
      <c r="M929" t="n">
        <v>0</v>
      </c>
      <c r="N929" t="n">
        <v>0</v>
      </c>
      <c r="O929" t="n">
        <v>0</v>
      </c>
      <c r="P929" t="n">
        <v>0</v>
      </c>
      <c r="Q929" t="n">
        <v>0</v>
      </c>
      <c r="R929" s="2" t="inlineStr"/>
    </row>
    <row r="930" ht="15" customHeight="1">
      <c r="A930" t="inlineStr">
        <is>
          <t>A 647-2021</t>
        </is>
      </c>
      <c r="B930" s="1" t="n">
        <v>44203</v>
      </c>
      <c r="C930" s="1" t="n">
        <v>45648</v>
      </c>
      <c r="D930" t="inlineStr">
        <is>
          <t>JÄMTLANDS LÄN</t>
        </is>
      </c>
      <c r="E930" t="inlineStr">
        <is>
          <t>STRÖMSUND</t>
        </is>
      </c>
      <c r="F930" t="inlineStr">
        <is>
          <t>SCA</t>
        </is>
      </c>
      <c r="G930" t="n">
        <v>151.3</v>
      </c>
      <c r="H930" t="n">
        <v>0</v>
      </c>
      <c r="I930" t="n">
        <v>0</v>
      </c>
      <c r="J930" t="n">
        <v>0</v>
      </c>
      <c r="K930" t="n">
        <v>0</v>
      </c>
      <c r="L930" t="n">
        <v>0</v>
      </c>
      <c r="M930" t="n">
        <v>0</v>
      </c>
      <c r="N930" t="n">
        <v>0</v>
      </c>
      <c r="O930" t="n">
        <v>0</v>
      </c>
      <c r="P930" t="n">
        <v>0</v>
      </c>
      <c r="Q930" t="n">
        <v>0</v>
      </c>
      <c r="R930" s="2" t="inlineStr"/>
    </row>
    <row r="931" ht="15" customHeight="1">
      <c r="A931" t="inlineStr">
        <is>
          <t>A 742-2021</t>
        </is>
      </c>
      <c r="B931" s="1" t="n">
        <v>44204</v>
      </c>
      <c r="C931" s="1" t="n">
        <v>45648</v>
      </c>
      <c r="D931" t="inlineStr">
        <is>
          <t>JÄMTLANDS LÄN</t>
        </is>
      </c>
      <c r="E931" t="inlineStr">
        <is>
          <t>STRÖMSUND</t>
        </is>
      </c>
      <c r="F931" t="inlineStr">
        <is>
          <t>SCA</t>
        </is>
      </c>
      <c r="G931" t="n">
        <v>22.8</v>
      </c>
      <c r="H931" t="n">
        <v>0</v>
      </c>
      <c r="I931" t="n">
        <v>0</v>
      </c>
      <c r="J931" t="n">
        <v>0</v>
      </c>
      <c r="K931" t="n">
        <v>0</v>
      </c>
      <c r="L931" t="n">
        <v>0</v>
      </c>
      <c r="M931" t="n">
        <v>0</v>
      </c>
      <c r="N931" t="n">
        <v>0</v>
      </c>
      <c r="O931" t="n">
        <v>0</v>
      </c>
      <c r="P931" t="n">
        <v>0</v>
      </c>
      <c r="Q931" t="n">
        <v>0</v>
      </c>
      <c r="R931" s="2" t="inlineStr"/>
    </row>
    <row r="932" ht="15" customHeight="1">
      <c r="A932" t="inlineStr">
        <is>
          <t>A 1305-2021</t>
        </is>
      </c>
      <c r="B932" s="1" t="n">
        <v>44207</v>
      </c>
      <c r="C932" s="1" t="n">
        <v>45648</v>
      </c>
      <c r="D932" t="inlineStr">
        <is>
          <t>JÄMTLANDS LÄN</t>
        </is>
      </c>
      <c r="E932" t="inlineStr">
        <is>
          <t>STRÖMSUND</t>
        </is>
      </c>
      <c r="G932" t="n">
        <v>0.8</v>
      </c>
      <c r="H932" t="n">
        <v>0</v>
      </c>
      <c r="I932" t="n">
        <v>0</v>
      </c>
      <c r="J932" t="n">
        <v>0</v>
      </c>
      <c r="K932" t="n">
        <v>0</v>
      </c>
      <c r="L932" t="n">
        <v>0</v>
      </c>
      <c r="M932" t="n">
        <v>0</v>
      </c>
      <c r="N932" t="n">
        <v>0</v>
      </c>
      <c r="O932" t="n">
        <v>0</v>
      </c>
      <c r="P932" t="n">
        <v>0</v>
      </c>
      <c r="Q932" t="n">
        <v>0</v>
      </c>
      <c r="R932" s="2" t="inlineStr"/>
    </row>
    <row r="933" ht="15" customHeight="1">
      <c r="A933" t="inlineStr">
        <is>
          <t>A 2159-2021</t>
        </is>
      </c>
      <c r="B933" s="1" t="n">
        <v>44211</v>
      </c>
      <c r="C933" s="1" t="n">
        <v>45648</v>
      </c>
      <c r="D933" t="inlineStr">
        <is>
          <t>JÄMTLANDS LÄN</t>
        </is>
      </c>
      <c r="E933" t="inlineStr">
        <is>
          <t>STRÖMSUND</t>
        </is>
      </c>
      <c r="G933" t="n">
        <v>0.6</v>
      </c>
      <c r="H933" t="n">
        <v>0</v>
      </c>
      <c r="I933" t="n">
        <v>0</v>
      </c>
      <c r="J933" t="n">
        <v>0</v>
      </c>
      <c r="K933" t="n">
        <v>0</v>
      </c>
      <c r="L933" t="n">
        <v>0</v>
      </c>
      <c r="M933" t="n">
        <v>0</v>
      </c>
      <c r="N933" t="n">
        <v>0</v>
      </c>
      <c r="O933" t="n">
        <v>0</v>
      </c>
      <c r="P933" t="n">
        <v>0</v>
      </c>
      <c r="Q933" t="n">
        <v>0</v>
      </c>
      <c r="R933" s="2" t="inlineStr"/>
    </row>
    <row r="934" ht="15" customHeight="1">
      <c r="A934" t="inlineStr">
        <is>
          <t>A 2432-2021</t>
        </is>
      </c>
      <c r="B934" s="1" t="n">
        <v>44211</v>
      </c>
      <c r="C934" s="1" t="n">
        <v>45648</v>
      </c>
      <c r="D934" t="inlineStr">
        <is>
          <t>JÄMTLANDS LÄN</t>
        </is>
      </c>
      <c r="E934" t="inlineStr">
        <is>
          <t>STRÖMSUND</t>
        </is>
      </c>
      <c r="G934" t="n">
        <v>1.5</v>
      </c>
      <c r="H934" t="n">
        <v>0</v>
      </c>
      <c r="I934" t="n">
        <v>0</v>
      </c>
      <c r="J934" t="n">
        <v>0</v>
      </c>
      <c r="K934" t="n">
        <v>0</v>
      </c>
      <c r="L934" t="n">
        <v>0</v>
      </c>
      <c r="M934" t="n">
        <v>0</v>
      </c>
      <c r="N934" t="n">
        <v>0</v>
      </c>
      <c r="O934" t="n">
        <v>0</v>
      </c>
      <c r="P934" t="n">
        <v>0</v>
      </c>
      <c r="Q934" t="n">
        <v>0</v>
      </c>
      <c r="R934" s="2" t="inlineStr"/>
    </row>
    <row r="935" ht="15" customHeight="1">
      <c r="A935" t="inlineStr">
        <is>
          <t>A 2549-2021</t>
        </is>
      </c>
      <c r="B935" s="1" t="n">
        <v>44214</v>
      </c>
      <c r="C935" s="1" t="n">
        <v>45648</v>
      </c>
      <c r="D935" t="inlineStr">
        <is>
          <t>JÄMTLANDS LÄN</t>
        </is>
      </c>
      <c r="E935" t="inlineStr">
        <is>
          <t>STRÖMSUND</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2660-2021</t>
        </is>
      </c>
      <c r="B936" s="1" t="n">
        <v>44215</v>
      </c>
      <c r="C936" s="1" t="n">
        <v>45648</v>
      </c>
      <c r="D936" t="inlineStr">
        <is>
          <t>JÄMTLANDS LÄN</t>
        </is>
      </c>
      <c r="E936" t="inlineStr">
        <is>
          <t>STRÖMSUND</t>
        </is>
      </c>
      <c r="G936" t="n">
        <v>11.2</v>
      </c>
      <c r="H936" t="n">
        <v>0</v>
      </c>
      <c r="I936" t="n">
        <v>0</v>
      </c>
      <c r="J936" t="n">
        <v>0</v>
      </c>
      <c r="K936" t="n">
        <v>0</v>
      </c>
      <c r="L936" t="n">
        <v>0</v>
      </c>
      <c r="M936" t="n">
        <v>0</v>
      </c>
      <c r="N936" t="n">
        <v>0</v>
      </c>
      <c r="O936" t="n">
        <v>0</v>
      </c>
      <c r="P936" t="n">
        <v>0</v>
      </c>
      <c r="Q936" t="n">
        <v>0</v>
      </c>
      <c r="R936" s="2" t="inlineStr"/>
    </row>
    <row r="937" ht="15" customHeight="1">
      <c r="A937" t="inlineStr">
        <is>
          <t>A 3186-2021</t>
        </is>
      </c>
      <c r="B937" s="1" t="n">
        <v>44217</v>
      </c>
      <c r="C937" s="1" t="n">
        <v>45648</v>
      </c>
      <c r="D937" t="inlineStr">
        <is>
          <t>JÄMTLANDS LÄN</t>
        </is>
      </c>
      <c r="E937" t="inlineStr">
        <is>
          <t>STRÖMSUND</t>
        </is>
      </c>
      <c r="G937" t="n">
        <v>13.7</v>
      </c>
      <c r="H937" t="n">
        <v>0</v>
      </c>
      <c r="I937" t="n">
        <v>0</v>
      </c>
      <c r="J937" t="n">
        <v>0</v>
      </c>
      <c r="K937" t="n">
        <v>0</v>
      </c>
      <c r="L937" t="n">
        <v>0</v>
      </c>
      <c r="M937" t="n">
        <v>0</v>
      </c>
      <c r="N937" t="n">
        <v>0</v>
      </c>
      <c r="O937" t="n">
        <v>0</v>
      </c>
      <c r="P937" t="n">
        <v>0</v>
      </c>
      <c r="Q937" t="n">
        <v>0</v>
      </c>
      <c r="R937" s="2" t="inlineStr"/>
    </row>
    <row r="938" ht="15" customHeight="1">
      <c r="A938" t="inlineStr">
        <is>
          <t>A 4004-2021</t>
        </is>
      </c>
      <c r="B938" s="1" t="n">
        <v>44222</v>
      </c>
      <c r="C938" s="1" t="n">
        <v>45648</v>
      </c>
      <c r="D938" t="inlineStr">
        <is>
          <t>JÄMTLANDS LÄN</t>
        </is>
      </c>
      <c r="E938" t="inlineStr">
        <is>
          <t>STRÖMSUND</t>
        </is>
      </c>
      <c r="F938" t="inlineStr">
        <is>
          <t>Kyrkan</t>
        </is>
      </c>
      <c r="G938" t="n">
        <v>5.9</v>
      </c>
      <c r="H938" t="n">
        <v>0</v>
      </c>
      <c r="I938" t="n">
        <v>0</v>
      </c>
      <c r="J938" t="n">
        <v>0</v>
      </c>
      <c r="K938" t="n">
        <v>0</v>
      </c>
      <c r="L938" t="n">
        <v>0</v>
      </c>
      <c r="M938" t="n">
        <v>0</v>
      </c>
      <c r="N938" t="n">
        <v>0</v>
      </c>
      <c r="O938" t="n">
        <v>0</v>
      </c>
      <c r="P938" t="n">
        <v>0</v>
      </c>
      <c r="Q938" t="n">
        <v>0</v>
      </c>
      <c r="R938" s="2" t="inlineStr"/>
    </row>
    <row r="939" ht="15" customHeight="1">
      <c r="A939" t="inlineStr">
        <is>
          <t>A 4135-2021</t>
        </is>
      </c>
      <c r="B939" s="1" t="n">
        <v>44223</v>
      </c>
      <c r="C939" s="1" t="n">
        <v>45648</v>
      </c>
      <c r="D939" t="inlineStr">
        <is>
          <t>JÄMTLANDS LÄN</t>
        </is>
      </c>
      <c r="E939" t="inlineStr">
        <is>
          <t>STRÖMSUND</t>
        </is>
      </c>
      <c r="F939" t="inlineStr">
        <is>
          <t>Holmen skog AB</t>
        </is>
      </c>
      <c r="G939" t="n">
        <v>1</v>
      </c>
      <c r="H939" t="n">
        <v>0</v>
      </c>
      <c r="I939" t="n">
        <v>0</v>
      </c>
      <c r="J939" t="n">
        <v>0</v>
      </c>
      <c r="K939" t="n">
        <v>0</v>
      </c>
      <c r="L939" t="n">
        <v>0</v>
      </c>
      <c r="M939" t="n">
        <v>0</v>
      </c>
      <c r="N939" t="n">
        <v>0</v>
      </c>
      <c r="O939" t="n">
        <v>0</v>
      </c>
      <c r="P939" t="n">
        <v>0</v>
      </c>
      <c r="Q939" t="n">
        <v>0</v>
      </c>
      <c r="R939" s="2" t="inlineStr"/>
    </row>
    <row r="940" ht="15" customHeight="1">
      <c r="A940" t="inlineStr">
        <is>
          <t>A 4662-2021</t>
        </is>
      </c>
      <c r="B940" s="1" t="n">
        <v>44224</v>
      </c>
      <c r="C940" s="1" t="n">
        <v>45648</v>
      </c>
      <c r="D940" t="inlineStr">
        <is>
          <t>JÄMTLANDS LÄN</t>
        </is>
      </c>
      <c r="E940" t="inlineStr">
        <is>
          <t>STRÖMSUND</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4661-2021</t>
        </is>
      </c>
      <c r="B941" s="1" t="n">
        <v>44224</v>
      </c>
      <c r="C941" s="1" t="n">
        <v>45648</v>
      </c>
      <c r="D941" t="inlineStr">
        <is>
          <t>JÄMTLANDS LÄN</t>
        </is>
      </c>
      <c r="E941" t="inlineStr">
        <is>
          <t>STRÖMSUND</t>
        </is>
      </c>
      <c r="F941" t="inlineStr">
        <is>
          <t>SCA</t>
        </is>
      </c>
      <c r="G941" t="n">
        <v>6.4</v>
      </c>
      <c r="H941" t="n">
        <v>0</v>
      </c>
      <c r="I941" t="n">
        <v>0</v>
      </c>
      <c r="J941" t="n">
        <v>0</v>
      </c>
      <c r="K941" t="n">
        <v>0</v>
      </c>
      <c r="L941" t="n">
        <v>0</v>
      </c>
      <c r="M941" t="n">
        <v>0</v>
      </c>
      <c r="N941" t="n">
        <v>0</v>
      </c>
      <c r="O941" t="n">
        <v>0</v>
      </c>
      <c r="P941" t="n">
        <v>0</v>
      </c>
      <c r="Q941" t="n">
        <v>0</v>
      </c>
      <c r="R941" s="2" t="inlineStr"/>
    </row>
    <row r="942" ht="15" customHeight="1">
      <c r="A942" t="inlineStr">
        <is>
          <t>A 5034-2021</t>
        </is>
      </c>
      <c r="B942" s="1" t="n">
        <v>44228</v>
      </c>
      <c r="C942" s="1" t="n">
        <v>45648</v>
      </c>
      <c r="D942" t="inlineStr">
        <is>
          <t>JÄMTLANDS LÄN</t>
        </is>
      </c>
      <c r="E942" t="inlineStr">
        <is>
          <t>STRÖMSUND</t>
        </is>
      </c>
      <c r="F942" t="inlineStr">
        <is>
          <t>Kommuner</t>
        </is>
      </c>
      <c r="G942" t="n">
        <v>1.2</v>
      </c>
      <c r="H942" t="n">
        <v>0</v>
      </c>
      <c r="I942" t="n">
        <v>0</v>
      </c>
      <c r="J942" t="n">
        <v>0</v>
      </c>
      <c r="K942" t="n">
        <v>0</v>
      </c>
      <c r="L942" t="n">
        <v>0</v>
      </c>
      <c r="M942" t="n">
        <v>0</v>
      </c>
      <c r="N942" t="n">
        <v>0</v>
      </c>
      <c r="O942" t="n">
        <v>0</v>
      </c>
      <c r="P942" t="n">
        <v>0</v>
      </c>
      <c r="Q942" t="n">
        <v>0</v>
      </c>
      <c r="R942" s="2" t="inlineStr"/>
    </row>
    <row r="943" ht="15" customHeight="1">
      <c r="A943" t="inlineStr">
        <is>
          <t>A 5384-2021</t>
        </is>
      </c>
      <c r="B943" s="1" t="n">
        <v>44228</v>
      </c>
      <c r="C943" s="1" t="n">
        <v>45648</v>
      </c>
      <c r="D943" t="inlineStr">
        <is>
          <t>JÄMTLANDS LÄN</t>
        </is>
      </c>
      <c r="E943" t="inlineStr">
        <is>
          <t>STRÖMSUND</t>
        </is>
      </c>
      <c r="G943" t="n">
        <v>18.3</v>
      </c>
      <c r="H943" t="n">
        <v>0</v>
      </c>
      <c r="I943" t="n">
        <v>0</v>
      </c>
      <c r="J943" t="n">
        <v>0</v>
      </c>
      <c r="K943" t="n">
        <v>0</v>
      </c>
      <c r="L943" t="n">
        <v>0</v>
      </c>
      <c r="M943" t="n">
        <v>0</v>
      </c>
      <c r="N943" t="n">
        <v>0</v>
      </c>
      <c r="O943" t="n">
        <v>0</v>
      </c>
      <c r="P943" t="n">
        <v>0</v>
      </c>
      <c r="Q943" t="n">
        <v>0</v>
      </c>
      <c r="R943" s="2" t="inlineStr"/>
    </row>
    <row r="944" ht="15" customHeight="1">
      <c r="A944" t="inlineStr">
        <is>
          <t>A 5464-2021</t>
        </is>
      </c>
      <c r="B944" s="1" t="n">
        <v>44229</v>
      </c>
      <c r="C944" s="1" t="n">
        <v>45648</v>
      </c>
      <c r="D944" t="inlineStr">
        <is>
          <t>JÄMTLANDS LÄN</t>
        </is>
      </c>
      <c r="E944" t="inlineStr">
        <is>
          <t>STRÖMSUND</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5470-2021</t>
        </is>
      </c>
      <c r="B945" s="1" t="n">
        <v>44229</v>
      </c>
      <c r="C945" s="1" t="n">
        <v>45648</v>
      </c>
      <c r="D945" t="inlineStr">
        <is>
          <t>JÄMTLANDS LÄN</t>
        </is>
      </c>
      <c r="E945" t="inlineStr">
        <is>
          <t>STRÖMSUND</t>
        </is>
      </c>
      <c r="F945" t="inlineStr">
        <is>
          <t>SCA</t>
        </is>
      </c>
      <c r="G945" t="n">
        <v>5</v>
      </c>
      <c r="H945" t="n">
        <v>0</v>
      </c>
      <c r="I945" t="n">
        <v>0</v>
      </c>
      <c r="J945" t="n">
        <v>0</v>
      </c>
      <c r="K945" t="n">
        <v>0</v>
      </c>
      <c r="L945" t="n">
        <v>0</v>
      </c>
      <c r="M945" t="n">
        <v>0</v>
      </c>
      <c r="N945" t="n">
        <v>0</v>
      </c>
      <c r="O945" t="n">
        <v>0</v>
      </c>
      <c r="P945" t="n">
        <v>0</v>
      </c>
      <c r="Q945" t="n">
        <v>0</v>
      </c>
      <c r="R945" s="2" t="inlineStr"/>
    </row>
    <row r="946" ht="15" customHeight="1">
      <c r="A946" t="inlineStr">
        <is>
          <t>A 5795-2021</t>
        </is>
      </c>
      <c r="B946" s="1" t="n">
        <v>44230</v>
      </c>
      <c r="C946" s="1" t="n">
        <v>45648</v>
      </c>
      <c r="D946" t="inlineStr">
        <is>
          <t>JÄMTLANDS LÄN</t>
        </is>
      </c>
      <c r="E946" t="inlineStr">
        <is>
          <t>STRÖMSUND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5794-2021</t>
        </is>
      </c>
      <c r="B947" s="1" t="n">
        <v>44230</v>
      </c>
      <c r="C947" s="1" t="n">
        <v>45648</v>
      </c>
      <c r="D947" t="inlineStr">
        <is>
          <t>JÄMTLANDS LÄN</t>
        </is>
      </c>
      <c r="E947" t="inlineStr">
        <is>
          <t>STRÖMSUND</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6386-2021</t>
        </is>
      </c>
      <c r="B948" s="1" t="n">
        <v>44232</v>
      </c>
      <c r="C948" s="1" t="n">
        <v>45648</v>
      </c>
      <c r="D948" t="inlineStr">
        <is>
          <t>JÄMTLANDS LÄN</t>
        </is>
      </c>
      <c r="E948" t="inlineStr">
        <is>
          <t>STRÖMSUND</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6394-2021</t>
        </is>
      </c>
      <c r="B949" s="1" t="n">
        <v>44232</v>
      </c>
      <c r="C949" s="1" t="n">
        <v>45648</v>
      </c>
      <c r="D949" t="inlineStr">
        <is>
          <t>JÄMTLANDS LÄN</t>
        </is>
      </c>
      <c r="E949" t="inlineStr">
        <is>
          <t>STRÖMSUND</t>
        </is>
      </c>
      <c r="F949" t="inlineStr">
        <is>
          <t>Kommuner</t>
        </is>
      </c>
      <c r="G949" t="n">
        <v>0.7</v>
      </c>
      <c r="H949" t="n">
        <v>0</v>
      </c>
      <c r="I949" t="n">
        <v>0</v>
      </c>
      <c r="J949" t="n">
        <v>0</v>
      </c>
      <c r="K949" t="n">
        <v>0</v>
      </c>
      <c r="L949" t="n">
        <v>0</v>
      </c>
      <c r="M949" t="n">
        <v>0</v>
      </c>
      <c r="N949" t="n">
        <v>0</v>
      </c>
      <c r="O949" t="n">
        <v>0</v>
      </c>
      <c r="P949" t="n">
        <v>0</v>
      </c>
      <c r="Q949" t="n">
        <v>0</v>
      </c>
      <c r="R949" s="2" t="inlineStr"/>
    </row>
    <row r="950" ht="15" customHeight="1">
      <c r="A950" t="inlineStr">
        <is>
          <t>A 6371-2021</t>
        </is>
      </c>
      <c r="B950" s="1" t="n">
        <v>44232</v>
      </c>
      <c r="C950" s="1" t="n">
        <v>45648</v>
      </c>
      <c r="D950" t="inlineStr">
        <is>
          <t>JÄMTLANDS LÄN</t>
        </is>
      </c>
      <c r="E950" t="inlineStr">
        <is>
          <t>STRÖMSUND</t>
        </is>
      </c>
      <c r="F950" t="inlineStr">
        <is>
          <t>Kommuner</t>
        </is>
      </c>
      <c r="G950" t="n">
        <v>1.3</v>
      </c>
      <c r="H950" t="n">
        <v>0</v>
      </c>
      <c r="I950" t="n">
        <v>0</v>
      </c>
      <c r="J950" t="n">
        <v>0</v>
      </c>
      <c r="K950" t="n">
        <v>0</v>
      </c>
      <c r="L950" t="n">
        <v>0</v>
      </c>
      <c r="M950" t="n">
        <v>0</v>
      </c>
      <c r="N950" t="n">
        <v>0</v>
      </c>
      <c r="O950" t="n">
        <v>0</v>
      </c>
      <c r="P950" t="n">
        <v>0</v>
      </c>
      <c r="Q950" t="n">
        <v>0</v>
      </c>
      <c r="R950" s="2" t="inlineStr"/>
    </row>
    <row r="951" ht="15" customHeight="1">
      <c r="A951" t="inlineStr">
        <is>
          <t>A 7268-2021</t>
        </is>
      </c>
      <c r="B951" s="1" t="n">
        <v>44238</v>
      </c>
      <c r="C951" s="1" t="n">
        <v>45648</v>
      </c>
      <c r="D951" t="inlineStr">
        <is>
          <t>JÄMTLANDS LÄN</t>
        </is>
      </c>
      <c r="E951" t="inlineStr">
        <is>
          <t>STRÖMSUND</t>
        </is>
      </c>
      <c r="G951" t="n">
        <v>5.2</v>
      </c>
      <c r="H951" t="n">
        <v>0</v>
      </c>
      <c r="I951" t="n">
        <v>0</v>
      </c>
      <c r="J951" t="n">
        <v>0</v>
      </c>
      <c r="K951" t="n">
        <v>0</v>
      </c>
      <c r="L951" t="n">
        <v>0</v>
      </c>
      <c r="M951" t="n">
        <v>0</v>
      </c>
      <c r="N951" t="n">
        <v>0</v>
      </c>
      <c r="O951" t="n">
        <v>0</v>
      </c>
      <c r="P951" t="n">
        <v>0</v>
      </c>
      <c r="Q951" t="n">
        <v>0</v>
      </c>
      <c r="R951" s="2" t="inlineStr"/>
    </row>
    <row r="952" ht="15" customHeight="1">
      <c r="A952" t="inlineStr">
        <is>
          <t>A 7697-2021</t>
        </is>
      </c>
      <c r="B952" s="1" t="n">
        <v>44239</v>
      </c>
      <c r="C952" s="1" t="n">
        <v>45648</v>
      </c>
      <c r="D952" t="inlineStr">
        <is>
          <t>JÄMTLANDS LÄN</t>
        </is>
      </c>
      <c r="E952" t="inlineStr">
        <is>
          <t>STRÖMSUND</t>
        </is>
      </c>
      <c r="G952" t="n">
        <v>2.7</v>
      </c>
      <c r="H952" t="n">
        <v>0</v>
      </c>
      <c r="I952" t="n">
        <v>0</v>
      </c>
      <c r="J952" t="n">
        <v>0</v>
      </c>
      <c r="K952" t="n">
        <v>0</v>
      </c>
      <c r="L952" t="n">
        <v>0</v>
      </c>
      <c r="M952" t="n">
        <v>0</v>
      </c>
      <c r="N952" t="n">
        <v>0</v>
      </c>
      <c r="O952" t="n">
        <v>0</v>
      </c>
      <c r="P952" t="n">
        <v>0</v>
      </c>
      <c r="Q952" t="n">
        <v>0</v>
      </c>
      <c r="R952" s="2" t="inlineStr"/>
    </row>
    <row r="953" ht="15" customHeight="1">
      <c r="A953" t="inlineStr">
        <is>
          <t>A 8016-2021</t>
        </is>
      </c>
      <c r="B953" s="1" t="n">
        <v>44243</v>
      </c>
      <c r="C953" s="1" t="n">
        <v>45648</v>
      </c>
      <c r="D953" t="inlineStr">
        <is>
          <t>JÄMTLANDS LÄN</t>
        </is>
      </c>
      <c r="E953" t="inlineStr">
        <is>
          <t>STRÖMSUND</t>
        </is>
      </c>
      <c r="G953" t="n">
        <v>2.8</v>
      </c>
      <c r="H953" t="n">
        <v>0</v>
      </c>
      <c r="I953" t="n">
        <v>0</v>
      </c>
      <c r="J953" t="n">
        <v>0</v>
      </c>
      <c r="K953" t="n">
        <v>0</v>
      </c>
      <c r="L953" t="n">
        <v>0</v>
      </c>
      <c r="M953" t="n">
        <v>0</v>
      </c>
      <c r="N953" t="n">
        <v>0</v>
      </c>
      <c r="O953" t="n">
        <v>0</v>
      </c>
      <c r="P953" t="n">
        <v>0</v>
      </c>
      <c r="Q953" t="n">
        <v>0</v>
      </c>
      <c r="R953" s="2" t="inlineStr"/>
    </row>
    <row r="954" ht="15" customHeight="1">
      <c r="A954" t="inlineStr">
        <is>
          <t>A 8020-2021</t>
        </is>
      </c>
      <c r="B954" s="1" t="n">
        <v>44243</v>
      </c>
      <c r="C954" s="1" t="n">
        <v>45648</v>
      </c>
      <c r="D954" t="inlineStr">
        <is>
          <t>JÄMTLANDS LÄN</t>
        </is>
      </c>
      <c r="E954" t="inlineStr">
        <is>
          <t>STRÖMSUND</t>
        </is>
      </c>
      <c r="G954" t="n">
        <v>2.7</v>
      </c>
      <c r="H954" t="n">
        <v>0</v>
      </c>
      <c r="I954" t="n">
        <v>0</v>
      </c>
      <c r="J954" t="n">
        <v>0</v>
      </c>
      <c r="K954" t="n">
        <v>0</v>
      </c>
      <c r="L954" t="n">
        <v>0</v>
      </c>
      <c r="M954" t="n">
        <v>0</v>
      </c>
      <c r="N954" t="n">
        <v>0</v>
      </c>
      <c r="O954" t="n">
        <v>0</v>
      </c>
      <c r="P954" t="n">
        <v>0</v>
      </c>
      <c r="Q954" t="n">
        <v>0</v>
      </c>
      <c r="R954" s="2" t="inlineStr"/>
    </row>
    <row r="955" ht="15" customHeight="1">
      <c r="A955" t="inlineStr">
        <is>
          <t>A 8364-2021</t>
        </is>
      </c>
      <c r="B955" s="1" t="n">
        <v>44244</v>
      </c>
      <c r="C955" s="1" t="n">
        <v>45648</v>
      </c>
      <c r="D955" t="inlineStr">
        <is>
          <t>JÄMTLANDS LÄN</t>
        </is>
      </c>
      <c r="E955" t="inlineStr">
        <is>
          <t>STRÖMSUND</t>
        </is>
      </c>
      <c r="G955" t="n">
        <v>1</v>
      </c>
      <c r="H955" t="n">
        <v>0</v>
      </c>
      <c r="I955" t="n">
        <v>0</v>
      </c>
      <c r="J955" t="n">
        <v>0</v>
      </c>
      <c r="K955" t="n">
        <v>0</v>
      </c>
      <c r="L955" t="n">
        <v>0</v>
      </c>
      <c r="M955" t="n">
        <v>0</v>
      </c>
      <c r="N955" t="n">
        <v>0</v>
      </c>
      <c r="O955" t="n">
        <v>0</v>
      </c>
      <c r="P955" t="n">
        <v>0</v>
      </c>
      <c r="Q955" t="n">
        <v>0</v>
      </c>
      <c r="R955" s="2" t="inlineStr"/>
    </row>
    <row r="956" ht="15" customHeight="1">
      <c r="A956" t="inlineStr">
        <is>
          <t>A 8979-2021</t>
        </is>
      </c>
      <c r="B956" s="1" t="n">
        <v>44246</v>
      </c>
      <c r="C956" s="1" t="n">
        <v>45648</v>
      </c>
      <c r="D956" t="inlineStr">
        <is>
          <t>JÄMTLANDS LÄN</t>
        </is>
      </c>
      <c r="E956" t="inlineStr">
        <is>
          <t>STRÖMSUND</t>
        </is>
      </c>
      <c r="G956" t="n">
        <v>40.4</v>
      </c>
      <c r="H956" t="n">
        <v>0</v>
      </c>
      <c r="I956" t="n">
        <v>0</v>
      </c>
      <c r="J956" t="n">
        <v>0</v>
      </c>
      <c r="K956" t="n">
        <v>0</v>
      </c>
      <c r="L956" t="n">
        <v>0</v>
      </c>
      <c r="M956" t="n">
        <v>0</v>
      </c>
      <c r="N956" t="n">
        <v>0</v>
      </c>
      <c r="O956" t="n">
        <v>0</v>
      </c>
      <c r="P956" t="n">
        <v>0</v>
      </c>
      <c r="Q956" t="n">
        <v>0</v>
      </c>
      <c r="R956" s="2" t="inlineStr"/>
    </row>
    <row r="957" ht="15" customHeight="1">
      <c r="A957" t="inlineStr">
        <is>
          <t>A 10528-2021</t>
        </is>
      </c>
      <c r="B957" s="1" t="n">
        <v>44257</v>
      </c>
      <c r="C957" s="1" t="n">
        <v>45648</v>
      </c>
      <c r="D957" t="inlineStr">
        <is>
          <t>JÄMTLANDS LÄN</t>
        </is>
      </c>
      <c r="E957" t="inlineStr">
        <is>
          <t>STRÖMSUND</t>
        </is>
      </c>
      <c r="G957" t="n">
        <v>12.8</v>
      </c>
      <c r="H957" t="n">
        <v>0</v>
      </c>
      <c r="I957" t="n">
        <v>0</v>
      </c>
      <c r="J957" t="n">
        <v>0</v>
      </c>
      <c r="K957" t="n">
        <v>0</v>
      </c>
      <c r="L957" t="n">
        <v>0</v>
      </c>
      <c r="M957" t="n">
        <v>0</v>
      </c>
      <c r="N957" t="n">
        <v>0</v>
      </c>
      <c r="O957" t="n">
        <v>0</v>
      </c>
      <c r="P957" t="n">
        <v>0</v>
      </c>
      <c r="Q957" t="n">
        <v>0</v>
      </c>
      <c r="R957" s="2" t="inlineStr"/>
    </row>
    <row r="958" ht="15" customHeight="1">
      <c r="A958" t="inlineStr">
        <is>
          <t>A 11034-2021</t>
        </is>
      </c>
      <c r="B958" s="1" t="n">
        <v>44260</v>
      </c>
      <c r="C958" s="1" t="n">
        <v>45648</v>
      </c>
      <c r="D958" t="inlineStr">
        <is>
          <t>JÄMTLANDS LÄN</t>
        </is>
      </c>
      <c r="E958" t="inlineStr">
        <is>
          <t>STRÖMSUND</t>
        </is>
      </c>
      <c r="G958" t="n">
        <v>8.5</v>
      </c>
      <c r="H958" t="n">
        <v>0</v>
      </c>
      <c r="I958" t="n">
        <v>0</v>
      </c>
      <c r="J958" t="n">
        <v>0</v>
      </c>
      <c r="K958" t="n">
        <v>0</v>
      </c>
      <c r="L958" t="n">
        <v>0</v>
      </c>
      <c r="M958" t="n">
        <v>0</v>
      </c>
      <c r="N958" t="n">
        <v>0</v>
      </c>
      <c r="O958" t="n">
        <v>0</v>
      </c>
      <c r="P958" t="n">
        <v>0</v>
      </c>
      <c r="Q958" t="n">
        <v>0</v>
      </c>
      <c r="R958" s="2" t="inlineStr"/>
    </row>
    <row r="959" ht="15" customHeight="1">
      <c r="A959" t="inlineStr">
        <is>
          <t>A 11508-2021</t>
        </is>
      </c>
      <c r="B959" s="1" t="n">
        <v>44264</v>
      </c>
      <c r="C959" s="1" t="n">
        <v>45648</v>
      </c>
      <c r="D959" t="inlineStr">
        <is>
          <t>JÄMTLANDS LÄN</t>
        </is>
      </c>
      <c r="E959" t="inlineStr">
        <is>
          <t>STRÖMSUND</t>
        </is>
      </c>
      <c r="F959" t="inlineStr">
        <is>
          <t>Kyrkan</t>
        </is>
      </c>
      <c r="G959" t="n">
        <v>3.5</v>
      </c>
      <c r="H959" t="n">
        <v>0</v>
      </c>
      <c r="I959" t="n">
        <v>0</v>
      </c>
      <c r="J959" t="n">
        <v>0</v>
      </c>
      <c r="K959" t="n">
        <v>0</v>
      </c>
      <c r="L959" t="n">
        <v>0</v>
      </c>
      <c r="M959" t="n">
        <v>0</v>
      </c>
      <c r="N959" t="n">
        <v>0</v>
      </c>
      <c r="O959" t="n">
        <v>0</v>
      </c>
      <c r="P959" t="n">
        <v>0</v>
      </c>
      <c r="Q959" t="n">
        <v>0</v>
      </c>
      <c r="R959" s="2" t="inlineStr"/>
    </row>
    <row r="960" ht="15" customHeight="1">
      <c r="A960" t="inlineStr">
        <is>
          <t>A 12250-2021</t>
        </is>
      </c>
      <c r="B960" s="1" t="n">
        <v>44266</v>
      </c>
      <c r="C960" s="1" t="n">
        <v>45648</v>
      </c>
      <c r="D960" t="inlineStr">
        <is>
          <t>JÄMTLANDS LÄN</t>
        </is>
      </c>
      <c r="E960" t="inlineStr">
        <is>
          <t>STRÖMSUND</t>
        </is>
      </c>
      <c r="G960" t="n">
        <v>5</v>
      </c>
      <c r="H960" t="n">
        <v>0</v>
      </c>
      <c r="I960" t="n">
        <v>0</v>
      </c>
      <c r="J960" t="n">
        <v>0</v>
      </c>
      <c r="K960" t="n">
        <v>0</v>
      </c>
      <c r="L960" t="n">
        <v>0</v>
      </c>
      <c r="M960" t="n">
        <v>0</v>
      </c>
      <c r="N960" t="n">
        <v>0</v>
      </c>
      <c r="O960" t="n">
        <v>0</v>
      </c>
      <c r="P960" t="n">
        <v>0</v>
      </c>
      <c r="Q960" t="n">
        <v>0</v>
      </c>
      <c r="R960" s="2" t="inlineStr"/>
    </row>
    <row r="961" ht="15" customHeight="1">
      <c r="A961" t="inlineStr">
        <is>
          <t>A 12186-2021</t>
        </is>
      </c>
      <c r="B961" s="1" t="n">
        <v>44266</v>
      </c>
      <c r="C961" s="1" t="n">
        <v>45648</v>
      </c>
      <c r="D961" t="inlineStr">
        <is>
          <t>JÄMTLANDS LÄN</t>
        </is>
      </c>
      <c r="E961" t="inlineStr">
        <is>
          <t>STRÖMSUND</t>
        </is>
      </c>
      <c r="G961" t="n">
        <v>3</v>
      </c>
      <c r="H961" t="n">
        <v>0</v>
      </c>
      <c r="I961" t="n">
        <v>0</v>
      </c>
      <c r="J961" t="n">
        <v>0</v>
      </c>
      <c r="K961" t="n">
        <v>0</v>
      </c>
      <c r="L961" t="n">
        <v>0</v>
      </c>
      <c r="M961" t="n">
        <v>0</v>
      </c>
      <c r="N961" t="n">
        <v>0</v>
      </c>
      <c r="O961" t="n">
        <v>0</v>
      </c>
      <c r="P961" t="n">
        <v>0</v>
      </c>
      <c r="Q961" t="n">
        <v>0</v>
      </c>
      <c r="R961" s="2" t="inlineStr"/>
    </row>
    <row r="962" ht="15" customHeight="1">
      <c r="A962" t="inlineStr">
        <is>
          <t>A 12428-2021</t>
        </is>
      </c>
      <c r="B962" s="1" t="n">
        <v>44267</v>
      </c>
      <c r="C962" s="1" t="n">
        <v>45648</v>
      </c>
      <c r="D962" t="inlineStr">
        <is>
          <t>JÄMTLANDS LÄN</t>
        </is>
      </c>
      <c r="E962" t="inlineStr">
        <is>
          <t>STRÖMSUND</t>
        </is>
      </c>
      <c r="G962" t="n">
        <v>19.6</v>
      </c>
      <c r="H962" t="n">
        <v>0</v>
      </c>
      <c r="I962" t="n">
        <v>0</v>
      </c>
      <c r="J962" t="n">
        <v>0</v>
      </c>
      <c r="K962" t="n">
        <v>0</v>
      </c>
      <c r="L962" t="n">
        <v>0</v>
      </c>
      <c r="M962" t="n">
        <v>0</v>
      </c>
      <c r="N962" t="n">
        <v>0</v>
      </c>
      <c r="O962" t="n">
        <v>0</v>
      </c>
      <c r="P962" t="n">
        <v>0</v>
      </c>
      <c r="Q962" t="n">
        <v>0</v>
      </c>
      <c r="R962" s="2" t="inlineStr"/>
    </row>
    <row r="963" ht="15" customHeight="1">
      <c r="A963" t="inlineStr">
        <is>
          <t>A 12840-2021</t>
        </is>
      </c>
      <c r="B963" s="1" t="n">
        <v>44270</v>
      </c>
      <c r="C963" s="1" t="n">
        <v>45648</v>
      </c>
      <c r="D963" t="inlineStr">
        <is>
          <t>JÄMTLANDS LÄN</t>
        </is>
      </c>
      <c r="E963" t="inlineStr">
        <is>
          <t>STRÖMSUND</t>
        </is>
      </c>
      <c r="G963" t="n">
        <v>15.5</v>
      </c>
      <c r="H963" t="n">
        <v>0</v>
      </c>
      <c r="I963" t="n">
        <v>0</v>
      </c>
      <c r="J963" t="n">
        <v>0</v>
      </c>
      <c r="K963" t="n">
        <v>0</v>
      </c>
      <c r="L963" t="n">
        <v>0</v>
      </c>
      <c r="M963" t="n">
        <v>0</v>
      </c>
      <c r="N963" t="n">
        <v>0</v>
      </c>
      <c r="O963" t="n">
        <v>0</v>
      </c>
      <c r="P963" t="n">
        <v>0</v>
      </c>
      <c r="Q963" t="n">
        <v>0</v>
      </c>
      <c r="R963" s="2" t="inlineStr"/>
    </row>
    <row r="964" ht="15" customHeight="1">
      <c r="A964" t="inlineStr">
        <is>
          <t>A 13041-2021</t>
        </is>
      </c>
      <c r="B964" s="1" t="n">
        <v>44271</v>
      </c>
      <c r="C964" s="1" t="n">
        <v>45648</v>
      </c>
      <c r="D964" t="inlineStr">
        <is>
          <t>JÄMTLANDS LÄN</t>
        </is>
      </c>
      <c r="E964" t="inlineStr">
        <is>
          <t>STRÖMSUND</t>
        </is>
      </c>
      <c r="G964" t="n">
        <v>0.7</v>
      </c>
      <c r="H964" t="n">
        <v>0</v>
      </c>
      <c r="I964" t="n">
        <v>0</v>
      </c>
      <c r="J964" t="n">
        <v>0</v>
      </c>
      <c r="K964" t="n">
        <v>0</v>
      </c>
      <c r="L964" t="n">
        <v>0</v>
      </c>
      <c r="M964" t="n">
        <v>0</v>
      </c>
      <c r="N964" t="n">
        <v>0</v>
      </c>
      <c r="O964" t="n">
        <v>0</v>
      </c>
      <c r="P964" t="n">
        <v>0</v>
      </c>
      <c r="Q964" t="n">
        <v>0</v>
      </c>
      <c r="R964" s="2" t="inlineStr"/>
    </row>
    <row r="965" ht="15" customHeight="1">
      <c r="A965" t="inlineStr">
        <is>
          <t>A 13563-2021</t>
        </is>
      </c>
      <c r="B965" s="1" t="n">
        <v>44273</v>
      </c>
      <c r="C965" s="1" t="n">
        <v>45648</v>
      </c>
      <c r="D965" t="inlineStr">
        <is>
          <t>JÄMTLANDS LÄN</t>
        </is>
      </c>
      <c r="E965" t="inlineStr">
        <is>
          <t>STRÖMSUND</t>
        </is>
      </c>
      <c r="G965" t="n">
        <v>27.1</v>
      </c>
      <c r="H965" t="n">
        <v>0</v>
      </c>
      <c r="I965" t="n">
        <v>0</v>
      </c>
      <c r="J965" t="n">
        <v>0</v>
      </c>
      <c r="K965" t="n">
        <v>0</v>
      </c>
      <c r="L965" t="n">
        <v>0</v>
      </c>
      <c r="M965" t="n">
        <v>0</v>
      </c>
      <c r="N965" t="n">
        <v>0</v>
      </c>
      <c r="O965" t="n">
        <v>0</v>
      </c>
      <c r="P965" t="n">
        <v>0</v>
      </c>
      <c r="Q965" t="n">
        <v>0</v>
      </c>
      <c r="R965" s="2" t="inlineStr"/>
    </row>
    <row r="966" ht="15" customHeight="1">
      <c r="A966" t="inlineStr">
        <is>
          <t>A 14067-2021</t>
        </is>
      </c>
      <c r="B966" s="1" t="n">
        <v>44277</v>
      </c>
      <c r="C966" s="1" t="n">
        <v>45648</v>
      </c>
      <c r="D966" t="inlineStr">
        <is>
          <t>JÄMTLANDS LÄN</t>
        </is>
      </c>
      <c r="E966" t="inlineStr">
        <is>
          <t>STRÖMSUND</t>
        </is>
      </c>
      <c r="G966" t="n">
        <v>27.7</v>
      </c>
      <c r="H966" t="n">
        <v>0</v>
      </c>
      <c r="I966" t="n">
        <v>0</v>
      </c>
      <c r="J966" t="n">
        <v>0</v>
      </c>
      <c r="K966" t="n">
        <v>0</v>
      </c>
      <c r="L966" t="n">
        <v>0</v>
      </c>
      <c r="M966" t="n">
        <v>0</v>
      </c>
      <c r="N966" t="n">
        <v>0</v>
      </c>
      <c r="O966" t="n">
        <v>0</v>
      </c>
      <c r="P966" t="n">
        <v>0</v>
      </c>
      <c r="Q966" t="n">
        <v>0</v>
      </c>
      <c r="R966" s="2" t="inlineStr"/>
    </row>
    <row r="967" ht="15" customHeight="1">
      <c r="A967" t="inlineStr">
        <is>
          <t>A 14147-2021</t>
        </is>
      </c>
      <c r="B967" s="1" t="n">
        <v>44278</v>
      </c>
      <c r="C967" s="1" t="n">
        <v>45648</v>
      </c>
      <c r="D967" t="inlineStr">
        <is>
          <t>JÄMTLANDS LÄN</t>
        </is>
      </c>
      <c r="E967" t="inlineStr">
        <is>
          <t>STRÖMSUND</t>
        </is>
      </c>
      <c r="G967" t="n">
        <v>3.9</v>
      </c>
      <c r="H967" t="n">
        <v>0</v>
      </c>
      <c r="I967" t="n">
        <v>0</v>
      </c>
      <c r="J967" t="n">
        <v>0</v>
      </c>
      <c r="K967" t="n">
        <v>0</v>
      </c>
      <c r="L967" t="n">
        <v>0</v>
      </c>
      <c r="M967" t="n">
        <v>0</v>
      </c>
      <c r="N967" t="n">
        <v>0</v>
      </c>
      <c r="O967" t="n">
        <v>0</v>
      </c>
      <c r="P967" t="n">
        <v>0</v>
      </c>
      <c r="Q967" t="n">
        <v>0</v>
      </c>
      <c r="R967" s="2" t="inlineStr"/>
    </row>
    <row r="968" ht="15" customHeight="1">
      <c r="A968" t="inlineStr">
        <is>
          <t>A 15118-2021</t>
        </is>
      </c>
      <c r="B968" s="1" t="n">
        <v>44282</v>
      </c>
      <c r="C968" s="1" t="n">
        <v>45648</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15355-2021</t>
        </is>
      </c>
      <c r="B969" s="1" t="n">
        <v>44284</v>
      </c>
      <c r="C969" s="1" t="n">
        <v>45648</v>
      </c>
      <c r="D969" t="inlineStr">
        <is>
          <t>JÄMTLANDS LÄN</t>
        </is>
      </c>
      <c r="E969" t="inlineStr">
        <is>
          <t>STRÖMSUND</t>
        </is>
      </c>
      <c r="G969" t="n">
        <v>0.9</v>
      </c>
      <c r="H969" t="n">
        <v>0</v>
      </c>
      <c r="I969" t="n">
        <v>0</v>
      </c>
      <c r="J969" t="n">
        <v>0</v>
      </c>
      <c r="K969" t="n">
        <v>0</v>
      </c>
      <c r="L969" t="n">
        <v>0</v>
      </c>
      <c r="M969" t="n">
        <v>0</v>
      </c>
      <c r="N969" t="n">
        <v>0</v>
      </c>
      <c r="O969" t="n">
        <v>0</v>
      </c>
      <c r="P969" t="n">
        <v>0</v>
      </c>
      <c r="Q969" t="n">
        <v>0</v>
      </c>
      <c r="R969" s="2" t="inlineStr"/>
    </row>
    <row r="970" ht="15" customHeight="1">
      <c r="A970" t="inlineStr">
        <is>
          <t>A 15360-2021</t>
        </is>
      </c>
      <c r="B970" s="1" t="n">
        <v>44284</v>
      </c>
      <c r="C970" s="1" t="n">
        <v>45648</v>
      </c>
      <c r="D970" t="inlineStr">
        <is>
          <t>JÄMTLANDS LÄN</t>
        </is>
      </c>
      <c r="E970" t="inlineStr">
        <is>
          <t>STRÖMSUND</t>
        </is>
      </c>
      <c r="G970" t="n">
        <v>1.2</v>
      </c>
      <c r="H970" t="n">
        <v>0</v>
      </c>
      <c r="I970" t="n">
        <v>0</v>
      </c>
      <c r="J970" t="n">
        <v>0</v>
      </c>
      <c r="K970" t="n">
        <v>0</v>
      </c>
      <c r="L970" t="n">
        <v>0</v>
      </c>
      <c r="M970" t="n">
        <v>0</v>
      </c>
      <c r="N970" t="n">
        <v>0</v>
      </c>
      <c r="O970" t="n">
        <v>0</v>
      </c>
      <c r="P970" t="n">
        <v>0</v>
      </c>
      <c r="Q970" t="n">
        <v>0</v>
      </c>
      <c r="R970" s="2" t="inlineStr"/>
    </row>
    <row r="971" ht="15" customHeight="1">
      <c r="A971" t="inlineStr">
        <is>
          <t>A 15371-2021</t>
        </is>
      </c>
      <c r="B971" s="1" t="n">
        <v>44284</v>
      </c>
      <c r="C971" s="1" t="n">
        <v>45648</v>
      </c>
      <c r="D971" t="inlineStr">
        <is>
          <t>JÄMTLANDS LÄN</t>
        </is>
      </c>
      <c r="E971" t="inlineStr">
        <is>
          <t>STRÖMSUND</t>
        </is>
      </c>
      <c r="G971" t="n">
        <v>10.7</v>
      </c>
      <c r="H971" t="n">
        <v>0</v>
      </c>
      <c r="I971" t="n">
        <v>0</v>
      </c>
      <c r="J971" t="n">
        <v>0</v>
      </c>
      <c r="K971" t="n">
        <v>0</v>
      </c>
      <c r="L971" t="n">
        <v>0</v>
      </c>
      <c r="M971" t="n">
        <v>0</v>
      </c>
      <c r="N971" t="n">
        <v>0</v>
      </c>
      <c r="O971" t="n">
        <v>0</v>
      </c>
      <c r="P971" t="n">
        <v>0</v>
      </c>
      <c r="Q971" t="n">
        <v>0</v>
      </c>
      <c r="R971" s="2" t="inlineStr"/>
    </row>
    <row r="972" ht="15" customHeight="1">
      <c r="A972" t="inlineStr">
        <is>
          <t>A 15650-2021</t>
        </is>
      </c>
      <c r="B972" s="1" t="n">
        <v>44285</v>
      </c>
      <c r="C972" s="1" t="n">
        <v>45648</v>
      </c>
      <c r="D972" t="inlineStr">
        <is>
          <t>JÄMTLANDS LÄN</t>
        </is>
      </c>
      <c r="E972" t="inlineStr">
        <is>
          <t>STRÖMSUND</t>
        </is>
      </c>
      <c r="F972" t="inlineStr">
        <is>
          <t>SCA</t>
        </is>
      </c>
      <c r="G972" t="n">
        <v>9.6</v>
      </c>
      <c r="H972" t="n">
        <v>0</v>
      </c>
      <c r="I972" t="n">
        <v>0</v>
      </c>
      <c r="J972" t="n">
        <v>0</v>
      </c>
      <c r="K972" t="n">
        <v>0</v>
      </c>
      <c r="L972" t="n">
        <v>0</v>
      </c>
      <c r="M972" t="n">
        <v>0</v>
      </c>
      <c r="N972" t="n">
        <v>0</v>
      </c>
      <c r="O972" t="n">
        <v>0</v>
      </c>
      <c r="P972" t="n">
        <v>0</v>
      </c>
      <c r="Q972" t="n">
        <v>0</v>
      </c>
      <c r="R972" s="2" t="inlineStr"/>
    </row>
    <row r="973" ht="15" customHeight="1">
      <c r="A973" t="inlineStr">
        <is>
          <t>A 16128-2021</t>
        </is>
      </c>
      <c r="B973" s="1" t="n">
        <v>44291</v>
      </c>
      <c r="C973" s="1" t="n">
        <v>45648</v>
      </c>
      <c r="D973" t="inlineStr">
        <is>
          <t>JÄMTLANDS LÄN</t>
        </is>
      </c>
      <c r="E973" t="inlineStr">
        <is>
          <t>STRÖMSUND</t>
        </is>
      </c>
      <c r="G973" t="n">
        <v>1.7</v>
      </c>
      <c r="H973" t="n">
        <v>0</v>
      </c>
      <c r="I973" t="n">
        <v>0</v>
      </c>
      <c r="J973" t="n">
        <v>0</v>
      </c>
      <c r="K973" t="n">
        <v>0</v>
      </c>
      <c r="L973" t="n">
        <v>0</v>
      </c>
      <c r="M973" t="n">
        <v>0</v>
      </c>
      <c r="N973" t="n">
        <v>0</v>
      </c>
      <c r="O973" t="n">
        <v>0</v>
      </c>
      <c r="P973" t="n">
        <v>0</v>
      </c>
      <c r="Q973" t="n">
        <v>0</v>
      </c>
      <c r="R973" s="2" t="inlineStr"/>
    </row>
    <row r="974" ht="15" customHeight="1">
      <c r="A974" t="inlineStr">
        <is>
          <t>A 16774-2021</t>
        </is>
      </c>
      <c r="B974" s="1" t="n">
        <v>44294</v>
      </c>
      <c r="C974" s="1" t="n">
        <v>45648</v>
      </c>
      <c r="D974" t="inlineStr">
        <is>
          <t>JÄMTLANDS LÄN</t>
        </is>
      </c>
      <c r="E974" t="inlineStr">
        <is>
          <t>STRÖMSUND</t>
        </is>
      </c>
      <c r="G974" t="n">
        <v>10.5</v>
      </c>
      <c r="H974" t="n">
        <v>0</v>
      </c>
      <c r="I974" t="n">
        <v>0</v>
      </c>
      <c r="J974" t="n">
        <v>0</v>
      </c>
      <c r="K974" t="n">
        <v>0</v>
      </c>
      <c r="L974" t="n">
        <v>0</v>
      </c>
      <c r="M974" t="n">
        <v>0</v>
      </c>
      <c r="N974" t="n">
        <v>0</v>
      </c>
      <c r="O974" t="n">
        <v>0</v>
      </c>
      <c r="P974" t="n">
        <v>0</v>
      </c>
      <c r="Q974" t="n">
        <v>0</v>
      </c>
      <c r="R974" s="2" t="inlineStr"/>
    </row>
    <row r="975" ht="15" customHeight="1">
      <c r="A975" t="inlineStr">
        <is>
          <t>A 17368-2021</t>
        </is>
      </c>
      <c r="B975" s="1" t="n">
        <v>44299</v>
      </c>
      <c r="C975" s="1" t="n">
        <v>45648</v>
      </c>
      <c r="D975" t="inlineStr">
        <is>
          <t>JÄMTLANDS LÄN</t>
        </is>
      </c>
      <c r="E975" t="inlineStr">
        <is>
          <t>STRÖMSUND</t>
        </is>
      </c>
      <c r="G975" t="n">
        <v>1</v>
      </c>
      <c r="H975" t="n">
        <v>0</v>
      </c>
      <c r="I975" t="n">
        <v>0</v>
      </c>
      <c r="J975" t="n">
        <v>0</v>
      </c>
      <c r="K975" t="n">
        <v>0</v>
      </c>
      <c r="L975" t="n">
        <v>0</v>
      </c>
      <c r="M975" t="n">
        <v>0</v>
      </c>
      <c r="N975" t="n">
        <v>0</v>
      </c>
      <c r="O975" t="n">
        <v>0</v>
      </c>
      <c r="P975" t="n">
        <v>0</v>
      </c>
      <c r="Q975" t="n">
        <v>0</v>
      </c>
      <c r="R975" s="2" t="inlineStr"/>
    </row>
    <row r="976" ht="15" customHeight="1">
      <c r="A976" t="inlineStr">
        <is>
          <t>A 17373-2021</t>
        </is>
      </c>
      <c r="B976" s="1" t="n">
        <v>44299</v>
      </c>
      <c r="C976" s="1" t="n">
        <v>45648</v>
      </c>
      <c r="D976" t="inlineStr">
        <is>
          <t>JÄMTLANDS LÄN</t>
        </is>
      </c>
      <c r="E976" t="inlineStr">
        <is>
          <t>STRÖMSUND</t>
        </is>
      </c>
      <c r="G976" t="n">
        <v>2.2</v>
      </c>
      <c r="H976" t="n">
        <v>0</v>
      </c>
      <c r="I976" t="n">
        <v>0</v>
      </c>
      <c r="J976" t="n">
        <v>0</v>
      </c>
      <c r="K976" t="n">
        <v>0</v>
      </c>
      <c r="L976" t="n">
        <v>0</v>
      </c>
      <c r="M976" t="n">
        <v>0</v>
      </c>
      <c r="N976" t="n">
        <v>0</v>
      </c>
      <c r="O976" t="n">
        <v>0</v>
      </c>
      <c r="P976" t="n">
        <v>0</v>
      </c>
      <c r="Q976" t="n">
        <v>0</v>
      </c>
      <c r="R976" s="2" t="inlineStr"/>
    </row>
    <row r="977" ht="15" customHeight="1">
      <c r="A977" t="inlineStr">
        <is>
          <t>A 17808-2021</t>
        </is>
      </c>
      <c r="B977" s="1" t="n">
        <v>44300</v>
      </c>
      <c r="C977" s="1" t="n">
        <v>45648</v>
      </c>
      <c r="D977" t="inlineStr">
        <is>
          <t>JÄMTLANDS LÄN</t>
        </is>
      </c>
      <c r="E977" t="inlineStr">
        <is>
          <t>STRÖMSUND</t>
        </is>
      </c>
      <c r="G977" t="n">
        <v>3</v>
      </c>
      <c r="H977" t="n">
        <v>0</v>
      </c>
      <c r="I977" t="n">
        <v>0</v>
      </c>
      <c r="J977" t="n">
        <v>0</v>
      </c>
      <c r="K977" t="n">
        <v>0</v>
      </c>
      <c r="L977" t="n">
        <v>0</v>
      </c>
      <c r="M977" t="n">
        <v>0</v>
      </c>
      <c r="N977" t="n">
        <v>0</v>
      </c>
      <c r="O977" t="n">
        <v>0</v>
      </c>
      <c r="P977" t="n">
        <v>0</v>
      </c>
      <c r="Q977" t="n">
        <v>0</v>
      </c>
      <c r="R977" s="2" t="inlineStr"/>
    </row>
    <row r="978" ht="15" customHeight="1">
      <c r="A978" t="inlineStr">
        <is>
          <t>A 17857-2021</t>
        </is>
      </c>
      <c r="B978" s="1" t="n">
        <v>44300</v>
      </c>
      <c r="C978" s="1" t="n">
        <v>45648</v>
      </c>
      <c r="D978" t="inlineStr">
        <is>
          <t>JÄMTLANDS LÄN</t>
        </is>
      </c>
      <c r="E978" t="inlineStr">
        <is>
          <t>STRÖMSUND</t>
        </is>
      </c>
      <c r="F978" t="inlineStr">
        <is>
          <t>SCA</t>
        </is>
      </c>
      <c r="G978" t="n">
        <v>5.8</v>
      </c>
      <c r="H978" t="n">
        <v>0</v>
      </c>
      <c r="I978" t="n">
        <v>0</v>
      </c>
      <c r="J978" t="n">
        <v>0</v>
      </c>
      <c r="K978" t="n">
        <v>0</v>
      </c>
      <c r="L978" t="n">
        <v>0</v>
      </c>
      <c r="M978" t="n">
        <v>0</v>
      </c>
      <c r="N978" t="n">
        <v>0</v>
      </c>
      <c r="O978" t="n">
        <v>0</v>
      </c>
      <c r="P978" t="n">
        <v>0</v>
      </c>
      <c r="Q978" t="n">
        <v>0</v>
      </c>
      <c r="R978" s="2" t="inlineStr"/>
    </row>
    <row r="979" ht="15" customHeight="1">
      <c r="A979" t="inlineStr">
        <is>
          <t>A 17933-2021</t>
        </is>
      </c>
      <c r="B979" s="1" t="n">
        <v>44301</v>
      </c>
      <c r="C979" s="1" t="n">
        <v>45648</v>
      </c>
      <c r="D979" t="inlineStr">
        <is>
          <t>JÄMTLANDS LÄN</t>
        </is>
      </c>
      <c r="E979" t="inlineStr">
        <is>
          <t>STRÖMSUND</t>
        </is>
      </c>
      <c r="G979" t="n">
        <v>1</v>
      </c>
      <c r="H979" t="n">
        <v>0</v>
      </c>
      <c r="I979" t="n">
        <v>0</v>
      </c>
      <c r="J979" t="n">
        <v>0</v>
      </c>
      <c r="K979" t="n">
        <v>0</v>
      </c>
      <c r="L979" t="n">
        <v>0</v>
      </c>
      <c r="M979" t="n">
        <v>0</v>
      </c>
      <c r="N979" t="n">
        <v>0</v>
      </c>
      <c r="O979" t="n">
        <v>0</v>
      </c>
      <c r="P979" t="n">
        <v>0</v>
      </c>
      <c r="Q979" t="n">
        <v>0</v>
      </c>
      <c r="R979" s="2" t="inlineStr"/>
    </row>
    <row r="980" ht="15" customHeight="1">
      <c r="A980" t="inlineStr">
        <is>
          <t>A 18220-2021</t>
        </is>
      </c>
      <c r="B980" s="1" t="n">
        <v>44302</v>
      </c>
      <c r="C980" s="1" t="n">
        <v>45648</v>
      </c>
      <c r="D980" t="inlineStr">
        <is>
          <t>JÄMTLANDS LÄN</t>
        </is>
      </c>
      <c r="E980" t="inlineStr">
        <is>
          <t>STRÖMSUND</t>
        </is>
      </c>
      <c r="F980" t="inlineStr">
        <is>
          <t>SCA</t>
        </is>
      </c>
      <c r="G980" t="n">
        <v>11.3</v>
      </c>
      <c r="H980" t="n">
        <v>0</v>
      </c>
      <c r="I980" t="n">
        <v>0</v>
      </c>
      <c r="J980" t="n">
        <v>0</v>
      </c>
      <c r="K980" t="n">
        <v>0</v>
      </c>
      <c r="L980" t="n">
        <v>0</v>
      </c>
      <c r="M980" t="n">
        <v>0</v>
      </c>
      <c r="N980" t="n">
        <v>0</v>
      </c>
      <c r="O980" t="n">
        <v>0</v>
      </c>
      <c r="P980" t="n">
        <v>0</v>
      </c>
      <c r="Q980" t="n">
        <v>0</v>
      </c>
      <c r="R980" s="2" t="inlineStr"/>
    </row>
    <row r="981" ht="15" customHeight="1">
      <c r="A981" t="inlineStr">
        <is>
          <t>A 18775-2021</t>
        </is>
      </c>
      <c r="B981" s="1" t="n">
        <v>44307</v>
      </c>
      <c r="C981" s="1" t="n">
        <v>45648</v>
      </c>
      <c r="D981" t="inlineStr">
        <is>
          <t>JÄMTLANDS LÄN</t>
        </is>
      </c>
      <c r="E981" t="inlineStr">
        <is>
          <t>STRÖMSUND</t>
        </is>
      </c>
      <c r="G981" t="n">
        <v>39.7</v>
      </c>
      <c r="H981" t="n">
        <v>0</v>
      </c>
      <c r="I981" t="n">
        <v>0</v>
      </c>
      <c r="J981" t="n">
        <v>0</v>
      </c>
      <c r="K981" t="n">
        <v>0</v>
      </c>
      <c r="L981" t="n">
        <v>0</v>
      </c>
      <c r="M981" t="n">
        <v>0</v>
      </c>
      <c r="N981" t="n">
        <v>0</v>
      </c>
      <c r="O981" t="n">
        <v>0</v>
      </c>
      <c r="P981" t="n">
        <v>0</v>
      </c>
      <c r="Q981" t="n">
        <v>0</v>
      </c>
      <c r="R981" s="2" t="inlineStr"/>
    </row>
    <row r="982" ht="15" customHeight="1">
      <c r="A982" t="inlineStr">
        <is>
          <t>A 20413-2021</t>
        </is>
      </c>
      <c r="B982" s="1" t="n">
        <v>44312</v>
      </c>
      <c r="C982" s="1" t="n">
        <v>45648</v>
      </c>
      <c r="D982" t="inlineStr">
        <is>
          <t>JÄMTLANDS LÄN</t>
        </is>
      </c>
      <c r="E982" t="inlineStr">
        <is>
          <t>STRÖMSUND</t>
        </is>
      </c>
      <c r="G982" t="n">
        <v>1.9</v>
      </c>
      <c r="H982" t="n">
        <v>0</v>
      </c>
      <c r="I982" t="n">
        <v>0</v>
      </c>
      <c r="J982" t="n">
        <v>0</v>
      </c>
      <c r="K982" t="n">
        <v>0</v>
      </c>
      <c r="L982" t="n">
        <v>0</v>
      </c>
      <c r="M982" t="n">
        <v>0</v>
      </c>
      <c r="N982" t="n">
        <v>0</v>
      </c>
      <c r="O982" t="n">
        <v>0</v>
      </c>
      <c r="P982" t="n">
        <v>0</v>
      </c>
      <c r="Q982" t="n">
        <v>0</v>
      </c>
      <c r="R982" s="2" t="inlineStr"/>
    </row>
    <row r="983" ht="15" customHeight="1">
      <c r="A983" t="inlineStr">
        <is>
          <t>A 19726-2021</t>
        </is>
      </c>
      <c r="B983" s="1" t="n">
        <v>44312</v>
      </c>
      <c r="C983" s="1" t="n">
        <v>45648</v>
      </c>
      <c r="D983" t="inlineStr">
        <is>
          <t>JÄMTLANDS LÄN</t>
        </is>
      </c>
      <c r="E983" t="inlineStr">
        <is>
          <t>STRÖMSUND</t>
        </is>
      </c>
      <c r="G983" t="n">
        <v>0.5</v>
      </c>
      <c r="H983" t="n">
        <v>0</v>
      </c>
      <c r="I983" t="n">
        <v>0</v>
      </c>
      <c r="J983" t="n">
        <v>0</v>
      </c>
      <c r="K983" t="n">
        <v>0</v>
      </c>
      <c r="L983" t="n">
        <v>0</v>
      </c>
      <c r="M983" t="n">
        <v>0</v>
      </c>
      <c r="N983" t="n">
        <v>0</v>
      </c>
      <c r="O983" t="n">
        <v>0</v>
      </c>
      <c r="P983" t="n">
        <v>0</v>
      </c>
      <c r="Q983" t="n">
        <v>0</v>
      </c>
      <c r="R983" s="2" t="inlineStr"/>
    </row>
    <row r="984" ht="15" customHeight="1">
      <c r="A984" t="inlineStr">
        <is>
          <t>A 19556-2021</t>
        </is>
      </c>
      <c r="B984" s="1" t="n">
        <v>44312</v>
      </c>
      <c r="C984" s="1" t="n">
        <v>45648</v>
      </c>
      <c r="D984" t="inlineStr">
        <is>
          <t>JÄMTLANDS LÄN</t>
        </is>
      </c>
      <c r="E984" t="inlineStr">
        <is>
          <t>STRÖMSUND</t>
        </is>
      </c>
      <c r="G984" t="n">
        <v>2.1</v>
      </c>
      <c r="H984" t="n">
        <v>0</v>
      </c>
      <c r="I984" t="n">
        <v>0</v>
      </c>
      <c r="J984" t="n">
        <v>0</v>
      </c>
      <c r="K984" t="n">
        <v>0</v>
      </c>
      <c r="L984" t="n">
        <v>0</v>
      </c>
      <c r="M984" t="n">
        <v>0</v>
      </c>
      <c r="N984" t="n">
        <v>0</v>
      </c>
      <c r="O984" t="n">
        <v>0</v>
      </c>
      <c r="P984" t="n">
        <v>0</v>
      </c>
      <c r="Q984" t="n">
        <v>0</v>
      </c>
      <c r="R984" s="2" t="inlineStr"/>
    </row>
    <row r="985" ht="15" customHeight="1">
      <c r="A985" t="inlineStr">
        <is>
          <t>A 19572-2021</t>
        </is>
      </c>
      <c r="B985" s="1" t="n">
        <v>44312</v>
      </c>
      <c r="C985" s="1" t="n">
        <v>45648</v>
      </c>
      <c r="D985" t="inlineStr">
        <is>
          <t>JÄMTLANDS LÄN</t>
        </is>
      </c>
      <c r="E985" t="inlineStr">
        <is>
          <t>STRÖMSUND</t>
        </is>
      </c>
      <c r="G985" t="n">
        <v>0.5</v>
      </c>
      <c r="H985" t="n">
        <v>0</v>
      </c>
      <c r="I985" t="n">
        <v>0</v>
      </c>
      <c r="J985" t="n">
        <v>0</v>
      </c>
      <c r="K985" t="n">
        <v>0</v>
      </c>
      <c r="L985" t="n">
        <v>0</v>
      </c>
      <c r="M985" t="n">
        <v>0</v>
      </c>
      <c r="N985" t="n">
        <v>0</v>
      </c>
      <c r="O985" t="n">
        <v>0</v>
      </c>
      <c r="P985" t="n">
        <v>0</v>
      </c>
      <c r="Q985" t="n">
        <v>0</v>
      </c>
      <c r="R985" s="2" t="inlineStr"/>
    </row>
    <row r="986" ht="15" customHeight="1">
      <c r="A986" t="inlineStr">
        <is>
          <t>A 19567-2021</t>
        </is>
      </c>
      <c r="B986" s="1" t="n">
        <v>44312</v>
      </c>
      <c r="C986" s="1" t="n">
        <v>45648</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20295-2021</t>
        </is>
      </c>
      <c r="B987" s="1" t="n">
        <v>44314</v>
      </c>
      <c r="C987" s="1" t="n">
        <v>45648</v>
      </c>
      <c r="D987" t="inlineStr">
        <is>
          <t>JÄMTLANDS LÄN</t>
        </is>
      </c>
      <c r="E987" t="inlineStr">
        <is>
          <t>STRÖMSUND</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21095-2021</t>
        </is>
      </c>
      <c r="B988" s="1" t="n">
        <v>44319</v>
      </c>
      <c r="C988" s="1" t="n">
        <v>45648</v>
      </c>
      <c r="D988" t="inlineStr">
        <is>
          <t>JÄMTLANDS LÄN</t>
        </is>
      </c>
      <c r="E988" t="inlineStr">
        <is>
          <t>STRÖMSUND</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21103-2021</t>
        </is>
      </c>
      <c r="B989" s="1" t="n">
        <v>44320</v>
      </c>
      <c r="C989" s="1" t="n">
        <v>45648</v>
      </c>
      <c r="D989" t="inlineStr">
        <is>
          <t>JÄMTLANDS LÄN</t>
        </is>
      </c>
      <c r="E989" t="inlineStr">
        <is>
          <t>STRÖMSUND</t>
        </is>
      </c>
      <c r="F989" t="inlineStr">
        <is>
          <t>SCA</t>
        </is>
      </c>
      <c r="G989" t="n">
        <v>14.8</v>
      </c>
      <c r="H989" t="n">
        <v>0</v>
      </c>
      <c r="I989" t="n">
        <v>0</v>
      </c>
      <c r="J989" t="n">
        <v>0</v>
      </c>
      <c r="K989" t="n">
        <v>0</v>
      </c>
      <c r="L989" t="n">
        <v>0</v>
      </c>
      <c r="M989" t="n">
        <v>0</v>
      </c>
      <c r="N989" t="n">
        <v>0</v>
      </c>
      <c r="O989" t="n">
        <v>0</v>
      </c>
      <c r="P989" t="n">
        <v>0</v>
      </c>
      <c r="Q989" t="n">
        <v>0</v>
      </c>
      <c r="R989" s="2" t="inlineStr"/>
    </row>
    <row r="990" ht="15" customHeight="1">
      <c r="A990" t="inlineStr">
        <is>
          <t>A 21097-2021</t>
        </is>
      </c>
      <c r="B990" s="1" t="n">
        <v>44319</v>
      </c>
      <c r="C990" s="1" t="n">
        <v>45648</v>
      </c>
      <c r="D990" t="inlineStr">
        <is>
          <t>JÄMTLANDS LÄN</t>
        </is>
      </c>
      <c r="E990" t="inlineStr">
        <is>
          <t>STRÖMSUND</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21093-2021</t>
        </is>
      </c>
      <c r="B991" s="1" t="n">
        <v>44319</v>
      </c>
      <c r="C991" s="1" t="n">
        <v>45648</v>
      </c>
      <c r="D991" t="inlineStr">
        <is>
          <t>JÄMTLANDS LÄN</t>
        </is>
      </c>
      <c r="E991" t="inlineStr">
        <is>
          <t>STRÖMSUND</t>
        </is>
      </c>
      <c r="F991" t="inlineStr">
        <is>
          <t>SCA</t>
        </is>
      </c>
      <c r="G991" t="n">
        <v>11.7</v>
      </c>
      <c r="H991" t="n">
        <v>0</v>
      </c>
      <c r="I991" t="n">
        <v>0</v>
      </c>
      <c r="J991" t="n">
        <v>0</v>
      </c>
      <c r="K991" t="n">
        <v>0</v>
      </c>
      <c r="L991" t="n">
        <v>0</v>
      </c>
      <c r="M991" t="n">
        <v>0</v>
      </c>
      <c r="N991" t="n">
        <v>0</v>
      </c>
      <c r="O991" t="n">
        <v>0</v>
      </c>
      <c r="P991" t="n">
        <v>0</v>
      </c>
      <c r="Q991" t="n">
        <v>0</v>
      </c>
      <c r="R991" s="2" t="inlineStr"/>
    </row>
    <row r="992" ht="15" customHeight="1">
      <c r="A992" t="inlineStr">
        <is>
          <t>A 22318-2021</t>
        </is>
      </c>
      <c r="B992" s="1" t="n">
        <v>44321</v>
      </c>
      <c r="C992" s="1" t="n">
        <v>45648</v>
      </c>
      <c r="D992" t="inlineStr">
        <is>
          <t>JÄMTLANDS LÄN</t>
        </is>
      </c>
      <c r="E992" t="inlineStr">
        <is>
          <t>STRÖMSUND</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22527-2021</t>
        </is>
      </c>
      <c r="B993" s="1" t="n">
        <v>44326</v>
      </c>
      <c r="C993" s="1" t="n">
        <v>45648</v>
      </c>
      <c r="D993" t="inlineStr">
        <is>
          <t>JÄMTLANDS LÄN</t>
        </is>
      </c>
      <c r="E993" t="inlineStr">
        <is>
          <t>STRÖMSUND</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22632-2021</t>
        </is>
      </c>
      <c r="B994" s="1" t="n">
        <v>44327</v>
      </c>
      <c r="C994" s="1" t="n">
        <v>45648</v>
      </c>
      <c r="D994" t="inlineStr">
        <is>
          <t>JÄMTLANDS LÄN</t>
        </is>
      </c>
      <c r="E994" t="inlineStr">
        <is>
          <t>STRÖMSUND</t>
        </is>
      </c>
      <c r="G994" t="n">
        <v>3.7</v>
      </c>
      <c r="H994" t="n">
        <v>0</v>
      </c>
      <c r="I994" t="n">
        <v>0</v>
      </c>
      <c r="J994" t="n">
        <v>0</v>
      </c>
      <c r="K994" t="n">
        <v>0</v>
      </c>
      <c r="L994" t="n">
        <v>0</v>
      </c>
      <c r="M994" t="n">
        <v>0</v>
      </c>
      <c r="N994" t="n">
        <v>0</v>
      </c>
      <c r="O994" t="n">
        <v>0</v>
      </c>
      <c r="P994" t="n">
        <v>0</v>
      </c>
      <c r="Q994" t="n">
        <v>0</v>
      </c>
      <c r="R994" s="2" t="inlineStr"/>
    </row>
    <row r="995" ht="15" customHeight="1">
      <c r="A995" t="inlineStr">
        <is>
          <t>A 22783-2021</t>
        </is>
      </c>
      <c r="B995" s="1" t="n">
        <v>44327</v>
      </c>
      <c r="C995" s="1" t="n">
        <v>45648</v>
      </c>
      <c r="D995" t="inlineStr">
        <is>
          <t>JÄMTLANDS LÄN</t>
        </is>
      </c>
      <c r="E995" t="inlineStr">
        <is>
          <t>STRÖMSUND</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23103-2021</t>
        </is>
      </c>
      <c r="B996" s="1" t="n">
        <v>44330</v>
      </c>
      <c r="C996" s="1" t="n">
        <v>45648</v>
      </c>
      <c r="D996" t="inlineStr">
        <is>
          <t>JÄMTLANDS LÄN</t>
        </is>
      </c>
      <c r="E996" t="inlineStr">
        <is>
          <t>STRÖMSUND</t>
        </is>
      </c>
      <c r="G996" t="n">
        <v>1.4</v>
      </c>
      <c r="H996" t="n">
        <v>0</v>
      </c>
      <c r="I996" t="n">
        <v>0</v>
      </c>
      <c r="J996" t="n">
        <v>0</v>
      </c>
      <c r="K996" t="n">
        <v>0</v>
      </c>
      <c r="L996" t="n">
        <v>0</v>
      </c>
      <c r="M996" t="n">
        <v>0</v>
      </c>
      <c r="N996" t="n">
        <v>0</v>
      </c>
      <c r="O996" t="n">
        <v>0</v>
      </c>
      <c r="P996" t="n">
        <v>0</v>
      </c>
      <c r="Q996" t="n">
        <v>0</v>
      </c>
      <c r="R996" s="2" t="inlineStr"/>
    </row>
    <row r="997" ht="15" customHeight="1">
      <c r="A997" t="inlineStr">
        <is>
          <t>A 23486-2021</t>
        </is>
      </c>
      <c r="B997" s="1" t="n">
        <v>44333</v>
      </c>
      <c r="C997" s="1" t="n">
        <v>45648</v>
      </c>
      <c r="D997" t="inlineStr">
        <is>
          <t>JÄMTLANDS LÄN</t>
        </is>
      </c>
      <c r="E997" t="inlineStr">
        <is>
          <t>STRÖMSUND</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23498-2021</t>
        </is>
      </c>
      <c r="B998" s="1" t="n">
        <v>44334</v>
      </c>
      <c r="C998" s="1" t="n">
        <v>45648</v>
      </c>
      <c r="D998" t="inlineStr">
        <is>
          <t>JÄMTLANDS LÄN</t>
        </is>
      </c>
      <c r="E998" t="inlineStr">
        <is>
          <t>STRÖMSUND</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23484-2021</t>
        </is>
      </c>
      <c r="B999" s="1" t="n">
        <v>44334</v>
      </c>
      <c r="C999" s="1" t="n">
        <v>45648</v>
      </c>
      <c r="D999" t="inlineStr">
        <is>
          <t>JÄMTLANDS LÄN</t>
        </is>
      </c>
      <c r="E999" t="inlineStr">
        <is>
          <t>STRÖMSUND</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23501-2021</t>
        </is>
      </c>
      <c r="B1000" s="1" t="n">
        <v>44333</v>
      </c>
      <c r="C1000" s="1" t="n">
        <v>45648</v>
      </c>
      <c r="D1000" t="inlineStr">
        <is>
          <t>JÄMTLANDS LÄN</t>
        </is>
      </c>
      <c r="E1000" t="inlineStr">
        <is>
          <t>STRÖMSUND</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24197-2021</t>
        </is>
      </c>
      <c r="B1001" s="1" t="n">
        <v>44336</v>
      </c>
      <c r="C1001" s="1" t="n">
        <v>45648</v>
      </c>
      <c r="D1001" t="inlineStr">
        <is>
          <t>JÄMTLANDS LÄN</t>
        </is>
      </c>
      <c r="E1001" t="inlineStr">
        <is>
          <t>STRÖMSUND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24744-2021</t>
        </is>
      </c>
      <c r="B1002" s="1" t="n">
        <v>44340</v>
      </c>
      <c r="C1002" s="1" t="n">
        <v>45648</v>
      </c>
      <c r="D1002" t="inlineStr">
        <is>
          <t>JÄMTLANDS LÄN</t>
        </is>
      </c>
      <c r="E1002" t="inlineStr">
        <is>
          <t>STRÖMSUND</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25510-2021</t>
        </is>
      </c>
      <c r="B1003" s="1" t="n">
        <v>44343</v>
      </c>
      <c r="C1003" s="1" t="n">
        <v>45648</v>
      </c>
      <c r="D1003" t="inlineStr">
        <is>
          <t>JÄMTLANDS LÄN</t>
        </is>
      </c>
      <c r="E1003" t="inlineStr">
        <is>
          <t>STRÖMSUND</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25888-2021</t>
        </is>
      </c>
      <c r="B1004" s="1" t="n">
        <v>44344</v>
      </c>
      <c r="C1004" s="1" t="n">
        <v>45648</v>
      </c>
      <c r="D1004" t="inlineStr">
        <is>
          <t>JÄMTLANDS LÄN</t>
        </is>
      </c>
      <c r="E1004" t="inlineStr">
        <is>
          <t>STRÖMSUND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25963-2021</t>
        </is>
      </c>
      <c r="B1005" s="1" t="n">
        <v>44344</v>
      </c>
      <c r="C1005" s="1" t="n">
        <v>45648</v>
      </c>
      <c r="D1005" t="inlineStr">
        <is>
          <t>JÄMTLANDS LÄN</t>
        </is>
      </c>
      <c r="E1005" t="inlineStr">
        <is>
          <t>STRÖMSUND</t>
        </is>
      </c>
      <c r="F1005" t="inlineStr">
        <is>
          <t>Sveaskog</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25960-2021</t>
        </is>
      </c>
      <c r="B1006" s="1" t="n">
        <v>44344</v>
      </c>
      <c r="C1006" s="1" t="n">
        <v>45648</v>
      </c>
      <c r="D1006" t="inlineStr">
        <is>
          <t>JÄMTLANDS LÄN</t>
        </is>
      </c>
      <c r="E1006" t="inlineStr">
        <is>
          <t>STRÖMSUND</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26101-2021</t>
        </is>
      </c>
      <c r="B1007" s="1" t="n">
        <v>44344</v>
      </c>
      <c r="C1007" s="1" t="n">
        <v>45648</v>
      </c>
      <c r="D1007" t="inlineStr">
        <is>
          <t>JÄMTLANDS LÄN</t>
        </is>
      </c>
      <c r="E1007" t="inlineStr">
        <is>
          <t>STRÖMSUND</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26104-2021</t>
        </is>
      </c>
      <c r="B1008" s="1" t="n">
        <v>44344</v>
      </c>
      <c r="C1008" s="1" t="n">
        <v>45648</v>
      </c>
      <c r="D1008" t="inlineStr">
        <is>
          <t>JÄMTLANDS LÄN</t>
        </is>
      </c>
      <c r="E1008" t="inlineStr">
        <is>
          <t>STRÖMSUND</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26127-2021</t>
        </is>
      </c>
      <c r="B1009" s="1" t="n">
        <v>44346</v>
      </c>
      <c r="C1009" s="1" t="n">
        <v>45648</v>
      </c>
      <c r="D1009" t="inlineStr">
        <is>
          <t>JÄMTLANDS LÄN</t>
        </is>
      </c>
      <c r="E1009" t="inlineStr">
        <is>
          <t>STRÖMSUND</t>
        </is>
      </c>
      <c r="F1009" t="inlineStr">
        <is>
          <t>SCA</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26131-2021</t>
        </is>
      </c>
      <c r="B1010" s="1" t="n">
        <v>44346</v>
      </c>
      <c r="C1010" s="1" t="n">
        <v>45648</v>
      </c>
      <c r="D1010" t="inlineStr">
        <is>
          <t>JÄMTLANDS LÄN</t>
        </is>
      </c>
      <c r="E1010" t="inlineStr">
        <is>
          <t>STRÖMSUND</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26142-2021</t>
        </is>
      </c>
      <c r="B1011" s="1" t="n">
        <v>44346</v>
      </c>
      <c r="C1011" s="1" t="n">
        <v>45648</v>
      </c>
      <c r="D1011" t="inlineStr">
        <is>
          <t>JÄMTLANDS LÄN</t>
        </is>
      </c>
      <c r="E1011" t="inlineStr">
        <is>
          <t>STRÖMSUND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26660-2021</t>
        </is>
      </c>
      <c r="B1012" s="1" t="n">
        <v>44349</v>
      </c>
      <c r="C1012" s="1" t="n">
        <v>45648</v>
      </c>
      <c r="D1012" t="inlineStr">
        <is>
          <t>JÄMTLANDS LÄN</t>
        </is>
      </c>
      <c r="E1012" t="inlineStr">
        <is>
          <t>STRÖMSUND</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26961-2021</t>
        </is>
      </c>
      <c r="B1013" s="1" t="n">
        <v>44350</v>
      </c>
      <c r="C1013" s="1" t="n">
        <v>45648</v>
      </c>
      <c r="D1013" t="inlineStr">
        <is>
          <t>JÄMTLANDS LÄN</t>
        </is>
      </c>
      <c r="E1013" t="inlineStr">
        <is>
          <t>STRÖMSUND</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27148-2021</t>
        </is>
      </c>
      <c r="B1014" s="1" t="n">
        <v>44350</v>
      </c>
      <c r="C1014" s="1" t="n">
        <v>45648</v>
      </c>
      <c r="D1014" t="inlineStr">
        <is>
          <t>JÄMTLANDS LÄN</t>
        </is>
      </c>
      <c r="E1014" t="inlineStr">
        <is>
          <t>STRÖMSUND</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27160-2021</t>
        </is>
      </c>
      <c r="B1015" s="1" t="n">
        <v>44350</v>
      </c>
      <c r="C1015" s="1" t="n">
        <v>45648</v>
      </c>
      <c r="D1015" t="inlineStr">
        <is>
          <t>JÄMTLANDS LÄN</t>
        </is>
      </c>
      <c r="E1015" t="inlineStr">
        <is>
          <t>STRÖMSUND</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27231-2021</t>
        </is>
      </c>
      <c r="B1016" s="1" t="n">
        <v>44350</v>
      </c>
      <c r="C1016" s="1" t="n">
        <v>45648</v>
      </c>
      <c r="D1016" t="inlineStr">
        <is>
          <t>JÄMTLANDS LÄN</t>
        </is>
      </c>
      <c r="E1016" t="inlineStr">
        <is>
          <t>STRÖMSUND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27233-2021</t>
        </is>
      </c>
      <c r="B1017" s="1" t="n">
        <v>44350</v>
      </c>
      <c r="C1017" s="1" t="n">
        <v>45648</v>
      </c>
      <c r="D1017" t="inlineStr">
        <is>
          <t>JÄMTLANDS LÄN</t>
        </is>
      </c>
      <c r="E1017" t="inlineStr">
        <is>
          <t>STRÖMSUND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27232-2021</t>
        </is>
      </c>
      <c r="B1018" s="1" t="n">
        <v>44350</v>
      </c>
      <c r="C1018" s="1" t="n">
        <v>45648</v>
      </c>
      <c r="D1018" t="inlineStr">
        <is>
          <t>JÄMTLANDS LÄN</t>
        </is>
      </c>
      <c r="E1018" t="inlineStr">
        <is>
          <t>STRÖMSUND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27559-2021</t>
        </is>
      </c>
      <c r="B1019" s="1" t="n">
        <v>44352</v>
      </c>
      <c r="C1019" s="1" t="n">
        <v>45648</v>
      </c>
      <c r="D1019" t="inlineStr">
        <is>
          <t>JÄMTLANDS LÄN</t>
        </is>
      </c>
      <c r="E1019" t="inlineStr">
        <is>
          <t>STRÖMSUND</t>
        </is>
      </c>
      <c r="G1019" t="n">
        <v>14.7</v>
      </c>
      <c r="H1019" t="n">
        <v>0</v>
      </c>
      <c r="I1019" t="n">
        <v>0</v>
      </c>
      <c r="J1019" t="n">
        <v>0</v>
      </c>
      <c r="K1019" t="n">
        <v>0</v>
      </c>
      <c r="L1019" t="n">
        <v>0</v>
      </c>
      <c r="M1019" t="n">
        <v>0</v>
      </c>
      <c r="N1019" t="n">
        <v>0</v>
      </c>
      <c r="O1019" t="n">
        <v>0</v>
      </c>
      <c r="P1019" t="n">
        <v>0</v>
      </c>
      <c r="Q1019" t="n">
        <v>0</v>
      </c>
      <c r="R1019" s="2" t="inlineStr"/>
    </row>
    <row r="1020" ht="15" customHeight="1">
      <c r="A1020" t="inlineStr">
        <is>
          <t>A 27979-2021</t>
        </is>
      </c>
      <c r="B1020" s="1" t="n">
        <v>44354</v>
      </c>
      <c r="C1020" s="1" t="n">
        <v>45648</v>
      </c>
      <c r="D1020" t="inlineStr">
        <is>
          <t>JÄMTLANDS LÄN</t>
        </is>
      </c>
      <c r="E1020" t="inlineStr">
        <is>
          <t>STRÖMSUND</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27978-2021</t>
        </is>
      </c>
      <c r="B1021" s="1" t="n">
        <v>44354</v>
      </c>
      <c r="C1021" s="1" t="n">
        <v>45648</v>
      </c>
      <c r="D1021" t="inlineStr">
        <is>
          <t>JÄMTLANDS LÄN</t>
        </is>
      </c>
      <c r="E1021" t="inlineStr">
        <is>
          <t>STRÖMSUND</t>
        </is>
      </c>
      <c r="F1021" t="inlineStr">
        <is>
          <t>SCA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27980-2021</t>
        </is>
      </c>
      <c r="B1022" s="1" t="n">
        <v>44354</v>
      </c>
      <c r="C1022" s="1" t="n">
        <v>45648</v>
      </c>
      <c r="D1022" t="inlineStr">
        <is>
          <t>JÄMTLANDS LÄN</t>
        </is>
      </c>
      <c r="E1022" t="inlineStr">
        <is>
          <t>STRÖMSUND</t>
        </is>
      </c>
      <c r="F1022" t="inlineStr">
        <is>
          <t>SCA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29552-2021</t>
        </is>
      </c>
      <c r="B1023" s="1" t="n">
        <v>44361</v>
      </c>
      <c r="C1023" s="1" t="n">
        <v>45648</v>
      </c>
      <c r="D1023" t="inlineStr">
        <is>
          <t>JÄMTLANDS LÄN</t>
        </is>
      </c>
      <c r="E1023" t="inlineStr">
        <is>
          <t>STRÖMSUND</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29628-2021</t>
        </is>
      </c>
      <c r="B1024" s="1" t="n">
        <v>44361</v>
      </c>
      <c r="C1024" s="1" t="n">
        <v>45648</v>
      </c>
      <c r="D1024" t="inlineStr">
        <is>
          <t>JÄMTLANDS LÄN</t>
        </is>
      </c>
      <c r="E1024" t="inlineStr">
        <is>
          <t>STRÖMSUND</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29594-2021</t>
        </is>
      </c>
      <c r="B1025" s="1" t="n">
        <v>44361</v>
      </c>
      <c r="C1025" s="1" t="n">
        <v>45648</v>
      </c>
      <c r="D1025" t="inlineStr">
        <is>
          <t>JÄMTLANDS LÄN</t>
        </is>
      </c>
      <c r="E1025" t="inlineStr">
        <is>
          <t>STRÖMSUND</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29601-2021</t>
        </is>
      </c>
      <c r="B1026" s="1" t="n">
        <v>44362</v>
      </c>
      <c r="C1026" s="1" t="n">
        <v>45648</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29625-2021</t>
        </is>
      </c>
      <c r="B1027" s="1" t="n">
        <v>44362</v>
      </c>
      <c r="C1027" s="1" t="n">
        <v>45648</v>
      </c>
      <c r="D1027" t="inlineStr">
        <is>
          <t>JÄMTLANDS LÄN</t>
        </is>
      </c>
      <c r="E1027" t="inlineStr">
        <is>
          <t>STRÖMSUND</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29624-2021</t>
        </is>
      </c>
      <c r="B1028" s="1" t="n">
        <v>44362</v>
      </c>
      <c r="C1028" s="1" t="n">
        <v>45648</v>
      </c>
      <c r="D1028" t="inlineStr">
        <is>
          <t>JÄMTLANDS LÄN</t>
        </is>
      </c>
      <c r="E1028" t="inlineStr">
        <is>
          <t>STRÖMSUND</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29637-2021</t>
        </is>
      </c>
      <c r="B1029" s="1" t="n">
        <v>44362</v>
      </c>
      <c r="C1029" s="1" t="n">
        <v>45648</v>
      </c>
      <c r="D1029" t="inlineStr">
        <is>
          <t>JÄMTLANDS LÄN</t>
        </is>
      </c>
      <c r="E1029" t="inlineStr">
        <is>
          <t>STRÖMSUND</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29841-2021</t>
        </is>
      </c>
      <c r="B1030" s="1" t="n">
        <v>44362</v>
      </c>
      <c r="C1030" s="1" t="n">
        <v>45648</v>
      </c>
      <c r="D1030" t="inlineStr">
        <is>
          <t>JÄMTLANDS LÄN</t>
        </is>
      </c>
      <c r="E1030" t="inlineStr">
        <is>
          <t>STRÖMSUND</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29903-2021</t>
        </is>
      </c>
      <c r="B1031" s="1" t="n">
        <v>44363</v>
      </c>
      <c r="C1031" s="1" t="n">
        <v>45648</v>
      </c>
      <c r="D1031" t="inlineStr">
        <is>
          <t>JÄMTLANDS LÄN</t>
        </is>
      </c>
      <c r="E1031" t="inlineStr">
        <is>
          <t>STRÖMSUND</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29916-2021</t>
        </is>
      </c>
      <c r="B1032" s="1" t="n">
        <v>44363</v>
      </c>
      <c r="C1032" s="1" t="n">
        <v>45648</v>
      </c>
      <c r="D1032" t="inlineStr">
        <is>
          <t>JÄMTLANDS LÄN</t>
        </is>
      </c>
      <c r="E1032" t="inlineStr">
        <is>
          <t>STRÖMSUND</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29905-2021</t>
        </is>
      </c>
      <c r="B1033" s="1" t="n">
        <v>44363</v>
      </c>
      <c r="C1033" s="1" t="n">
        <v>45648</v>
      </c>
      <c r="D1033" t="inlineStr">
        <is>
          <t>JÄMTLANDS LÄN</t>
        </is>
      </c>
      <c r="E1033" t="inlineStr">
        <is>
          <t>STRÖMSUND</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30580-2021</t>
        </is>
      </c>
      <c r="B1034" s="1" t="n">
        <v>44365</v>
      </c>
      <c r="C1034" s="1" t="n">
        <v>45648</v>
      </c>
      <c r="D1034" t="inlineStr">
        <is>
          <t>JÄMTLANDS LÄN</t>
        </is>
      </c>
      <c r="E1034" t="inlineStr">
        <is>
          <t>STRÖMSUND</t>
        </is>
      </c>
      <c r="F1034" t="inlineStr">
        <is>
          <t>SCA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30985-2021</t>
        </is>
      </c>
      <c r="B1035" s="1" t="n">
        <v>44366</v>
      </c>
      <c r="C1035" s="1" t="n">
        <v>45648</v>
      </c>
      <c r="D1035" t="inlineStr">
        <is>
          <t>JÄMTLANDS LÄN</t>
        </is>
      </c>
      <c r="E1035" t="inlineStr">
        <is>
          <t>STRÖMSUND</t>
        </is>
      </c>
      <c r="F1035" t="inlineStr">
        <is>
          <t>SCA</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31077-2021</t>
        </is>
      </c>
      <c r="B1036" s="1" t="n">
        <v>44365</v>
      </c>
      <c r="C1036" s="1" t="n">
        <v>45648</v>
      </c>
      <c r="D1036" t="inlineStr">
        <is>
          <t>JÄMTLANDS LÄN</t>
        </is>
      </c>
      <c r="E1036" t="inlineStr">
        <is>
          <t>STRÖMSUND</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31089-2021</t>
        </is>
      </c>
      <c r="B1037" s="1" t="n">
        <v>44368</v>
      </c>
      <c r="C1037" s="1" t="n">
        <v>45648</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33787-2021</t>
        </is>
      </c>
      <c r="B1038" s="1" t="n">
        <v>44368</v>
      </c>
      <c r="C1038" s="1" t="n">
        <v>45648</v>
      </c>
      <c r="D1038" t="inlineStr">
        <is>
          <t>JÄMTLANDS LÄN</t>
        </is>
      </c>
      <c r="E1038" t="inlineStr">
        <is>
          <t>STRÖMSUND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31739-2021</t>
        </is>
      </c>
      <c r="B1039" s="1" t="n">
        <v>44369</v>
      </c>
      <c r="C1039" s="1" t="n">
        <v>45648</v>
      </c>
      <c r="D1039" t="inlineStr">
        <is>
          <t>JÄMTLANDS LÄN</t>
        </is>
      </c>
      <c r="E1039" t="inlineStr">
        <is>
          <t>STRÖMSUND</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31740-2021</t>
        </is>
      </c>
      <c r="B1040" s="1" t="n">
        <v>44370</v>
      </c>
      <c r="C1040" s="1" t="n">
        <v>45648</v>
      </c>
      <c r="D1040" t="inlineStr">
        <is>
          <t>JÄMTLANDS LÄN</t>
        </is>
      </c>
      <c r="E1040" t="inlineStr">
        <is>
          <t>STRÖMSUND</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32359-2021</t>
        </is>
      </c>
      <c r="B1041" s="1" t="n">
        <v>44371</v>
      </c>
      <c r="C1041" s="1" t="n">
        <v>45648</v>
      </c>
      <c r="D1041" t="inlineStr">
        <is>
          <t>JÄMTLANDS LÄN</t>
        </is>
      </c>
      <c r="E1041" t="inlineStr">
        <is>
          <t>STRÖMSUND</t>
        </is>
      </c>
      <c r="F1041" t="inlineStr">
        <is>
          <t>SCA</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32259-2021</t>
        </is>
      </c>
      <c r="B1042" s="1" t="n">
        <v>44371</v>
      </c>
      <c r="C1042" s="1" t="n">
        <v>45648</v>
      </c>
      <c r="D1042" t="inlineStr">
        <is>
          <t>JÄMTLANDS LÄN</t>
        </is>
      </c>
      <c r="E1042" t="inlineStr">
        <is>
          <t>STRÖMSUND</t>
        </is>
      </c>
      <c r="F1042" t="inlineStr">
        <is>
          <t>SCA</t>
        </is>
      </c>
      <c r="G1042" t="n">
        <v>22.4</v>
      </c>
      <c r="H1042" t="n">
        <v>0</v>
      </c>
      <c r="I1042" t="n">
        <v>0</v>
      </c>
      <c r="J1042" t="n">
        <v>0</v>
      </c>
      <c r="K1042" t="n">
        <v>0</v>
      </c>
      <c r="L1042" t="n">
        <v>0</v>
      </c>
      <c r="M1042" t="n">
        <v>0</v>
      </c>
      <c r="N1042" t="n">
        <v>0</v>
      </c>
      <c r="O1042" t="n">
        <v>0</v>
      </c>
      <c r="P1042" t="n">
        <v>0</v>
      </c>
      <c r="Q1042" t="n">
        <v>0</v>
      </c>
      <c r="R1042" s="2" t="inlineStr"/>
    </row>
    <row r="1043" ht="15" customHeight="1">
      <c r="A1043" t="inlineStr">
        <is>
          <t>A 32460-2021</t>
        </is>
      </c>
      <c r="B1043" s="1" t="n">
        <v>44371</v>
      </c>
      <c r="C1043" s="1" t="n">
        <v>45648</v>
      </c>
      <c r="D1043" t="inlineStr">
        <is>
          <t>JÄMTLANDS LÄN</t>
        </is>
      </c>
      <c r="E1043" t="inlineStr">
        <is>
          <t>STRÖMSUND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32465-2021</t>
        </is>
      </c>
      <c r="B1044" s="1" t="n">
        <v>44371</v>
      </c>
      <c r="C1044" s="1" t="n">
        <v>45648</v>
      </c>
      <c r="D1044" t="inlineStr">
        <is>
          <t>JÄMTLANDS LÄN</t>
        </is>
      </c>
      <c r="E1044" t="inlineStr">
        <is>
          <t>STRÖMSUND</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32536-2021</t>
        </is>
      </c>
      <c r="B1045" s="1" t="n">
        <v>44374</v>
      </c>
      <c r="C1045" s="1" t="n">
        <v>45648</v>
      </c>
      <c r="D1045" t="inlineStr">
        <is>
          <t>JÄMTLANDS LÄN</t>
        </is>
      </c>
      <c r="E1045" t="inlineStr">
        <is>
          <t>STRÖMSUND</t>
        </is>
      </c>
      <c r="F1045" t="inlineStr">
        <is>
          <t>SCA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32531-2021</t>
        </is>
      </c>
      <c r="B1046" s="1" t="n">
        <v>44375</v>
      </c>
      <c r="C1046" s="1" t="n">
        <v>45648</v>
      </c>
      <c r="D1046" t="inlineStr">
        <is>
          <t>JÄMTLANDS LÄN</t>
        </is>
      </c>
      <c r="E1046" t="inlineStr">
        <is>
          <t>STRÖMSUND</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32539-2021</t>
        </is>
      </c>
      <c r="B1047" s="1" t="n">
        <v>44375</v>
      </c>
      <c r="C1047" s="1" t="n">
        <v>45648</v>
      </c>
      <c r="D1047" t="inlineStr">
        <is>
          <t>JÄMTLANDS LÄN</t>
        </is>
      </c>
      <c r="E1047" t="inlineStr">
        <is>
          <t>STRÖMSUND</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32533-2021</t>
        </is>
      </c>
      <c r="B1048" s="1" t="n">
        <v>44375</v>
      </c>
      <c r="C1048" s="1" t="n">
        <v>45648</v>
      </c>
      <c r="D1048" t="inlineStr">
        <is>
          <t>JÄMTLANDS LÄN</t>
        </is>
      </c>
      <c r="E1048" t="inlineStr">
        <is>
          <t>STRÖMSUND</t>
        </is>
      </c>
      <c r="F1048" t="inlineStr">
        <is>
          <t>SCA</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32538-2021</t>
        </is>
      </c>
      <c r="B1049" s="1" t="n">
        <v>44374</v>
      </c>
      <c r="C1049" s="1" t="n">
        <v>45648</v>
      </c>
      <c r="D1049" t="inlineStr">
        <is>
          <t>JÄMTLANDS LÄN</t>
        </is>
      </c>
      <c r="E1049" t="inlineStr">
        <is>
          <t>STRÖMSUND</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33104-2021</t>
        </is>
      </c>
      <c r="B1050" s="1" t="n">
        <v>44376</v>
      </c>
      <c r="C1050" s="1" t="n">
        <v>45648</v>
      </c>
      <c r="D1050" t="inlineStr">
        <is>
          <t>JÄMTLANDS LÄN</t>
        </is>
      </c>
      <c r="E1050" t="inlineStr">
        <is>
          <t>STRÖMSUND</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33223-2021</t>
        </is>
      </c>
      <c r="B1051" s="1" t="n">
        <v>44377</v>
      </c>
      <c r="C1051" s="1" t="n">
        <v>45648</v>
      </c>
      <c r="D1051" t="inlineStr">
        <is>
          <t>JÄMTLANDS LÄN</t>
        </is>
      </c>
      <c r="E1051" t="inlineStr">
        <is>
          <t>STRÖMSUND</t>
        </is>
      </c>
      <c r="F1051" t="inlineStr">
        <is>
          <t>SCA</t>
        </is>
      </c>
      <c r="G1051" t="n">
        <v>17.8</v>
      </c>
      <c r="H1051" t="n">
        <v>0</v>
      </c>
      <c r="I1051" t="n">
        <v>0</v>
      </c>
      <c r="J1051" t="n">
        <v>0</v>
      </c>
      <c r="K1051" t="n">
        <v>0</v>
      </c>
      <c r="L1051" t="n">
        <v>0</v>
      </c>
      <c r="M1051" t="n">
        <v>0</v>
      </c>
      <c r="N1051" t="n">
        <v>0</v>
      </c>
      <c r="O1051" t="n">
        <v>0</v>
      </c>
      <c r="P1051" t="n">
        <v>0</v>
      </c>
      <c r="Q1051" t="n">
        <v>0</v>
      </c>
      <c r="R1051" s="2" t="inlineStr"/>
    </row>
    <row r="1052" ht="15" customHeight="1">
      <c r="A1052" t="inlineStr">
        <is>
          <t>A 33225-2021</t>
        </is>
      </c>
      <c r="B1052" s="1" t="n">
        <v>44376</v>
      </c>
      <c r="C1052" s="1" t="n">
        <v>45648</v>
      </c>
      <c r="D1052" t="inlineStr">
        <is>
          <t>JÄMTLANDS LÄN</t>
        </is>
      </c>
      <c r="E1052" t="inlineStr">
        <is>
          <t>STRÖMSUND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33216-2021</t>
        </is>
      </c>
      <c r="B1053" s="1" t="n">
        <v>44376</v>
      </c>
      <c r="C1053" s="1" t="n">
        <v>45648</v>
      </c>
      <c r="D1053" t="inlineStr">
        <is>
          <t>JÄMTLANDS LÄN</t>
        </is>
      </c>
      <c r="E1053" t="inlineStr">
        <is>
          <t>STRÖMSUND</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33549-2021</t>
        </is>
      </c>
      <c r="B1054" s="1" t="n">
        <v>44377</v>
      </c>
      <c r="C1054" s="1" t="n">
        <v>45648</v>
      </c>
      <c r="D1054" t="inlineStr">
        <is>
          <t>JÄMTLANDS LÄN</t>
        </is>
      </c>
      <c r="E1054" t="inlineStr">
        <is>
          <t>STRÖMSUND</t>
        </is>
      </c>
      <c r="F1054" t="inlineStr">
        <is>
          <t>SCA</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33562-2021</t>
        </is>
      </c>
      <c r="B1055" s="1" t="n">
        <v>44377</v>
      </c>
      <c r="C1055" s="1" t="n">
        <v>45648</v>
      </c>
      <c r="D1055" t="inlineStr">
        <is>
          <t>JÄMTLANDS LÄN</t>
        </is>
      </c>
      <c r="E1055" t="inlineStr">
        <is>
          <t>STRÖMSUND</t>
        </is>
      </c>
      <c r="F1055" t="inlineStr">
        <is>
          <t>SCA</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33554-2021</t>
        </is>
      </c>
      <c r="B1056" s="1" t="n">
        <v>44377</v>
      </c>
      <c r="C1056" s="1" t="n">
        <v>45648</v>
      </c>
      <c r="D1056" t="inlineStr">
        <is>
          <t>JÄMTLANDS LÄN</t>
        </is>
      </c>
      <c r="E1056" t="inlineStr">
        <is>
          <t>STRÖMSUND</t>
        </is>
      </c>
      <c r="F1056" t="inlineStr">
        <is>
          <t>SCA</t>
        </is>
      </c>
      <c r="G1056" t="n">
        <v>12.9</v>
      </c>
      <c r="H1056" t="n">
        <v>0</v>
      </c>
      <c r="I1056" t="n">
        <v>0</v>
      </c>
      <c r="J1056" t="n">
        <v>0</v>
      </c>
      <c r="K1056" t="n">
        <v>0</v>
      </c>
      <c r="L1056" t="n">
        <v>0</v>
      </c>
      <c r="M1056" t="n">
        <v>0</v>
      </c>
      <c r="N1056" t="n">
        <v>0</v>
      </c>
      <c r="O1056" t="n">
        <v>0</v>
      </c>
      <c r="P1056" t="n">
        <v>0</v>
      </c>
      <c r="Q1056" t="n">
        <v>0</v>
      </c>
      <c r="R1056" s="2" t="inlineStr"/>
    </row>
    <row r="1057" ht="15" customHeight="1">
      <c r="A1057" t="inlineStr">
        <is>
          <t>A 35061-2021</t>
        </is>
      </c>
      <c r="B1057" s="1" t="n">
        <v>44383</v>
      </c>
      <c r="C1057" s="1" t="n">
        <v>45648</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35044-2021</t>
        </is>
      </c>
      <c r="B1058" s="1" t="n">
        <v>44384</v>
      </c>
      <c r="C1058" s="1" t="n">
        <v>45648</v>
      </c>
      <c r="D1058" t="inlineStr">
        <is>
          <t>JÄMTLANDS LÄN</t>
        </is>
      </c>
      <c r="E1058" t="inlineStr">
        <is>
          <t>STRÖMSUND</t>
        </is>
      </c>
      <c r="G1058" t="n">
        <v>14.3</v>
      </c>
      <c r="H1058" t="n">
        <v>0</v>
      </c>
      <c r="I1058" t="n">
        <v>0</v>
      </c>
      <c r="J1058" t="n">
        <v>0</v>
      </c>
      <c r="K1058" t="n">
        <v>0</v>
      </c>
      <c r="L1058" t="n">
        <v>0</v>
      </c>
      <c r="M1058" t="n">
        <v>0</v>
      </c>
      <c r="N1058" t="n">
        <v>0</v>
      </c>
      <c r="O1058" t="n">
        <v>0</v>
      </c>
      <c r="P1058" t="n">
        <v>0</v>
      </c>
      <c r="Q1058" t="n">
        <v>0</v>
      </c>
      <c r="R1058" s="2" t="inlineStr"/>
    </row>
    <row r="1059" ht="15" customHeight="1">
      <c r="A1059" t="inlineStr">
        <is>
          <t>A 35064-2021</t>
        </is>
      </c>
      <c r="B1059" s="1" t="n">
        <v>44383</v>
      </c>
      <c r="C1059" s="1" t="n">
        <v>45648</v>
      </c>
      <c r="D1059" t="inlineStr">
        <is>
          <t>JÄMTLANDS LÄN</t>
        </is>
      </c>
      <c r="E1059" t="inlineStr">
        <is>
          <t>STRÖMSUND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35342-2021</t>
        </is>
      </c>
      <c r="B1060" s="1" t="n">
        <v>44385</v>
      </c>
      <c r="C1060" s="1" t="n">
        <v>45648</v>
      </c>
      <c r="D1060" t="inlineStr">
        <is>
          <t>JÄMTLANDS LÄN</t>
        </is>
      </c>
      <c r="E1060" t="inlineStr">
        <is>
          <t>STRÖMSUND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35352-2021</t>
        </is>
      </c>
      <c r="B1061" s="1" t="n">
        <v>44384</v>
      </c>
      <c r="C1061" s="1" t="n">
        <v>45648</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35565-2021</t>
        </is>
      </c>
      <c r="B1062" s="1" t="n">
        <v>44386</v>
      </c>
      <c r="C1062" s="1" t="n">
        <v>45648</v>
      </c>
      <c r="D1062" t="inlineStr">
        <is>
          <t>JÄMTLANDS LÄN</t>
        </is>
      </c>
      <c r="E1062" t="inlineStr">
        <is>
          <t>STRÖMSUND</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35522-2021</t>
        </is>
      </c>
      <c r="B1063" s="1" t="n">
        <v>44385</v>
      </c>
      <c r="C1063" s="1" t="n">
        <v>45648</v>
      </c>
      <c r="D1063" t="inlineStr">
        <is>
          <t>JÄMTLANDS LÄN</t>
        </is>
      </c>
      <c r="E1063" t="inlineStr">
        <is>
          <t>STRÖMSUND</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35916-2021</t>
        </is>
      </c>
      <c r="B1064" s="1" t="n">
        <v>44388</v>
      </c>
      <c r="C1064" s="1" t="n">
        <v>45648</v>
      </c>
      <c r="D1064" t="inlineStr">
        <is>
          <t>JÄMTLANDS LÄN</t>
        </is>
      </c>
      <c r="E1064" t="inlineStr">
        <is>
          <t>STRÖMSUND</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35915-2021</t>
        </is>
      </c>
      <c r="B1065" s="1" t="n">
        <v>44388</v>
      </c>
      <c r="C1065" s="1" t="n">
        <v>45648</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35914-2021</t>
        </is>
      </c>
      <c r="B1066" s="1" t="n">
        <v>44388</v>
      </c>
      <c r="C1066" s="1" t="n">
        <v>45648</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35918-2021</t>
        </is>
      </c>
      <c r="B1067" s="1" t="n">
        <v>44388</v>
      </c>
      <c r="C1067" s="1" t="n">
        <v>45648</v>
      </c>
      <c r="D1067" t="inlineStr">
        <is>
          <t>JÄMTLANDS LÄN</t>
        </is>
      </c>
      <c r="E1067" t="inlineStr">
        <is>
          <t>STRÖMSUND</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36176-2021</t>
        </is>
      </c>
      <c r="B1068" s="1" t="n">
        <v>44389</v>
      </c>
      <c r="C1068" s="1" t="n">
        <v>45648</v>
      </c>
      <c r="D1068" t="inlineStr">
        <is>
          <t>JÄMTLANDS LÄN</t>
        </is>
      </c>
      <c r="E1068" t="inlineStr">
        <is>
          <t>STRÖMSUND</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36453-2021</t>
        </is>
      </c>
      <c r="B1069" s="1" t="n">
        <v>44391</v>
      </c>
      <c r="C1069" s="1" t="n">
        <v>45648</v>
      </c>
      <c r="D1069" t="inlineStr">
        <is>
          <t>JÄMTLANDS LÄN</t>
        </is>
      </c>
      <c r="E1069" t="inlineStr">
        <is>
          <t>STRÖMSUND</t>
        </is>
      </c>
      <c r="F1069" t="inlineStr">
        <is>
          <t>SCA</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36706-2021</t>
        </is>
      </c>
      <c r="B1070" s="1" t="n">
        <v>44392</v>
      </c>
      <c r="C1070" s="1" t="n">
        <v>45648</v>
      </c>
      <c r="D1070" t="inlineStr">
        <is>
          <t>JÄMTLANDS LÄN</t>
        </is>
      </c>
      <c r="E1070" t="inlineStr">
        <is>
          <t>STRÖMSUND</t>
        </is>
      </c>
      <c r="F1070" t="inlineStr">
        <is>
          <t>Holmen skog AB</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37047-2021</t>
        </is>
      </c>
      <c r="B1071" s="1" t="n">
        <v>44393</v>
      </c>
      <c r="C1071" s="1" t="n">
        <v>45648</v>
      </c>
      <c r="D1071" t="inlineStr">
        <is>
          <t>JÄMTLANDS LÄN</t>
        </is>
      </c>
      <c r="E1071" t="inlineStr">
        <is>
          <t>STRÖMSUND</t>
        </is>
      </c>
      <c r="F1071" t="inlineStr">
        <is>
          <t>SCA</t>
        </is>
      </c>
      <c r="G1071" t="n">
        <v>12.3</v>
      </c>
      <c r="H1071" t="n">
        <v>0</v>
      </c>
      <c r="I1071" t="n">
        <v>0</v>
      </c>
      <c r="J1071" t="n">
        <v>0</v>
      </c>
      <c r="K1071" t="n">
        <v>0</v>
      </c>
      <c r="L1071" t="n">
        <v>0</v>
      </c>
      <c r="M1071" t="n">
        <v>0</v>
      </c>
      <c r="N1071" t="n">
        <v>0</v>
      </c>
      <c r="O1071" t="n">
        <v>0</v>
      </c>
      <c r="P1071" t="n">
        <v>0</v>
      </c>
      <c r="Q1071" t="n">
        <v>0</v>
      </c>
      <c r="R1071" s="2" t="inlineStr"/>
    </row>
    <row r="1072" ht="15" customHeight="1">
      <c r="A1072" t="inlineStr">
        <is>
          <t>A 37229-2021</t>
        </is>
      </c>
      <c r="B1072" s="1" t="n">
        <v>44397</v>
      </c>
      <c r="C1072" s="1" t="n">
        <v>45648</v>
      </c>
      <c r="D1072" t="inlineStr">
        <is>
          <t>JÄMTLANDS LÄN</t>
        </is>
      </c>
      <c r="E1072" t="inlineStr">
        <is>
          <t>STRÖMSUND</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37373-2021</t>
        </is>
      </c>
      <c r="B1073" s="1" t="n">
        <v>44398</v>
      </c>
      <c r="C1073" s="1" t="n">
        <v>45648</v>
      </c>
      <c r="D1073" t="inlineStr">
        <is>
          <t>JÄMTLANDS LÄN</t>
        </is>
      </c>
      <c r="E1073" t="inlineStr">
        <is>
          <t>STRÖMSUND</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37370-2021</t>
        </is>
      </c>
      <c r="B1074" s="1" t="n">
        <v>44397</v>
      </c>
      <c r="C1074" s="1" t="n">
        <v>45648</v>
      </c>
      <c r="D1074" t="inlineStr">
        <is>
          <t>JÄMTLANDS LÄN</t>
        </is>
      </c>
      <c r="E1074" t="inlineStr">
        <is>
          <t>STRÖMSUND</t>
        </is>
      </c>
      <c r="F1074" t="inlineStr">
        <is>
          <t>SCA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37371-2021</t>
        </is>
      </c>
      <c r="B1075" s="1" t="n">
        <v>44398</v>
      </c>
      <c r="C1075" s="1" t="n">
        <v>45648</v>
      </c>
      <c r="D1075" t="inlineStr">
        <is>
          <t>JÄMTLANDS LÄN</t>
        </is>
      </c>
      <c r="E1075" t="inlineStr">
        <is>
          <t>STRÖMSUND</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38219-2021</t>
        </is>
      </c>
      <c r="B1076" s="1" t="n">
        <v>44405</v>
      </c>
      <c r="C1076" s="1" t="n">
        <v>45648</v>
      </c>
      <c r="D1076" t="inlineStr">
        <is>
          <t>JÄMTLANDS LÄN</t>
        </is>
      </c>
      <c r="E1076" t="inlineStr">
        <is>
          <t>STRÖMSUND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38583-2021</t>
        </is>
      </c>
      <c r="B1077" s="1" t="n">
        <v>44408</v>
      </c>
      <c r="C1077" s="1" t="n">
        <v>45648</v>
      </c>
      <c r="D1077" t="inlineStr">
        <is>
          <t>JÄMTLANDS LÄN</t>
        </is>
      </c>
      <c r="E1077" t="inlineStr">
        <is>
          <t>STRÖMSUND</t>
        </is>
      </c>
      <c r="F1077" t="inlineStr">
        <is>
          <t>SCA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38578-2021</t>
        </is>
      </c>
      <c r="B1078" s="1" t="n">
        <v>44407</v>
      </c>
      <c r="C1078" s="1" t="n">
        <v>45648</v>
      </c>
      <c r="D1078" t="inlineStr">
        <is>
          <t>JÄMTLANDS LÄN</t>
        </is>
      </c>
      <c r="E1078" t="inlineStr">
        <is>
          <t>STRÖMSUND</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38587-2021</t>
        </is>
      </c>
      <c r="B1079" s="1" t="n">
        <v>44408</v>
      </c>
      <c r="C1079" s="1" t="n">
        <v>45648</v>
      </c>
      <c r="D1079" t="inlineStr">
        <is>
          <t>JÄMTLANDS LÄN</t>
        </is>
      </c>
      <c r="E1079" t="inlineStr">
        <is>
          <t>STRÖMSUND</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38586-2021</t>
        </is>
      </c>
      <c r="B1080" s="1" t="n">
        <v>44407</v>
      </c>
      <c r="C1080" s="1" t="n">
        <v>45648</v>
      </c>
      <c r="D1080" t="inlineStr">
        <is>
          <t>JÄMTLANDS LÄN</t>
        </is>
      </c>
      <c r="E1080" t="inlineStr">
        <is>
          <t>STRÖMSUND</t>
        </is>
      </c>
      <c r="F1080" t="inlineStr">
        <is>
          <t>SCA</t>
        </is>
      </c>
      <c r="G1080" t="n">
        <v>1.4</v>
      </c>
      <c r="H1080" t="n">
        <v>0</v>
      </c>
      <c r="I1080" t="n">
        <v>0</v>
      </c>
      <c r="J1080" t="n">
        <v>0</v>
      </c>
      <c r="K1080" t="n">
        <v>0</v>
      </c>
      <c r="L1080" t="n">
        <v>0</v>
      </c>
      <c r="M1080" t="n">
        <v>0</v>
      </c>
      <c r="N1080" t="n">
        <v>0</v>
      </c>
      <c r="O1080" t="n">
        <v>0</v>
      </c>
      <c r="P1080" t="n">
        <v>0</v>
      </c>
      <c r="Q1080" t="n">
        <v>0</v>
      </c>
      <c r="R1080" s="2" t="inlineStr"/>
      <c r="U1080">
        <f>HYPERLINK("https://klasma.github.io/Logging_2313/knärot/A 38586-2021 karta knärot.png", "A 38586-2021")</f>
        <v/>
      </c>
      <c r="V1080">
        <f>HYPERLINK("https://klasma.github.io/Logging_2313/klagomål/A 38586-2021 FSC-klagomål.docx", "A 38586-2021")</f>
        <v/>
      </c>
      <c r="W1080">
        <f>HYPERLINK("https://klasma.github.io/Logging_2313/klagomålsmail/A 38586-2021 FSC-klagomål mail.docx", "A 38586-2021")</f>
        <v/>
      </c>
      <c r="X1080">
        <f>HYPERLINK("https://klasma.github.io/Logging_2313/tillsyn/A 38586-2021 tillsynsbegäran.docx", "A 38586-2021")</f>
        <v/>
      </c>
      <c r="Y1080">
        <f>HYPERLINK("https://klasma.github.io/Logging_2313/tillsynsmail/A 38586-2021 tillsynsbegäran mail.docx", "A 38586-2021")</f>
        <v/>
      </c>
    </row>
    <row r="1081" ht="15" customHeight="1">
      <c r="A1081" t="inlineStr">
        <is>
          <t>A 38629-2021</t>
        </is>
      </c>
      <c r="B1081" s="1" t="n">
        <v>44410</v>
      </c>
      <c r="C1081" s="1" t="n">
        <v>45648</v>
      </c>
      <c r="D1081" t="inlineStr">
        <is>
          <t>JÄMTLANDS LÄN</t>
        </is>
      </c>
      <c r="E1081" t="inlineStr">
        <is>
          <t>STRÖMSUND</t>
        </is>
      </c>
      <c r="F1081" t="inlineStr">
        <is>
          <t>SCA</t>
        </is>
      </c>
      <c r="G1081" t="n">
        <v>18.3</v>
      </c>
      <c r="H1081" t="n">
        <v>0</v>
      </c>
      <c r="I1081" t="n">
        <v>0</v>
      </c>
      <c r="J1081" t="n">
        <v>0</v>
      </c>
      <c r="K1081" t="n">
        <v>0</v>
      </c>
      <c r="L1081" t="n">
        <v>0</v>
      </c>
      <c r="M1081" t="n">
        <v>0</v>
      </c>
      <c r="N1081" t="n">
        <v>0</v>
      </c>
      <c r="O1081" t="n">
        <v>0</v>
      </c>
      <c r="P1081" t="n">
        <v>0</v>
      </c>
      <c r="Q1081" t="n">
        <v>0</v>
      </c>
      <c r="R1081" s="2" t="inlineStr"/>
    </row>
    <row r="1082" ht="15" customHeight="1">
      <c r="A1082" t="inlineStr">
        <is>
          <t>A 38763-2021</t>
        </is>
      </c>
      <c r="B1082" s="1" t="n">
        <v>44410</v>
      </c>
      <c r="C1082" s="1" t="n">
        <v>45648</v>
      </c>
      <c r="D1082" t="inlineStr">
        <is>
          <t>JÄMTLANDS LÄN</t>
        </is>
      </c>
      <c r="E1082" t="inlineStr">
        <is>
          <t>STRÖMSUND</t>
        </is>
      </c>
      <c r="F1082" t="inlineStr">
        <is>
          <t>Kyrkan</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38786-2021</t>
        </is>
      </c>
      <c r="B1083" s="1" t="n">
        <v>44410</v>
      </c>
      <c r="C1083" s="1" t="n">
        <v>45648</v>
      </c>
      <c r="D1083" t="inlineStr">
        <is>
          <t>JÄMTLANDS LÄN</t>
        </is>
      </c>
      <c r="E1083" t="inlineStr">
        <is>
          <t>STRÖMSUND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39331-2021</t>
        </is>
      </c>
      <c r="B1084" s="1" t="n">
        <v>44414</v>
      </c>
      <c r="C1084" s="1" t="n">
        <v>45648</v>
      </c>
      <c r="D1084" t="inlineStr">
        <is>
          <t>JÄMTLANDS LÄN</t>
        </is>
      </c>
      <c r="E1084" t="inlineStr">
        <is>
          <t>STRÖMSUND</t>
        </is>
      </c>
      <c r="F1084" t="inlineStr">
        <is>
          <t>SCA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39332-2021</t>
        </is>
      </c>
      <c r="B1085" s="1" t="n">
        <v>44413</v>
      </c>
      <c r="C1085" s="1" t="n">
        <v>45648</v>
      </c>
      <c r="D1085" t="inlineStr">
        <is>
          <t>JÄMTLANDS LÄN</t>
        </is>
      </c>
      <c r="E1085" t="inlineStr">
        <is>
          <t>STRÖMSUND</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39511-2021</t>
        </is>
      </c>
      <c r="B1086" s="1" t="n">
        <v>44414</v>
      </c>
      <c r="C1086" s="1" t="n">
        <v>45648</v>
      </c>
      <c r="D1086" t="inlineStr">
        <is>
          <t>JÄMTLANDS LÄN</t>
        </is>
      </c>
      <c r="E1086" t="inlineStr">
        <is>
          <t>STRÖMSUND</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39510-2021</t>
        </is>
      </c>
      <c r="B1087" s="1" t="n">
        <v>44414</v>
      </c>
      <c r="C1087" s="1" t="n">
        <v>45648</v>
      </c>
      <c r="D1087" t="inlineStr">
        <is>
          <t>JÄMTLANDS LÄN</t>
        </is>
      </c>
      <c r="E1087" t="inlineStr">
        <is>
          <t>STRÖMSUND</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39945-2021</t>
        </is>
      </c>
      <c r="B1088" s="1" t="n">
        <v>44417</v>
      </c>
      <c r="C1088" s="1" t="n">
        <v>45648</v>
      </c>
      <c r="D1088" t="inlineStr">
        <is>
          <t>JÄMTLANDS LÄN</t>
        </is>
      </c>
      <c r="E1088" t="inlineStr">
        <is>
          <t>STRÖMSUND</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39944-2021</t>
        </is>
      </c>
      <c r="B1089" s="1" t="n">
        <v>44417</v>
      </c>
      <c r="C1089" s="1" t="n">
        <v>45648</v>
      </c>
      <c r="D1089" t="inlineStr">
        <is>
          <t>JÄMTLANDS LÄN</t>
        </is>
      </c>
      <c r="E1089" t="inlineStr">
        <is>
          <t>STRÖMSUND</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40354-2021</t>
        </is>
      </c>
      <c r="B1090" s="1" t="n">
        <v>44419</v>
      </c>
      <c r="C1090" s="1" t="n">
        <v>45648</v>
      </c>
      <c r="D1090" t="inlineStr">
        <is>
          <t>JÄMTLANDS LÄN</t>
        </is>
      </c>
      <c r="E1090" t="inlineStr">
        <is>
          <t>STRÖMSUND</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40657-2021</t>
        </is>
      </c>
      <c r="B1091" s="1" t="n">
        <v>44420</v>
      </c>
      <c r="C1091" s="1" t="n">
        <v>45648</v>
      </c>
      <c r="D1091" t="inlineStr">
        <is>
          <t>JÄMTLANDS LÄN</t>
        </is>
      </c>
      <c r="E1091" t="inlineStr">
        <is>
          <t>STRÖMSUND</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40827-2021</t>
        </is>
      </c>
      <c r="B1092" s="1" t="n">
        <v>44421</v>
      </c>
      <c r="C1092" s="1" t="n">
        <v>45648</v>
      </c>
      <c r="D1092" t="inlineStr">
        <is>
          <t>JÄMTLANDS LÄN</t>
        </is>
      </c>
      <c r="E1092" t="inlineStr">
        <is>
          <t>STRÖMSUND</t>
        </is>
      </c>
      <c r="F1092" t="inlineStr">
        <is>
          <t>Holmen skog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40857-2021</t>
        </is>
      </c>
      <c r="B1093" s="1" t="n">
        <v>44421</v>
      </c>
      <c r="C1093" s="1" t="n">
        <v>45648</v>
      </c>
      <c r="D1093" t="inlineStr">
        <is>
          <t>JÄMTLANDS LÄN</t>
        </is>
      </c>
      <c r="E1093" t="inlineStr">
        <is>
          <t>STRÖMSUND</t>
        </is>
      </c>
      <c r="F1093" t="inlineStr">
        <is>
          <t>Holmen skog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40806-2021</t>
        </is>
      </c>
      <c r="B1094" s="1" t="n">
        <v>44421</v>
      </c>
      <c r="C1094" s="1" t="n">
        <v>45648</v>
      </c>
      <c r="D1094" t="inlineStr">
        <is>
          <t>JÄMTLANDS LÄN</t>
        </is>
      </c>
      <c r="E1094" t="inlineStr">
        <is>
          <t>STRÖMSUND</t>
        </is>
      </c>
      <c r="F1094" t="inlineStr">
        <is>
          <t>Holmen skog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41059-2021</t>
        </is>
      </c>
      <c r="B1095" s="1" t="n">
        <v>44422</v>
      </c>
      <c r="C1095" s="1" t="n">
        <v>45648</v>
      </c>
      <c r="D1095" t="inlineStr">
        <is>
          <t>JÄMTLANDS LÄN</t>
        </is>
      </c>
      <c r="E1095" t="inlineStr">
        <is>
          <t>STRÖMSUND</t>
        </is>
      </c>
      <c r="F1095" t="inlineStr">
        <is>
          <t>SCA</t>
        </is>
      </c>
      <c r="G1095" t="n">
        <v>17.6</v>
      </c>
      <c r="H1095" t="n">
        <v>0</v>
      </c>
      <c r="I1095" t="n">
        <v>0</v>
      </c>
      <c r="J1095" t="n">
        <v>0</v>
      </c>
      <c r="K1095" t="n">
        <v>0</v>
      </c>
      <c r="L1095" t="n">
        <v>0</v>
      </c>
      <c r="M1095" t="n">
        <v>0</v>
      </c>
      <c r="N1095" t="n">
        <v>0</v>
      </c>
      <c r="O1095" t="n">
        <v>0</v>
      </c>
      <c r="P1095" t="n">
        <v>0</v>
      </c>
      <c r="Q1095" t="n">
        <v>0</v>
      </c>
      <c r="R1095" s="2" t="inlineStr"/>
    </row>
    <row r="1096" ht="15" customHeight="1">
      <c r="A1096" t="inlineStr">
        <is>
          <t>A 41491-2021</t>
        </is>
      </c>
      <c r="B1096" s="1" t="n">
        <v>44424</v>
      </c>
      <c r="C1096" s="1" t="n">
        <v>45648</v>
      </c>
      <c r="D1096" t="inlineStr">
        <is>
          <t>JÄMTLANDS LÄN</t>
        </is>
      </c>
      <c r="E1096" t="inlineStr">
        <is>
          <t>STRÖMSUND</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41490-2021</t>
        </is>
      </c>
      <c r="B1097" s="1" t="n">
        <v>44425</v>
      </c>
      <c r="C1097" s="1" t="n">
        <v>45648</v>
      </c>
      <c r="D1097" t="inlineStr">
        <is>
          <t>JÄMTLANDS LÄN</t>
        </is>
      </c>
      <c r="E1097" t="inlineStr">
        <is>
          <t>STRÖMSUND</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41639-2021</t>
        </is>
      </c>
      <c r="B1098" s="1" t="n">
        <v>44425</v>
      </c>
      <c r="C1098" s="1" t="n">
        <v>45648</v>
      </c>
      <c r="D1098" t="inlineStr">
        <is>
          <t>JÄMTLANDS LÄN</t>
        </is>
      </c>
      <c r="E1098" t="inlineStr">
        <is>
          <t>STRÖMSUND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42247-2021</t>
        </is>
      </c>
      <c r="B1099" s="1" t="n">
        <v>44426</v>
      </c>
      <c r="C1099" s="1" t="n">
        <v>45648</v>
      </c>
      <c r="D1099" t="inlineStr">
        <is>
          <t>JÄMTLANDS LÄN</t>
        </is>
      </c>
      <c r="E1099" t="inlineStr">
        <is>
          <t>STRÖMSUND</t>
        </is>
      </c>
      <c r="F1099" t="inlineStr">
        <is>
          <t>SCA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42549-2021</t>
        </is>
      </c>
      <c r="B1100" s="1" t="n">
        <v>44427</v>
      </c>
      <c r="C1100" s="1" t="n">
        <v>45648</v>
      </c>
      <c r="D1100" t="inlineStr">
        <is>
          <t>JÄMTLANDS LÄN</t>
        </is>
      </c>
      <c r="E1100" t="inlineStr">
        <is>
          <t>STRÖMSUND</t>
        </is>
      </c>
      <c r="F1100" t="inlineStr">
        <is>
          <t>SCA</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42545-2021</t>
        </is>
      </c>
      <c r="B1101" s="1" t="n">
        <v>44428</v>
      </c>
      <c r="C1101" s="1" t="n">
        <v>45648</v>
      </c>
      <c r="D1101" t="inlineStr">
        <is>
          <t>JÄMTLANDS LÄN</t>
        </is>
      </c>
      <c r="E1101" t="inlineStr">
        <is>
          <t>STRÖMSUND</t>
        </is>
      </c>
      <c r="F1101" t="inlineStr">
        <is>
          <t>SCA</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42551-2021</t>
        </is>
      </c>
      <c r="B1102" s="1" t="n">
        <v>44427</v>
      </c>
      <c r="C1102" s="1" t="n">
        <v>45648</v>
      </c>
      <c r="D1102" t="inlineStr">
        <is>
          <t>JÄMTLANDS LÄN</t>
        </is>
      </c>
      <c r="E1102" t="inlineStr">
        <is>
          <t>STRÖMSUND</t>
        </is>
      </c>
      <c r="F1102" t="inlineStr">
        <is>
          <t>SCA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42794-2021</t>
        </is>
      </c>
      <c r="B1103" s="1" t="n">
        <v>44429</v>
      </c>
      <c r="C1103" s="1" t="n">
        <v>45648</v>
      </c>
      <c r="D1103" t="inlineStr">
        <is>
          <t>JÄMTLANDS LÄN</t>
        </is>
      </c>
      <c r="E1103" t="inlineStr">
        <is>
          <t>STRÖMSUND</t>
        </is>
      </c>
      <c r="F1103" t="inlineStr">
        <is>
          <t>SCA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43072-2021</t>
        </is>
      </c>
      <c r="B1104" s="1" t="n">
        <v>44431</v>
      </c>
      <c r="C1104" s="1" t="n">
        <v>45648</v>
      </c>
      <c r="D1104" t="inlineStr">
        <is>
          <t>JÄMTLANDS LÄN</t>
        </is>
      </c>
      <c r="E1104" t="inlineStr">
        <is>
          <t>STRÖMSUND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43839-2021</t>
        </is>
      </c>
      <c r="B1105" s="1" t="n">
        <v>44434</v>
      </c>
      <c r="C1105" s="1" t="n">
        <v>45648</v>
      </c>
      <c r="D1105" t="inlineStr">
        <is>
          <t>JÄMTLANDS LÄN</t>
        </is>
      </c>
      <c r="E1105" t="inlineStr">
        <is>
          <t>STRÖMSUND</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43754-2021</t>
        </is>
      </c>
      <c r="B1106" s="1" t="n">
        <v>44433</v>
      </c>
      <c r="C1106" s="1" t="n">
        <v>45648</v>
      </c>
      <c r="D1106" t="inlineStr">
        <is>
          <t>JÄMTLANDS LÄN</t>
        </is>
      </c>
      <c r="E1106" t="inlineStr">
        <is>
          <t>STRÖMSUND</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43752-2021</t>
        </is>
      </c>
      <c r="B1107" s="1" t="n">
        <v>44433</v>
      </c>
      <c r="C1107" s="1" t="n">
        <v>45648</v>
      </c>
      <c r="D1107" t="inlineStr">
        <is>
          <t>JÄMTLANDS LÄN</t>
        </is>
      </c>
      <c r="E1107" t="inlineStr">
        <is>
          <t>STRÖMSUND</t>
        </is>
      </c>
      <c r="F1107" t="inlineStr">
        <is>
          <t>Sveaskog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43842-2021</t>
        </is>
      </c>
      <c r="B1108" s="1" t="n">
        <v>44433</v>
      </c>
      <c r="C1108" s="1" t="n">
        <v>45648</v>
      </c>
      <c r="D1108" t="inlineStr">
        <is>
          <t>JÄMTLANDS LÄN</t>
        </is>
      </c>
      <c r="E1108" t="inlineStr">
        <is>
          <t>STRÖMSUND</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43846-2021</t>
        </is>
      </c>
      <c r="B1109" s="1" t="n">
        <v>44434</v>
      </c>
      <c r="C1109" s="1" t="n">
        <v>45648</v>
      </c>
      <c r="D1109" t="inlineStr">
        <is>
          <t>JÄMTLANDS LÄN</t>
        </is>
      </c>
      <c r="E1109" t="inlineStr">
        <is>
          <t>STRÖMSUND</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43844-2021</t>
        </is>
      </c>
      <c r="B1110" s="1" t="n">
        <v>44433</v>
      </c>
      <c r="C1110" s="1" t="n">
        <v>45648</v>
      </c>
      <c r="D1110" t="inlineStr">
        <is>
          <t>JÄMTLANDS LÄN</t>
        </is>
      </c>
      <c r="E1110" t="inlineStr">
        <is>
          <t>STRÖMSUND</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44025-2021</t>
        </is>
      </c>
      <c r="B1111" s="1" t="n">
        <v>44434</v>
      </c>
      <c r="C1111" s="1" t="n">
        <v>45648</v>
      </c>
      <c r="D1111" t="inlineStr">
        <is>
          <t>JÄMTLANDS LÄN</t>
        </is>
      </c>
      <c r="E1111" t="inlineStr">
        <is>
          <t>STRÖMSUND</t>
        </is>
      </c>
      <c r="F1111" t="inlineStr">
        <is>
          <t>Holmen skog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44104-2021</t>
        </is>
      </c>
      <c r="B1112" s="1" t="n">
        <v>44434</v>
      </c>
      <c r="C1112" s="1" t="n">
        <v>45648</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44229-2021</t>
        </is>
      </c>
      <c r="B1113" s="1" t="n">
        <v>44434</v>
      </c>
      <c r="C1113" s="1" t="n">
        <v>45648</v>
      </c>
      <c r="D1113" t="inlineStr">
        <is>
          <t>JÄMTLANDS LÄN</t>
        </is>
      </c>
      <c r="E1113" t="inlineStr">
        <is>
          <t>STRÖMSUND</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44410-2021</t>
        </is>
      </c>
      <c r="B1114" s="1" t="n">
        <v>44435</v>
      </c>
      <c r="C1114" s="1" t="n">
        <v>45648</v>
      </c>
      <c r="D1114" t="inlineStr">
        <is>
          <t>JÄMTLANDS LÄN</t>
        </is>
      </c>
      <c r="E1114" t="inlineStr">
        <is>
          <t>STRÖMSUND</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44436-2021</t>
        </is>
      </c>
      <c r="B1115" s="1" t="n">
        <v>44435</v>
      </c>
      <c r="C1115" s="1" t="n">
        <v>45648</v>
      </c>
      <c r="D1115" t="inlineStr">
        <is>
          <t>JÄMTLANDS LÄN</t>
        </is>
      </c>
      <c r="E1115" t="inlineStr">
        <is>
          <t>STRÖMSUND</t>
        </is>
      </c>
      <c r="F1115" t="inlineStr">
        <is>
          <t>Holmen skog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44602-2021</t>
        </is>
      </c>
      <c r="B1116" s="1" t="n">
        <v>44436</v>
      </c>
      <c r="C1116" s="1" t="n">
        <v>45648</v>
      </c>
      <c r="D1116" t="inlineStr">
        <is>
          <t>JÄMTLANDS LÄN</t>
        </is>
      </c>
      <c r="E1116" t="inlineStr">
        <is>
          <t>STRÖMSUND</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44600-2021</t>
        </is>
      </c>
      <c r="B1117" s="1" t="n">
        <v>44436</v>
      </c>
      <c r="C1117" s="1" t="n">
        <v>45648</v>
      </c>
      <c r="D1117" t="inlineStr">
        <is>
          <t>JÄMTLANDS LÄN</t>
        </is>
      </c>
      <c r="E1117" t="inlineStr">
        <is>
          <t>STRÖMSUND</t>
        </is>
      </c>
      <c r="F1117" t="inlineStr">
        <is>
          <t>SCA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44605-2021</t>
        </is>
      </c>
      <c r="B1118" s="1" t="n">
        <v>44436</v>
      </c>
      <c r="C1118" s="1" t="n">
        <v>45648</v>
      </c>
      <c r="D1118" t="inlineStr">
        <is>
          <t>JÄMTLANDS LÄN</t>
        </is>
      </c>
      <c r="E1118" t="inlineStr">
        <is>
          <t>STRÖMSUND</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44606-2021</t>
        </is>
      </c>
      <c r="B1119" s="1" t="n">
        <v>44436</v>
      </c>
      <c r="C1119" s="1" t="n">
        <v>45648</v>
      </c>
      <c r="D1119" t="inlineStr">
        <is>
          <t>JÄMTLANDS LÄN</t>
        </is>
      </c>
      <c r="E1119" t="inlineStr">
        <is>
          <t>STRÖMSUND</t>
        </is>
      </c>
      <c r="F1119" t="inlineStr">
        <is>
          <t>SCA</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45011-2021</t>
        </is>
      </c>
      <c r="B1120" s="1" t="n">
        <v>44439</v>
      </c>
      <c r="C1120" s="1" t="n">
        <v>45648</v>
      </c>
      <c r="D1120" t="inlineStr">
        <is>
          <t>JÄMTLANDS LÄN</t>
        </is>
      </c>
      <c r="E1120" t="inlineStr">
        <is>
          <t>STRÖMSUND</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45230-2021</t>
        </is>
      </c>
      <c r="B1121" s="1" t="n">
        <v>44439</v>
      </c>
      <c r="C1121" s="1" t="n">
        <v>45648</v>
      </c>
      <c r="D1121" t="inlineStr">
        <is>
          <t>JÄMTLANDS LÄN</t>
        </is>
      </c>
      <c r="E1121" t="inlineStr">
        <is>
          <t>STRÖMSUND</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45351-2021</t>
        </is>
      </c>
      <c r="B1122" s="1" t="n">
        <v>44440</v>
      </c>
      <c r="C1122" s="1" t="n">
        <v>45648</v>
      </c>
      <c r="D1122" t="inlineStr">
        <is>
          <t>JÄMTLANDS LÄN</t>
        </is>
      </c>
      <c r="E1122" t="inlineStr">
        <is>
          <t>STRÖMSUND</t>
        </is>
      </c>
      <c r="F1122" t="inlineStr">
        <is>
          <t>SCA</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45333-2021</t>
        </is>
      </c>
      <c r="B1123" s="1" t="n">
        <v>44439</v>
      </c>
      <c r="C1123" s="1" t="n">
        <v>45648</v>
      </c>
      <c r="D1123" t="inlineStr">
        <is>
          <t>JÄMTLANDS LÄN</t>
        </is>
      </c>
      <c r="E1123" t="inlineStr">
        <is>
          <t>STRÖMSUND</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45340-2021</t>
        </is>
      </c>
      <c r="B1124" s="1" t="n">
        <v>44440</v>
      </c>
      <c r="C1124" s="1" t="n">
        <v>45648</v>
      </c>
      <c r="D1124" t="inlineStr">
        <is>
          <t>JÄMTLANDS LÄN</t>
        </is>
      </c>
      <c r="E1124" t="inlineStr">
        <is>
          <t>STRÖMSUND</t>
        </is>
      </c>
      <c r="F1124" t="inlineStr">
        <is>
          <t>SCA</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45622-2021</t>
        </is>
      </c>
      <c r="B1125" s="1" t="n">
        <v>44441</v>
      </c>
      <c r="C1125" s="1" t="n">
        <v>45648</v>
      </c>
      <c r="D1125" t="inlineStr">
        <is>
          <t>JÄMTLANDS LÄN</t>
        </is>
      </c>
      <c r="E1125" t="inlineStr">
        <is>
          <t>STRÖMSUND</t>
        </is>
      </c>
      <c r="F1125" t="inlineStr">
        <is>
          <t>SCA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45640-2021</t>
        </is>
      </c>
      <c r="B1126" s="1" t="n">
        <v>44440</v>
      </c>
      <c r="C1126" s="1" t="n">
        <v>45648</v>
      </c>
      <c r="D1126" t="inlineStr">
        <is>
          <t>JÄMTLANDS LÄN</t>
        </is>
      </c>
      <c r="E1126" t="inlineStr">
        <is>
          <t>STRÖMSUND</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45628-2021</t>
        </is>
      </c>
      <c r="B1127" s="1" t="n">
        <v>44441</v>
      </c>
      <c r="C1127" s="1" t="n">
        <v>45648</v>
      </c>
      <c r="D1127" t="inlineStr">
        <is>
          <t>JÄMTLANDS LÄN</t>
        </is>
      </c>
      <c r="E1127" t="inlineStr">
        <is>
          <t>STRÖMSUND</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45635-2021</t>
        </is>
      </c>
      <c r="B1128" s="1" t="n">
        <v>44440</v>
      </c>
      <c r="C1128" s="1" t="n">
        <v>45648</v>
      </c>
      <c r="D1128" t="inlineStr">
        <is>
          <t>JÄMTLANDS LÄN</t>
        </is>
      </c>
      <c r="E1128" t="inlineStr">
        <is>
          <t>STRÖMSUND</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45641-2021</t>
        </is>
      </c>
      <c r="B1129" s="1" t="n">
        <v>44440</v>
      </c>
      <c r="C1129" s="1" t="n">
        <v>45648</v>
      </c>
      <c r="D1129" t="inlineStr">
        <is>
          <t>JÄMTLANDS LÄN</t>
        </is>
      </c>
      <c r="E1129" t="inlineStr">
        <is>
          <t>STRÖMSUND</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45630-2021</t>
        </is>
      </c>
      <c r="B1130" s="1" t="n">
        <v>44440</v>
      </c>
      <c r="C1130" s="1" t="n">
        <v>45648</v>
      </c>
      <c r="D1130" t="inlineStr">
        <is>
          <t>JÄMTLANDS LÄN</t>
        </is>
      </c>
      <c r="E1130" t="inlineStr">
        <is>
          <t>STRÖMSUND</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45638-2021</t>
        </is>
      </c>
      <c r="B1131" s="1" t="n">
        <v>44440</v>
      </c>
      <c r="C1131" s="1" t="n">
        <v>45648</v>
      </c>
      <c r="D1131" t="inlineStr">
        <is>
          <t>JÄMTLANDS LÄN</t>
        </is>
      </c>
      <c r="E1131" t="inlineStr">
        <is>
          <t>STRÖMSUND</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45627-2021</t>
        </is>
      </c>
      <c r="B1132" s="1" t="n">
        <v>44441</v>
      </c>
      <c r="C1132" s="1" t="n">
        <v>45648</v>
      </c>
      <c r="D1132" t="inlineStr">
        <is>
          <t>JÄMTLANDS LÄN</t>
        </is>
      </c>
      <c r="E1132" t="inlineStr">
        <is>
          <t>STRÖMSUND</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45626-2021</t>
        </is>
      </c>
      <c r="B1133" s="1" t="n">
        <v>44441</v>
      </c>
      <c r="C1133" s="1" t="n">
        <v>45648</v>
      </c>
      <c r="D1133" t="inlineStr">
        <is>
          <t>JÄMTLANDS LÄN</t>
        </is>
      </c>
      <c r="E1133" t="inlineStr">
        <is>
          <t>STRÖMSUND</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45639-2021</t>
        </is>
      </c>
      <c r="B1134" s="1" t="n">
        <v>44440</v>
      </c>
      <c r="C1134" s="1" t="n">
        <v>45648</v>
      </c>
      <c r="D1134" t="inlineStr">
        <is>
          <t>JÄMTLANDS LÄN</t>
        </is>
      </c>
      <c r="E1134" t="inlineStr">
        <is>
          <t>STRÖMSUND</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46969-2021</t>
        </is>
      </c>
      <c r="B1135" s="1" t="n">
        <v>44446</v>
      </c>
      <c r="C1135" s="1" t="n">
        <v>45648</v>
      </c>
      <c r="D1135" t="inlineStr">
        <is>
          <t>JÄMTLANDS LÄN</t>
        </is>
      </c>
      <c r="E1135" t="inlineStr">
        <is>
          <t>STRÖMSUND</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47261-2021</t>
        </is>
      </c>
      <c r="B1136" s="1" t="n">
        <v>44447</v>
      </c>
      <c r="C1136" s="1" t="n">
        <v>45648</v>
      </c>
      <c r="D1136" t="inlineStr">
        <is>
          <t>JÄMTLANDS LÄN</t>
        </is>
      </c>
      <c r="E1136" t="inlineStr">
        <is>
          <t>STRÖMSUND</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47607-2021</t>
        </is>
      </c>
      <c r="B1137" s="1" t="n">
        <v>44447</v>
      </c>
      <c r="C1137" s="1" t="n">
        <v>45648</v>
      </c>
      <c r="D1137" t="inlineStr">
        <is>
          <t>JÄMTLANDS LÄN</t>
        </is>
      </c>
      <c r="E1137" t="inlineStr">
        <is>
          <t>STRÖMSUND</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47847-2021</t>
        </is>
      </c>
      <c r="B1138" s="1" t="n">
        <v>44448</v>
      </c>
      <c r="C1138" s="1" t="n">
        <v>45648</v>
      </c>
      <c r="D1138" t="inlineStr">
        <is>
          <t>JÄMTLANDS LÄN</t>
        </is>
      </c>
      <c r="E1138" t="inlineStr">
        <is>
          <t>STRÖMSUND</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47938-2021</t>
        </is>
      </c>
      <c r="B1139" s="1" t="n">
        <v>44449</v>
      </c>
      <c r="C1139" s="1" t="n">
        <v>45648</v>
      </c>
      <c r="D1139" t="inlineStr">
        <is>
          <t>JÄMTLANDS LÄN</t>
        </is>
      </c>
      <c r="E1139" t="inlineStr">
        <is>
          <t>STRÖMSUND</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47936-2021</t>
        </is>
      </c>
      <c r="B1140" s="1" t="n">
        <v>44448</v>
      </c>
      <c r="C1140" s="1" t="n">
        <v>45648</v>
      </c>
      <c r="D1140" t="inlineStr">
        <is>
          <t>JÄMTLANDS LÄN</t>
        </is>
      </c>
      <c r="E1140" t="inlineStr">
        <is>
          <t>STRÖMSUND</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47941-2021</t>
        </is>
      </c>
      <c r="B1141" s="1" t="n">
        <v>44449</v>
      </c>
      <c r="C1141" s="1" t="n">
        <v>45648</v>
      </c>
      <c r="D1141" t="inlineStr">
        <is>
          <t>JÄMTLANDS LÄN</t>
        </is>
      </c>
      <c r="E1141" t="inlineStr">
        <is>
          <t>STRÖMSUND</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47943-2021</t>
        </is>
      </c>
      <c r="B1142" s="1" t="n">
        <v>44448</v>
      </c>
      <c r="C1142" s="1" t="n">
        <v>45648</v>
      </c>
      <c r="D1142" t="inlineStr">
        <is>
          <t>JÄMTLANDS LÄN</t>
        </is>
      </c>
      <c r="E1142" t="inlineStr">
        <is>
          <t>STRÖMSUND</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47934-2021</t>
        </is>
      </c>
      <c r="B1143" s="1" t="n">
        <v>44448</v>
      </c>
      <c r="C1143" s="1" t="n">
        <v>45648</v>
      </c>
      <c r="D1143" t="inlineStr">
        <is>
          <t>JÄMTLANDS LÄN</t>
        </is>
      </c>
      <c r="E1143" t="inlineStr">
        <is>
          <t>STRÖMSUND</t>
        </is>
      </c>
      <c r="F1143" t="inlineStr">
        <is>
          <t>SCA</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47940-2021</t>
        </is>
      </c>
      <c r="B1144" s="1" t="n">
        <v>44449</v>
      </c>
      <c r="C1144" s="1" t="n">
        <v>45648</v>
      </c>
      <c r="D1144" t="inlineStr">
        <is>
          <t>JÄMTLANDS LÄN</t>
        </is>
      </c>
      <c r="E1144" t="inlineStr">
        <is>
          <t>STRÖMSUND</t>
        </is>
      </c>
      <c r="F1144" t="inlineStr">
        <is>
          <t>SCA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48508-2021</t>
        </is>
      </c>
      <c r="B1145" s="1" t="n">
        <v>44451</v>
      </c>
      <c r="C1145" s="1" t="n">
        <v>45648</v>
      </c>
      <c r="D1145" t="inlineStr">
        <is>
          <t>JÄMTLANDS LÄN</t>
        </is>
      </c>
      <c r="E1145" t="inlineStr">
        <is>
          <t>STRÖMSUND</t>
        </is>
      </c>
      <c r="G1145" t="n">
        <v>11.1</v>
      </c>
      <c r="H1145" t="n">
        <v>0</v>
      </c>
      <c r="I1145" t="n">
        <v>0</v>
      </c>
      <c r="J1145" t="n">
        <v>0</v>
      </c>
      <c r="K1145" t="n">
        <v>0</v>
      </c>
      <c r="L1145" t="n">
        <v>0</v>
      </c>
      <c r="M1145" t="n">
        <v>0</v>
      </c>
      <c r="N1145" t="n">
        <v>0</v>
      </c>
      <c r="O1145" t="n">
        <v>0</v>
      </c>
      <c r="P1145" t="n">
        <v>0</v>
      </c>
      <c r="Q1145" t="n">
        <v>0</v>
      </c>
      <c r="R1145" s="2" t="inlineStr"/>
    </row>
    <row r="1146" ht="15" customHeight="1">
      <c r="A1146" t="inlineStr">
        <is>
          <t>A 48863-2021</t>
        </is>
      </c>
      <c r="B1146" s="1" t="n">
        <v>44453</v>
      </c>
      <c r="C1146" s="1" t="n">
        <v>45648</v>
      </c>
      <c r="D1146" t="inlineStr">
        <is>
          <t>JÄMTLANDS LÄN</t>
        </is>
      </c>
      <c r="E1146" t="inlineStr">
        <is>
          <t>STRÖMSUND</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49166-2021</t>
        </is>
      </c>
      <c r="B1147" s="1" t="n">
        <v>44454</v>
      </c>
      <c r="C1147" s="1" t="n">
        <v>45648</v>
      </c>
      <c r="D1147" t="inlineStr">
        <is>
          <t>JÄMTLANDS LÄN</t>
        </is>
      </c>
      <c r="E1147" t="inlineStr">
        <is>
          <t>STRÖMSUND</t>
        </is>
      </c>
      <c r="F1147" t="inlineStr">
        <is>
          <t>SCA</t>
        </is>
      </c>
      <c r="G1147" t="n">
        <v>3.3</v>
      </c>
      <c r="H1147" t="n">
        <v>0</v>
      </c>
      <c r="I1147" t="n">
        <v>0</v>
      </c>
      <c r="J1147" t="n">
        <v>0</v>
      </c>
      <c r="K1147" t="n">
        <v>0</v>
      </c>
      <c r="L1147" t="n">
        <v>0</v>
      </c>
      <c r="M1147" t="n">
        <v>0</v>
      </c>
      <c r="N1147" t="n">
        <v>0</v>
      </c>
      <c r="O1147" t="n">
        <v>0</v>
      </c>
      <c r="P1147" t="n">
        <v>0</v>
      </c>
      <c r="Q1147" t="n">
        <v>0</v>
      </c>
      <c r="R1147" s="2" t="inlineStr"/>
      <c r="U1147">
        <f>HYPERLINK("https://klasma.github.io/Logging_2313/knärot/A 49166-2021 karta knärot.png", "A 49166-2021")</f>
        <v/>
      </c>
      <c r="V1147">
        <f>HYPERLINK("https://klasma.github.io/Logging_2313/klagomål/A 49166-2021 FSC-klagomål.docx", "A 49166-2021")</f>
        <v/>
      </c>
      <c r="W1147">
        <f>HYPERLINK("https://klasma.github.io/Logging_2313/klagomålsmail/A 49166-2021 FSC-klagomål mail.docx", "A 49166-2021")</f>
        <v/>
      </c>
      <c r="X1147">
        <f>HYPERLINK("https://klasma.github.io/Logging_2313/tillsyn/A 49166-2021 tillsynsbegäran.docx", "A 49166-2021")</f>
        <v/>
      </c>
      <c r="Y1147">
        <f>HYPERLINK("https://klasma.github.io/Logging_2313/tillsynsmail/A 49166-2021 tillsynsbegäran mail.docx", "A 49166-2021")</f>
        <v/>
      </c>
    </row>
    <row r="1148" ht="15" customHeight="1">
      <c r="A1148" t="inlineStr">
        <is>
          <t>A 49204-2021</t>
        </is>
      </c>
      <c r="B1148" s="1" t="n">
        <v>44454</v>
      </c>
      <c r="C1148" s="1" t="n">
        <v>45648</v>
      </c>
      <c r="D1148" t="inlineStr">
        <is>
          <t>JÄMTLANDS LÄN</t>
        </is>
      </c>
      <c r="E1148" t="inlineStr">
        <is>
          <t>STRÖMSUND</t>
        </is>
      </c>
      <c r="F1148" t="inlineStr">
        <is>
          <t>Sveaskog</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49210-2021</t>
        </is>
      </c>
      <c r="B1149" s="1" t="n">
        <v>44454</v>
      </c>
      <c r="C1149" s="1" t="n">
        <v>45648</v>
      </c>
      <c r="D1149" t="inlineStr">
        <is>
          <t>JÄMTLANDS LÄN</t>
        </is>
      </c>
      <c r="E1149" t="inlineStr">
        <is>
          <t>STRÖMSUND</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49208-2021</t>
        </is>
      </c>
      <c r="B1150" s="1" t="n">
        <v>44454</v>
      </c>
      <c r="C1150" s="1" t="n">
        <v>45648</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49212-2021</t>
        </is>
      </c>
      <c r="B1151" s="1" t="n">
        <v>44454</v>
      </c>
      <c r="C1151" s="1" t="n">
        <v>45648</v>
      </c>
      <c r="D1151" t="inlineStr">
        <is>
          <t>JÄMTLANDS LÄN</t>
        </is>
      </c>
      <c r="E1151" t="inlineStr">
        <is>
          <t>STRÖMSUND</t>
        </is>
      </c>
      <c r="F1151" t="inlineStr">
        <is>
          <t>Sveaskog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49206-2021</t>
        </is>
      </c>
      <c r="B1152" s="1" t="n">
        <v>44454</v>
      </c>
      <c r="C1152" s="1" t="n">
        <v>45648</v>
      </c>
      <c r="D1152" t="inlineStr">
        <is>
          <t>JÄMTLANDS LÄN</t>
        </is>
      </c>
      <c r="E1152" t="inlineStr">
        <is>
          <t>STRÖMSUND</t>
        </is>
      </c>
      <c r="F1152" t="inlineStr">
        <is>
          <t>Sveaskog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49620-2021</t>
        </is>
      </c>
      <c r="B1153" s="1" t="n">
        <v>44455</v>
      </c>
      <c r="C1153" s="1" t="n">
        <v>45648</v>
      </c>
      <c r="D1153" t="inlineStr">
        <is>
          <t>JÄMTLANDS LÄN</t>
        </is>
      </c>
      <c r="E1153" t="inlineStr">
        <is>
          <t>STRÖMSUND</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49929-2021</t>
        </is>
      </c>
      <c r="B1154" s="1" t="n">
        <v>44456</v>
      </c>
      <c r="C1154" s="1" t="n">
        <v>45648</v>
      </c>
      <c r="D1154" t="inlineStr">
        <is>
          <t>JÄMTLANDS LÄN</t>
        </is>
      </c>
      <c r="E1154" t="inlineStr">
        <is>
          <t>STRÖMSUND</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50020-2021</t>
        </is>
      </c>
      <c r="B1155" s="1" t="n">
        <v>44456</v>
      </c>
      <c r="C1155" s="1" t="n">
        <v>45648</v>
      </c>
      <c r="D1155" t="inlineStr">
        <is>
          <t>JÄMTLANDS LÄN</t>
        </is>
      </c>
      <c r="E1155" t="inlineStr">
        <is>
          <t>STRÖMSUND</t>
        </is>
      </c>
      <c r="F1155" t="inlineStr">
        <is>
          <t>Sveaskog</t>
        </is>
      </c>
      <c r="G1155" t="n">
        <v>18.7</v>
      </c>
      <c r="H1155" t="n">
        <v>0</v>
      </c>
      <c r="I1155" t="n">
        <v>0</v>
      </c>
      <c r="J1155" t="n">
        <v>0</v>
      </c>
      <c r="K1155" t="n">
        <v>0</v>
      </c>
      <c r="L1155" t="n">
        <v>0</v>
      </c>
      <c r="M1155" t="n">
        <v>0</v>
      </c>
      <c r="N1155" t="n">
        <v>0</v>
      </c>
      <c r="O1155" t="n">
        <v>0</v>
      </c>
      <c r="P1155" t="n">
        <v>0</v>
      </c>
      <c r="Q1155" t="n">
        <v>0</v>
      </c>
      <c r="R1155" s="2" t="inlineStr"/>
    </row>
    <row r="1156" ht="15" customHeight="1">
      <c r="A1156" t="inlineStr">
        <is>
          <t>A 50025-2021</t>
        </is>
      </c>
      <c r="B1156" s="1" t="n">
        <v>44456</v>
      </c>
      <c r="C1156" s="1" t="n">
        <v>45648</v>
      </c>
      <c r="D1156" t="inlineStr">
        <is>
          <t>JÄMTLANDS LÄN</t>
        </is>
      </c>
      <c r="E1156" t="inlineStr">
        <is>
          <t>STRÖMSUND</t>
        </is>
      </c>
      <c r="F1156" t="inlineStr">
        <is>
          <t>Sveaskog</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50034-2021</t>
        </is>
      </c>
      <c r="B1157" s="1" t="n">
        <v>44456</v>
      </c>
      <c r="C1157" s="1" t="n">
        <v>45648</v>
      </c>
      <c r="D1157" t="inlineStr">
        <is>
          <t>JÄMTLANDS LÄN</t>
        </is>
      </c>
      <c r="E1157" t="inlineStr">
        <is>
          <t>STRÖMSUND</t>
        </is>
      </c>
      <c r="F1157" t="inlineStr">
        <is>
          <t>Sveaskog</t>
        </is>
      </c>
      <c r="G1157" t="n">
        <v>12.9</v>
      </c>
      <c r="H1157" t="n">
        <v>0</v>
      </c>
      <c r="I1157" t="n">
        <v>0</v>
      </c>
      <c r="J1157" t="n">
        <v>0</v>
      </c>
      <c r="K1157" t="n">
        <v>0</v>
      </c>
      <c r="L1157" t="n">
        <v>0</v>
      </c>
      <c r="M1157" t="n">
        <v>0</v>
      </c>
      <c r="N1157" t="n">
        <v>0</v>
      </c>
      <c r="O1157" t="n">
        <v>0</v>
      </c>
      <c r="P1157" t="n">
        <v>0</v>
      </c>
      <c r="Q1157" t="n">
        <v>0</v>
      </c>
      <c r="R1157" s="2" t="inlineStr"/>
    </row>
    <row r="1158" ht="15" customHeight="1">
      <c r="A1158" t="inlineStr">
        <is>
          <t>A 50029-2021</t>
        </is>
      </c>
      <c r="B1158" s="1" t="n">
        <v>44456</v>
      </c>
      <c r="C1158" s="1" t="n">
        <v>45648</v>
      </c>
      <c r="D1158" t="inlineStr">
        <is>
          <t>JÄMTLANDS LÄN</t>
        </is>
      </c>
      <c r="E1158" t="inlineStr">
        <is>
          <t>STRÖMSUND</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50037-2021</t>
        </is>
      </c>
      <c r="B1159" s="1" t="n">
        <v>44456</v>
      </c>
      <c r="C1159" s="1" t="n">
        <v>45648</v>
      </c>
      <c r="D1159" t="inlineStr">
        <is>
          <t>JÄMTLANDS LÄN</t>
        </is>
      </c>
      <c r="E1159" t="inlineStr">
        <is>
          <t>STRÖMSUND</t>
        </is>
      </c>
      <c r="F1159" t="inlineStr">
        <is>
          <t>Sveaskog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50022-2021</t>
        </is>
      </c>
      <c r="B1160" s="1" t="n">
        <v>44456</v>
      </c>
      <c r="C1160" s="1" t="n">
        <v>45648</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50028-2021</t>
        </is>
      </c>
      <c r="B1161" s="1" t="n">
        <v>44456</v>
      </c>
      <c r="C1161" s="1" t="n">
        <v>45648</v>
      </c>
      <c r="D1161" t="inlineStr">
        <is>
          <t>JÄMTLANDS LÄN</t>
        </is>
      </c>
      <c r="E1161" t="inlineStr">
        <is>
          <t>STRÖMSUND</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50176-2021</t>
        </is>
      </c>
      <c r="B1162" s="1" t="n">
        <v>44457</v>
      </c>
      <c r="C1162" s="1" t="n">
        <v>45648</v>
      </c>
      <c r="D1162" t="inlineStr">
        <is>
          <t>JÄMTLANDS LÄN</t>
        </is>
      </c>
      <c r="E1162" t="inlineStr">
        <is>
          <t>STRÖMSUND</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50179-2021</t>
        </is>
      </c>
      <c r="B1163" s="1" t="n">
        <v>44456</v>
      </c>
      <c r="C1163" s="1" t="n">
        <v>45648</v>
      </c>
      <c r="D1163" t="inlineStr">
        <is>
          <t>JÄMTLANDS LÄN</t>
        </is>
      </c>
      <c r="E1163" t="inlineStr">
        <is>
          <t>STRÖMSUND</t>
        </is>
      </c>
      <c r="F1163" t="inlineStr">
        <is>
          <t>SCA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50180-2021</t>
        </is>
      </c>
      <c r="B1164" s="1" t="n">
        <v>44456</v>
      </c>
      <c r="C1164" s="1" t="n">
        <v>45648</v>
      </c>
      <c r="D1164" t="inlineStr">
        <is>
          <t>JÄMTLANDS LÄN</t>
        </is>
      </c>
      <c r="E1164" t="inlineStr">
        <is>
          <t>STRÖMSUND</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50023-2021</t>
        </is>
      </c>
      <c r="B1165" s="1" t="n">
        <v>44456</v>
      </c>
      <c r="C1165" s="1" t="n">
        <v>45648</v>
      </c>
      <c r="D1165" t="inlineStr">
        <is>
          <t>JÄMTLANDS LÄN</t>
        </is>
      </c>
      <c r="E1165" t="inlineStr">
        <is>
          <t>STRÖMSUND</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50890-2021</t>
        </is>
      </c>
      <c r="B1166" s="1" t="n">
        <v>44460</v>
      </c>
      <c r="C1166" s="1" t="n">
        <v>45648</v>
      </c>
      <c r="D1166" t="inlineStr">
        <is>
          <t>JÄMTLANDS LÄN</t>
        </is>
      </c>
      <c r="E1166" t="inlineStr">
        <is>
          <t>STRÖMSUND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51446-2021</t>
        </is>
      </c>
      <c r="B1167" s="1" t="n">
        <v>44461</v>
      </c>
      <c r="C1167" s="1" t="n">
        <v>45648</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51954-2021</t>
        </is>
      </c>
      <c r="B1168" s="1" t="n">
        <v>44463</v>
      </c>
      <c r="C1168" s="1" t="n">
        <v>45648</v>
      </c>
      <c r="D1168" t="inlineStr">
        <is>
          <t>JÄMTLANDS LÄN</t>
        </is>
      </c>
      <c r="E1168" t="inlineStr">
        <is>
          <t>STRÖMSUND</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51953-2021</t>
        </is>
      </c>
      <c r="B1169" s="1" t="n">
        <v>44463</v>
      </c>
      <c r="C1169" s="1" t="n">
        <v>45648</v>
      </c>
      <c r="D1169" t="inlineStr">
        <is>
          <t>JÄMTLANDS LÄN</t>
        </is>
      </c>
      <c r="E1169" t="inlineStr">
        <is>
          <t>STRÖMSUND</t>
        </is>
      </c>
      <c r="F1169" t="inlineStr">
        <is>
          <t>SCA</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52327-2021</t>
        </is>
      </c>
      <c r="B1170" s="1" t="n">
        <v>44463</v>
      </c>
      <c r="C1170" s="1" t="n">
        <v>45648</v>
      </c>
      <c r="D1170" t="inlineStr">
        <is>
          <t>JÄMTLANDS LÄN</t>
        </is>
      </c>
      <c r="E1170" t="inlineStr">
        <is>
          <t>STRÖMSUND</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52397-2021</t>
        </is>
      </c>
      <c r="B1171" s="1" t="n">
        <v>44463</v>
      </c>
      <c r="C1171" s="1" t="n">
        <v>45648</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52332-2021</t>
        </is>
      </c>
      <c r="B1172" s="1" t="n">
        <v>44463</v>
      </c>
      <c r="C1172" s="1" t="n">
        <v>45648</v>
      </c>
      <c r="D1172" t="inlineStr">
        <is>
          <t>JÄMTLANDS LÄN</t>
        </is>
      </c>
      <c r="E1172" t="inlineStr">
        <is>
          <t>STRÖMSUND</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52399-2021</t>
        </is>
      </c>
      <c r="B1173" s="1" t="n">
        <v>44466</v>
      </c>
      <c r="C1173" s="1" t="n">
        <v>45648</v>
      </c>
      <c r="D1173" t="inlineStr">
        <is>
          <t>JÄMTLANDS LÄN</t>
        </is>
      </c>
      <c r="E1173" t="inlineStr">
        <is>
          <t>STRÖMSUND</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52718-2021</t>
        </is>
      </c>
      <c r="B1174" s="1" t="n">
        <v>44467</v>
      </c>
      <c r="C1174" s="1" t="n">
        <v>45648</v>
      </c>
      <c r="D1174" t="inlineStr">
        <is>
          <t>JÄMTLANDS LÄN</t>
        </is>
      </c>
      <c r="E1174" t="inlineStr">
        <is>
          <t>STRÖMSUND</t>
        </is>
      </c>
      <c r="F1174" t="inlineStr">
        <is>
          <t>SCA</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52707-2021</t>
        </is>
      </c>
      <c r="B1175" s="1" t="n">
        <v>44467</v>
      </c>
      <c r="C1175" s="1" t="n">
        <v>45648</v>
      </c>
      <c r="D1175" t="inlineStr">
        <is>
          <t>JÄMTLANDS LÄN</t>
        </is>
      </c>
      <c r="E1175" t="inlineStr">
        <is>
          <t>STRÖMSUND</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52969-2021</t>
        </is>
      </c>
      <c r="B1176" s="1" t="n">
        <v>44466</v>
      </c>
      <c r="C1176" s="1" t="n">
        <v>45648</v>
      </c>
      <c r="D1176" t="inlineStr">
        <is>
          <t>JÄMTLANDS LÄN</t>
        </is>
      </c>
      <c r="E1176" t="inlineStr">
        <is>
          <t>STRÖMSUND</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53420-2021</t>
        </is>
      </c>
      <c r="B1177" s="1" t="n">
        <v>44468</v>
      </c>
      <c r="C1177" s="1" t="n">
        <v>45648</v>
      </c>
      <c r="D1177" t="inlineStr">
        <is>
          <t>JÄMTLANDS LÄN</t>
        </is>
      </c>
      <c r="E1177" t="inlineStr">
        <is>
          <t>STRÖMSUND</t>
        </is>
      </c>
      <c r="F1177" t="inlineStr">
        <is>
          <t>Holmen skog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53518-2021</t>
        </is>
      </c>
      <c r="B1178" s="1" t="n">
        <v>44468</v>
      </c>
      <c r="C1178" s="1" t="n">
        <v>45648</v>
      </c>
      <c r="D1178" t="inlineStr">
        <is>
          <t>JÄMTLANDS LÄN</t>
        </is>
      </c>
      <c r="E1178" t="inlineStr">
        <is>
          <t>STRÖMSUND</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53513-2021</t>
        </is>
      </c>
      <c r="B1179" s="1" t="n">
        <v>44468</v>
      </c>
      <c r="C1179" s="1" t="n">
        <v>45648</v>
      </c>
      <c r="D1179" t="inlineStr">
        <is>
          <t>JÄMTLANDS LÄN</t>
        </is>
      </c>
      <c r="E1179" t="inlineStr">
        <is>
          <t>STRÖMSUND</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54050-2021</t>
        </is>
      </c>
      <c r="B1180" s="1" t="n">
        <v>44470</v>
      </c>
      <c r="C1180" s="1" t="n">
        <v>45648</v>
      </c>
      <c r="D1180" t="inlineStr">
        <is>
          <t>JÄMTLANDS LÄN</t>
        </is>
      </c>
      <c r="E1180" t="inlineStr">
        <is>
          <t>STRÖMSUND</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54117-2021</t>
        </is>
      </c>
      <c r="B1181" s="1" t="n">
        <v>44470</v>
      </c>
      <c r="C1181" s="1" t="n">
        <v>45648</v>
      </c>
      <c r="D1181" t="inlineStr">
        <is>
          <t>JÄMTLANDS LÄN</t>
        </is>
      </c>
      <c r="E1181" t="inlineStr">
        <is>
          <t>STRÖMSUND</t>
        </is>
      </c>
      <c r="F1181" t="inlineStr">
        <is>
          <t>Holmen skog AB</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55608-2021</t>
        </is>
      </c>
      <c r="B1182" s="1" t="n">
        <v>44475</v>
      </c>
      <c r="C1182" s="1" t="n">
        <v>45648</v>
      </c>
      <c r="D1182" t="inlineStr">
        <is>
          <t>JÄMTLANDS LÄN</t>
        </is>
      </c>
      <c r="E1182" t="inlineStr">
        <is>
          <t>STRÖMSUND</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55918-2021</t>
        </is>
      </c>
      <c r="B1183" s="1" t="n">
        <v>44476</v>
      </c>
      <c r="C1183" s="1" t="n">
        <v>45648</v>
      </c>
      <c r="D1183" t="inlineStr">
        <is>
          <t>JÄMTLANDS LÄN</t>
        </is>
      </c>
      <c r="E1183" t="inlineStr">
        <is>
          <t>STRÖMSUND</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55920-2021</t>
        </is>
      </c>
      <c r="B1184" s="1" t="n">
        <v>44476</v>
      </c>
      <c r="C1184" s="1" t="n">
        <v>45648</v>
      </c>
      <c r="D1184" t="inlineStr">
        <is>
          <t>JÄMTLANDS LÄN</t>
        </is>
      </c>
      <c r="E1184" t="inlineStr">
        <is>
          <t>STRÖMSUND</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55927-2021</t>
        </is>
      </c>
      <c r="B1185" s="1" t="n">
        <v>44476</v>
      </c>
      <c r="C1185" s="1" t="n">
        <v>45648</v>
      </c>
      <c r="D1185" t="inlineStr">
        <is>
          <t>JÄMTLANDS LÄN</t>
        </is>
      </c>
      <c r="E1185" t="inlineStr">
        <is>
          <t>STRÖMSUND</t>
        </is>
      </c>
      <c r="F1185" t="inlineStr">
        <is>
          <t>SCA</t>
        </is>
      </c>
      <c r="G1185" t="n">
        <v>16.9</v>
      </c>
      <c r="H1185" t="n">
        <v>0</v>
      </c>
      <c r="I1185" t="n">
        <v>0</v>
      </c>
      <c r="J1185" t="n">
        <v>0</v>
      </c>
      <c r="K1185" t="n">
        <v>0</v>
      </c>
      <c r="L1185" t="n">
        <v>0</v>
      </c>
      <c r="M1185" t="n">
        <v>0</v>
      </c>
      <c r="N1185" t="n">
        <v>0</v>
      </c>
      <c r="O1185" t="n">
        <v>0</v>
      </c>
      <c r="P1185" t="n">
        <v>0</v>
      </c>
      <c r="Q1185" t="n">
        <v>0</v>
      </c>
      <c r="R1185" s="2" t="inlineStr"/>
    </row>
    <row r="1186" ht="15" customHeight="1">
      <c r="A1186" t="inlineStr">
        <is>
          <t>A 55919-2021</t>
        </is>
      </c>
      <c r="B1186" s="1" t="n">
        <v>44477</v>
      </c>
      <c r="C1186" s="1" t="n">
        <v>45648</v>
      </c>
      <c r="D1186" t="inlineStr">
        <is>
          <t>JÄMTLANDS LÄN</t>
        </is>
      </c>
      <c r="E1186" t="inlineStr">
        <is>
          <t>STRÖMSUND</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55939-2021</t>
        </is>
      </c>
      <c r="B1187" s="1" t="n">
        <v>44476</v>
      </c>
      <c r="C1187" s="1" t="n">
        <v>45648</v>
      </c>
      <c r="D1187" t="inlineStr">
        <is>
          <t>JÄMTLANDS LÄN</t>
        </is>
      </c>
      <c r="E1187" t="inlineStr">
        <is>
          <t>STRÖMSUND</t>
        </is>
      </c>
      <c r="F1187" t="inlineStr">
        <is>
          <t>SCA</t>
        </is>
      </c>
      <c r="G1187" t="n">
        <v>19.3</v>
      </c>
      <c r="H1187" t="n">
        <v>0</v>
      </c>
      <c r="I1187" t="n">
        <v>0</v>
      </c>
      <c r="J1187" t="n">
        <v>0</v>
      </c>
      <c r="K1187" t="n">
        <v>0</v>
      </c>
      <c r="L1187" t="n">
        <v>0</v>
      </c>
      <c r="M1187" t="n">
        <v>0</v>
      </c>
      <c r="N1187" t="n">
        <v>0</v>
      </c>
      <c r="O1187" t="n">
        <v>0</v>
      </c>
      <c r="P1187" t="n">
        <v>0</v>
      </c>
      <c r="Q1187" t="n">
        <v>0</v>
      </c>
      <c r="R1187" s="2" t="inlineStr"/>
    </row>
    <row r="1188" ht="15" customHeight="1">
      <c r="A1188" t="inlineStr">
        <is>
          <t>A 56213-2021</t>
        </is>
      </c>
      <c r="B1188" s="1" t="n">
        <v>44478</v>
      </c>
      <c r="C1188" s="1" t="n">
        <v>45648</v>
      </c>
      <c r="D1188" t="inlineStr">
        <is>
          <t>JÄMTLANDS LÄN</t>
        </is>
      </c>
      <c r="E1188" t="inlineStr">
        <is>
          <t>STRÖMSUND</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56208-2021</t>
        </is>
      </c>
      <c r="B1189" s="1" t="n">
        <v>44477</v>
      </c>
      <c r="C1189" s="1" t="n">
        <v>45648</v>
      </c>
      <c r="D1189" t="inlineStr">
        <is>
          <t>JÄMTLANDS LÄN</t>
        </is>
      </c>
      <c r="E1189" t="inlineStr">
        <is>
          <t>STRÖMSUND</t>
        </is>
      </c>
      <c r="F1189" t="inlineStr">
        <is>
          <t>SCA</t>
        </is>
      </c>
      <c r="G1189" t="n">
        <v>23.9</v>
      </c>
      <c r="H1189" t="n">
        <v>0</v>
      </c>
      <c r="I1189" t="n">
        <v>0</v>
      </c>
      <c r="J1189" t="n">
        <v>0</v>
      </c>
      <c r="K1189" t="n">
        <v>0</v>
      </c>
      <c r="L1189" t="n">
        <v>0</v>
      </c>
      <c r="M1189" t="n">
        <v>0</v>
      </c>
      <c r="N1189" t="n">
        <v>0</v>
      </c>
      <c r="O1189" t="n">
        <v>0</v>
      </c>
      <c r="P1189" t="n">
        <v>0</v>
      </c>
      <c r="Q1189" t="n">
        <v>0</v>
      </c>
      <c r="R1189" s="2" t="inlineStr"/>
    </row>
    <row r="1190" ht="15" customHeight="1">
      <c r="A1190" t="inlineStr">
        <is>
          <t>A 56655-2021</t>
        </is>
      </c>
      <c r="B1190" s="1" t="n">
        <v>44480</v>
      </c>
      <c r="C1190" s="1" t="n">
        <v>45648</v>
      </c>
      <c r="D1190" t="inlineStr">
        <is>
          <t>JÄMTLANDS LÄN</t>
        </is>
      </c>
      <c r="E1190" t="inlineStr">
        <is>
          <t>STRÖMSUND</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56654-2021</t>
        </is>
      </c>
      <c r="B1191" s="1" t="n">
        <v>44480</v>
      </c>
      <c r="C1191" s="1" t="n">
        <v>45648</v>
      </c>
      <c r="D1191" t="inlineStr">
        <is>
          <t>JÄMTLANDS LÄN</t>
        </is>
      </c>
      <c r="E1191" t="inlineStr">
        <is>
          <t>STRÖMSUND</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57433-2021</t>
        </is>
      </c>
      <c r="B1192" s="1" t="n">
        <v>44483</v>
      </c>
      <c r="C1192" s="1" t="n">
        <v>45648</v>
      </c>
      <c r="D1192" t="inlineStr">
        <is>
          <t>JÄMTLANDS LÄN</t>
        </is>
      </c>
      <c r="E1192" t="inlineStr">
        <is>
          <t>STRÖMSUND</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57547-2021</t>
        </is>
      </c>
      <c r="B1193" s="1" t="n">
        <v>44484</v>
      </c>
      <c r="C1193" s="1" t="n">
        <v>45648</v>
      </c>
      <c r="D1193" t="inlineStr">
        <is>
          <t>JÄMTLANDS LÄN</t>
        </is>
      </c>
      <c r="E1193" t="inlineStr">
        <is>
          <t>STRÖMSUND</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57560-2021</t>
        </is>
      </c>
      <c r="B1194" s="1" t="n">
        <v>44483</v>
      </c>
      <c r="C1194" s="1" t="n">
        <v>45648</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58260-2021</t>
        </is>
      </c>
      <c r="B1195" s="1" t="n">
        <v>44487</v>
      </c>
      <c r="C1195" s="1" t="n">
        <v>45648</v>
      </c>
      <c r="D1195" t="inlineStr">
        <is>
          <t>JÄMTLANDS LÄN</t>
        </is>
      </c>
      <c r="E1195" t="inlineStr">
        <is>
          <t>STRÖMSUND</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58022-2021</t>
        </is>
      </c>
      <c r="B1196" s="1" t="n">
        <v>44487</v>
      </c>
      <c r="C1196" s="1" t="n">
        <v>45648</v>
      </c>
      <c r="D1196" t="inlineStr">
        <is>
          <t>JÄMTLANDS LÄN</t>
        </is>
      </c>
      <c r="E1196" t="inlineStr">
        <is>
          <t>STRÖMSUND</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59126-2021</t>
        </is>
      </c>
      <c r="B1197" s="1" t="n">
        <v>44487</v>
      </c>
      <c r="C1197" s="1" t="n">
        <v>45648</v>
      </c>
      <c r="D1197" t="inlineStr">
        <is>
          <t>JÄMTLANDS LÄN</t>
        </is>
      </c>
      <c r="E1197" t="inlineStr">
        <is>
          <t>STRÖMSUND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58972-2021</t>
        </is>
      </c>
      <c r="B1198" s="1" t="n">
        <v>44490</v>
      </c>
      <c r="C1198" s="1" t="n">
        <v>45648</v>
      </c>
      <c r="D1198" t="inlineStr">
        <is>
          <t>JÄMTLANDS LÄN</t>
        </is>
      </c>
      <c r="E1198" t="inlineStr">
        <is>
          <t>STRÖMSUND</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58973-2021</t>
        </is>
      </c>
      <c r="B1199" s="1" t="n">
        <v>44489</v>
      </c>
      <c r="C1199" s="1" t="n">
        <v>45648</v>
      </c>
      <c r="D1199" t="inlineStr">
        <is>
          <t>JÄMTLANDS LÄN</t>
        </is>
      </c>
      <c r="E1199" t="inlineStr">
        <is>
          <t>STRÖMSUND</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58971-2021</t>
        </is>
      </c>
      <c r="B1200" s="1" t="n">
        <v>44490</v>
      </c>
      <c r="C1200" s="1" t="n">
        <v>45648</v>
      </c>
      <c r="D1200" t="inlineStr">
        <is>
          <t>JÄMTLANDS LÄN</t>
        </is>
      </c>
      <c r="E1200" t="inlineStr">
        <is>
          <t>STRÖMSUND</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59139-2021</t>
        </is>
      </c>
      <c r="B1201" s="1" t="n">
        <v>44490</v>
      </c>
      <c r="C1201" s="1" t="n">
        <v>45648</v>
      </c>
      <c r="D1201" t="inlineStr">
        <is>
          <t>JÄMTLANDS LÄN</t>
        </is>
      </c>
      <c r="E1201" t="inlineStr">
        <is>
          <t>STRÖMSUND</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59313-2021</t>
        </is>
      </c>
      <c r="B1202" s="1" t="n">
        <v>44491</v>
      </c>
      <c r="C1202" s="1" t="n">
        <v>45648</v>
      </c>
      <c r="D1202" t="inlineStr">
        <is>
          <t>JÄMTLANDS LÄN</t>
        </is>
      </c>
      <c r="E1202" t="inlineStr">
        <is>
          <t>STRÖMSUND</t>
        </is>
      </c>
      <c r="F1202" t="inlineStr">
        <is>
          <t>SCA</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59969-2021</t>
        </is>
      </c>
      <c r="B1203" s="1" t="n">
        <v>44495</v>
      </c>
      <c r="C1203" s="1" t="n">
        <v>45648</v>
      </c>
      <c r="D1203" t="inlineStr">
        <is>
          <t>JÄMTLANDS LÄN</t>
        </is>
      </c>
      <c r="E1203" t="inlineStr">
        <is>
          <t>STRÖMSUND</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60011-2021</t>
        </is>
      </c>
      <c r="B1204" s="1" t="n">
        <v>44495</v>
      </c>
      <c r="C1204" s="1" t="n">
        <v>45648</v>
      </c>
      <c r="D1204" t="inlineStr">
        <is>
          <t>JÄMTLANDS LÄN</t>
        </is>
      </c>
      <c r="E1204" t="inlineStr">
        <is>
          <t>STRÖMSUND</t>
        </is>
      </c>
      <c r="F1204" t="inlineStr">
        <is>
          <t>SCA</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60319-2021</t>
        </is>
      </c>
      <c r="B1205" s="1" t="n">
        <v>44495</v>
      </c>
      <c r="C1205" s="1" t="n">
        <v>45648</v>
      </c>
      <c r="D1205" t="inlineStr">
        <is>
          <t>JÄMTLANDS LÄN</t>
        </is>
      </c>
      <c r="E1205" t="inlineStr">
        <is>
          <t>STRÖMSUND</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60939-2021</t>
        </is>
      </c>
      <c r="B1206" s="1" t="n">
        <v>44496</v>
      </c>
      <c r="C1206" s="1" t="n">
        <v>45648</v>
      </c>
      <c r="D1206" t="inlineStr">
        <is>
          <t>JÄMTLANDS LÄN</t>
        </is>
      </c>
      <c r="E1206" t="inlineStr">
        <is>
          <t>STRÖMSUND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60775-2021</t>
        </is>
      </c>
      <c r="B1207" s="1" t="n">
        <v>44496</v>
      </c>
      <c r="C1207" s="1" t="n">
        <v>45648</v>
      </c>
      <c r="D1207" t="inlineStr">
        <is>
          <t>JÄMTLANDS LÄN</t>
        </is>
      </c>
      <c r="E1207" t="inlineStr">
        <is>
          <t>STRÖMSUND</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60789-2021</t>
        </is>
      </c>
      <c r="B1208" s="1" t="n">
        <v>44496</v>
      </c>
      <c r="C1208" s="1" t="n">
        <v>45648</v>
      </c>
      <c r="D1208" t="inlineStr">
        <is>
          <t>JÄMTLANDS LÄN</t>
        </is>
      </c>
      <c r="E1208" t="inlineStr">
        <is>
          <t>STRÖMSUND</t>
        </is>
      </c>
      <c r="F1208" t="inlineStr">
        <is>
          <t>SCA</t>
        </is>
      </c>
      <c r="G1208" t="n">
        <v>14.7</v>
      </c>
      <c r="H1208" t="n">
        <v>0</v>
      </c>
      <c r="I1208" t="n">
        <v>0</v>
      </c>
      <c r="J1208" t="n">
        <v>0</v>
      </c>
      <c r="K1208" t="n">
        <v>0</v>
      </c>
      <c r="L1208" t="n">
        <v>0</v>
      </c>
      <c r="M1208" t="n">
        <v>0</v>
      </c>
      <c r="N1208" t="n">
        <v>0</v>
      </c>
      <c r="O1208" t="n">
        <v>0</v>
      </c>
      <c r="P1208" t="n">
        <v>0</v>
      </c>
      <c r="Q1208" t="n">
        <v>0</v>
      </c>
      <c r="R1208" s="2" t="inlineStr"/>
    </row>
    <row r="1209" ht="15" customHeight="1">
      <c r="A1209" t="inlineStr">
        <is>
          <t>A 60801-2021</t>
        </is>
      </c>
      <c r="B1209" s="1" t="n">
        <v>44497</v>
      </c>
      <c r="C1209" s="1" t="n">
        <v>45648</v>
      </c>
      <c r="D1209" t="inlineStr">
        <is>
          <t>JÄMTLANDS LÄN</t>
        </is>
      </c>
      <c r="E1209" t="inlineStr">
        <is>
          <t>STRÖMSUND</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61612-2021</t>
        </is>
      </c>
      <c r="B1210" s="1" t="n">
        <v>44498</v>
      </c>
      <c r="C1210" s="1" t="n">
        <v>45648</v>
      </c>
      <c r="D1210" t="inlineStr">
        <is>
          <t>JÄMTLANDS LÄN</t>
        </is>
      </c>
      <c r="E1210" t="inlineStr">
        <is>
          <t>STRÖMSUND</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61439-2021</t>
        </is>
      </c>
      <c r="B1211" s="1" t="n">
        <v>44500</v>
      </c>
      <c r="C1211" s="1" t="n">
        <v>45648</v>
      </c>
      <c r="D1211" t="inlineStr">
        <is>
          <t>JÄMTLANDS LÄN</t>
        </is>
      </c>
      <c r="E1211" t="inlineStr">
        <is>
          <t>STRÖMSUND</t>
        </is>
      </c>
      <c r="F1211" t="inlineStr">
        <is>
          <t>SCA</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61449-2021</t>
        </is>
      </c>
      <c r="B1212" s="1" t="n">
        <v>44500</v>
      </c>
      <c r="C1212" s="1" t="n">
        <v>45648</v>
      </c>
      <c r="D1212" t="inlineStr">
        <is>
          <t>JÄMTLANDS LÄN</t>
        </is>
      </c>
      <c r="E1212" t="inlineStr">
        <is>
          <t>STRÖMSUND</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61420-2021</t>
        </is>
      </c>
      <c r="B1213" s="1" t="n">
        <v>44500</v>
      </c>
      <c r="C1213" s="1" t="n">
        <v>45648</v>
      </c>
      <c r="D1213" t="inlineStr">
        <is>
          <t>JÄMTLANDS LÄN</t>
        </is>
      </c>
      <c r="E1213" t="inlineStr">
        <is>
          <t>STRÖMSUND</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61434-2021</t>
        </is>
      </c>
      <c r="B1214" s="1" t="n">
        <v>44500</v>
      </c>
      <c r="C1214" s="1" t="n">
        <v>45648</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61455-2021</t>
        </is>
      </c>
      <c r="B1215" s="1" t="n">
        <v>44500</v>
      </c>
      <c r="C1215" s="1" t="n">
        <v>45648</v>
      </c>
      <c r="D1215" t="inlineStr">
        <is>
          <t>JÄMTLANDS LÄN</t>
        </is>
      </c>
      <c r="E1215" t="inlineStr">
        <is>
          <t>STRÖMSUND</t>
        </is>
      </c>
      <c r="F1215" t="inlineStr">
        <is>
          <t>SCA</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61422-2021</t>
        </is>
      </c>
      <c r="B1216" s="1" t="n">
        <v>44500</v>
      </c>
      <c r="C1216" s="1" t="n">
        <v>45648</v>
      </c>
      <c r="D1216" t="inlineStr">
        <is>
          <t>JÄMTLANDS LÄN</t>
        </is>
      </c>
      <c r="E1216" t="inlineStr">
        <is>
          <t>STRÖMSUND</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61419-2021</t>
        </is>
      </c>
      <c r="B1217" s="1" t="n">
        <v>44500</v>
      </c>
      <c r="C1217" s="1" t="n">
        <v>45648</v>
      </c>
      <c r="D1217" t="inlineStr">
        <is>
          <t>JÄMTLANDS LÄN</t>
        </is>
      </c>
      <c r="E1217" t="inlineStr">
        <is>
          <t>STRÖMSUND</t>
        </is>
      </c>
      <c r="F1217" t="inlineStr">
        <is>
          <t>SCA</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61433-2021</t>
        </is>
      </c>
      <c r="B1218" s="1" t="n">
        <v>44500</v>
      </c>
      <c r="C1218" s="1" t="n">
        <v>45648</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61450-2021</t>
        </is>
      </c>
      <c r="B1219" s="1" t="n">
        <v>44500</v>
      </c>
      <c r="C1219" s="1" t="n">
        <v>45648</v>
      </c>
      <c r="D1219" t="inlineStr">
        <is>
          <t>JÄMTLANDS LÄN</t>
        </is>
      </c>
      <c r="E1219" t="inlineStr">
        <is>
          <t>STRÖMSUND</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61731-2021</t>
        </is>
      </c>
      <c r="B1220" s="1" t="n">
        <v>44501</v>
      </c>
      <c r="C1220" s="1" t="n">
        <v>45648</v>
      </c>
      <c r="D1220" t="inlineStr">
        <is>
          <t>JÄMTLANDS LÄN</t>
        </is>
      </c>
      <c r="E1220" t="inlineStr">
        <is>
          <t>STRÖMSUND</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62203-2021</t>
        </is>
      </c>
      <c r="B1221" s="1" t="n">
        <v>44502</v>
      </c>
      <c r="C1221" s="1" t="n">
        <v>45648</v>
      </c>
      <c r="D1221" t="inlineStr">
        <is>
          <t>JÄMTLANDS LÄN</t>
        </is>
      </c>
      <c r="E1221" t="inlineStr">
        <is>
          <t>STRÖMSUND</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62194-2021</t>
        </is>
      </c>
      <c r="B1222" s="1" t="n">
        <v>44502</v>
      </c>
      <c r="C1222" s="1" t="n">
        <v>45648</v>
      </c>
      <c r="D1222" t="inlineStr">
        <is>
          <t>JÄMTLANDS LÄN</t>
        </is>
      </c>
      <c r="E1222" t="inlineStr">
        <is>
          <t>STRÖMSUND</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62234-2021</t>
        </is>
      </c>
      <c r="B1223" s="1" t="n">
        <v>44503</v>
      </c>
      <c r="C1223" s="1" t="n">
        <v>45648</v>
      </c>
      <c r="D1223" t="inlineStr">
        <is>
          <t>JÄMTLANDS LÄN</t>
        </is>
      </c>
      <c r="E1223" t="inlineStr">
        <is>
          <t>STRÖMSUND</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62431-2021</t>
        </is>
      </c>
      <c r="B1224" s="1" t="n">
        <v>44503</v>
      </c>
      <c r="C1224" s="1" t="n">
        <v>45648</v>
      </c>
      <c r="D1224" t="inlineStr">
        <is>
          <t>JÄMTLANDS LÄN</t>
        </is>
      </c>
      <c r="E1224" t="inlineStr">
        <is>
          <t>STRÖMSUND</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62667-2021</t>
        </is>
      </c>
      <c r="B1225" s="1" t="n">
        <v>44503</v>
      </c>
      <c r="C1225" s="1" t="n">
        <v>45648</v>
      </c>
      <c r="D1225" t="inlineStr">
        <is>
          <t>JÄMTLANDS LÄN</t>
        </is>
      </c>
      <c r="E1225" t="inlineStr">
        <is>
          <t>STRÖMSUND</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62666-2021</t>
        </is>
      </c>
      <c r="B1226" s="1" t="n">
        <v>44503</v>
      </c>
      <c r="C1226" s="1" t="n">
        <v>45648</v>
      </c>
      <c r="D1226" t="inlineStr">
        <is>
          <t>JÄMTLANDS LÄN</t>
        </is>
      </c>
      <c r="E1226" t="inlineStr">
        <is>
          <t>STRÖMSUND</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62669-2021</t>
        </is>
      </c>
      <c r="B1227" s="1" t="n">
        <v>44503</v>
      </c>
      <c r="C1227" s="1" t="n">
        <v>45648</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62668-2021</t>
        </is>
      </c>
      <c r="B1228" s="1" t="n">
        <v>44503</v>
      </c>
      <c r="C1228" s="1" t="n">
        <v>45648</v>
      </c>
      <c r="D1228" t="inlineStr">
        <is>
          <t>JÄMTLANDS LÄN</t>
        </is>
      </c>
      <c r="E1228" t="inlineStr">
        <is>
          <t>STRÖMSUND</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64744-2021</t>
        </is>
      </c>
      <c r="B1229" s="1" t="n">
        <v>44503</v>
      </c>
      <c r="C1229" s="1" t="n">
        <v>45648</v>
      </c>
      <c r="D1229" t="inlineStr">
        <is>
          <t>JÄMTLANDS LÄN</t>
        </is>
      </c>
      <c r="E1229" t="inlineStr">
        <is>
          <t>STRÖMSUND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64760-2021</t>
        </is>
      </c>
      <c r="B1230" s="1" t="n">
        <v>44503</v>
      </c>
      <c r="C1230" s="1" t="n">
        <v>45648</v>
      </c>
      <c r="D1230" t="inlineStr">
        <is>
          <t>JÄMTLANDS LÄN</t>
        </is>
      </c>
      <c r="E1230" t="inlineStr">
        <is>
          <t>STRÖMSUND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63070-2021</t>
        </is>
      </c>
      <c r="B1231" s="1" t="n">
        <v>44505</v>
      </c>
      <c r="C1231" s="1" t="n">
        <v>45648</v>
      </c>
      <c r="D1231" t="inlineStr">
        <is>
          <t>JÄMTLANDS LÄN</t>
        </is>
      </c>
      <c r="E1231" t="inlineStr">
        <is>
          <t>STRÖMSUND</t>
        </is>
      </c>
      <c r="F1231" t="inlineStr">
        <is>
          <t>Holmen skog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63498-2021</t>
        </is>
      </c>
      <c r="B1232" s="1" t="n">
        <v>44508</v>
      </c>
      <c r="C1232" s="1" t="n">
        <v>45648</v>
      </c>
      <c r="D1232" t="inlineStr">
        <is>
          <t>JÄMTLANDS LÄN</t>
        </is>
      </c>
      <c r="E1232" t="inlineStr">
        <is>
          <t>STRÖMSUND</t>
        </is>
      </c>
      <c r="F1232" t="inlineStr">
        <is>
          <t>Holmen skog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63875-2021</t>
        </is>
      </c>
      <c r="B1233" s="1" t="n">
        <v>44509</v>
      </c>
      <c r="C1233" s="1" t="n">
        <v>45648</v>
      </c>
      <c r="D1233" t="inlineStr">
        <is>
          <t>JÄMTLANDS LÄN</t>
        </is>
      </c>
      <c r="E1233" t="inlineStr">
        <is>
          <t>STRÖMSUND</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64000-2021</t>
        </is>
      </c>
      <c r="B1234" s="1" t="n">
        <v>44510</v>
      </c>
      <c r="C1234" s="1" t="n">
        <v>45648</v>
      </c>
      <c r="D1234" t="inlineStr">
        <is>
          <t>JÄMTLANDS LÄN</t>
        </is>
      </c>
      <c r="E1234" t="inlineStr">
        <is>
          <t>STRÖMSUND</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63999-2021</t>
        </is>
      </c>
      <c r="B1235" s="1" t="n">
        <v>44510</v>
      </c>
      <c r="C1235" s="1" t="n">
        <v>45648</v>
      </c>
      <c r="D1235" t="inlineStr">
        <is>
          <t>JÄMTLANDS LÄN</t>
        </is>
      </c>
      <c r="E1235" t="inlineStr">
        <is>
          <t>STRÖMSUND</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63988-2021</t>
        </is>
      </c>
      <c r="B1236" s="1" t="n">
        <v>44509</v>
      </c>
      <c r="C1236" s="1" t="n">
        <v>45648</v>
      </c>
      <c r="D1236" t="inlineStr">
        <is>
          <t>JÄMTLANDS LÄN</t>
        </is>
      </c>
      <c r="E1236" t="inlineStr">
        <is>
          <t>STRÖMSUND</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64001-2021</t>
        </is>
      </c>
      <c r="B1237" s="1" t="n">
        <v>44509</v>
      </c>
      <c r="C1237" s="1" t="n">
        <v>45648</v>
      </c>
      <c r="D1237" t="inlineStr">
        <is>
          <t>JÄMTLANDS LÄN</t>
        </is>
      </c>
      <c r="E1237" t="inlineStr">
        <is>
          <t>STRÖMSUND</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64200-2021</t>
        </is>
      </c>
      <c r="B1238" s="1" t="n">
        <v>44510</v>
      </c>
      <c r="C1238" s="1" t="n">
        <v>45648</v>
      </c>
      <c r="D1238" t="inlineStr">
        <is>
          <t>JÄMTLANDS LÄN</t>
        </is>
      </c>
      <c r="E1238" t="inlineStr">
        <is>
          <t>STRÖMSUND</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64186-2021</t>
        </is>
      </c>
      <c r="B1239" s="1" t="n">
        <v>44510</v>
      </c>
      <c r="C1239" s="1" t="n">
        <v>45648</v>
      </c>
      <c r="D1239" t="inlineStr">
        <is>
          <t>JÄMTLANDS LÄN</t>
        </is>
      </c>
      <c r="E1239" t="inlineStr">
        <is>
          <t>STRÖMSUND</t>
        </is>
      </c>
      <c r="G1239" t="n">
        <v>18.2</v>
      </c>
      <c r="H1239" t="n">
        <v>0</v>
      </c>
      <c r="I1239" t="n">
        <v>0</v>
      </c>
      <c r="J1239" t="n">
        <v>0</v>
      </c>
      <c r="K1239" t="n">
        <v>0</v>
      </c>
      <c r="L1239" t="n">
        <v>0</v>
      </c>
      <c r="M1239" t="n">
        <v>0</v>
      </c>
      <c r="N1239" t="n">
        <v>0</v>
      </c>
      <c r="O1239" t="n">
        <v>0</v>
      </c>
      <c r="P1239" t="n">
        <v>0</v>
      </c>
      <c r="Q1239" t="n">
        <v>0</v>
      </c>
      <c r="R1239" s="2" t="inlineStr"/>
    </row>
    <row r="1240" ht="15" customHeight="1">
      <c r="A1240" t="inlineStr">
        <is>
          <t>A 64291-2021</t>
        </is>
      </c>
      <c r="B1240" s="1" t="n">
        <v>44510</v>
      </c>
      <c r="C1240" s="1" t="n">
        <v>45648</v>
      </c>
      <c r="D1240" t="inlineStr">
        <is>
          <t>JÄMTLANDS LÄN</t>
        </is>
      </c>
      <c r="E1240" t="inlineStr">
        <is>
          <t>STRÖMSUND</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64310-2021</t>
        </is>
      </c>
      <c r="B1241" s="1" t="n">
        <v>44510</v>
      </c>
      <c r="C1241" s="1" t="n">
        <v>45648</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64309-2021</t>
        </is>
      </c>
      <c r="B1242" s="1" t="n">
        <v>44510</v>
      </c>
      <c r="C1242" s="1" t="n">
        <v>45648</v>
      </c>
      <c r="D1242" t="inlineStr">
        <is>
          <t>JÄMTLANDS LÄN</t>
        </is>
      </c>
      <c r="E1242" t="inlineStr">
        <is>
          <t>STRÖMSUND</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64505-2021</t>
        </is>
      </c>
      <c r="B1243" s="1" t="n">
        <v>44511</v>
      </c>
      <c r="C1243" s="1" t="n">
        <v>45648</v>
      </c>
      <c r="D1243" t="inlineStr">
        <is>
          <t>JÄMTLANDS LÄN</t>
        </is>
      </c>
      <c r="E1243" t="inlineStr">
        <is>
          <t>STRÖMSUND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64655-2021</t>
        </is>
      </c>
      <c r="B1244" s="1" t="n">
        <v>44511</v>
      </c>
      <c r="C1244" s="1" t="n">
        <v>45648</v>
      </c>
      <c r="D1244" t="inlineStr">
        <is>
          <t>JÄMTLANDS LÄN</t>
        </is>
      </c>
      <c r="E1244" t="inlineStr">
        <is>
          <t>STRÖMSUND</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64656-2021</t>
        </is>
      </c>
      <c r="B1245" s="1" t="n">
        <v>44511</v>
      </c>
      <c r="C1245" s="1" t="n">
        <v>45648</v>
      </c>
      <c r="D1245" t="inlineStr">
        <is>
          <t>JÄMTLANDS LÄN</t>
        </is>
      </c>
      <c r="E1245" t="inlineStr">
        <is>
          <t>STRÖMSUND</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64660-2021</t>
        </is>
      </c>
      <c r="B1246" s="1" t="n">
        <v>44511</v>
      </c>
      <c r="C1246" s="1" t="n">
        <v>45648</v>
      </c>
      <c r="D1246" t="inlineStr">
        <is>
          <t>JÄMTLANDS LÄN</t>
        </is>
      </c>
      <c r="E1246" t="inlineStr">
        <is>
          <t>STRÖMSUND</t>
        </is>
      </c>
      <c r="F1246" t="inlineStr">
        <is>
          <t>SCA</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64657-2021</t>
        </is>
      </c>
      <c r="B1247" s="1" t="n">
        <v>44511</v>
      </c>
      <c r="C1247" s="1" t="n">
        <v>45648</v>
      </c>
      <c r="D1247" t="inlineStr">
        <is>
          <t>JÄMTLANDS LÄN</t>
        </is>
      </c>
      <c r="E1247" t="inlineStr">
        <is>
          <t>STRÖMSUND</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64723-2021</t>
        </is>
      </c>
      <c r="B1248" s="1" t="n">
        <v>44512</v>
      </c>
      <c r="C1248" s="1" t="n">
        <v>45648</v>
      </c>
      <c r="D1248" t="inlineStr">
        <is>
          <t>JÄMTLANDS LÄN</t>
        </is>
      </c>
      <c r="E1248" t="inlineStr">
        <is>
          <t>STRÖMSUND</t>
        </is>
      </c>
      <c r="F1248" t="inlineStr">
        <is>
          <t>Holmen skog AB</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64913-2021</t>
        </is>
      </c>
      <c r="B1249" s="1" t="n">
        <v>44512</v>
      </c>
      <c r="C1249" s="1" t="n">
        <v>45648</v>
      </c>
      <c r="D1249" t="inlineStr">
        <is>
          <t>JÄMTLANDS LÄN</t>
        </is>
      </c>
      <c r="E1249" t="inlineStr">
        <is>
          <t>STRÖMSUND</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64955-2021</t>
        </is>
      </c>
      <c r="B1250" s="1" t="n">
        <v>44512</v>
      </c>
      <c r="C1250" s="1" t="n">
        <v>45648</v>
      </c>
      <c r="D1250" t="inlineStr">
        <is>
          <t>JÄMTLANDS LÄN</t>
        </is>
      </c>
      <c r="E1250" t="inlineStr">
        <is>
          <t>STRÖMSUND</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65412-2021</t>
        </is>
      </c>
      <c r="B1251" s="1" t="n">
        <v>44515</v>
      </c>
      <c r="C1251" s="1" t="n">
        <v>45648</v>
      </c>
      <c r="D1251" t="inlineStr">
        <is>
          <t>JÄMTLANDS LÄN</t>
        </is>
      </c>
      <c r="E1251" t="inlineStr">
        <is>
          <t>STRÖMSUND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65430-2021</t>
        </is>
      </c>
      <c r="B1252" s="1" t="n">
        <v>44515</v>
      </c>
      <c r="C1252" s="1" t="n">
        <v>45648</v>
      </c>
      <c r="D1252" t="inlineStr">
        <is>
          <t>JÄMTLANDS LÄN</t>
        </is>
      </c>
      <c r="E1252" t="inlineStr">
        <is>
          <t>STRÖMSUND</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65442-2021</t>
        </is>
      </c>
      <c r="B1253" s="1" t="n">
        <v>44515</v>
      </c>
      <c r="C1253" s="1" t="n">
        <v>45648</v>
      </c>
      <c r="D1253" t="inlineStr">
        <is>
          <t>JÄMTLANDS LÄN</t>
        </is>
      </c>
      <c r="E1253" t="inlineStr">
        <is>
          <t>STRÖMSUND</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65776-2021</t>
        </is>
      </c>
      <c r="B1254" s="1" t="n">
        <v>44516</v>
      </c>
      <c r="C1254" s="1" t="n">
        <v>45648</v>
      </c>
      <c r="D1254" t="inlineStr">
        <is>
          <t>JÄMTLANDS LÄN</t>
        </is>
      </c>
      <c r="E1254" t="inlineStr">
        <is>
          <t>STRÖMSUND</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65787-2021</t>
        </is>
      </c>
      <c r="B1255" s="1" t="n">
        <v>44516</v>
      </c>
      <c r="C1255" s="1" t="n">
        <v>45648</v>
      </c>
      <c r="D1255" t="inlineStr">
        <is>
          <t>JÄMTLANDS LÄN</t>
        </is>
      </c>
      <c r="E1255" t="inlineStr">
        <is>
          <t>STRÖMSUND</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66088-2021</t>
        </is>
      </c>
      <c r="B1256" s="1" t="n">
        <v>44517</v>
      </c>
      <c r="C1256" s="1" t="n">
        <v>45648</v>
      </c>
      <c r="D1256" t="inlineStr">
        <is>
          <t>JÄMTLANDS LÄN</t>
        </is>
      </c>
      <c r="E1256" t="inlineStr">
        <is>
          <t>STRÖMSUND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66166-2021</t>
        </is>
      </c>
      <c r="B1257" s="1" t="n">
        <v>44517</v>
      </c>
      <c r="C1257" s="1" t="n">
        <v>45648</v>
      </c>
      <c r="D1257" t="inlineStr">
        <is>
          <t>JÄMTLANDS LÄN</t>
        </is>
      </c>
      <c r="E1257" t="inlineStr">
        <is>
          <t>STRÖMSUND</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66475-2021</t>
        </is>
      </c>
      <c r="B1258" s="1" t="n">
        <v>44518</v>
      </c>
      <c r="C1258" s="1" t="n">
        <v>45648</v>
      </c>
      <c r="D1258" t="inlineStr">
        <is>
          <t>JÄMTLANDS LÄN</t>
        </is>
      </c>
      <c r="E1258" t="inlineStr">
        <is>
          <t>STRÖMSUND</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66485-2021</t>
        </is>
      </c>
      <c r="B1259" s="1" t="n">
        <v>44518</v>
      </c>
      <c r="C1259" s="1" t="n">
        <v>45648</v>
      </c>
      <c r="D1259" t="inlineStr">
        <is>
          <t>JÄMTLANDS LÄN</t>
        </is>
      </c>
      <c r="E1259" t="inlineStr">
        <is>
          <t>STRÖMSUND</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66488-2021</t>
        </is>
      </c>
      <c r="B1260" s="1" t="n">
        <v>44518</v>
      </c>
      <c r="C1260" s="1" t="n">
        <v>45648</v>
      </c>
      <c r="D1260" t="inlineStr">
        <is>
          <t>JÄMTLANDS LÄN</t>
        </is>
      </c>
      <c r="E1260" t="inlineStr">
        <is>
          <t>STRÖMSUND</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66486-2021</t>
        </is>
      </c>
      <c r="B1261" s="1" t="n">
        <v>44518</v>
      </c>
      <c r="C1261" s="1" t="n">
        <v>45648</v>
      </c>
      <c r="D1261" t="inlineStr">
        <is>
          <t>JÄMTLANDS LÄN</t>
        </is>
      </c>
      <c r="E1261" t="inlineStr">
        <is>
          <t>STRÖMSUND</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66487-2021</t>
        </is>
      </c>
      <c r="B1262" s="1" t="n">
        <v>44518</v>
      </c>
      <c r="C1262" s="1" t="n">
        <v>45648</v>
      </c>
      <c r="D1262" t="inlineStr">
        <is>
          <t>JÄMTLANDS LÄN</t>
        </is>
      </c>
      <c r="E1262" t="inlineStr">
        <is>
          <t>STRÖMSUND</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66784-2021</t>
        </is>
      </c>
      <c r="B1263" s="1" t="n">
        <v>44519</v>
      </c>
      <c r="C1263" s="1" t="n">
        <v>45648</v>
      </c>
      <c r="D1263" t="inlineStr">
        <is>
          <t>JÄMTLANDS LÄN</t>
        </is>
      </c>
      <c r="E1263" t="inlineStr">
        <is>
          <t>STRÖMSUND</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66742-2021</t>
        </is>
      </c>
      <c r="B1264" s="1" t="n">
        <v>44520</v>
      </c>
      <c r="C1264" s="1" t="n">
        <v>45648</v>
      </c>
      <c r="D1264" t="inlineStr">
        <is>
          <t>JÄMTLANDS LÄN</t>
        </is>
      </c>
      <c r="E1264" t="inlineStr">
        <is>
          <t>STRÖMSUND</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67096-2021</t>
        </is>
      </c>
      <c r="B1265" s="1" t="n">
        <v>44522</v>
      </c>
      <c r="C1265" s="1" t="n">
        <v>45648</v>
      </c>
      <c r="D1265" t="inlineStr">
        <is>
          <t>JÄMTLANDS LÄN</t>
        </is>
      </c>
      <c r="E1265" t="inlineStr">
        <is>
          <t>STRÖMSUND</t>
        </is>
      </c>
      <c r="F1265" t="inlineStr">
        <is>
          <t>SCA</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67099-2021</t>
        </is>
      </c>
      <c r="B1266" s="1" t="n">
        <v>44522</v>
      </c>
      <c r="C1266" s="1" t="n">
        <v>45648</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67097-2021</t>
        </is>
      </c>
      <c r="B1267" s="1" t="n">
        <v>44522</v>
      </c>
      <c r="C1267" s="1" t="n">
        <v>45648</v>
      </c>
      <c r="D1267" t="inlineStr">
        <is>
          <t>JÄMTLANDS LÄN</t>
        </is>
      </c>
      <c r="E1267" t="inlineStr">
        <is>
          <t>STRÖMSUND</t>
        </is>
      </c>
      <c r="F1267" t="inlineStr">
        <is>
          <t>SCA</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67114-2021</t>
        </is>
      </c>
      <c r="B1268" s="1" t="n">
        <v>44523</v>
      </c>
      <c r="C1268" s="1" t="n">
        <v>45648</v>
      </c>
      <c r="D1268" t="inlineStr">
        <is>
          <t>JÄMTLANDS LÄN</t>
        </is>
      </c>
      <c r="E1268" t="inlineStr">
        <is>
          <t>STRÖMSUND</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67696-2021</t>
        </is>
      </c>
      <c r="B1269" s="1" t="n">
        <v>44524</v>
      </c>
      <c r="C1269" s="1" t="n">
        <v>45648</v>
      </c>
      <c r="D1269" t="inlineStr">
        <is>
          <t>JÄMTLANDS LÄN</t>
        </is>
      </c>
      <c r="E1269" t="inlineStr">
        <is>
          <t>STRÖMSUND</t>
        </is>
      </c>
      <c r="F1269" t="inlineStr">
        <is>
          <t>SCA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67903-2021</t>
        </is>
      </c>
      <c r="B1270" s="1" t="n">
        <v>44525</v>
      </c>
      <c r="C1270" s="1" t="n">
        <v>45648</v>
      </c>
      <c r="D1270" t="inlineStr">
        <is>
          <t>JÄMTLANDS LÄN</t>
        </is>
      </c>
      <c r="E1270" t="inlineStr">
        <is>
          <t>STRÖMSUND</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67906-2021</t>
        </is>
      </c>
      <c r="B1271" s="1" t="n">
        <v>44525</v>
      </c>
      <c r="C1271" s="1" t="n">
        <v>45648</v>
      </c>
      <c r="D1271" t="inlineStr">
        <is>
          <t>JÄMTLANDS LÄN</t>
        </is>
      </c>
      <c r="E1271" t="inlineStr">
        <is>
          <t>STRÖMSUND</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68646-2021</t>
        </is>
      </c>
      <c r="B1272" s="1" t="n">
        <v>44529</v>
      </c>
      <c r="C1272" s="1" t="n">
        <v>45648</v>
      </c>
      <c r="D1272" t="inlineStr">
        <is>
          <t>JÄMTLANDS LÄN</t>
        </is>
      </c>
      <c r="E1272" t="inlineStr">
        <is>
          <t>STRÖMSUND</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68675-2021</t>
        </is>
      </c>
      <c r="B1273" s="1" t="n">
        <v>44529</v>
      </c>
      <c r="C1273" s="1" t="n">
        <v>45648</v>
      </c>
      <c r="D1273" t="inlineStr">
        <is>
          <t>JÄMTLANDS LÄN</t>
        </is>
      </c>
      <c r="E1273" t="inlineStr">
        <is>
          <t>STRÖMSUND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68424-2021</t>
        </is>
      </c>
      <c r="B1274" s="1" t="n">
        <v>44529</v>
      </c>
      <c r="C1274" s="1" t="n">
        <v>45648</v>
      </c>
      <c r="D1274" t="inlineStr">
        <is>
          <t>JÄMTLANDS LÄN</t>
        </is>
      </c>
      <c r="E1274" t="inlineStr">
        <is>
          <t>STRÖMSUND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68442-2021</t>
        </is>
      </c>
      <c r="B1275" s="1" t="n">
        <v>44529</v>
      </c>
      <c r="C1275" s="1" t="n">
        <v>45648</v>
      </c>
      <c r="D1275" t="inlineStr">
        <is>
          <t>JÄMTLANDS LÄN</t>
        </is>
      </c>
      <c r="E1275" t="inlineStr">
        <is>
          <t>STRÖMSUND</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68776-2021</t>
        </is>
      </c>
      <c r="B1276" s="1" t="n">
        <v>44529</v>
      </c>
      <c r="C1276" s="1" t="n">
        <v>45648</v>
      </c>
      <c r="D1276" t="inlineStr">
        <is>
          <t>JÄMTLANDS LÄN</t>
        </is>
      </c>
      <c r="E1276" t="inlineStr">
        <is>
          <t>STRÖMSUND</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68777-2021</t>
        </is>
      </c>
      <c r="B1277" s="1" t="n">
        <v>44529</v>
      </c>
      <c r="C1277" s="1" t="n">
        <v>45648</v>
      </c>
      <c r="D1277" t="inlineStr">
        <is>
          <t>JÄMTLANDS LÄN</t>
        </is>
      </c>
      <c r="E1277" t="inlineStr">
        <is>
          <t>STRÖMSUND</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69139-2021</t>
        </is>
      </c>
      <c r="B1278" s="1" t="n">
        <v>44530</v>
      </c>
      <c r="C1278" s="1" t="n">
        <v>45648</v>
      </c>
      <c r="D1278" t="inlineStr">
        <is>
          <t>JÄMTLANDS LÄN</t>
        </is>
      </c>
      <c r="E1278" t="inlineStr">
        <is>
          <t>STRÖMSUND</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69132-2021</t>
        </is>
      </c>
      <c r="B1279" s="1" t="n">
        <v>44530</v>
      </c>
      <c r="C1279" s="1" t="n">
        <v>45648</v>
      </c>
      <c r="D1279" t="inlineStr">
        <is>
          <t>JÄMTLANDS LÄN</t>
        </is>
      </c>
      <c r="E1279" t="inlineStr">
        <is>
          <t>STRÖMSUND</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69144-2021</t>
        </is>
      </c>
      <c r="B1280" s="1" t="n">
        <v>44530</v>
      </c>
      <c r="C1280" s="1" t="n">
        <v>45648</v>
      </c>
      <c r="D1280" t="inlineStr">
        <is>
          <t>JÄMTLANDS LÄN</t>
        </is>
      </c>
      <c r="E1280" t="inlineStr">
        <is>
          <t>STRÖMSUND</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69143-2021</t>
        </is>
      </c>
      <c r="B1281" s="1" t="n">
        <v>44530</v>
      </c>
      <c r="C1281" s="1" t="n">
        <v>45648</v>
      </c>
      <c r="D1281" t="inlineStr">
        <is>
          <t>JÄMTLANDS LÄN</t>
        </is>
      </c>
      <c r="E1281" t="inlineStr">
        <is>
          <t>STRÖMSUND</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70079-2021</t>
        </is>
      </c>
      <c r="B1282" s="1" t="n">
        <v>44533</v>
      </c>
      <c r="C1282" s="1" t="n">
        <v>45648</v>
      </c>
      <c r="D1282" t="inlineStr">
        <is>
          <t>JÄMTLANDS LÄN</t>
        </is>
      </c>
      <c r="E1282" t="inlineStr">
        <is>
          <t>STRÖMSUND</t>
        </is>
      </c>
      <c r="F1282" t="inlineStr">
        <is>
          <t>Holmen skog AB</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70530-2021</t>
        </is>
      </c>
      <c r="B1283" s="1" t="n">
        <v>44536</v>
      </c>
      <c r="C1283" s="1" t="n">
        <v>45648</v>
      </c>
      <c r="D1283" t="inlineStr">
        <is>
          <t>JÄMTLANDS LÄN</t>
        </is>
      </c>
      <c r="E1283" t="inlineStr">
        <is>
          <t>STRÖMSUND</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70531-2021</t>
        </is>
      </c>
      <c r="B1284" s="1" t="n">
        <v>44536</v>
      </c>
      <c r="C1284" s="1" t="n">
        <v>45648</v>
      </c>
      <c r="D1284" t="inlineStr">
        <is>
          <t>JÄMTLANDS LÄN</t>
        </is>
      </c>
      <c r="E1284" t="inlineStr">
        <is>
          <t>STRÖMSUND</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70511-2021</t>
        </is>
      </c>
      <c r="B1285" s="1" t="n">
        <v>44536</v>
      </c>
      <c r="C1285" s="1" t="n">
        <v>45648</v>
      </c>
      <c r="D1285" t="inlineStr">
        <is>
          <t>JÄMTLANDS LÄN</t>
        </is>
      </c>
      <c r="E1285" t="inlineStr">
        <is>
          <t>STRÖMSUND</t>
        </is>
      </c>
      <c r="F1285" t="inlineStr">
        <is>
          <t>SCA</t>
        </is>
      </c>
      <c r="G1285" t="n">
        <v>401.6</v>
      </c>
      <c r="H1285" t="n">
        <v>0</v>
      </c>
      <c r="I1285" t="n">
        <v>0</v>
      </c>
      <c r="J1285" t="n">
        <v>0</v>
      </c>
      <c r="K1285" t="n">
        <v>0</v>
      </c>
      <c r="L1285" t="n">
        <v>0</v>
      </c>
      <c r="M1285" t="n">
        <v>0</v>
      </c>
      <c r="N1285" t="n">
        <v>0</v>
      </c>
      <c r="O1285" t="n">
        <v>0</v>
      </c>
      <c r="P1285" t="n">
        <v>0</v>
      </c>
      <c r="Q1285" t="n">
        <v>0</v>
      </c>
      <c r="R1285" s="2" t="inlineStr"/>
    </row>
    <row r="1286" ht="15" customHeight="1">
      <c r="A1286" t="inlineStr">
        <is>
          <t>A 70529-2021</t>
        </is>
      </c>
      <c r="B1286" s="1" t="n">
        <v>44536</v>
      </c>
      <c r="C1286" s="1" t="n">
        <v>45648</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71352-2021</t>
        </is>
      </c>
      <c r="B1287" s="1" t="n">
        <v>44539</v>
      </c>
      <c r="C1287" s="1" t="n">
        <v>45648</v>
      </c>
      <c r="D1287" t="inlineStr">
        <is>
          <t>JÄMTLANDS LÄN</t>
        </is>
      </c>
      <c r="E1287" t="inlineStr">
        <is>
          <t>STRÖMSUND</t>
        </is>
      </c>
      <c r="G1287" t="n">
        <v>0.2</v>
      </c>
      <c r="H1287" t="n">
        <v>0</v>
      </c>
      <c r="I1287" t="n">
        <v>0</v>
      </c>
      <c r="J1287" t="n">
        <v>0</v>
      </c>
      <c r="K1287" t="n">
        <v>0</v>
      </c>
      <c r="L1287" t="n">
        <v>0</v>
      </c>
      <c r="M1287" t="n">
        <v>0</v>
      </c>
      <c r="N1287" t="n">
        <v>0</v>
      </c>
      <c r="O1287" t="n">
        <v>0</v>
      </c>
      <c r="P1287" t="n">
        <v>0</v>
      </c>
      <c r="Q1287" t="n">
        <v>0</v>
      </c>
      <c r="R1287" s="2" t="inlineStr"/>
      <c r="U1287">
        <f>HYPERLINK("https://klasma.github.io/Logging_2313/knärot/A 71352-2021 karta knärot.png", "A 71352-2021")</f>
        <v/>
      </c>
      <c r="V1287">
        <f>HYPERLINK("https://klasma.github.io/Logging_2313/klagomål/A 71352-2021 FSC-klagomål.docx", "A 71352-2021")</f>
        <v/>
      </c>
      <c r="W1287">
        <f>HYPERLINK("https://klasma.github.io/Logging_2313/klagomålsmail/A 71352-2021 FSC-klagomål mail.docx", "A 71352-2021")</f>
        <v/>
      </c>
      <c r="X1287">
        <f>HYPERLINK("https://klasma.github.io/Logging_2313/tillsyn/A 71352-2021 tillsynsbegäran.docx", "A 71352-2021")</f>
        <v/>
      </c>
      <c r="Y1287">
        <f>HYPERLINK("https://klasma.github.io/Logging_2313/tillsynsmail/A 71352-2021 tillsynsbegäran mail.docx", "A 71352-2021")</f>
        <v/>
      </c>
    </row>
    <row r="1288" ht="15" customHeight="1">
      <c r="A1288" t="inlineStr">
        <is>
          <t>A 71353-2021</t>
        </is>
      </c>
      <c r="B1288" s="1" t="n">
        <v>44539</v>
      </c>
      <c r="C1288" s="1" t="n">
        <v>45648</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71376-2021</t>
        </is>
      </c>
      <c r="B1289" s="1" t="n">
        <v>44539</v>
      </c>
      <c r="C1289" s="1" t="n">
        <v>45648</v>
      </c>
      <c r="D1289" t="inlineStr">
        <is>
          <t>JÄMTLANDS LÄN</t>
        </is>
      </c>
      <c r="E1289" t="inlineStr">
        <is>
          <t>STRÖMSUND</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71377-2021</t>
        </is>
      </c>
      <c r="B1290" s="1" t="n">
        <v>44539</v>
      </c>
      <c r="C1290" s="1" t="n">
        <v>45648</v>
      </c>
      <c r="D1290" t="inlineStr">
        <is>
          <t>JÄMTLANDS LÄN</t>
        </is>
      </c>
      <c r="E1290" t="inlineStr">
        <is>
          <t>STRÖMSUND</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71912-2021</t>
        </is>
      </c>
      <c r="B1291" s="1" t="n">
        <v>44543</v>
      </c>
      <c r="C1291" s="1" t="n">
        <v>45648</v>
      </c>
      <c r="D1291" t="inlineStr">
        <is>
          <t>JÄMTLANDS LÄN</t>
        </is>
      </c>
      <c r="E1291" t="inlineStr">
        <is>
          <t>STRÖMSUND</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71911-2021</t>
        </is>
      </c>
      <c r="B1292" s="1" t="n">
        <v>44543</v>
      </c>
      <c r="C1292" s="1" t="n">
        <v>45648</v>
      </c>
      <c r="D1292" t="inlineStr">
        <is>
          <t>JÄMTLANDS LÄN</t>
        </is>
      </c>
      <c r="E1292" t="inlineStr">
        <is>
          <t>STRÖMSUND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72629-2021</t>
        </is>
      </c>
      <c r="B1293" s="1" t="n">
        <v>44545</v>
      </c>
      <c r="C1293" s="1" t="n">
        <v>45648</v>
      </c>
      <c r="D1293" t="inlineStr">
        <is>
          <t>JÄMTLANDS LÄN</t>
        </is>
      </c>
      <c r="E1293" t="inlineStr">
        <is>
          <t>STRÖMSUND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72497-2021</t>
        </is>
      </c>
      <c r="B1294" s="1" t="n">
        <v>44545</v>
      </c>
      <c r="C1294" s="1" t="n">
        <v>45648</v>
      </c>
      <c r="D1294" t="inlineStr">
        <is>
          <t>JÄMTLANDS LÄN</t>
        </is>
      </c>
      <c r="E1294" t="inlineStr">
        <is>
          <t>STRÖMSUND</t>
        </is>
      </c>
      <c r="F1294" t="inlineStr">
        <is>
          <t>SCA</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72543-2021</t>
        </is>
      </c>
      <c r="B1295" s="1" t="n">
        <v>44546</v>
      </c>
      <c r="C1295" s="1" t="n">
        <v>45648</v>
      </c>
      <c r="D1295" t="inlineStr">
        <is>
          <t>JÄMTLANDS LÄN</t>
        </is>
      </c>
      <c r="E1295" t="inlineStr">
        <is>
          <t>STRÖMSUND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72749-2021</t>
        </is>
      </c>
      <c r="B1296" s="1" t="n">
        <v>44546</v>
      </c>
      <c r="C1296" s="1" t="n">
        <v>45648</v>
      </c>
      <c r="D1296" t="inlineStr">
        <is>
          <t>JÄMTLANDS LÄN</t>
        </is>
      </c>
      <c r="E1296" t="inlineStr">
        <is>
          <t>STRÖMSUND</t>
        </is>
      </c>
      <c r="G1296" t="n">
        <v>35.6</v>
      </c>
      <c r="H1296" t="n">
        <v>0</v>
      </c>
      <c r="I1296" t="n">
        <v>0</v>
      </c>
      <c r="J1296" t="n">
        <v>0</v>
      </c>
      <c r="K1296" t="n">
        <v>0</v>
      </c>
      <c r="L1296" t="n">
        <v>0</v>
      </c>
      <c r="M1296" t="n">
        <v>0</v>
      </c>
      <c r="N1296" t="n">
        <v>0</v>
      </c>
      <c r="O1296" t="n">
        <v>0</v>
      </c>
      <c r="P1296" t="n">
        <v>0</v>
      </c>
      <c r="Q1296" t="n">
        <v>0</v>
      </c>
      <c r="R1296" s="2" t="inlineStr"/>
    </row>
    <row r="1297" ht="15" customHeight="1">
      <c r="A1297" t="inlineStr">
        <is>
          <t>A 72753-2021</t>
        </is>
      </c>
      <c r="B1297" s="1" t="n">
        <v>44546</v>
      </c>
      <c r="C1297" s="1" t="n">
        <v>45648</v>
      </c>
      <c r="D1297" t="inlineStr">
        <is>
          <t>JÄMTLANDS LÄN</t>
        </is>
      </c>
      <c r="E1297" t="inlineStr">
        <is>
          <t>STRÖMSUND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72827-2021</t>
        </is>
      </c>
      <c r="B1298" s="1" t="n">
        <v>44547</v>
      </c>
      <c r="C1298" s="1" t="n">
        <v>45648</v>
      </c>
      <c r="D1298" t="inlineStr">
        <is>
          <t>JÄMTLANDS LÄN</t>
        </is>
      </c>
      <c r="E1298" t="inlineStr">
        <is>
          <t>STRÖMSUND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72957-2021</t>
        </is>
      </c>
      <c r="B1299" s="1" t="n">
        <v>44547</v>
      </c>
      <c r="C1299" s="1" t="n">
        <v>45648</v>
      </c>
      <c r="D1299" t="inlineStr">
        <is>
          <t>JÄMTLANDS LÄN</t>
        </is>
      </c>
      <c r="E1299" t="inlineStr">
        <is>
          <t>STRÖMSUND</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72956-2021</t>
        </is>
      </c>
      <c r="B1300" s="1" t="n">
        <v>44547</v>
      </c>
      <c r="C1300" s="1" t="n">
        <v>45648</v>
      </c>
      <c r="D1300" t="inlineStr">
        <is>
          <t>JÄMTLANDS LÄN</t>
        </is>
      </c>
      <c r="E1300" t="inlineStr">
        <is>
          <t>STRÖMSUND</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73288-2021</t>
        </is>
      </c>
      <c r="B1301" s="1" t="n">
        <v>44550</v>
      </c>
      <c r="C1301" s="1" t="n">
        <v>45648</v>
      </c>
      <c r="D1301" t="inlineStr">
        <is>
          <t>JÄMTLANDS LÄN</t>
        </is>
      </c>
      <c r="E1301" t="inlineStr">
        <is>
          <t>STRÖMSUND</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73291-2021</t>
        </is>
      </c>
      <c r="B1302" s="1" t="n">
        <v>44550</v>
      </c>
      <c r="C1302" s="1" t="n">
        <v>45648</v>
      </c>
      <c r="D1302" t="inlineStr">
        <is>
          <t>JÄMTLANDS LÄN</t>
        </is>
      </c>
      <c r="E1302" t="inlineStr">
        <is>
          <t>STRÖMSUND</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73289-2021</t>
        </is>
      </c>
      <c r="B1303" s="1" t="n">
        <v>44550</v>
      </c>
      <c r="C1303" s="1" t="n">
        <v>45648</v>
      </c>
      <c r="D1303" t="inlineStr">
        <is>
          <t>JÄMTLANDS LÄN</t>
        </is>
      </c>
      <c r="E1303" t="inlineStr">
        <is>
          <t>STRÖMSUND</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364-2022</t>
        </is>
      </c>
      <c r="B1304" s="1" t="n">
        <v>44565</v>
      </c>
      <c r="C1304" s="1" t="n">
        <v>45648</v>
      </c>
      <c r="D1304" t="inlineStr">
        <is>
          <t>JÄMTLANDS LÄN</t>
        </is>
      </c>
      <c r="E1304" t="inlineStr">
        <is>
          <t>STRÖMSUND</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585-2022</t>
        </is>
      </c>
      <c r="B1305" s="1" t="n">
        <v>44566</v>
      </c>
      <c r="C1305" s="1" t="n">
        <v>45648</v>
      </c>
      <c r="D1305" t="inlineStr">
        <is>
          <t>JÄMTLANDS LÄN</t>
        </is>
      </c>
      <c r="E1305" t="inlineStr">
        <is>
          <t>STRÖMSUND</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583-2022</t>
        </is>
      </c>
      <c r="B1306" s="1" t="n">
        <v>44566</v>
      </c>
      <c r="C1306" s="1" t="n">
        <v>45648</v>
      </c>
      <c r="D1306" t="inlineStr">
        <is>
          <t>JÄMTLANDS LÄN</t>
        </is>
      </c>
      <c r="E1306" t="inlineStr">
        <is>
          <t>STRÖMSUND</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829-2022</t>
        </is>
      </c>
      <c r="B1307" s="1" t="n">
        <v>44568</v>
      </c>
      <c r="C1307" s="1" t="n">
        <v>45648</v>
      </c>
      <c r="D1307" t="inlineStr">
        <is>
          <t>JÄMTLANDS LÄN</t>
        </is>
      </c>
      <c r="E1307" t="inlineStr">
        <is>
          <t>STRÖMSUND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1083-2022</t>
        </is>
      </c>
      <c r="B1308" s="1" t="n">
        <v>44571</v>
      </c>
      <c r="C1308" s="1" t="n">
        <v>45648</v>
      </c>
      <c r="D1308" t="inlineStr">
        <is>
          <t>JÄMTLANDS LÄN</t>
        </is>
      </c>
      <c r="E1308" t="inlineStr">
        <is>
          <t>STRÖMSUND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1107-2022</t>
        </is>
      </c>
      <c r="B1309" s="1" t="n">
        <v>44571</v>
      </c>
      <c r="C1309" s="1" t="n">
        <v>45648</v>
      </c>
      <c r="D1309" t="inlineStr">
        <is>
          <t>JÄMTLANDS LÄN</t>
        </is>
      </c>
      <c r="E1309" t="inlineStr">
        <is>
          <t>STRÖMSUND</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1339-2022</t>
        </is>
      </c>
      <c r="B1310" s="1" t="n">
        <v>44572</v>
      </c>
      <c r="C1310" s="1" t="n">
        <v>45648</v>
      </c>
      <c r="D1310" t="inlineStr">
        <is>
          <t>JÄMTLANDS LÄN</t>
        </is>
      </c>
      <c r="E1310" t="inlineStr">
        <is>
          <t>STRÖMSUND</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2485-2022</t>
        </is>
      </c>
      <c r="B1311" s="1" t="n">
        <v>44579</v>
      </c>
      <c r="C1311" s="1" t="n">
        <v>45648</v>
      </c>
      <c r="D1311" t="inlineStr">
        <is>
          <t>JÄMTLANDS LÄN</t>
        </is>
      </c>
      <c r="E1311" t="inlineStr">
        <is>
          <t>STRÖMSUND</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2760-2022</t>
        </is>
      </c>
      <c r="B1312" s="1" t="n">
        <v>44580</v>
      </c>
      <c r="C1312" s="1" t="n">
        <v>45648</v>
      </c>
      <c r="D1312" t="inlineStr">
        <is>
          <t>JÄMTLANDS LÄN</t>
        </is>
      </c>
      <c r="E1312" t="inlineStr">
        <is>
          <t>STRÖMSUND</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2759-2022</t>
        </is>
      </c>
      <c r="B1313" s="1" t="n">
        <v>44580</v>
      </c>
      <c r="C1313" s="1" t="n">
        <v>45648</v>
      </c>
      <c r="D1313" t="inlineStr">
        <is>
          <t>JÄMTLANDS LÄN</t>
        </is>
      </c>
      <c r="E1313" t="inlineStr">
        <is>
          <t>STRÖMSUND</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3114-2022</t>
        </is>
      </c>
      <c r="B1314" s="1" t="n">
        <v>44582</v>
      </c>
      <c r="C1314" s="1" t="n">
        <v>45648</v>
      </c>
      <c r="D1314" t="inlineStr">
        <is>
          <t>JÄMTLANDS LÄN</t>
        </is>
      </c>
      <c r="E1314" t="inlineStr">
        <is>
          <t>STRÖMSUND</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3165-2022</t>
        </is>
      </c>
      <c r="B1315" s="1" t="n">
        <v>44582</v>
      </c>
      <c r="C1315" s="1" t="n">
        <v>45648</v>
      </c>
      <c r="D1315" t="inlineStr">
        <is>
          <t>JÄMTLANDS LÄN</t>
        </is>
      </c>
      <c r="E1315" t="inlineStr">
        <is>
          <t>STRÖMSUND</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3230-2022</t>
        </is>
      </c>
      <c r="B1316" s="1" t="n">
        <v>44582</v>
      </c>
      <c r="C1316" s="1" t="n">
        <v>45648</v>
      </c>
      <c r="D1316" t="inlineStr">
        <is>
          <t>JÄMTLANDS LÄN</t>
        </is>
      </c>
      <c r="E1316" t="inlineStr">
        <is>
          <t>STRÖMSUND</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3269-2022</t>
        </is>
      </c>
      <c r="B1317" s="1" t="n">
        <v>44583</v>
      </c>
      <c r="C1317" s="1" t="n">
        <v>45648</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3538-2022</t>
        </is>
      </c>
      <c r="B1318" s="1" t="n">
        <v>44585</v>
      </c>
      <c r="C1318" s="1" t="n">
        <v>45648</v>
      </c>
      <c r="D1318" t="inlineStr">
        <is>
          <t>JÄMTLANDS LÄN</t>
        </is>
      </c>
      <c r="E1318" t="inlineStr">
        <is>
          <t>STRÖMSUND</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3539-2022</t>
        </is>
      </c>
      <c r="B1319" s="1" t="n">
        <v>44585</v>
      </c>
      <c r="C1319" s="1" t="n">
        <v>45648</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3719-2022</t>
        </is>
      </c>
      <c r="B1320" s="1" t="n">
        <v>44586</v>
      </c>
      <c r="C1320" s="1" t="n">
        <v>45648</v>
      </c>
      <c r="D1320" t="inlineStr">
        <is>
          <t>JÄMTLANDS LÄN</t>
        </is>
      </c>
      <c r="E1320" t="inlineStr">
        <is>
          <t>STRÖMSUND</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3721-2022</t>
        </is>
      </c>
      <c r="B1321" s="1" t="n">
        <v>44586</v>
      </c>
      <c r="C1321" s="1" t="n">
        <v>45648</v>
      </c>
      <c r="D1321" t="inlineStr">
        <is>
          <t>JÄMTLANDS LÄN</t>
        </is>
      </c>
      <c r="E1321" t="inlineStr">
        <is>
          <t>STRÖMSUND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3875-2022</t>
        </is>
      </c>
      <c r="B1322" s="1" t="n">
        <v>44587</v>
      </c>
      <c r="C1322" s="1" t="n">
        <v>45648</v>
      </c>
      <c r="D1322" t="inlineStr">
        <is>
          <t>JÄMTLANDS LÄN</t>
        </is>
      </c>
      <c r="E1322" t="inlineStr">
        <is>
          <t>STRÖMSUND</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4024-2022</t>
        </is>
      </c>
      <c r="B1323" s="1" t="n">
        <v>44587</v>
      </c>
      <c r="C1323" s="1" t="n">
        <v>45648</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4460-2022</t>
        </is>
      </c>
      <c r="B1324" s="1" t="n">
        <v>44589</v>
      </c>
      <c r="C1324" s="1" t="n">
        <v>45648</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4455-2022</t>
        </is>
      </c>
      <c r="B1325" s="1" t="n">
        <v>44589</v>
      </c>
      <c r="C1325" s="1" t="n">
        <v>45648</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4464-2022</t>
        </is>
      </c>
      <c r="B1326" s="1" t="n">
        <v>44589</v>
      </c>
      <c r="C1326" s="1" t="n">
        <v>45648</v>
      </c>
      <c r="D1326" t="inlineStr">
        <is>
          <t>JÄMTLANDS LÄN</t>
        </is>
      </c>
      <c r="E1326" t="inlineStr">
        <is>
          <t>STRÖMSUND</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4602-2022</t>
        </is>
      </c>
      <c r="B1327" s="1" t="n">
        <v>44589</v>
      </c>
      <c r="C1327" s="1" t="n">
        <v>45648</v>
      </c>
      <c r="D1327" t="inlineStr">
        <is>
          <t>JÄMTLANDS LÄN</t>
        </is>
      </c>
      <c r="E1327" t="inlineStr">
        <is>
          <t>STRÖMSUND</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4858-2022</t>
        </is>
      </c>
      <c r="B1328" s="1" t="n">
        <v>44592</v>
      </c>
      <c r="C1328" s="1" t="n">
        <v>45648</v>
      </c>
      <c r="D1328" t="inlineStr">
        <is>
          <t>JÄMTLANDS LÄN</t>
        </is>
      </c>
      <c r="E1328" t="inlineStr">
        <is>
          <t>STRÖMSUND</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4931-2022</t>
        </is>
      </c>
      <c r="B1329" s="1" t="n">
        <v>44593</v>
      </c>
      <c r="C1329" s="1" t="n">
        <v>45648</v>
      </c>
      <c r="D1329" t="inlineStr">
        <is>
          <t>JÄMTLANDS LÄN</t>
        </is>
      </c>
      <c r="E1329" t="inlineStr">
        <is>
          <t>STRÖMSUND</t>
        </is>
      </c>
      <c r="G1329" t="n">
        <v>41.9</v>
      </c>
      <c r="H1329" t="n">
        <v>0</v>
      </c>
      <c r="I1329" t="n">
        <v>0</v>
      </c>
      <c r="J1329" t="n">
        <v>0</v>
      </c>
      <c r="K1329" t="n">
        <v>0</v>
      </c>
      <c r="L1329" t="n">
        <v>0</v>
      </c>
      <c r="M1329" t="n">
        <v>0</v>
      </c>
      <c r="N1329" t="n">
        <v>0</v>
      </c>
      <c r="O1329" t="n">
        <v>0</v>
      </c>
      <c r="P1329" t="n">
        <v>0</v>
      </c>
      <c r="Q1329" t="n">
        <v>0</v>
      </c>
      <c r="R1329" s="2" t="inlineStr"/>
    </row>
    <row r="1330" ht="15" customHeight="1">
      <c r="A1330" t="inlineStr">
        <is>
          <t>A 5117-2022</t>
        </is>
      </c>
      <c r="B1330" s="1" t="n">
        <v>44593</v>
      </c>
      <c r="C1330" s="1" t="n">
        <v>45648</v>
      </c>
      <c r="D1330" t="inlineStr">
        <is>
          <t>JÄMTLANDS LÄN</t>
        </is>
      </c>
      <c r="E1330" t="inlineStr">
        <is>
          <t>STRÖMSUND</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5116-2022</t>
        </is>
      </c>
      <c r="B1331" s="1" t="n">
        <v>44593</v>
      </c>
      <c r="C1331" s="1" t="n">
        <v>45648</v>
      </c>
      <c r="D1331" t="inlineStr">
        <is>
          <t>JÄMTLANDS LÄN</t>
        </is>
      </c>
      <c r="E1331" t="inlineStr">
        <is>
          <t>STRÖMSUND</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5416-2022</t>
        </is>
      </c>
      <c r="B1332" s="1" t="n">
        <v>44595</v>
      </c>
      <c r="C1332" s="1" t="n">
        <v>45648</v>
      </c>
      <c r="D1332" t="inlineStr">
        <is>
          <t>JÄMTLANDS LÄN</t>
        </is>
      </c>
      <c r="E1332" t="inlineStr">
        <is>
          <t>STRÖMSUND</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5642-2022</t>
        </is>
      </c>
      <c r="B1333" s="1" t="n">
        <v>44595</v>
      </c>
      <c r="C1333" s="1" t="n">
        <v>45648</v>
      </c>
      <c r="D1333" t="inlineStr">
        <is>
          <t>JÄMTLANDS LÄN</t>
        </is>
      </c>
      <c r="E1333" t="inlineStr">
        <is>
          <t>STRÖMSUND</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6055-2022</t>
        </is>
      </c>
      <c r="B1334" s="1" t="n">
        <v>44599</v>
      </c>
      <c r="C1334" s="1" t="n">
        <v>45648</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6150-2022</t>
        </is>
      </c>
      <c r="B1335" s="1" t="n">
        <v>44599</v>
      </c>
      <c r="C1335" s="1" t="n">
        <v>45648</v>
      </c>
      <c r="D1335" t="inlineStr">
        <is>
          <t>JÄMTLANDS LÄN</t>
        </is>
      </c>
      <c r="E1335" t="inlineStr">
        <is>
          <t>STRÖMSUND</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6202-2022</t>
        </is>
      </c>
      <c r="B1336" s="1" t="n">
        <v>44600</v>
      </c>
      <c r="C1336" s="1" t="n">
        <v>45648</v>
      </c>
      <c r="D1336" t="inlineStr">
        <is>
          <t>JÄMTLANDS LÄN</t>
        </is>
      </c>
      <c r="E1336" t="inlineStr">
        <is>
          <t>STRÖMSUND</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7023-2022</t>
        </is>
      </c>
      <c r="B1337" s="1" t="n">
        <v>44603</v>
      </c>
      <c r="C1337" s="1" t="n">
        <v>45648</v>
      </c>
      <c r="D1337" t="inlineStr">
        <is>
          <t>JÄMTLANDS LÄN</t>
        </is>
      </c>
      <c r="E1337" t="inlineStr">
        <is>
          <t>STRÖMSUND</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7157-2022</t>
        </is>
      </c>
      <c r="B1338" s="1" t="n">
        <v>44604</v>
      </c>
      <c r="C1338" s="1" t="n">
        <v>45648</v>
      </c>
      <c r="D1338" t="inlineStr">
        <is>
          <t>JÄMTLANDS LÄN</t>
        </is>
      </c>
      <c r="E1338" t="inlineStr">
        <is>
          <t>STRÖMSUND</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7260-2022</t>
        </is>
      </c>
      <c r="B1339" s="1" t="n">
        <v>44606</v>
      </c>
      <c r="C1339" s="1" t="n">
        <v>45648</v>
      </c>
      <c r="D1339" t="inlineStr">
        <is>
          <t>JÄMTLANDS LÄN</t>
        </is>
      </c>
      <c r="E1339" t="inlineStr">
        <is>
          <t>STRÖMSUND</t>
        </is>
      </c>
      <c r="F1339" t="inlineStr">
        <is>
          <t>SCA</t>
        </is>
      </c>
      <c r="G1339" t="n">
        <v>76.40000000000001</v>
      </c>
      <c r="H1339" t="n">
        <v>0</v>
      </c>
      <c r="I1339" t="n">
        <v>0</v>
      </c>
      <c r="J1339" t="n">
        <v>0</v>
      </c>
      <c r="K1339" t="n">
        <v>0</v>
      </c>
      <c r="L1339" t="n">
        <v>0</v>
      </c>
      <c r="M1339" t="n">
        <v>0</v>
      </c>
      <c r="N1339" t="n">
        <v>0</v>
      </c>
      <c r="O1339" t="n">
        <v>0</v>
      </c>
      <c r="P1339" t="n">
        <v>0</v>
      </c>
      <c r="Q1339" t="n">
        <v>0</v>
      </c>
      <c r="R1339" s="2" t="inlineStr"/>
    </row>
    <row r="1340" ht="15" customHeight="1">
      <c r="A1340" t="inlineStr">
        <is>
          <t>A 8066-2022</t>
        </is>
      </c>
      <c r="B1340" s="1" t="n">
        <v>44609</v>
      </c>
      <c r="C1340" s="1" t="n">
        <v>45648</v>
      </c>
      <c r="D1340" t="inlineStr">
        <is>
          <t>JÄMTLANDS LÄN</t>
        </is>
      </c>
      <c r="E1340" t="inlineStr">
        <is>
          <t>STRÖMSUND</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8239-2022</t>
        </is>
      </c>
      <c r="B1341" s="1" t="n">
        <v>44609</v>
      </c>
      <c r="C1341" s="1" t="n">
        <v>45648</v>
      </c>
      <c r="D1341" t="inlineStr">
        <is>
          <t>JÄMTLANDS LÄN</t>
        </is>
      </c>
      <c r="E1341" t="inlineStr">
        <is>
          <t>STRÖMSUND</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8421-2022</t>
        </is>
      </c>
      <c r="B1342" s="1" t="n">
        <v>44610</v>
      </c>
      <c r="C1342" s="1" t="n">
        <v>45648</v>
      </c>
      <c r="D1342" t="inlineStr">
        <is>
          <t>JÄMTLANDS LÄN</t>
        </is>
      </c>
      <c r="E1342" t="inlineStr">
        <is>
          <t>STRÖMSUND</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9370-2022</t>
        </is>
      </c>
      <c r="B1343" s="1" t="n">
        <v>44616</v>
      </c>
      <c r="C1343" s="1" t="n">
        <v>45648</v>
      </c>
      <c r="D1343" t="inlineStr">
        <is>
          <t>JÄMTLANDS LÄN</t>
        </is>
      </c>
      <c r="E1343" t="inlineStr">
        <is>
          <t>STRÖMSUND</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9379-2022</t>
        </is>
      </c>
      <c r="B1344" s="1" t="n">
        <v>44616</v>
      </c>
      <c r="C1344" s="1" t="n">
        <v>45648</v>
      </c>
      <c r="D1344" t="inlineStr">
        <is>
          <t>JÄMTLANDS LÄN</t>
        </is>
      </c>
      <c r="E1344" t="inlineStr">
        <is>
          <t>STRÖMSUND</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9934-2022</t>
        </is>
      </c>
      <c r="B1345" s="1" t="n">
        <v>44620</v>
      </c>
      <c r="C1345" s="1" t="n">
        <v>45648</v>
      </c>
      <c r="D1345" t="inlineStr">
        <is>
          <t>JÄMTLANDS LÄN</t>
        </is>
      </c>
      <c r="E1345" t="inlineStr">
        <is>
          <t>STRÖMSUND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9957-2022</t>
        </is>
      </c>
      <c r="B1346" s="1" t="n">
        <v>44620</v>
      </c>
      <c r="C1346" s="1" t="n">
        <v>45648</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10077-2022</t>
        </is>
      </c>
      <c r="B1347" s="1" t="n">
        <v>44621</v>
      </c>
      <c r="C1347" s="1" t="n">
        <v>45648</v>
      </c>
      <c r="D1347" t="inlineStr">
        <is>
          <t>JÄMTLANDS LÄN</t>
        </is>
      </c>
      <c r="E1347" t="inlineStr">
        <is>
          <t>STRÖMSUND</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10144-2022</t>
        </is>
      </c>
      <c r="B1348" s="1" t="n">
        <v>44621</v>
      </c>
      <c r="C1348" s="1" t="n">
        <v>45648</v>
      </c>
      <c r="D1348" t="inlineStr">
        <is>
          <t>JÄMTLANDS LÄN</t>
        </is>
      </c>
      <c r="E1348" t="inlineStr">
        <is>
          <t>STRÖMSUND</t>
        </is>
      </c>
      <c r="F1348" t="inlineStr">
        <is>
          <t>SCA</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10136-2022</t>
        </is>
      </c>
      <c r="B1349" s="1" t="n">
        <v>44621</v>
      </c>
      <c r="C1349" s="1" t="n">
        <v>45648</v>
      </c>
      <c r="D1349" t="inlineStr">
        <is>
          <t>JÄMTLANDS LÄN</t>
        </is>
      </c>
      <c r="E1349" t="inlineStr">
        <is>
          <t>STRÖMSUND</t>
        </is>
      </c>
      <c r="F1349" t="inlineStr">
        <is>
          <t>SCA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10249-2022</t>
        </is>
      </c>
      <c r="B1350" s="1" t="n">
        <v>44622</v>
      </c>
      <c r="C1350" s="1" t="n">
        <v>45648</v>
      </c>
      <c r="D1350" t="inlineStr">
        <is>
          <t>JÄMTLANDS LÄN</t>
        </is>
      </c>
      <c r="E1350" t="inlineStr">
        <is>
          <t>STRÖMSUND</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10322-2022</t>
        </is>
      </c>
      <c r="B1351" s="1" t="n">
        <v>44622</v>
      </c>
      <c r="C1351" s="1" t="n">
        <v>45648</v>
      </c>
      <c r="D1351" t="inlineStr">
        <is>
          <t>JÄMTLANDS LÄN</t>
        </is>
      </c>
      <c r="E1351" t="inlineStr">
        <is>
          <t>STRÖMSUND</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10323-2022</t>
        </is>
      </c>
      <c r="B1352" s="1" t="n">
        <v>44622</v>
      </c>
      <c r="C1352" s="1" t="n">
        <v>45648</v>
      </c>
      <c r="D1352" t="inlineStr">
        <is>
          <t>JÄMTLANDS LÄN</t>
        </is>
      </c>
      <c r="E1352" t="inlineStr">
        <is>
          <t>STRÖMSUND</t>
        </is>
      </c>
      <c r="F1352" t="inlineStr">
        <is>
          <t>SCA</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10319-2022</t>
        </is>
      </c>
      <c r="B1353" s="1" t="n">
        <v>44622</v>
      </c>
      <c r="C1353" s="1" t="n">
        <v>45648</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10527-2022</t>
        </is>
      </c>
      <c r="B1354" s="1" t="n">
        <v>44623</v>
      </c>
      <c r="C1354" s="1" t="n">
        <v>45648</v>
      </c>
      <c r="D1354" t="inlineStr">
        <is>
          <t>JÄMTLANDS LÄN</t>
        </is>
      </c>
      <c r="E1354" t="inlineStr">
        <is>
          <t>STRÖMSUND</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10647-2022</t>
        </is>
      </c>
      <c r="B1355" s="1" t="n">
        <v>44624</v>
      </c>
      <c r="C1355" s="1" t="n">
        <v>45648</v>
      </c>
      <c r="D1355" t="inlineStr">
        <is>
          <t>JÄMTLANDS LÄN</t>
        </is>
      </c>
      <c r="E1355" t="inlineStr">
        <is>
          <t>STRÖMSUND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10656-2022</t>
        </is>
      </c>
      <c r="B1356" s="1" t="n">
        <v>44624</v>
      </c>
      <c r="C1356" s="1" t="n">
        <v>45648</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10698-2022</t>
        </is>
      </c>
      <c r="B1357" s="1" t="n">
        <v>44624</v>
      </c>
      <c r="C1357" s="1" t="n">
        <v>45648</v>
      </c>
      <c r="D1357" t="inlineStr">
        <is>
          <t>JÄMTLANDS LÄN</t>
        </is>
      </c>
      <c r="E1357" t="inlineStr">
        <is>
          <t>STRÖMSUND</t>
        </is>
      </c>
      <c r="F1357" t="inlineStr">
        <is>
          <t>SCA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10904-2022</t>
        </is>
      </c>
      <c r="B1358" s="1" t="n">
        <v>44627</v>
      </c>
      <c r="C1358" s="1" t="n">
        <v>45648</v>
      </c>
      <c r="D1358" t="inlineStr">
        <is>
          <t>JÄMTLANDS LÄN</t>
        </is>
      </c>
      <c r="E1358" t="inlineStr">
        <is>
          <t>STRÖMSUND</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11158-2022</t>
        </is>
      </c>
      <c r="B1359" s="1" t="n">
        <v>44629</v>
      </c>
      <c r="C1359" s="1" t="n">
        <v>45648</v>
      </c>
      <c r="D1359" t="inlineStr">
        <is>
          <t>JÄMTLANDS LÄN</t>
        </is>
      </c>
      <c r="E1359" t="inlineStr">
        <is>
          <t>STRÖMSUND</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11578-2022</t>
        </is>
      </c>
      <c r="B1360" s="1" t="n">
        <v>44631</v>
      </c>
      <c r="C1360" s="1" t="n">
        <v>45648</v>
      </c>
      <c r="D1360" t="inlineStr">
        <is>
          <t>JÄMTLANDS LÄN</t>
        </is>
      </c>
      <c r="E1360" t="inlineStr">
        <is>
          <t>STRÖMSUND</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11856-2022</t>
        </is>
      </c>
      <c r="B1361" s="1" t="n">
        <v>44635</v>
      </c>
      <c r="C1361" s="1" t="n">
        <v>45648</v>
      </c>
      <c r="D1361" t="inlineStr">
        <is>
          <t>JÄMTLANDS LÄN</t>
        </is>
      </c>
      <c r="E1361" t="inlineStr">
        <is>
          <t>STRÖMSUND</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12018-2022</t>
        </is>
      </c>
      <c r="B1362" s="1" t="n">
        <v>44635</v>
      </c>
      <c r="C1362" s="1" t="n">
        <v>45648</v>
      </c>
      <c r="D1362" t="inlineStr">
        <is>
          <t>JÄMTLANDS LÄN</t>
        </is>
      </c>
      <c r="E1362" t="inlineStr">
        <is>
          <t>STRÖMSUND</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12198-2022</t>
        </is>
      </c>
      <c r="B1363" s="1" t="n">
        <v>44636</v>
      </c>
      <c r="C1363" s="1" t="n">
        <v>45648</v>
      </c>
      <c r="D1363" t="inlineStr">
        <is>
          <t>JÄMTLANDS LÄN</t>
        </is>
      </c>
      <c r="E1363" t="inlineStr">
        <is>
          <t>STRÖMSUND</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12405-2022</t>
        </is>
      </c>
      <c r="B1364" s="1" t="n">
        <v>44637</v>
      </c>
      <c r="C1364" s="1" t="n">
        <v>45648</v>
      </c>
      <c r="D1364" t="inlineStr">
        <is>
          <t>JÄMTLANDS LÄN</t>
        </is>
      </c>
      <c r="E1364" t="inlineStr">
        <is>
          <t>STRÖMSUND</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12404-2022</t>
        </is>
      </c>
      <c r="B1365" s="1" t="n">
        <v>44637</v>
      </c>
      <c r="C1365" s="1" t="n">
        <v>45648</v>
      </c>
      <c r="D1365" t="inlineStr">
        <is>
          <t>JÄMTLANDS LÄN</t>
        </is>
      </c>
      <c r="E1365" t="inlineStr">
        <is>
          <t>STRÖMSUND</t>
        </is>
      </c>
      <c r="F1365" t="inlineStr">
        <is>
          <t>SCA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12762-2022</t>
        </is>
      </c>
      <c r="B1366" s="1" t="n">
        <v>44641</v>
      </c>
      <c r="C1366" s="1" t="n">
        <v>45648</v>
      </c>
      <c r="D1366" t="inlineStr">
        <is>
          <t>JÄMTLANDS LÄN</t>
        </is>
      </c>
      <c r="E1366" t="inlineStr">
        <is>
          <t>STRÖMSUND</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12822-2022</t>
        </is>
      </c>
      <c r="B1367" s="1" t="n">
        <v>44642</v>
      </c>
      <c r="C1367" s="1" t="n">
        <v>45648</v>
      </c>
      <c r="D1367" t="inlineStr">
        <is>
          <t>JÄMTLANDS LÄN</t>
        </is>
      </c>
      <c r="E1367" t="inlineStr">
        <is>
          <t>STRÖMSUND</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13098-2022</t>
        </is>
      </c>
      <c r="B1368" s="1" t="n">
        <v>44643</v>
      </c>
      <c r="C1368" s="1" t="n">
        <v>45648</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13099-2022</t>
        </is>
      </c>
      <c r="B1369" s="1" t="n">
        <v>44643</v>
      </c>
      <c r="C1369" s="1" t="n">
        <v>45648</v>
      </c>
      <c r="D1369" t="inlineStr">
        <is>
          <t>JÄMTLANDS LÄN</t>
        </is>
      </c>
      <c r="E1369" t="inlineStr">
        <is>
          <t>STRÖMSUND</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13513-2022</t>
        </is>
      </c>
      <c r="B1370" s="1" t="n">
        <v>44648</v>
      </c>
      <c r="C1370" s="1" t="n">
        <v>45648</v>
      </c>
      <c r="D1370" t="inlineStr">
        <is>
          <t>JÄMTLANDS LÄN</t>
        </is>
      </c>
      <c r="E1370" t="inlineStr">
        <is>
          <t>STRÖMSUND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14043-2022</t>
        </is>
      </c>
      <c r="B1371" s="1" t="n">
        <v>44650</v>
      </c>
      <c r="C1371" s="1" t="n">
        <v>45648</v>
      </c>
      <c r="D1371" t="inlineStr">
        <is>
          <t>JÄMTLANDS LÄN</t>
        </is>
      </c>
      <c r="E1371" t="inlineStr">
        <is>
          <t>STRÖMSUND</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14283-2022</t>
        </is>
      </c>
      <c r="B1372" s="1" t="n">
        <v>44651</v>
      </c>
      <c r="C1372" s="1" t="n">
        <v>45648</v>
      </c>
      <c r="D1372" t="inlineStr">
        <is>
          <t>JÄMTLANDS LÄN</t>
        </is>
      </c>
      <c r="E1372" t="inlineStr">
        <is>
          <t>STRÖMSUND</t>
        </is>
      </c>
      <c r="F1372" t="inlineStr">
        <is>
          <t>SCA</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14288-2022</t>
        </is>
      </c>
      <c r="B1373" s="1" t="n">
        <v>44651</v>
      </c>
      <c r="C1373" s="1" t="n">
        <v>45648</v>
      </c>
      <c r="D1373" t="inlineStr">
        <is>
          <t>JÄMTLANDS LÄN</t>
        </is>
      </c>
      <c r="E1373" t="inlineStr">
        <is>
          <t>STRÖMSUND</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14292-2022</t>
        </is>
      </c>
      <c r="B1374" s="1" t="n">
        <v>44651</v>
      </c>
      <c r="C1374" s="1" t="n">
        <v>45648</v>
      </c>
      <c r="D1374" t="inlineStr">
        <is>
          <t>JÄMTLANDS LÄN</t>
        </is>
      </c>
      <c r="E1374" t="inlineStr">
        <is>
          <t>STRÖMSUND</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14294-2022</t>
        </is>
      </c>
      <c r="B1375" s="1" t="n">
        <v>44652</v>
      </c>
      <c r="C1375" s="1" t="n">
        <v>45648</v>
      </c>
      <c r="D1375" t="inlineStr">
        <is>
          <t>JÄMTLANDS LÄN</t>
        </is>
      </c>
      <c r="E1375" t="inlineStr">
        <is>
          <t>STRÖMSUND</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14281-2022</t>
        </is>
      </c>
      <c r="B1376" s="1" t="n">
        <v>44651</v>
      </c>
      <c r="C1376" s="1" t="n">
        <v>45648</v>
      </c>
      <c r="D1376" t="inlineStr">
        <is>
          <t>JÄMTLANDS LÄN</t>
        </is>
      </c>
      <c r="E1376" t="inlineStr">
        <is>
          <t>STRÖMSUND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14289-2022</t>
        </is>
      </c>
      <c r="B1377" s="1" t="n">
        <v>44651</v>
      </c>
      <c r="C1377" s="1" t="n">
        <v>45648</v>
      </c>
      <c r="D1377" t="inlineStr">
        <is>
          <t>JÄMTLANDS LÄN</t>
        </is>
      </c>
      <c r="E1377" t="inlineStr">
        <is>
          <t>STRÖMSUND</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14441-2022</t>
        </is>
      </c>
      <c r="B1378" s="1" t="n">
        <v>44652</v>
      </c>
      <c r="C1378" s="1" t="n">
        <v>45648</v>
      </c>
      <c r="D1378" t="inlineStr">
        <is>
          <t>JÄMTLANDS LÄN</t>
        </is>
      </c>
      <c r="E1378" t="inlineStr">
        <is>
          <t>STRÖMSUND</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14443-2022</t>
        </is>
      </c>
      <c r="B1379" s="1" t="n">
        <v>44653</v>
      </c>
      <c r="C1379" s="1" t="n">
        <v>45648</v>
      </c>
      <c r="D1379" t="inlineStr">
        <is>
          <t>JÄMTLANDS LÄN</t>
        </is>
      </c>
      <c r="E1379" t="inlineStr">
        <is>
          <t>STRÖMSUND</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14445-2022</t>
        </is>
      </c>
      <c r="B1380" s="1" t="n">
        <v>44653</v>
      </c>
      <c r="C1380" s="1" t="n">
        <v>45648</v>
      </c>
      <c r="D1380" t="inlineStr">
        <is>
          <t>JÄMTLANDS LÄN</t>
        </is>
      </c>
      <c r="E1380" t="inlineStr">
        <is>
          <t>STRÖMSUND</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14442-2022</t>
        </is>
      </c>
      <c r="B1381" s="1" t="n">
        <v>44653</v>
      </c>
      <c r="C1381" s="1" t="n">
        <v>45648</v>
      </c>
      <c r="D1381" t="inlineStr">
        <is>
          <t>JÄMTLANDS LÄN</t>
        </is>
      </c>
      <c r="E1381" t="inlineStr">
        <is>
          <t>STRÖMSUND</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14460-2022</t>
        </is>
      </c>
      <c r="B1382" s="1" t="n">
        <v>44654</v>
      </c>
      <c r="C1382" s="1" t="n">
        <v>45648</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14550-2022</t>
        </is>
      </c>
      <c r="B1383" s="1" t="n">
        <v>44655</v>
      </c>
      <c r="C1383" s="1" t="n">
        <v>45648</v>
      </c>
      <c r="D1383" t="inlineStr">
        <is>
          <t>JÄMTLANDS LÄN</t>
        </is>
      </c>
      <c r="E1383" t="inlineStr">
        <is>
          <t>STRÖMSUND</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14557-2022</t>
        </is>
      </c>
      <c r="B1384" s="1" t="n">
        <v>44655</v>
      </c>
      <c r="C1384" s="1" t="n">
        <v>45648</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14703-2022</t>
        </is>
      </c>
      <c r="B1385" s="1" t="n">
        <v>44655</v>
      </c>
      <c r="C1385" s="1" t="n">
        <v>45648</v>
      </c>
      <c r="D1385" t="inlineStr">
        <is>
          <t>JÄMTLANDS LÄN</t>
        </is>
      </c>
      <c r="E1385" t="inlineStr">
        <is>
          <t>STRÖMSUND</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14894-2022</t>
        </is>
      </c>
      <c r="B1386" s="1" t="n">
        <v>44657</v>
      </c>
      <c r="C1386" s="1" t="n">
        <v>45648</v>
      </c>
      <c r="D1386" t="inlineStr">
        <is>
          <t>JÄMTLANDS LÄN</t>
        </is>
      </c>
      <c r="E1386" t="inlineStr">
        <is>
          <t>STRÖMSUND</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15238-2022</t>
        </is>
      </c>
      <c r="B1387" s="1" t="n">
        <v>44659</v>
      </c>
      <c r="C1387" s="1" t="n">
        <v>45648</v>
      </c>
      <c r="D1387" t="inlineStr">
        <is>
          <t>JÄMTLANDS LÄN</t>
        </is>
      </c>
      <c r="E1387" t="inlineStr">
        <is>
          <t>STRÖMSUND</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15141-2022</t>
        </is>
      </c>
      <c r="B1388" s="1" t="n">
        <v>44658</v>
      </c>
      <c r="C1388" s="1" t="n">
        <v>45648</v>
      </c>
      <c r="D1388" t="inlineStr">
        <is>
          <t>JÄMTLANDS LÄN</t>
        </is>
      </c>
      <c r="E1388" t="inlineStr">
        <is>
          <t>STRÖMSUND</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15239-2022</t>
        </is>
      </c>
      <c r="B1389" s="1" t="n">
        <v>44659</v>
      </c>
      <c r="C1389" s="1" t="n">
        <v>45648</v>
      </c>
      <c r="D1389" t="inlineStr">
        <is>
          <t>JÄMTLANDS LÄN</t>
        </is>
      </c>
      <c r="E1389" t="inlineStr">
        <is>
          <t>STRÖMSUND</t>
        </is>
      </c>
      <c r="F1389" t="inlineStr">
        <is>
          <t>SCA</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15259-2022</t>
        </is>
      </c>
      <c r="B1390" s="1" t="n">
        <v>44659</v>
      </c>
      <c r="C1390" s="1" t="n">
        <v>45648</v>
      </c>
      <c r="D1390" t="inlineStr">
        <is>
          <t>JÄMTLANDS LÄN</t>
        </is>
      </c>
      <c r="E1390" t="inlineStr">
        <is>
          <t>STRÖMSUND</t>
        </is>
      </c>
      <c r="G1390" t="n">
        <v>52.4</v>
      </c>
      <c r="H1390" t="n">
        <v>0</v>
      </c>
      <c r="I1390" t="n">
        <v>0</v>
      </c>
      <c r="J1390" t="n">
        <v>0</v>
      </c>
      <c r="K1390" t="n">
        <v>0</v>
      </c>
      <c r="L1390" t="n">
        <v>0</v>
      </c>
      <c r="M1390" t="n">
        <v>0</v>
      </c>
      <c r="N1390" t="n">
        <v>0</v>
      </c>
      <c r="O1390" t="n">
        <v>0</v>
      </c>
      <c r="P1390" t="n">
        <v>0</v>
      </c>
      <c r="Q1390" t="n">
        <v>0</v>
      </c>
      <c r="R1390" s="2" t="inlineStr"/>
    </row>
    <row r="1391" ht="15" customHeight="1">
      <c r="A1391" t="inlineStr">
        <is>
          <t>A 15546-2022</t>
        </is>
      </c>
      <c r="B1391" s="1" t="n">
        <v>44662</v>
      </c>
      <c r="C1391" s="1" t="n">
        <v>45648</v>
      </c>
      <c r="D1391" t="inlineStr">
        <is>
          <t>JÄMTLANDS LÄN</t>
        </is>
      </c>
      <c r="E1391" t="inlineStr">
        <is>
          <t>STRÖMSUND</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15522-2022</t>
        </is>
      </c>
      <c r="B1392" s="1" t="n">
        <v>44662</v>
      </c>
      <c r="C1392" s="1" t="n">
        <v>45648</v>
      </c>
      <c r="D1392" t="inlineStr">
        <is>
          <t>JÄMTLANDS LÄN</t>
        </is>
      </c>
      <c r="E1392" t="inlineStr">
        <is>
          <t>STRÖMSUND</t>
        </is>
      </c>
      <c r="G1392" t="n">
        <v>41.8</v>
      </c>
      <c r="H1392" t="n">
        <v>0</v>
      </c>
      <c r="I1392" t="n">
        <v>0</v>
      </c>
      <c r="J1392" t="n">
        <v>0</v>
      </c>
      <c r="K1392" t="n">
        <v>0</v>
      </c>
      <c r="L1392" t="n">
        <v>0</v>
      </c>
      <c r="M1392" t="n">
        <v>0</v>
      </c>
      <c r="N1392" t="n">
        <v>0</v>
      </c>
      <c r="O1392" t="n">
        <v>0</v>
      </c>
      <c r="P1392" t="n">
        <v>0</v>
      </c>
      <c r="Q1392" t="n">
        <v>0</v>
      </c>
      <c r="R1392" s="2" t="inlineStr"/>
    </row>
    <row r="1393" ht="15" customHeight="1">
      <c r="A1393" t="inlineStr">
        <is>
          <t>A 15407-2022</t>
        </is>
      </c>
      <c r="B1393" s="1" t="n">
        <v>44662</v>
      </c>
      <c r="C1393" s="1" t="n">
        <v>45648</v>
      </c>
      <c r="D1393" t="inlineStr">
        <is>
          <t>JÄMTLANDS LÄN</t>
        </is>
      </c>
      <c r="E1393" t="inlineStr">
        <is>
          <t>STRÖMSUND</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15668-2022</t>
        </is>
      </c>
      <c r="B1394" s="1" t="n">
        <v>44663</v>
      </c>
      <c r="C1394" s="1" t="n">
        <v>45648</v>
      </c>
      <c r="D1394" t="inlineStr">
        <is>
          <t>JÄMTLANDS LÄN</t>
        </is>
      </c>
      <c r="E1394" t="inlineStr">
        <is>
          <t>STRÖMSUND</t>
        </is>
      </c>
      <c r="F1394" t="inlineStr">
        <is>
          <t>SCA</t>
        </is>
      </c>
      <c r="G1394" t="n">
        <v>14.7</v>
      </c>
      <c r="H1394" t="n">
        <v>0</v>
      </c>
      <c r="I1394" t="n">
        <v>0</v>
      </c>
      <c r="J1394" t="n">
        <v>0</v>
      </c>
      <c r="K1394" t="n">
        <v>0</v>
      </c>
      <c r="L1394" t="n">
        <v>0</v>
      </c>
      <c r="M1394" t="n">
        <v>0</v>
      </c>
      <c r="N1394" t="n">
        <v>0</v>
      </c>
      <c r="O1394" t="n">
        <v>0</v>
      </c>
      <c r="P1394" t="n">
        <v>0</v>
      </c>
      <c r="Q1394" t="n">
        <v>0</v>
      </c>
      <c r="R1394" s="2" t="inlineStr"/>
    </row>
    <row r="1395" ht="15" customHeight="1">
      <c r="A1395" t="inlineStr">
        <is>
          <t>A 15865-2022</t>
        </is>
      </c>
      <c r="B1395" s="1" t="n">
        <v>44664</v>
      </c>
      <c r="C1395" s="1" t="n">
        <v>45648</v>
      </c>
      <c r="D1395" t="inlineStr">
        <is>
          <t>JÄMTLANDS LÄN</t>
        </is>
      </c>
      <c r="E1395" t="inlineStr">
        <is>
          <t>STRÖMSUND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15971-2022</t>
        </is>
      </c>
      <c r="B1396" s="1" t="n">
        <v>44664</v>
      </c>
      <c r="C1396" s="1" t="n">
        <v>45648</v>
      </c>
      <c r="D1396" t="inlineStr">
        <is>
          <t>JÄMTLANDS LÄN</t>
        </is>
      </c>
      <c r="E1396" t="inlineStr">
        <is>
          <t>STRÖMSUND</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16311-2022</t>
        </is>
      </c>
      <c r="B1397" s="1" t="n">
        <v>44670</v>
      </c>
      <c r="C1397" s="1" t="n">
        <v>45648</v>
      </c>
      <c r="D1397" t="inlineStr">
        <is>
          <t>JÄMTLANDS LÄN</t>
        </is>
      </c>
      <c r="E1397" t="inlineStr">
        <is>
          <t>STRÖMSUND</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16317-2022</t>
        </is>
      </c>
      <c r="B1398" s="1" t="n">
        <v>44670</v>
      </c>
      <c r="C1398" s="1" t="n">
        <v>45648</v>
      </c>
      <c r="D1398" t="inlineStr">
        <is>
          <t>JÄMTLANDS LÄN</t>
        </is>
      </c>
      <c r="E1398" t="inlineStr">
        <is>
          <t>STRÖMSUND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16359-2022</t>
        </is>
      </c>
      <c r="B1399" s="1" t="n">
        <v>44671</v>
      </c>
      <c r="C1399" s="1" t="n">
        <v>45648</v>
      </c>
      <c r="D1399" t="inlineStr">
        <is>
          <t>JÄMTLANDS LÄN</t>
        </is>
      </c>
      <c r="E1399" t="inlineStr">
        <is>
          <t>STRÖMSUND</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16358-2022</t>
        </is>
      </c>
      <c r="B1400" s="1" t="n">
        <v>44671</v>
      </c>
      <c r="C1400" s="1" t="n">
        <v>45648</v>
      </c>
      <c r="D1400" t="inlineStr">
        <is>
          <t>JÄMTLANDS LÄN</t>
        </is>
      </c>
      <c r="E1400" t="inlineStr">
        <is>
          <t>STRÖMSUND</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16518-2022</t>
        </is>
      </c>
      <c r="B1401" s="1" t="n">
        <v>44672</v>
      </c>
      <c r="C1401" s="1" t="n">
        <v>45648</v>
      </c>
      <c r="D1401" t="inlineStr">
        <is>
          <t>JÄMTLANDS LÄN</t>
        </is>
      </c>
      <c r="E1401" t="inlineStr">
        <is>
          <t>STRÖMSUND</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16516-2022</t>
        </is>
      </c>
      <c r="B1402" s="1" t="n">
        <v>44672</v>
      </c>
      <c r="C1402" s="1" t="n">
        <v>45648</v>
      </c>
      <c r="D1402" t="inlineStr">
        <is>
          <t>JÄMTLANDS LÄN</t>
        </is>
      </c>
      <c r="E1402" t="inlineStr">
        <is>
          <t>STRÖMSUND</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16848-2022</t>
        </is>
      </c>
      <c r="B1403" s="1" t="n">
        <v>44674</v>
      </c>
      <c r="C1403" s="1" t="n">
        <v>45648</v>
      </c>
      <c r="D1403" t="inlineStr">
        <is>
          <t>JÄMTLANDS LÄN</t>
        </is>
      </c>
      <c r="E1403" t="inlineStr">
        <is>
          <t>STRÖMSUND</t>
        </is>
      </c>
      <c r="F1403" t="inlineStr">
        <is>
          <t>SCA</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21844-2022</t>
        </is>
      </c>
      <c r="B1404" s="1" t="n">
        <v>44678</v>
      </c>
      <c r="C1404" s="1" t="n">
        <v>45648</v>
      </c>
      <c r="D1404" t="inlineStr">
        <is>
          <t>JÄMTLANDS LÄN</t>
        </is>
      </c>
      <c r="E1404" t="inlineStr">
        <is>
          <t>STRÖMSUND</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17753-2022</t>
        </is>
      </c>
      <c r="B1405" s="1" t="n">
        <v>44681</v>
      </c>
      <c r="C1405" s="1" t="n">
        <v>45648</v>
      </c>
      <c r="D1405" t="inlineStr">
        <is>
          <t>JÄMTLANDS LÄN</t>
        </is>
      </c>
      <c r="E1405" t="inlineStr">
        <is>
          <t>STRÖMSUND</t>
        </is>
      </c>
      <c r="F1405" t="inlineStr">
        <is>
          <t>SCA</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17754-2022</t>
        </is>
      </c>
      <c r="B1406" s="1" t="n">
        <v>44680</v>
      </c>
      <c r="C1406" s="1" t="n">
        <v>45648</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17752-2022</t>
        </is>
      </c>
      <c r="B1407" s="1" t="n">
        <v>44680</v>
      </c>
      <c r="C1407" s="1" t="n">
        <v>45648</v>
      </c>
      <c r="D1407" t="inlineStr">
        <is>
          <t>JÄMTLANDS LÄN</t>
        </is>
      </c>
      <c r="E1407" t="inlineStr">
        <is>
          <t>STRÖMSUND</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18205-2022</t>
        </is>
      </c>
      <c r="B1408" s="1" t="n">
        <v>44684</v>
      </c>
      <c r="C1408" s="1" t="n">
        <v>45648</v>
      </c>
      <c r="D1408" t="inlineStr">
        <is>
          <t>JÄMTLANDS LÄN</t>
        </is>
      </c>
      <c r="E1408" t="inlineStr">
        <is>
          <t>STRÖMSUND</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18553-2022</t>
        </is>
      </c>
      <c r="B1409" s="1" t="n">
        <v>44687</v>
      </c>
      <c r="C1409" s="1" t="n">
        <v>45648</v>
      </c>
      <c r="D1409" t="inlineStr">
        <is>
          <t>JÄMTLANDS LÄN</t>
        </is>
      </c>
      <c r="E1409" t="inlineStr">
        <is>
          <t>STRÖMSUND</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18573-2022</t>
        </is>
      </c>
      <c r="B1410" s="1" t="n">
        <v>44687</v>
      </c>
      <c r="C1410" s="1" t="n">
        <v>45648</v>
      </c>
      <c r="D1410" t="inlineStr">
        <is>
          <t>JÄMTLANDS LÄN</t>
        </is>
      </c>
      <c r="E1410" t="inlineStr">
        <is>
          <t>STRÖMSUND</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18572-2022</t>
        </is>
      </c>
      <c r="B1411" s="1" t="n">
        <v>44686</v>
      </c>
      <c r="C1411" s="1" t="n">
        <v>45648</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18750-2022</t>
        </is>
      </c>
      <c r="B1412" s="1" t="n">
        <v>44688</v>
      </c>
      <c r="C1412" s="1" t="n">
        <v>45648</v>
      </c>
      <c r="D1412" t="inlineStr">
        <is>
          <t>JÄMTLANDS LÄN</t>
        </is>
      </c>
      <c r="E1412" t="inlineStr">
        <is>
          <t>STRÖMSUND</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18749-2022</t>
        </is>
      </c>
      <c r="B1413" s="1" t="n">
        <v>44688</v>
      </c>
      <c r="C1413" s="1" t="n">
        <v>45648</v>
      </c>
      <c r="D1413" t="inlineStr">
        <is>
          <t>JÄMTLANDS LÄN</t>
        </is>
      </c>
      <c r="E1413" t="inlineStr">
        <is>
          <t>STRÖMSUND</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18751-2022</t>
        </is>
      </c>
      <c r="B1414" s="1" t="n">
        <v>44688</v>
      </c>
      <c r="C1414" s="1" t="n">
        <v>45648</v>
      </c>
      <c r="D1414" t="inlineStr">
        <is>
          <t>JÄMTLANDS LÄN</t>
        </is>
      </c>
      <c r="E1414" t="inlineStr">
        <is>
          <t>STRÖMSUND</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18994-2022</t>
        </is>
      </c>
      <c r="B1415" s="1" t="n">
        <v>44691</v>
      </c>
      <c r="C1415" s="1" t="n">
        <v>45648</v>
      </c>
      <c r="D1415" t="inlineStr">
        <is>
          <t>JÄMTLANDS LÄN</t>
        </is>
      </c>
      <c r="E1415" t="inlineStr">
        <is>
          <t>STRÖMSUND</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19209-2022</t>
        </is>
      </c>
      <c r="B1416" s="1" t="n">
        <v>44691</v>
      </c>
      <c r="C1416" s="1" t="n">
        <v>45648</v>
      </c>
      <c r="D1416" t="inlineStr">
        <is>
          <t>JÄMTLANDS LÄN</t>
        </is>
      </c>
      <c r="E1416" t="inlineStr">
        <is>
          <t>STRÖMSUND</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19602-2022</t>
        </is>
      </c>
      <c r="B1417" s="1" t="n">
        <v>44694</v>
      </c>
      <c r="C1417" s="1" t="n">
        <v>45648</v>
      </c>
      <c r="D1417" t="inlineStr">
        <is>
          <t>JÄMTLANDS LÄN</t>
        </is>
      </c>
      <c r="E1417" t="inlineStr">
        <is>
          <t>STRÖMSUND</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20058-2022</t>
        </is>
      </c>
      <c r="B1418" s="1" t="n">
        <v>44698</v>
      </c>
      <c r="C1418" s="1" t="n">
        <v>45648</v>
      </c>
      <c r="D1418" t="inlineStr">
        <is>
          <t>JÄMTLANDS LÄN</t>
        </is>
      </c>
      <c r="E1418" t="inlineStr">
        <is>
          <t>STRÖMSUND</t>
        </is>
      </c>
      <c r="G1418" t="n">
        <v>29.5</v>
      </c>
      <c r="H1418" t="n">
        <v>0</v>
      </c>
      <c r="I1418" t="n">
        <v>0</v>
      </c>
      <c r="J1418" t="n">
        <v>0</v>
      </c>
      <c r="K1418" t="n">
        <v>0</v>
      </c>
      <c r="L1418" t="n">
        <v>0</v>
      </c>
      <c r="M1418" t="n">
        <v>0</v>
      </c>
      <c r="N1418" t="n">
        <v>0</v>
      </c>
      <c r="O1418" t="n">
        <v>0</v>
      </c>
      <c r="P1418" t="n">
        <v>0</v>
      </c>
      <c r="Q1418" t="n">
        <v>0</v>
      </c>
      <c r="R1418" s="2" t="inlineStr"/>
    </row>
    <row r="1419" ht="15" customHeight="1">
      <c r="A1419" t="inlineStr">
        <is>
          <t>A 20072-2022</t>
        </is>
      </c>
      <c r="B1419" s="1" t="n">
        <v>44697</v>
      </c>
      <c r="C1419" s="1" t="n">
        <v>45648</v>
      </c>
      <c r="D1419" t="inlineStr">
        <is>
          <t>JÄMTLANDS LÄN</t>
        </is>
      </c>
      <c r="E1419" t="inlineStr">
        <is>
          <t>STRÖMSUND</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20073-2022</t>
        </is>
      </c>
      <c r="B1420" s="1" t="n">
        <v>44697</v>
      </c>
      <c r="C1420" s="1" t="n">
        <v>45648</v>
      </c>
      <c r="D1420" t="inlineStr">
        <is>
          <t>JÄMTLANDS LÄN</t>
        </is>
      </c>
      <c r="E1420" t="inlineStr">
        <is>
          <t>STRÖMSUND</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20071-2022</t>
        </is>
      </c>
      <c r="B1421" s="1" t="n">
        <v>44698</v>
      </c>
      <c r="C1421" s="1" t="n">
        <v>45648</v>
      </c>
      <c r="D1421" t="inlineStr">
        <is>
          <t>JÄMTLANDS LÄN</t>
        </is>
      </c>
      <c r="E1421" t="inlineStr">
        <is>
          <t>STRÖMSUND</t>
        </is>
      </c>
      <c r="F1421" t="inlineStr">
        <is>
          <t>SCA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19964-2022</t>
        </is>
      </c>
      <c r="B1422" s="1" t="n">
        <v>44697</v>
      </c>
      <c r="C1422" s="1" t="n">
        <v>45648</v>
      </c>
      <c r="D1422" t="inlineStr">
        <is>
          <t>JÄMTLANDS LÄN</t>
        </is>
      </c>
      <c r="E1422" t="inlineStr">
        <is>
          <t>STRÖMSUND</t>
        </is>
      </c>
      <c r="F1422" t="inlineStr">
        <is>
          <t>Holmen skog AB</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20266-2022</t>
        </is>
      </c>
      <c r="B1423" s="1" t="n">
        <v>44698</v>
      </c>
      <c r="C1423" s="1" t="n">
        <v>45648</v>
      </c>
      <c r="D1423" t="inlineStr">
        <is>
          <t>JÄMTLANDS LÄN</t>
        </is>
      </c>
      <c r="E1423" t="inlineStr">
        <is>
          <t>STRÖMSUND</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20334-2022</t>
        </is>
      </c>
      <c r="B1424" s="1" t="n">
        <v>44699</v>
      </c>
      <c r="C1424" s="1" t="n">
        <v>45648</v>
      </c>
      <c r="D1424" t="inlineStr">
        <is>
          <t>JÄMTLANDS LÄN</t>
        </is>
      </c>
      <c r="E1424" t="inlineStr">
        <is>
          <t>STRÖMSUND</t>
        </is>
      </c>
      <c r="F1424" t="inlineStr">
        <is>
          <t>Holmen skog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20339-2022</t>
        </is>
      </c>
      <c r="B1425" s="1" t="n">
        <v>44699</v>
      </c>
      <c r="C1425" s="1" t="n">
        <v>45648</v>
      </c>
      <c r="D1425" t="inlineStr">
        <is>
          <t>JÄMTLANDS LÄN</t>
        </is>
      </c>
      <c r="E1425" t="inlineStr">
        <is>
          <t>STRÖMSUND</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20432-2022</t>
        </is>
      </c>
      <c r="B1426" s="1" t="n">
        <v>44699</v>
      </c>
      <c r="C1426" s="1" t="n">
        <v>45648</v>
      </c>
      <c r="D1426" t="inlineStr">
        <is>
          <t>JÄMTLANDS LÄN</t>
        </is>
      </c>
      <c r="E1426" t="inlineStr">
        <is>
          <t>STRÖMSUND</t>
        </is>
      </c>
      <c r="F1426" t="inlineStr">
        <is>
          <t>SCA</t>
        </is>
      </c>
      <c r="G1426" t="n">
        <v>99.59999999999999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20331-2022</t>
        </is>
      </c>
      <c r="B1427" s="1" t="n">
        <v>44699</v>
      </c>
      <c r="C1427" s="1" t="n">
        <v>45648</v>
      </c>
      <c r="D1427" t="inlineStr">
        <is>
          <t>JÄMTLANDS LÄN</t>
        </is>
      </c>
      <c r="E1427" t="inlineStr">
        <is>
          <t>STRÖMSUND</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20707-2022</t>
        </is>
      </c>
      <c r="B1428" s="1" t="n">
        <v>44701</v>
      </c>
      <c r="C1428" s="1" t="n">
        <v>45648</v>
      </c>
      <c r="D1428" t="inlineStr">
        <is>
          <t>JÄMTLANDS LÄN</t>
        </is>
      </c>
      <c r="E1428" t="inlineStr">
        <is>
          <t>STRÖMSUND</t>
        </is>
      </c>
      <c r="F1428" t="inlineStr">
        <is>
          <t>SCA</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20706-2022</t>
        </is>
      </c>
      <c r="B1429" s="1" t="n">
        <v>44701</v>
      </c>
      <c r="C1429" s="1" t="n">
        <v>45648</v>
      </c>
      <c r="D1429" t="inlineStr">
        <is>
          <t>JÄMTLANDS LÄN</t>
        </is>
      </c>
      <c r="E1429" t="inlineStr">
        <is>
          <t>STRÖMSUND</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20708-2022</t>
        </is>
      </c>
      <c r="B1430" s="1" t="n">
        <v>44700</v>
      </c>
      <c r="C1430" s="1" t="n">
        <v>45648</v>
      </c>
      <c r="D1430" t="inlineStr">
        <is>
          <t>JÄMTLANDS LÄN</t>
        </is>
      </c>
      <c r="E1430" t="inlineStr">
        <is>
          <t>STRÖMSUND</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20865-2022</t>
        </is>
      </c>
      <c r="B1431" s="1" t="n">
        <v>44701</v>
      </c>
      <c r="C1431" s="1" t="n">
        <v>45648</v>
      </c>
      <c r="D1431" t="inlineStr">
        <is>
          <t>JÄMTLANDS LÄN</t>
        </is>
      </c>
      <c r="E1431" t="inlineStr">
        <is>
          <t>STRÖMSUND</t>
        </is>
      </c>
      <c r="F1431" t="inlineStr">
        <is>
          <t>Holmen skog AB</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20965-2022</t>
        </is>
      </c>
      <c r="B1432" s="1" t="n">
        <v>44701</v>
      </c>
      <c r="C1432" s="1" t="n">
        <v>45648</v>
      </c>
      <c r="D1432" t="inlineStr">
        <is>
          <t>JÄMTLANDS LÄN</t>
        </is>
      </c>
      <c r="E1432" t="inlineStr">
        <is>
          <t>STRÖMSUND</t>
        </is>
      </c>
      <c r="F1432" t="inlineStr">
        <is>
          <t>SCA</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20966-2022</t>
        </is>
      </c>
      <c r="B1433" s="1" t="n">
        <v>44702</v>
      </c>
      <c r="C1433" s="1" t="n">
        <v>45648</v>
      </c>
      <c r="D1433" t="inlineStr">
        <is>
          <t>JÄMTLANDS LÄN</t>
        </is>
      </c>
      <c r="E1433" t="inlineStr">
        <is>
          <t>STRÖMSUND</t>
        </is>
      </c>
      <c r="F1433" t="inlineStr">
        <is>
          <t>SCA</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21192-2022</t>
        </is>
      </c>
      <c r="B1434" s="1" t="n">
        <v>44705</v>
      </c>
      <c r="C1434" s="1" t="n">
        <v>45648</v>
      </c>
      <c r="D1434" t="inlineStr">
        <is>
          <t>JÄMTLANDS LÄN</t>
        </is>
      </c>
      <c r="E1434" t="inlineStr">
        <is>
          <t>STRÖMSUND</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21399-2022</t>
        </is>
      </c>
      <c r="B1435" s="1" t="n">
        <v>44706</v>
      </c>
      <c r="C1435" s="1" t="n">
        <v>45648</v>
      </c>
      <c r="D1435" t="inlineStr">
        <is>
          <t>JÄMTLANDS LÄN</t>
        </is>
      </c>
      <c r="E1435" t="inlineStr">
        <is>
          <t>STRÖMSUND</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21410-2022</t>
        </is>
      </c>
      <c r="B1436" s="1" t="n">
        <v>44706</v>
      </c>
      <c r="C1436" s="1" t="n">
        <v>45648</v>
      </c>
      <c r="D1436" t="inlineStr">
        <is>
          <t>JÄMTLANDS LÄN</t>
        </is>
      </c>
      <c r="E1436" t="inlineStr">
        <is>
          <t>STRÖMSUND</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21646-2022</t>
        </is>
      </c>
      <c r="B1437" s="1" t="n">
        <v>44707</v>
      </c>
      <c r="C1437" s="1" t="n">
        <v>45648</v>
      </c>
      <c r="D1437" t="inlineStr">
        <is>
          <t>JÄMTLANDS LÄN</t>
        </is>
      </c>
      <c r="E1437" t="inlineStr">
        <is>
          <t>STRÖMSUND</t>
        </is>
      </c>
      <c r="F1437" t="inlineStr">
        <is>
          <t>SCA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21647-2022</t>
        </is>
      </c>
      <c r="B1438" s="1" t="n">
        <v>44707</v>
      </c>
      <c r="C1438" s="1" t="n">
        <v>45648</v>
      </c>
      <c r="D1438" t="inlineStr">
        <is>
          <t>JÄMTLANDS LÄN</t>
        </is>
      </c>
      <c r="E1438" t="inlineStr">
        <is>
          <t>STRÖMSUND</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21650-2022</t>
        </is>
      </c>
      <c r="B1439" s="1" t="n">
        <v>44706</v>
      </c>
      <c r="C1439" s="1" t="n">
        <v>45648</v>
      </c>
      <c r="D1439" t="inlineStr">
        <is>
          <t>JÄMTLANDS LÄN</t>
        </is>
      </c>
      <c r="E1439" t="inlineStr">
        <is>
          <t>STRÖMSUND</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21649-2022</t>
        </is>
      </c>
      <c r="B1440" s="1" t="n">
        <v>44707</v>
      </c>
      <c r="C1440" s="1" t="n">
        <v>45648</v>
      </c>
      <c r="D1440" t="inlineStr">
        <is>
          <t>JÄMTLANDS LÄN</t>
        </is>
      </c>
      <c r="E1440" t="inlineStr">
        <is>
          <t>STRÖMSUND</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21702-2022</t>
        </is>
      </c>
      <c r="B1441" s="1" t="n">
        <v>44708</v>
      </c>
      <c r="C1441" s="1" t="n">
        <v>45648</v>
      </c>
      <c r="D1441" t="inlineStr">
        <is>
          <t>JÄMTLANDS LÄN</t>
        </is>
      </c>
      <c r="E1441" t="inlineStr">
        <is>
          <t>STRÖMSUND</t>
        </is>
      </c>
      <c r="F1441" t="inlineStr">
        <is>
          <t>SCA</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21700-2022</t>
        </is>
      </c>
      <c r="B1442" s="1" t="n">
        <v>44708</v>
      </c>
      <c r="C1442" s="1" t="n">
        <v>45648</v>
      </c>
      <c r="D1442" t="inlineStr">
        <is>
          <t>JÄMTLANDS LÄN</t>
        </is>
      </c>
      <c r="E1442" t="inlineStr">
        <is>
          <t>STRÖMSUND</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21701-2022</t>
        </is>
      </c>
      <c r="B1443" s="1" t="n">
        <v>44708</v>
      </c>
      <c r="C1443" s="1" t="n">
        <v>45648</v>
      </c>
      <c r="D1443" t="inlineStr">
        <is>
          <t>JÄMTLANDS LÄN</t>
        </is>
      </c>
      <c r="E1443" t="inlineStr">
        <is>
          <t>STRÖMSUND</t>
        </is>
      </c>
      <c r="F1443" t="inlineStr">
        <is>
          <t>SCA</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21771-2022</t>
        </is>
      </c>
      <c r="B1444" s="1" t="n">
        <v>44708</v>
      </c>
      <c r="C1444" s="1" t="n">
        <v>45648</v>
      </c>
      <c r="D1444" t="inlineStr">
        <is>
          <t>JÄMTLANDS LÄN</t>
        </is>
      </c>
      <c r="E1444" t="inlineStr">
        <is>
          <t>STRÖMSUND</t>
        </is>
      </c>
      <c r="G1444" t="n">
        <v>10</v>
      </c>
      <c r="H1444" t="n">
        <v>0</v>
      </c>
      <c r="I1444" t="n">
        <v>0</v>
      </c>
      <c r="J1444" t="n">
        <v>0</v>
      </c>
      <c r="K1444" t="n">
        <v>0</v>
      </c>
      <c r="L1444" t="n">
        <v>0</v>
      </c>
      <c r="M1444" t="n">
        <v>0</v>
      </c>
      <c r="N1444" t="n">
        <v>0</v>
      </c>
      <c r="O1444" t="n">
        <v>0</v>
      </c>
      <c r="P1444" t="n">
        <v>0</v>
      </c>
      <c r="Q1444" t="n">
        <v>0</v>
      </c>
      <c r="R1444" s="2" t="inlineStr"/>
    </row>
    <row r="1445" ht="15" customHeight="1">
      <c r="A1445" t="inlineStr">
        <is>
          <t>A 21812-2022</t>
        </is>
      </c>
      <c r="B1445" s="1" t="n">
        <v>44708</v>
      </c>
      <c r="C1445" s="1" t="n">
        <v>45648</v>
      </c>
      <c r="D1445" t="inlineStr">
        <is>
          <t>JÄMTLANDS LÄN</t>
        </is>
      </c>
      <c r="E1445" t="inlineStr">
        <is>
          <t>STRÖMSUND</t>
        </is>
      </c>
      <c r="F1445" t="inlineStr">
        <is>
          <t>SCA</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22026-2022</t>
        </is>
      </c>
      <c r="B1446" s="1" t="n">
        <v>44711</v>
      </c>
      <c r="C1446" s="1" t="n">
        <v>45648</v>
      </c>
      <c r="D1446" t="inlineStr">
        <is>
          <t>JÄMTLANDS LÄN</t>
        </is>
      </c>
      <c r="E1446" t="inlineStr">
        <is>
          <t>STRÖMSUND</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22096-2022</t>
        </is>
      </c>
      <c r="B1447" s="1" t="n">
        <v>44712</v>
      </c>
      <c r="C1447" s="1" t="n">
        <v>45648</v>
      </c>
      <c r="D1447" t="inlineStr">
        <is>
          <t>JÄMTLANDS LÄN</t>
        </is>
      </c>
      <c r="E1447" t="inlineStr">
        <is>
          <t>STRÖMSUND</t>
        </is>
      </c>
      <c r="F1447" t="inlineStr">
        <is>
          <t>SCA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22338-2022</t>
        </is>
      </c>
      <c r="B1448" s="1" t="n">
        <v>44712</v>
      </c>
      <c r="C1448" s="1" t="n">
        <v>45648</v>
      </c>
      <c r="D1448" t="inlineStr">
        <is>
          <t>JÄMTLANDS LÄN</t>
        </is>
      </c>
      <c r="E1448" t="inlineStr">
        <is>
          <t>STRÖMSUND</t>
        </is>
      </c>
      <c r="F1448" t="inlineStr">
        <is>
          <t>SCA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22337-2022</t>
        </is>
      </c>
      <c r="B1449" s="1" t="n">
        <v>44713</v>
      </c>
      <c r="C1449" s="1" t="n">
        <v>45648</v>
      </c>
      <c r="D1449" t="inlineStr">
        <is>
          <t>JÄMTLANDS LÄN</t>
        </is>
      </c>
      <c r="E1449" t="inlineStr">
        <is>
          <t>STRÖMSUND</t>
        </is>
      </c>
      <c r="F1449" t="inlineStr">
        <is>
          <t>SCA</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22560-2022</t>
        </is>
      </c>
      <c r="B1450" s="1" t="n">
        <v>44714</v>
      </c>
      <c r="C1450" s="1" t="n">
        <v>45648</v>
      </c>
      <c r="D1450" t="inlineStr">
        <is>
          <t>JÄMTLANDS LÄN</t>
        </is>
      </c>
      <c r="E1450" t="inlineStr">
        <is>
          <t>STRÖMSUND</t>
        </is>
      </c>
      <c r="F1450" t="inlineStr">
        <is>
          <t>SCA</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22564-2022</t>
        </is>
      </c>
      <c r="B1451" s="1" t="n">
        <v>44713</v>
      </c>
      <c r="C1451" s="1" t="n">
        <v>45648</v>
      </c>
      <c r="D1451" t="inlineStr">
        <is>
          <t>JÄMTLANDS LÄN</t>
        </is>
      </c>
      <c r="E1451" t="inlineStr">
        <is>
          <t>STRÖMSUND</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22558-2022</t>
        </is>
      </c>
      <c r="B1452" s="1" t="n">
        <v>44713</v>
      </c>
      <c r="C1452" s="1" t="n">
        <v>45648</v>
      </c>
      <c r="D1452" t="inlineStr">
        <is>
          <t>JÄMTLANDS LÄN</t>
        </is>
      </c>
      <c r="E1452" t="inlineStr">
        <is>
          <t>STRÖMSUND</t>
        </is>
      </c>
      <c r="F1452" t="inlineStr">
        <is>
          <t>SCA</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22561-2022</t>
        </is>
      </c>
      <c r="B1453" s="1" t="n">
        <v>44714</v>
      </c>
      <c r="C1453" s="1" t="n">
        <v>45648</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22559-2022</t>
        </is>
      </c>
      <c r="B1454" s="1" t="n">
        <v>44714</v>
      </c>
      <c r="C1454" s="1" t="n">
        <v>45648</v>
      </c>
      <c r="D1454" t="inlineStr">
        <is>
          <t>JÄMTLANDS LÄN</t>
        </is>
      </c>
      <c r="E1454" t="inlineStr">
        <is>
          <t>STRÖMSUND</t>
        </is>
      </c>
      <c r="F1454" t="inlineStr">
        <is>
          <t>SCA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22568-2022</t>
        </is>
      </c>
      <c r="B1455" s="1" t="n">
        <v>44714</v>
      </c>
      <c r="C1455" s="1" t="n">
        <v>45648</v>
      </c>
      <c r="D1455" t="inlineStr">
        <is>
          <t>JÄMTLANDS LÄN</t>
        </is>
      </c>
      <c r="E1455" t="inlineStr">
        <is>
          <t>STRÖMSUND</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22659-2022</t>
        </is>
      </c>
      <c r="B1456" s="1" t="n">
        <v>44714</v>
      </c>
      <c r="C1456" s="1" t="n">
        <v>45648</v>
      </c>
      <c r="D1456" t="inlineStr">
        <is>
          <t>JÄMTLANDS LÄN</t>
        </is>
      </c>
      <c r="E1456" t="inlineStr">
        <is>
          <t>STRÖMSUND</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22616-2022</t>
        </is>
      </c>
      <c r="B1457" s="1" t="n">
        <v>44714</v>
      </c>
      <c r="C1457" s="1" t="n">
        <v>45648</v>
      </c>
      <c r="D1457" t="inlineStr">
        <is>
          <t>JÄMTLANDS LÄN</t>
        </is>
      </c>
      <c r="E1457" t="inlineStr">
        <is>
          <t>STRÖMSUND</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22966-2022</t>
        </is>
      </c>
      <c r="B1458" s="1" t="n">
        <v>44716</v>
      </c>
      <c r="C1458" s="1" t="n">
        <v>45648</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22814-2022</t>
        </is>
      </c>
      <c r="B1459" s="1" t="n">
        <v>44715</v>
      </c>
      <c r="C1459" s="1" t="n">
        <v>45648</v>
      </c>
      <c r="D1459" t="inlineStr">
        <is>
          <t>JÄMTLANDS LÄN</t>
        </is>
      </c>
      <c r="E1459" t="inlineStr">
        <is>
          <t>STRÖMSUND</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22960-2022</t>
        </is>
      </c>
      <c r="B1460" s="1" t="n">
        <v>44716</v>
      </c>
      <c r="C1460" s="1" t="n">
        <v>45648</v>
      </c>
      <c r="D1460" t="inlineStr">
        <is>
          <t>JÄMTLANDS LÄN</t>
        </is>
      </c>
      <c r="E1460" t="inlineStr">
        <is>
          <t>STRÖMSUND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22961-2022</t>
        </is>
      </c>
      <c r="B1461" s="1" t="n">
        <v>44715</v>
      </c>
      <c r="C1461" s="1" t="n">
        <v>45648</v>
      </c>
      <c r="D1461" t="inlineStr">
        <is>
          <t>JÄMTLANDS LÄN</t>
        </is>
      </c>
      <c r="E1461" t="inlineStr">
        <is>
          <t>STRÖMSUND</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23128-2022</t>
        </is>
      </c>
      <c r="B1462" s="1" t="n">
        <v>44719</v>
      </c>
      <c r="C1462" s="1" t="n">
        <v>45648</v>
      </c>
      <c r="D1462" t="inlineStr">
        <is>
          <t>JÄMTLANDS LÄN</t>
        </is>
      </c>
      <c r="E1462" t="inlineStr">
        <is>
          <t>STRÖMSUND</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23209-2022</t>
        </is>
      </c>
      <c r="B1463" s="1" t="n">
        <v>44719</v>
      </c>
      <c r="C1463" s="1" t="n">
        <v>45648</v>
      </c>
      <c r="D1463" t="inlineStr">
        <is>
          <t>JÄMTLANDS LÄN</t>
        </is>
      </c>
      <c r="E1463" t="inlineStr">
        <is>
          <t>STRÖMSUND</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23217-2022</t>
        </is>
      </c>
      <c r="B1464" s="1" t="n">
        <v>44720</v>
      </c>
      <c r="C1464" s="1" t="n">
        <v>45648</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23208-2022</t>
        </is>
      </c>
      <c r="B1465" s="1" t="n">
        <v>44719</v>
      </c>
      <c r="C1465" s="1" t="n">
        <v>45648</v>
      </c>
      <c r="D1465" t="inlineStr">
        <is>
          <t>JÄMTLANDS LÄN</t>
        </is>
      </c>
      <c r="E1465" t="inlineStr">
        <is>
          <t>STRÖMSUND</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23214-2022</t>
        </is>
      </c>
      <c r="B1466" s="1" t="n">
        <v>44720</v>
      </c>
      <c r="C1466" s="1" t="n">
        <v>45648</v>
      </c>
      <c r="D1466" t="inlineStr">
        <is>
          <t>JÄMTLANDS LÄN</t>
        </is>
      </c>
      <c r="E1466" t="inlineStr">
        <is>
          <t>STRÖMSUND</t>
        </is>
      </c>
      <c r="F1466" t="inlineStr">
        <is>
          <t>SCA</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23206-2022</t>
        </is>
      </c>
      <c r="B1467" s="1" t="n">
        <v>44719</v>
      </c>
      <c r="C1467" s="1" t="n">
        <v>45648</v>
      </c>
      <c r="D1467" t="inlineStr">
        <is>
          <t>JÄMTLANDS LÄN</t>
        </is>
      </c>
      <c r="E1467" t="inlineStr">
        <is>
          <t>STRÖMSUND</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23453-2022</t>
        </is>
      </c>
      <c r="B1468" s="1" t="n">
        <v>44721</v>
      </c>
      <c r="C1468" s="1" t="n">
        <v>45648</v>
      </c>
      <c r="D1468" t="inlineStr">
        <is>
          <t>JÄMTLANDS LÄN</t>
        </is>
      </c>
      <c r="E1468" t="inlineStr">
        <is>
          <t>STRÖMSUND</t>
        </is>
      </c>
      <c r="F1468" t="inlineStr">
        <is>
          <t>SCA</t>
        </is>
      </c>
      <c r="G1468" t="n">
        <v>48.2</v>
      </c>
      <c r="H1468" t="n">
        <v>0</v>
      </c>
      <c r="I1468" t="n">
        <v>0</v>
      </c>
      <c r="J1468" t="n">
        <v>0</v>
      </c>
      <c r="K1468" t="n">
        <v>0</v>
      </c>
      <c r="L1468" t="n">
        <v>0</v>
      </c>
      <c r="M1468" t="n">
        <v>0</v>
      </c>
      <c r="N1468" t="n">
        <v>0</v>
      </c>
      <c r="O1468" t="n">
        <v>0</v>
      </c>
      <c r="P1468" t="n">
        <v>0</v>
      </c>
      <c r="Q1468" t="n">
        <v>0</v>
      </c>
      <c r="R1468" s="2" t="inlineStr"/>
    </row>
    <row r="1469" ht="15" customHeight="1">
      <c r="A1469" t="inlineStr">
        <is>
          <t>A 23675-2022</t>
        </is>
      </c>
      <c r="B1469" s="1" t="n">
        <v>44722</v>
      </c>
      <c r="C1469" s="1" t="n">
        <v>45648</v>
      </c>
      <c r="D1469" t="inlineStr">
        <is>
          <t>JÄMTLANDS LÄN</t>
        </is>
      </c>
      <c r="E1469" t="inlineStr">
        <is>
          <t>STRÖMSUND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24006-2022</t>
        </is>
      </c>
      <c r="B1470" s="1" t="n">
        <v>44723</v>
      </c>
      <c r="C1470" s="1" t="n">
        <v>45648</v>
      </c>
      <c r="D1470" t="inlineStr">
        <is>
          <t>JÄMTLANDS LÄN</t>
        </is>
      </c>
      <c r="E1470" t="inlineStr">
        <is>
          <t>STRÖMSUND</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24020-2022</t>
        </is>
      </c>
      <c r="B1471" s="1" t="n">
        <v>44723</v>
      </c>
      <c r="C1471" s="1" t="n">
        <v>45648</v>
      </c>
      <c r="D1471" t="inlineStr">
        <is>
          <t>JÄMTLANDS LÄN</t>
        </is>
      </c>
      <c r="E1471" t="inlineStr">
        <is>
          <t>STRÖMSUND</t>
        </is>
      </c>
      <c r="F1471" t="inlineStr">
        <is>
          <t>SCA</t>
        </is>
      </c>
      <c r="G1471" t="n">
        <v>20.2</v>
      </c>
      <c r="H1471" t="n">
        <v>0</v>
      </c>
      <c r="I1471" t="n">
        <v>0</v>
      </c>
      <c r="J1471" t="n">
        <v>0</v>
      </c>
      <c r="K1471" t="n">
        <v>0</v>
      </c>
      <c r="L1471" t="n">
        <v>0</v>
      </c>
      <c r="M1471" t="n">
        <v>0</v>
      </c>
      <c r="N1471" t="n">
        <v>0</v>
      </c>
      <c r="O1471" t="n">
        <v>0</v>
      </c>
      <c r="P1471" t="n">
        <v>0</v>
      </c>
      <c r="Q1471" t="n">
        <v>0</v>
      </c>
      <c r="R1471" s="2" t="inlineStr"/>
    </row>
    <row r="1472" ht="15" customHeight="1">
      <c r="A1472" t="inlineStr">
        <is>
          <t>A 24021-2022</t>
        </is>
      </c>
      <c r="B1472" s="1" t="n">
        <v>44723</v>
      </c>
      <c r="C1472" s="1" t="n">
        <v>45648</v>
      </c>
      <c r="D1472" t="inlineStr">
        <is>
          <t>JÄMTLANDS LÄN</t>
        </is>
      </c>
      <c r="E1472" t="inlineStr">
        <is>
          <t>STRÖMSUND</t>
        </is>
      </c>
      <c r="F1472" t="inlineStr">
        <is>
          <t>SCA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24023-2022</t>
        </is>
      </c>
      <c r="B1473" s="1" t="n">
        <v>44723</v>
      </c>
      <c r="C1473" s="1" t="n">
        <v>45648</v>
      </c>
      <c r="D1473" t="inlineStr">
        <is>
          <t>JÄMTLANDS LÄN</t>
        </is>
      </c>
      <c r="E1473" t="inlineStr">
        <is>
          <t>STRÖMSUND</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24303-2022</t>
        </is>
      </c>
      <c r="B1474" s="1" t="n">
        <v>44726</v>
      </c>
      <c r="C1474" s="1" t="n">
        <v>45648</v>
      </c>
      <c r="D1474" t="inlineStr">
        <is>
          <t>JÄMTLANDS LÄN</t>
        </is>
      </c>
      <c r="E1474" t="inlineStr">
        <is>
          <t>STRÖMSUND</t>
        </is>
      </c>
      <c r="F1474" t="inlineStr">
        <is>
          <t>SCA</t>
        </is>
      </c>
      <c r="G1474" t="n">
        <v>20.2</v>
      </c>
      <c r="H1474" t="n">
        <v>0</v>
      </c>
      <c r="I1474" t="n">
        <v>0</v>
      </c>
      <c r="J1474" t="n">
        <v>0</v>
      </c>
      <c r="K1474" t="n">
        <v>0</v>
      </c>
      <c r="L1474" t="n">
        <v>0</v>
      </c>
      <c r="M1474" t="n">
        <v>0</v>
      </c>
      <c r="N1474" t="n">
        <v>0</v>
      </c>
      <c r="O1474" t="n">
        <v>0</v>
      </c>
      <c r="P1474" t="n">
        <v>0</v>
      </c>
      <c r="Q1474" t="n">
        <v>0</v>
      </c>
      <c r="R1474" s="2" t="inlineStr"/>
    </row>
    <row r="1475" ht="15" customHeight="1">
      <c r="A1475" t="inlineStr">
        <is>
          <t>A 24302-2022</t>
        </is>
      </c>
      <c r="B1475" s="1" t="n">
        <v>44726</v>
      </c>
      <c r="C1475" s="1" t="n">
        <v>45648</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24319-2022</t>
        </is>
      </c>
      <c r="B1476" s="1" t="n">
        <v>44726</v>
      </c>
      <c r="C1476" s="1" t="n">
        <v>45648</v>
      </c>
      <c r="D1476" t="inlineStr">
        <is>
          <t>JÄMTLANDS LÄN</t>
        </is>
      </c>
      <c r="E1476" t="inlineStr">
        <is>
          <t>STRÖMSUND</t>
        </is>
      </c>
      <c r="F1476" t="inlineStr">
        <is>
          <t>SCA</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24487-2022</t>
        </is>
      </c>
      <c r="B1477" s="1" t="n">
        <v>44726</v>
      </c>
      <c r="C1477" s="1" t="n">
        <v>45648</v>
      </c>
      <c r="D1477" t="inlineStr">
        <is>
          <t>JÄMTLANDS LÄN</t>
        </is>
      </c>
      <c r="E1477" t="inlineStr">
        <is>
          <t>STRÖMSUND</t>
        </is>
      </c>
      <c r="G1477" t="n">
        <v>11.3</v>
      </c>
      <c r="H1477" t="n">
        <v>0</v>
      </c>
      <c r="I1477" t="n">
        <v>0</v>
      </c>
      <c r="J1477" t="n">
        <v>0</v>
      </c>
      <c r="K1477" t="n">
        <v>0</v>
      </c>
      <c r="L1477" t="n">
        <v>0</v>
      </c>
      <c r="M1477" t="n">
        <v>0</v>
      </c>
      <c r="N1477" t="n">
        <v>0</v>
      </c>
      <c r="O1477" t="n">
        <v>0</v>
      </c>
      <c r="P1477" t="n">
        <v>0</v>
      </c>
      <c r="Q1477" t="n">
        <v>0</v>
      </c>
      <c r="R1477" s="2" t="inlineStr"/>
    </row>
    <row r="1478" ht="15" customHeight="1">
      <c r="A1478" t="inlineStr">
        <is>
          <t>A 24488-2022</t>
        </is>
      </c>
      <c r="B1478" s="1" t="n">
        <v>44726</v>
      </c>
      <c r="C1478" s="1" t="n">
        <v>45648</v>
      </c>
      <c r="D1478" t="inlineStr">
        <is>
          <t>JÄMTLANDS LÄN</t>
        </is>
      </c>
      <c r="E1478" t="inlineStr">
        <is>
          <t>STRÖMSUND</t>
        </is>
      </c>
      <c r="G1478" t="n">
        <v>19.1</v>
      </c>
      <c r="H1478" t="n">
        <v>0</v>
      </c>
      <c r="I1478" t="n">
        <v>0</v>
      </c>
      <c r="J1478" t="n">
        <v>0</v>
      </c>
      <c r="K1478" t="n">
        <v>0</v>
      </c>
      <c r="L1478" t="n">
        <v>0</v>
      </c>
      <c r="M1478" t="n">
        <v>0</v>
      </c>
      <c r="N1478" t="n">
        <v>0</v>
      </c>
      <c r="O1478" t="n">
        <v>0</v>
      </c>
      <c r="P1478" t="n">
        <v>0</v>
      </c>
      <c r="Q1478" t="n">
        <v>0</v>
      </c>
      <c r="R1478" s="2" t="inlineStr"/>
    </row>
    <row r="1479" ht="15" customHeight="1">
      <c r="A1479" t="inlineStr">
        <is>
          <t>A 24509-2022</t>
        </is>
      </c>
      <c r="B1479" s="1" t="n">
        <v>44726</v>
      </c>
      <c r="C1479" s="1" t="n">
        <v>45648</v>
      </c>
      <c r="D1479" t="inlineStr">
        <is>
          <t>JÄMTLANDS LÄN</t>
        </is>
      </c>
      <c r="E1479" t="inlineStr">
        <is>
          <t>STRÖMSUND</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24508-2022</t>
        </is>
      </c>
      <c r="B1480" s="1" t="n">
        <v>44726</v>
      </c>
      <c r="C1480" s="1" t="n">
        <v>45648</v>
      </c>
      <c r="D1480" t="inlineStr">
        <is>
          <t>JÄMTLANDS LÄN</t>
        </is>
      </c>
      <c r="E1480" t="inlineStr">
        <is>
          <t>STRÖMSUND</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24728-2022</t>
        </is>
      </c>
      <c r="B1481" s="1" t="n">
        <v>44727</v>
      </c>
      <c r="C1481" s="1" t="n">
        <v>45648</v>
      </c>
      <c r="D1481" t="inlineStr">
        <is>
          <t>JÄMTLANDS LÄN</t>
        </is>
      </c>
      <c r="E1481" t="inlineStr">
        <is>
          <t>STRÖMSUND</t>
        </is>
      </c>
      <c r="F1481" t="inlineStr">
        <is>
          <t>SCA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24918-2022</t>
        </is>
      </c>
      <c r="B1482" s="1" t="n">
        <v>44728</v>
      </c>
      <c r="C1482" s="1" t="n">
        <v>45648</v>
      </c>
      <c r="D1482" t="inlineStr">
        <is>
          <t>JÄMTLANDS LÄN</t>
        </is>
      </c>
      <c r="E1482" t="inlineStr">
        <is>
          <t>STRÖMSUND</t>
        </is>
      </c>
      <c r="F1482" t="inlineStr">
        <is>
          <t>Kyrkan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24912-2022</t>
        </is>
      </c>
      <c r="B1483" s="1" t="n">
        <v>44728</v>
      </c>
      <c r="C1483" s="1" t="n">
        <v>45648</v>
      </c>
      <c r="D1483" t="inlineStr">
        <is>
          <t>JÄMTLANDS LÄN</t>
        </is>
      </c>
      <c r="E1483" t="inlineStr">
        <is>
          <t>STRÖMSUND</t>
        </is>
      </c>
      <c r="F1483" t="inlineStr">
        <is>
          <t>Kyrkan</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24965-2022</t>
        </is>
      </c>
      <c r="B1484" s="1" t="n">
        <v>44728</v>
      </c>
      <c r="C1484" s="1" t="n">
        <v>45648</v>
      </c>
      <c r="D1484" t="inlineStr">
        <is>
          <t>JÄMTLANDS LÄN</t>
        </is>
      </c>
      <c r="E1484" t="inlineStr">
        <is>
          <t>STRÖMSUND</t>
        </is>
      </c>
      <c r="G1484" t="n">
        <v>20.5</v>
      </c>
      <c r="H1484" t="n">
        <v>0</v>
      </c>
      <c r="I1484" t="n">
        <v>0</v>
      </c>
      <c r="J1484" t="n">
        <v>0</v>
      </c>
      <c r="K1484" t="n">
        <v>0</v>
      </c>
      <c r="L1484" t="n">
        <v>0</v>
      </c>
      <c r="M1484" t="n">
        <v>0</v>
      </c>
      <c r="N1484" t="n">
        <v>0</v>
      </c>
      <c r="O1484" t="n">
        <v>0</v>
      </c>
      <c r="P1484" t="n">
        <v>0</v>
      </c>
      <c r="Q1484" t="n">
        <v>0</v>
      </c>
      <c r="R1484" s="2" t="inlineStr"/>
    </row>
    <row r="1485" ht="15" customHeight="1">
      <c r="A1485" t="inlineStr">
        <is>
          <t>A 25018-2022</t>
        </is>
      </c>
      <c r="B1485" s="1" t="n">
        <v>44728</v>
      </c>
      <c r="C1485" s="1" t="n">
        <v>45648</v>
      </c>
      <c r="D1485" t="inlineStr">
        <is>
          <t>JÄMTLANDS LÄN</t>
        </is>
      </c>
      <c r="E1485" t="inlineStr">
        <is>
          <t>STRÖMSUND</t>
        </is>
      </c>
      <c r="F1485" t="inlineStr">
        <is>
          <t>SCA</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25021-2022</t>
        </is>
      </c>
      <c r="B1486" s="1" t="n">
        <v>44728</v>
      </c>
      <c r="C1486" s="1" t="n">
        <v>45648</v>
      </c>
      <c r="D1486" t="inlineStr">
        <is>
          <t>JÄMTLANDS LÄN</t>
        </is>
      </c>
      <c r="E1486" t="inlineStr">
        <is>
          <t>STRÖMSUND</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25016-2022</t>
        </is>
      </c>
      <c r="B1487" s="1" t="n">
        <v>44729</v>
      </c>
      <c r="C1487" s="1" t="n">
        <v>45648</v>
      </c>
      <c r="D1487" t="inlineStr">
        <is>
          <t>JÄMTLANDS LÄN</t>
        </is>
      </c>
      <c r="E1487" t="inlineStr">
        <is>
          <t>STRÖMSUND</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25085-2022</t>
        </is>
      </c>
      <c r="B1488" s="1" t="n">
        <v>44729</v>
      </c>
      <c r="C1488" s="1" t="n">
        <v>45648</v>
      </c>
      <c r="D1488" t="inlineStr">
        <is>
          <t>JÄMTLANDS LÄN</t>
        </is>
      </c>
      <c r="E1488" t="inlineStr">
        <is>
          <t>STRÖMSUND</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25662-2022</t>
        </is>
      </c>
      <c r="B1489" s="1" t="n">
        <v>44732</v>
      </c>
      <c r="C1489" s="1" t="n">
        <v>45648</v>
      </c>
      <c r="D1489" t="inlineStr">
        <is>
          <t>JÄMTLANDS LÄN</t>
        </is>
      </c>
      <c r="E1489" t="inlineStr">
        <is>
          <t>STRÖMSUND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25847-2022</t>
        </is>
      </c>
      <c r="B1490" s="1" t="n">
        <v>44733</v>
      </c>
      <c r="C1490" s="1" t="n">
        <v>45648</v>
      </c>
      <c r="D1490" t="inlineStr">
        <is>
          <t>JÄMTLANDS LÄN</t>
        </is>
      </c>
      <c r="E1490" t="inlineStr">
        <is>
          <t>STRÖMSUND</t>
        </is>
      </c>
      <c r="F1490" t="inlineStr">
        <is>
          <t>Kyrkan</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25843-2022</t>
        </is>
      </c>
      <c r="B1491" s="1" t="n">
        <v>44733</v>
      </c>
      <c r="C1491" s="1" t="n">
        <v>45648</v>
      </c>
      <c r="D1491" t="inlineStr">
        <is>
          <t>JÄMTLANDS LÄN</t>
        </is>
      </c>
      <c r="E1491" t="inlineStr">
        <is>
          <t>STRÖMSUND</t>
        </is>
      </c>
      <c r="F1491" t="inlineStr">
        <is>
          <t>Kyrkan</t>
        </is>
      </c>
      <c r="G1491" t="n">
        <v>12.2</v>
      </c>
      <c r="H1491" t="n">
        <v>0</v>
      </c>
      <c r="I1491" t="n">
        <v>0</v>
      </c>
      <c r="J1491" t="n">
        <v>0</v>
      </c>
      <c r="K1491" t="n">
        <v>0</v>
      </c>
      <c r="L1491" t="n">
        <v>0</v>
      </c>
      <c r="M1491" t="n">
        <v>0</v>
      </c>
      <c r="N1491" t="n">
        <v>0</v>
      </c>
      <c r="O1491" t="n">
        <v>0</v>
      </c>
      <c r="P1491" t="n">
        <v>0</v>
      </c>
      <c r="Q1491" t="n">
        <v>0</v>
      </c>
      <c r="R1491" s="2" t="inlineStr"/>
    </row>
    <row r="1492" ht="15" customHeight="1">
      <c r="A1492" t="inlineStr">
        <is>
          <t>A 26117-2022</t>
        </is>
      </c>
      <c r="B1492" s="1" t="n">
        <v>44735</v>
      </c>
      <c r="C1492" s="1" t="n">
        <v>45648</v>
      </c>
      <c r="D1492" t="inlineStr">
        <is>
          <t>JÄMTLANDS LÄN</t>
        </is>
      </c>
      <c r="E1492" t="inlineStr">
        <is>
          <t>STRÖMSUND</t>
        </is>
      </c>
      <c r="F1492" t="inlineStr">
        <is>
          <t>SCA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26116-2022</t>
        </is>
      </c>
      <c r="B1493" s="1" t="n">
        <v>44734</v>
      </c>
      <c r="C1493" s="1" t="n">
        <v>45648</v>
      </c>
      <c r="D1493" t="inlineStr">
        <is>
          <t>JÄMTLANDS LÄN</t>
        </is>
      </c>
      <c r="E1493" t="inlineStr">
        <is>
          <t>STRÖMSUND</t>
        </is>
      </c>
      <c r="F1493" t="inlineStr">
        <is>
          <t>SCA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26130-2022</t>
        </is>
      </c>
      <c r="B1494" s="1" t="n">
        <v>44735</v>
      </c>
      <c r="C1494" s="1" t="n">
        <v>45648</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26133-2022</t>
        </is>
      </c>
      <c r="B1495" s="1" t="n">
        <v>44735</v>
      </c>
      <c r="C1495" s="1" t="n">
        <v>45648</v>
      </c>
      <c r="D1495" t="inlineStr">
        <is>
          <t>JÄMTLANDS LÄN</t>
        </is>
      </c>
      <c r="E1495" t="inlineStr">
        <is>
          <t>STRÖMSUND</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26126-2022</t>
        </is>
      </c>
      <c r="B1496" s="1" t="n">
        <v>44735</v>
      </c>
      <c r="C1496" s="1" t="n">
        <v>45648</v>
      </c>
      <c r="D1496" t="inlineStr">
        <is>
          <t>JÄMTLANDS LÄN</t>
        </is>
      </c>
      <c r="E1496" t="inlineStr">
        <is>
          <t>STRÖMSUND</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26132-2022</t>
        </is>
      </c>
      <c r="B1497" s="1" t="n">
        <v>44734</v>
      </c>
      <c r="C1497" s="1" t="n">
        <v>45648</v>
      </c>
      <c r="D1497" t="inlineStr">
        <is>
          <t>JÄMTLANDS LÄN</t>
        </is>
      </c>
      <c r="E1497" t="inlineStr">
        <is>
          <t>STRÖMSUND</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26421-2022</t>
        </is>
      </c>
      <c r="B1498" s="1" t="n">
        <v>44736</v>
      </c>
      <c r="C1498" s="1" t="n">
        <v>45648</v>
      </c>
      <c r="D1498" t="inlineStr">
        <is>
          <t>JÄMTLANDS LÄN</t>
        </is>
      </c>
      <c r="E1498" t="inlineStr">
        <is>
          <t>STRÖMSUND</t>
        </is>
      </c>
      <c r="F1498" t="inlineStr">
        <is>
          <t>SCA</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26734-2022</t>
        </is>
      </c>
      <c r="B1499" s="1" t="n">
        <v>44740</v>
      </c>
      <c r="C1499" s="1" t="n">
        <v>45648</v>
      </c>
      <c r="D1499" t="inlineStr">
        <is>
          <t>JÄMTLANDS LÄN</t>
        </is>
      </c>
      <c r="E1499" t="inlineStr">
        <is>
          <t>STRÖMSUND</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26943-2022</t>
        </is>
      </c>
      <c r="B1500" s="1" t="n">
        <v>44740</v>
      </c>
      <c r="C1500" s="1" t="n">
        <v>45648</v>
      </c>
      <c r="D1500" t="inlineStr">
        <is>
          <t>JÄMTLANDS LÄN</t>
        </is>
      </c>
      <c r="E1500" t="inlineStr">
        <is>
          <t>STRÖMSUND</t>
        </is>
      </c>
      <c r="F1500" t="inlineStr">
        <is>
          <t>Holmen skog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27035-2022</t>
        </is>
      </c>
      <c r="B1501" s="1" t="n">
        <v>44741</v>
      </c>
      <c r="C1501" s="1" t="n">
        <v>45648</v>
      </c>
      <c r="D1501" t="inlineStr">
        <is>
          <t>JÄMTLANDS LÄN</t>
        </is>
      </c>
      <c r="E1501" t="inlineStr">
        <is>
          <t>STRÖMSUND</t>
        </is>
      </c>
      <c r="F1501" t="inlineStr">
        <is>
          <t>SCA</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27034-2022</t>
        </is>
      </c>
      <c r="B1502" s="1" t="n">
        <v>44741</v>
      </c>
      <c r="C1502" s="1" t="n">
        <v>45648</v>
      </c>
      <c r="D1502" t="inlineStr">
        <is>
          <t>JÄMTLANDS LÄN</t>
        </is>
      </c>
      <c r="E1502" t="inlineStr">
        <is>
          <t>STRÖMSUND</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27032-2022</t>
        </is>
      </c>
      <c r="B1503" s="1" t="n">
        <v>44740</v>
      </c>
      <c r="C1503" s="1" t="n">
        <v>45648</v>
      </c>
      <c r="D1503" t="inlineStr">
        <is>
          <t>JÄMTLANDS LÄN</t>
        </is>
      </c>
      <c r="E1503" t="inlineStr">
        <is>
          <t>STRÖMSUND</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27031-2022</t>
        </is>
      </c>
      <c r="B1504" s="1" t="n">
        <v>44741</v>
      </c>
      <c r="C1504" s="1" t="n">
        <v>45648</v>
      </c>
      <c r="D1504" t="inlineStr">
        <is>
          <t>JÄMTLANDS LÄN</t>
        </is>
      </c>
      <c r="E1504" t="inlineStr">
        <is>
          <t>STRÖMSUND</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27036-2022</t>
        </is>
      </c>
      <c r="B1505" s="1" t="n">
        <v>44741</v>
      </c>
      <c r="C1505" s="1" t="n">
        <v>45648</v>
      </c>
      <c r="D1505" t="inlineStr">
        <is>
          <t>JÄMTLANDS LÄN</t>
        </is>
      </c>
      <c r="E1505" t="inlineStr">
        <is>
          <t>STRÖMSUND</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27037-2022</t>
        </is>
      </c>
      <c r="B1506" s="1" t="n">
        <v>44741</v>
      </c>
      <c r="C1506" s="1" t="n">
        <v>45648</v>
      </c>
      <c r="D1506" t="inlineStr">
        <is>
          <t>JÄMTLANDS LÄN</t>
        </is>
      </c>
      <c r="E1506" t="inlineStr">
        <is>
          <t>STRÖMSUND</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27295-2022</t>
        </is>
      </c>
      <c r="B1507" s="1" t="n">
        <v>44742</v>
      </c>
      <c r="C1507" s="1" t="n">
        <v>45648</v>
      </c>
      <c r="D1507" t="inlineStr">
        <is>
          <t>JÄMTLANDS LÄN</t>
        </is>
      </c>
      <c r="E1507" t="inlineStr">
        <is>
          <t>STRÖMSUND</t>
        </is>
      </c>
      <c r="F1507" t="inlineStr">
        <is>
          <t>SCA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27290-2022</t>
        </is>
      </c>
      <c r="B1508" s="1" t="n">
        <v>44741</v>
      </c>
      <c r="C1508" s="1" t="n">
        <v>45648</v>
      </c>
      <c r="D1508" t="inlineStr">
        <is>
          <t>JÄMTLANDS LÄN</t>
        </is>
      </c>
      <c r="E1508" t="inlineStr">
        <is>
          <t>STRÖMSUND</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27285-2022</t>
        </is>
      </c>
      <c r="B1509" s="1" t="n">
        <v>44742</v>
      </c>
      <c r="C1509" s="1" t="n">
        <v>45648</v>
      </c>
      <c r="D1509" t="inlineStr">
        <is>
          <t>JÄMTLANDS LÄN</t>
        </is>
      </c>
      <c r="E1509" t="inlineStr">
        <is>
          <t>STRÖMSUND</t>
        </is>
      </c>
      <c r="F1509" t="inlineStr">
        <is>
          <t>SCA</t>
        </is>
      </c>
      <c r="G1509" t="n">
        <v>43.8</v>
      </c>
      <c r="H1509" t="n">
        <v>0</v>
      </c>
      <c r="I1509" t="n">
        <v>0</v>
      </c>
      <c r="J1509" t="n">
        <v>0</v>
      </c>
      <c r="K1509" t="n">
        <v>0</v>
      </c>
      <c r="L1509" t="n">
        <v>0</v>
      </c>
      <c r="M1509" t="n">
        <v>0</v>
      </c>
      <c r="N1509" t="n">
        <v>0</v>
      </c>
      <c r="O1509" t="n">
        <v>0</v>
      </c>
      <c r="P1509" t="n">
        <v>0</v>
      </c>
      <c r="Q1509" t="n">
        <v>0</v>
      </c>
      <c r="R1509" s="2" t="inlineStr"/>
    </row>
    <row r="1510" ht="15" customHeight="1">
      <c r="A1510" t="inlineStr">
        <is>
          <t>A 27574-2022</t>
        </is>
      </c>
      <c r="B1510" s="1" t="n">
        <v>44743</v>
      </c>
      <c r="C1510" s="1" t="n">
        <v>45648</v>
      </c>
      <c r="D1510" t="inlineStr">
        <is>
          <t>JÄMTLANDS LÄN</t>
        </is>
      </c>
      <c r="E1510" t="inlineStr">
        <is>
          <t>STRÖMSUND</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27586-2022</t>
        </is>
      </c>
      <c r="B1511" s="1" t="n">
        <v>44743</v>
      </c>
      <c r="C1511" s="1" t="n">
        <v>45648</v>
      </c>
      <c r="D1511" t="inlineStr">
        <is>
          <t>JÄMTLANDS LÄN</t>
        </is>
      </c>
      <c r="E1511" t="inlineStr">
        <is>
          <t>STRÖMSUND</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27585-2022</t>
        </is>
      </c>
      <c r="B1512" s="1" t="n">
        <v>44742</v>
      </c>
      <c r="C1512" s="1" t="n">
        <v>45648</v>
      </c>
      <c r="D1512" t="inlineStr">
        <is>
          <t>JÄMTLANDS LÄN</t>
        </is>
      </c>
      <c r="E1512" t="inlineStr">
        <is>
          <t>STRÖMSUND</t>
        </is>
      </c>
      <c r="F1512" t="inlineStr">
        <is>
          <t>SCA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27568-2022</t>
        </is>
      </c>
      <c r="B1513" s="1" t="n">
        <v>44743</v>
      </c>
      <c r="C1513" s="1" t="n">
        <v>45648</v>
      </c>
      <c r="D1513" t="inlineStr">
        <is>
          <t>JÄMTLANDS LÄN</t>
        </is>
      </c>
      <c r="E1513" t="inlineStr">
        <is>
          <t>STRÖMSUND</t>
        </is>
      </c>
      <c r="F1513" t="inlineStr">
        <is>
          <t>SCA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27584-2022</t>
        </is>
      </c>
      <c r="B1514" s="1" t="n">
        <v>44742</v>
      </c>
      <c r="C1514" s="1" t="n">
        <v>45648</v>
      </c>
      <c r="D1514" t="inlineStr">
        <is>
          <t>JÄMTLANDS LÄN</t>
        </is>
      </c>
      <c r="E1514" t="inlineStr">
        <is>
          <t>STRÖMSUND</t>
        </is>
      </c>
      <c r="F1514" t="inlineStr">
        <is>
          <t>SCA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27594-2022</t>
        </is>
      </c>
      <c r="B1515" s="1" t="n">
        <v>44743</v>
      </c>
      <c r="C1515" s="1" t="n">
        <v>45648</v>
      </c>
      <c r="D1515" t="inlineStr">
        <is>
          <t>JÄMTLANDS LÄN</t>
        </is>
      </c>
      <c r="E1515" t="inlineStr">
        <is>
          <t>STRÖMSUND</t>
        </is>
      </c>
      <c r="F1515" t="inlineStr">
        <is>
          <t>SCA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27600-2022</t>
        </is>
      </c>
      <c r="B1516" s="1" t="n">
        <v>44743</v>
      </c>
      <c r="C1516" s="1" t="n">
        <v>45648</v>
      </c>
      <c r="D1516" t="inlineStr">
        <is>
          <t>JÄMTLANDS LÄN</t>
        </is>
      </c>
      <c r="E1516" t="inlineStr">
        <is>
          <t>STRÖMSUND</t>
        </is>
      </c>
      <c r="F1516" t="inlineStr">
        <is>
          <t>SCA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27601-2022</t>
        </is>
      </c>
      <c r="B1517" s="1" t="n">
        <v>44743</v>
      </c>
      <c r="C1517" s="1" t="n">
        <v>45648</v>
      </c>
      <c r="D1517" t="inlineStr">
        <is>
          <t>JÄMTLANDS LÄN</t>
        </is>
      </c>
      <c r="E1517" t="inlineStr">
        <is>
          <t>STRÖMSUND</t>
        </is>
      </c>
      <c r="F1517" t="inlineStr">
        <is>
          <t>SCA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27596-2022</t>
        </is>
      </c>
      <c r="B1518" s="1" t="n">
        <v>44742</v>
      </c>
      <c r="C1518" s="1" t="n">
        <v>45648</v>
      </c>
      <c r="D1518" t="inlineStr">
        <is>
          <t>JÄMTLANDS LÄN</t>
        </is>
      </c>
      <c r="E1518" t="inlineStr">
        <is>
          <t>STRÖMSUND</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27923-2022</t>
        </is>
      </c>
      <c r="B1519" s="1" t="n">
        <v>44744</v>
      </c>
      <c r="C1519" s="1" t="n">
        <v>45648</v>
      </c>
      <c r="D1519" t="inlineStr">
        <is>
          <t>JÄMTLANDS LÄN</t>
        </is>
      </c>
      <c r="E1519" t="inlineStr">
        <is>
          <t>STRÖMSUND</t>
        </is>
      </c>
      <c r="F1519" t="inlineStr">
        <is>
          <t>SCA</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27927-2022</t>
        </is>
      </c>
      <c r="B1520" s="1" t="n">
        <v>44744</v>
      </c>
      <c r="C1520" s="1" t="n">
        <v>45648</v>
      </c>
      <c r="D1520" t="inlineStr">
        <is>
          <t>JÄMTLANDS LÄN</t>
        </is>
      </c>
      <c r="E1520" t="inlineStr">
        <is>
          <t>STRÖMSUND</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27942-2022</t>
        </is>
      </c>
      <c r="B1521" s="1" t="n">
        <v>44744</v>
      </c>
      <c r="C1521" s="1" t="n">
        <v>45648</v>
      </c>
      <c r="D1521" t="inlineStr">
        <is>
          <t>JÄMTLANDS LÄN</t>
        </is>
      </c>
      <c r="E1521" t="inlineStr">
        <is>
          <t>STRÖMSUND</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27917-2022</t>
        </is>
      </c>
      <c r="B1522" s="1" t="n">
        <v>44744</v>
      </c>
      <c r="C1522" s="1" t="n">
        <v>45648</v>
      </c>
      <c r="D1522" t="inlineStr">
        <is>
          <t>JÄMTLANDS LÄN</t>
        </is>
      </c>
      <c r="E1522" t="inlineStr">
        <is>
          <t>STRÖMSUND</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27930-2022</t>
        </is>
      </c>
      <c r="B1523" s="1" t="n">
        <v>44743</v>
      </c>
      <c r="C1523" s="1" t="n">
        <v>45648</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27941-2022</t>
        </is>
      </c>
      <c r="B1524" s="1" t="n">
        <v>44744</v>
      </c>
      <c r="C1524" s="1" t="n">
        <v>45648</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27946-2022</t>
        </is>
      </c>
      <c r="B1525" s="1" t="n">
        <v>44744</v>
      </c>
      <c r="C1525" s="1" t="n">
        <v>45648</v>
      </c>
      <c r="D1525" t="inlineStr">
        <is>
          <t>JÄMTLANDS LÄN</t>
        </is>
      </c>
      <c r="E1525" t="inlineStr">
        <is>
          <t>STRÖMSUND</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27929-2022</t>
        </is>
      </c>
      <c r="B1526" s="1" t="n">
        <v>44744</v>
      </c>
      <c r="C1526" s="1" t="n">
        <v>45648</v>
      </c>
      <c r="D1526" t="inlineStr">
        <is>
          <t>JÄMTLANDS LÄN</t>
        </is>
      </c>
      <c r="E1526" t="inlineStr">
        <is>
          <t>STRÖMSUND</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27940-2022</t>
        </is>
      </c>
      <c r="B1527" s="1" t="n">
        <v>44744</v>
      </c>
      <c r="C1527" s="1" t="n">
        <v>45648</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27928-2022</t>
        </is>
      </c>
      <c r="B1528" s="1" t="n">
        <v>44744</v>
      </c>
      <c r="C1528" s="1" t="n">
        <v>45648</v>
      </c>
      <c r="D1528" t="inlineStr">
        <is>
          <t>JÄMTLANDS LÄN</t>
        </is>
      </c>
      <c r="E1528" t="inlineStr">
        <is>
          <t>STRÖMSUND</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28289-2022</t>
        </is>
      </c>
      <c r="B1529" s="1" t="n">
        <v>44747</v>
      </c>
      <c r="C1529" s="1" t="n">
        <v>45648</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28294-2022</t>
        </is>
      </c>
      <c r="B1530" s="1" t="n">
        <v>44747</v>
      </c>
      <c r="C1530" s="1" t="n">
        <v>45648</v>
      </c>
      <c r="D1530" t="inlineStr">
        <is>
          <t>JÄMTLANDS LÄN</t>
        </is>
      </c>
      <c r="E1530" t="inlineStr">
        <is>
          <t>STRÖMSUND</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28286-2022</t>
        </is>
      </c>
      <c r="B1531" s="1" t="n">
        <v>44746</v>
      </c>
      <c r="C1531" s="1" t="n">
        <v>45648</v>
      </c>
      <c r="D1531" t="inlineStr">
        <is>
          <t>JÄMTLANDS LÄN</t>
        </is>
      </c>
      <c r="E1531" t="inlineStr">
        <is>
          <t>STRÖMSUND</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28290-2022</t>
        </is>
      </c>
      <c r="B1532" s="1" t="n">
        <v>44747</v>
      </c>
      <c r="C1532" s="1" t="n">
        <v>45648</v>
      </c>
      <c r="D1532" t="inlineStr">
        <is>
          <t>JÄMTLANDS LÄN</t>
        </is>
      </c>
      <c r="E1532" t="inlineStr">
        <is>
          <t>STRÖMSUND</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28207-2022</t>
        </is>
      </c>
      <c r="B1533" s="1" t="n">
        <v>44746</v>
      </c>
      <c r="C1533" s="1" t="n">
        <v>45648</v>
      </c>
      <c r="D1533" t="inlineStr">
        <is>
          <t>JÄMTLANDS LÄN</t>
        </is>
      </c>
      <c r="E1533" t="inlineStr">
        <is>
          <t>STRÖMSUND</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28483-2022</t>
        </is>
      </c>
      <c r="B1534" s="1" t="n">
        <v>44747</v>
      </c>
      <c r="C1534" s="1" t="n">
        <v>45648</v>
      </c>
      <c r="D1534" t="inlineStr">
        <is>
          <t>JÄMTLANDS LÄN</t>
        </is>
      </c>
      <c r="E1534" t="inlineStr">
        <is>
          <t>STRÖMSUND</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28494-2022</t>
        </is>
      </c>
      <c r="B1535" s="1" t="n">
        <v>44748</v>
      </c>
      <c r="C1535" s="1" t="n">
        <v>45648</v>
      </c>
      <c r="D1535" t="inlineStr">
        <is>
          <t>JÄMTLANDS LÄN</t>
        </is>
      </c>
      <c r="E1535" t="inlineStr">
        <is>
          <t>STRÖMSUND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28493-2022</t>
        </is>
      </c>
      <c r="B1536" s="1" t="n">
        <v>44747</v>
      </c>
      <c r="C1536" s="1" t="n">
        <v>45648</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28498-2022</t>
        </is>
      </c>
      <c r="B1537" s="1" t="n">
        <v>44748</v>
      </c>
      <c r="C1537" s="1" t="n">
        <v>45648</v>
      </c>
      <c r="D1537" t="inlineStr">
        <is>
          <t>JÄMTLANDS LÄN</t>
        </is>
      </c>
      <c r="E1537" t="inlineStr">
        <is>
          <t>STRÖMSUND</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28496-2022</t>
        </is>
      </c>
      <c r="B1538" s="1" t="n">
        <v>44748</v>
      </c>
      <c r="C1538" s="1" t="n">
        <v>45648</v>
      </c>
      <c r="D1538" t="inlineStr">
        <is>
          <t>JÄMTLANDS LÄN</t>
        </is>
      </c>
      <c r="E1538" t="inlineStr">
        <is>
          <t>STRÖMSUND</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28520-2022</t>
        </is>
      </c>
      <c r="B1539" s="1" t="n">
        <v>44748</v>
      </c>
      <c r="C1539" s="1" t="n">
        <v>45648</v>
      </c>
      <c r="D1539" t="inlineStr">
        <is>
          <t>JÄMTLANDS LÄN</t>
        </is>
      </c>
      <c r="E1539" t="inlineStr">
        <is>
          <t>STRÖMSUND</t>
        </is>
      </c>
      <c r="F1539" t="inlineStr">
        <is>
          <t>SCA</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28533-2022</t>
        </is>
      </c>
      <c r="B1540" s="1" t="n">
        <v>44748</v>
      </c>
      <c r="C1540" s="1" t="n">
        <v>45648</v>
      </c>
      <c r="D1540" t="inlineStr">
        <is>
          <t>JÄMTLANDS LÄN</t>
        </is>
      </c>
      <c r="E1540" t="inlineStr">
        <is>
          <t>STRÖMSUND</t>
        </is>
      </c>
      <c r="F1540" t="inlineStr">
        <is>
          <t>SCA</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28705-2022</t>
        </is>
      </c>
      <c r="B1541" s="1" t="n">
        <v>44748</v>
      </c>
      <c r="C1541" s="1" t="n">
        <v>45648</v>
      </c>
      <c r="D1541" t="inlineStr">
        <is>
          <t>JÄMTLANDS LÄN</t>
        </is>
      </c>
      <c r="E1541" t="inlineStr">
        <is>
          <t>STRÖMSUND</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28734-2022</t>
        </is>
      </c>
      <c r="B1542" s="1" t="n">
        <v>44748</v>
      </c>
      <c r="C1542" s="1" t="n">
        <v>45648</v>
      </c>
      <c r="D1542" t="inlineStr">
        <is>
          <t>JÄMTLANDS LÄN</t>
        </is>
      </c>
      <c r="E1542" t="inlineStr">
        <is>
          <t>STRÖMSUND</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28732-2022</t>
        </is>
      </c>
      <c r="B1543" s="1" t="n">
        <v>44749</v>
      </c>
      <c r="C1543" s="1" t="n">
        <v>45648</v>
      </c>
      <c r="D1543" t="inlineStr">
        <is>
          <t>JÄMTLANDS LÄN</t>
        </is>
      </c>
      <c r="E1543" t="inlineStr">
        <is>
          <t>STRÖMSUND</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45648</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45648</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45648</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45648</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45648</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45648</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45648</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45648</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45648</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45648</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45648</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45648</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45648</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45648</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45648</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45648</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45648</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45648</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45648</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45648</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45648</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45648</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45648</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45648</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45648</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45648</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45648</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45648</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45648</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45648</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45648</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45648</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45648</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45648</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45648</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45648</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45648</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45648</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45648</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45648</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45648</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45648</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45648</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45648</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45648</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45648</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45648</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45648</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45648</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45648</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45648</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45648</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45648</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45648</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45648</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45648</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45648</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45648</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45648</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45648</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45648</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45648</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45648</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45648</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45648</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45648</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45648</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45648</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45648</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45648</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45648</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45648</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45648</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45648</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45648</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45648</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45648</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45648</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45648</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45648</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45648</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45648</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45648</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45648</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45648</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45648</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45648</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45648</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45648</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45648</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45648</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45648</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45648</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45648</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45648</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45648</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45648</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45648</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45648</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45648</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45648</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45648</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45648</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45648</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45648</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45648</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45648</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45648</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45648</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45648</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45648</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45648</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45648</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45648</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45648</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45648</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45648</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45648</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45648</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45648</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45648</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45648</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45648</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45648</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45648</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45648</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45648</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45648</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45648</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45648</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45648</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45648</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45648</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45648</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45648</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45648</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45648</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45648</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45648</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45648</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45648</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45648</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45648</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45648</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45648</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45648</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45648</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45648</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45648</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45648</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45648</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45648</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45648</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45648</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45648</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45648</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45648</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45648</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45648</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45648</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45648</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45648</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45648</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45648</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45648</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45648</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45648</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45648</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45648</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45648</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45648</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45648</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45648</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45648</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45648</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45648</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45648</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45648</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45648</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45648</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45648</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45648</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45648</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45648</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45648</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45648</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45648</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45648</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45648</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45648</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45648</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45648</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45648</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45648</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45648</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45648</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45648</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45648</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45648</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45648</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45648</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45648</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45648</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45648</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45648</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45648</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45648</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45648</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45648</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45648</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45648</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45648</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45648</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45648</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45648</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45648</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45648</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45648</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45648</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45648</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45648</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45648</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45648</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45648</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45648</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45648</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45648</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45648</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45648</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45648</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45648</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45648</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45648</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45648</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45648</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45648</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45648</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45648</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45648</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45648</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45648</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45648</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45648</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45648</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45648</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45648</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45648</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45648</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45648</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45648</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45648</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45648</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45648</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45648</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45648</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45648</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45648</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45648</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45648</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45648</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45648</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45648</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45648</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45648</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45648</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45648</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45648</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45648</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45648</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45648</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45648</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45648</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45648</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45648</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45648</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45648</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45648</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45648</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45648</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45648</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45648</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45648</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45648</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45648</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45648</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45648</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45648</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45648</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45648</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45648</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45648</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45648</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45648</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45648</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45648</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45648</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45648</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45648</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45648</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45648</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45648</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45648</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45648</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45648</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45648</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45648</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45648</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45648</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45648</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45648</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45648</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45648</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45648</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45648</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45648</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45648</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45648</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45648</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45648</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45648</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45648</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45648</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45648</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45648</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45648</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45648</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45648</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45648</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45648</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45648</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45648</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45648</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45648</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45648</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45648</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45648</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45648</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45648</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45648</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45648</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45648</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45648</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45648</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45648</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45648</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45648</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45648</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45648</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45648</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45648</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45648</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45648</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45648</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45648</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45648</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45648</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45648</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45648</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45648</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45648</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45648</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45648</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45648</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45648</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45648</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45648</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45648</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45648</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45648</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45648</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45648</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45648</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45648</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45648</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45648</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45648</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45648</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45648</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45648</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45648</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45648</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45648</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45648</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45648</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45648</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45648</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45648</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45648</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45648</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45648</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45648</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45648</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45648</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45648</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45648</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45648</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45648</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45648</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45648</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45648</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45648</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45648</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45648</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45648</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45648</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45648</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45648</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45648</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45648</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45648</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45648</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45648</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45648</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45648</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45648</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45648</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45648</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45648</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45648</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45648</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45648</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45648</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45648</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45648</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45648</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45648</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45648</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45648</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45648</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45648</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45648</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45648</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45648</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45648</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45648</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45648</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45648</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45648</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45648</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45648</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45648</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45648</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45648</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45648</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45648</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45648</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45648</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45648</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45648</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45648</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45648</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45648</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45648</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45648</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45648</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45648</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45648</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45648</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45648</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45648</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45648</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45648</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45648</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45648</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45648</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45648</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45648</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45648</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45648</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45648</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45648</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45648</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45648</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45648</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45648</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45648</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45648</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45648</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45648</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45648</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45648</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45648</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45648</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45648</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45648</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45648</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45648</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45648</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45648</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45648</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45648</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45648</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45648</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45648</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45648</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45648</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45648</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45648</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45648</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45648</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45648</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45648</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45648</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45648</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45648</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45648</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45648</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45648</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45648</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45648</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45648</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45648</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45648</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45648</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45648</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45648</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45648</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45648</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45648</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45648</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45648</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45648</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45648</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45648</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45648</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45648</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45648</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45648</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45648</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45648</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45648</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45648</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45648</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45648</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45648</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45648</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45648</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45648</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45648</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45648</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45648</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45648</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45648</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45648</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45648</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45648</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45648</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45648</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45648</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45648</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45648</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45648</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45648</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45648</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45648</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45648</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45648</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45648</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45648</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45648</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45648</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45648</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45648</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45648</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45648</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45648</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45648</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45648</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45648</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45648</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45648</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45648</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45648</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45648</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45648</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45648</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45648</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45648</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45648</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45648</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45648</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45648</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45648</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45648</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45648</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45648</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45648</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45648</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45648</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45648</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45648</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45648</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45648</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45648</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45648</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45648</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45648</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45648</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45648</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45648</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45648</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45648</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45648</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45648</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45648</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45648</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45648</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45648</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45648</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45648</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45648</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45648</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45648</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45648</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45648</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45648</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45648</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45648</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45648</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45648</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45648</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45648</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45648</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45648</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45648</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45648</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45648</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45648</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45648</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45648</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45648</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45648</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45648</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45648</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45648</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45648</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45648</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45648</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45648</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45648</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45648</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45648</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45648</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45648</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45648</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45648</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45648</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45648</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45648</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45648</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45648</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45648</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45648</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45648</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45648</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45648</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45648</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45648</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45648</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45648</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45648</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45648</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45648</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45648</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45648</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45648</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45648</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45648</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45648</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45648</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45648</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45648</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45648</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45648</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45648</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45648</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45648</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45648</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45648</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45648</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45648</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45648</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45648</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45648</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45648</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45648</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45648</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45648</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45648</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45648</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45648</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45648</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45648</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45648</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45648</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45648</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45648</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45648</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45648</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45648</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45648</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45648</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45648</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45648</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45648</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45648</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45648</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45648</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45648</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45648</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45648</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45648</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45648</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45648</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45648</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45648</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45648</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45648</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45648</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45648</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45648</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45648</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45648</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45648</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45648</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45648</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45648</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45648</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45648</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45648</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45648</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45648</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45648</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45648</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45648</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45648</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45648</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45648</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45648</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45648</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45648</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45648</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45648</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45648</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45648</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45648</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45648</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45648</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45648</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45648</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45648</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45648</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45648</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45648</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45648</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45648</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45648</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45648</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45648</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45648</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45648</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45648</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45648</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45648</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45648</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45648</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45648</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45648</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45648</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45648</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45648</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45648</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45648</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45648</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45648</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45648</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45648</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45648</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45648</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45648</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45648</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45648</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45648</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45648</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45648</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45648</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45648</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45648</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45648</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45648</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45648</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45648</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45648</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45648</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45648</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45648</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45648</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45648</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45648</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45648</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45648</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45648</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45648</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45648</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45648</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45648</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45648</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45648</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45648</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45648</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45648</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45648</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45648</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45648</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45648</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45648</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45648</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45648</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45648</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45648</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45648</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45648</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45648</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45648</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45648</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45648</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45648</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45648</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45648</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45648</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45648</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45648</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45648</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45648</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45648</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45648</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45648</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45648</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45648</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45648</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45648</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45648</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45648</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45648</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45648</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45648</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45648</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45648</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45648</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45648</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45648</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45648</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45648</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45648</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45648</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45648</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45648</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45648</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45648</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45648</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45648</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45648</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45648</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45648</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45648</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45648</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45648</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45648</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45648</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45648</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45648</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45648</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45648</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45648</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45648</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45648</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45648</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45648</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45648</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45648</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45648</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45648</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45648</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45648</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45648</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45648</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45648</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45648</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45648</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45648</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45648</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45648</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45648</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45648</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45648</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45648</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45648</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45648</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45648</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45648</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45648</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45648</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45648</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45648</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45648</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45648</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45648</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45648</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45648</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45648</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45648</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45648</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45648</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45648</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45648</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45648</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45648</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45648</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45648</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45648</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45648</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45648</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45648</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45648</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45648</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45648</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45648</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45648</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45648</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45648</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45648</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45648</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45648</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45648</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45648</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45648</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45648</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45648</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45648</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45648</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45648</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45648</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45648</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45648</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45648</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45648</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45648</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45648</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45648</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45648</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45648</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45648</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45648</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45648</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45648</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45648</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45648</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45648</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45648</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45648</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45648</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45648</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45648</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45648</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45648</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45648</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45648</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45648</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45648</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45648</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45648</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45648</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45648</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45648</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45648</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45648</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45648</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45648</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45648</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45648</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45648</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45648</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45648</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45648</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45648</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45648</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45648</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45648</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45648</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45648</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45648</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45648</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45648</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45648</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45648</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45648</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45648</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45648</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45648</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45648</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45648</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45648</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45648</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45648</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45648</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45648</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45648</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45648</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45648</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45648</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45648</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45648</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45648</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45648</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45648</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45648</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45648</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45648</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45648</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45648</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45648</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45648</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45648</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45648</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45648</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45648</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45648</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45648</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45648</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45648</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45648</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45648</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45648</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45648</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45648</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45648</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45648</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45648</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45648</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45648</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45648</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45648</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45648</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45648</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45648</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45648</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45648</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45648</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45648</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45648</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45648</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45648</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45648</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45648</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45648</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45648</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45648</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45648</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45648</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45648</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45648</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45648</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45648</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45648</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45648</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45648</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45648</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45648</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45648</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45648</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45648</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45648</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45648</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45648</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45648</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45648</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45648</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45648</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45648</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45648</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45648</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45648</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45648</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45648</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45648</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45648</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45648</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45648</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45648</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45648</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45648</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45648</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45648</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45648</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45648</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45648</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45648</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45648</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45648</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45648</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45648</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45648</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45648</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45648</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45648</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45648</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45648</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45648</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45648</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45648</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45648</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45648</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45648</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45648</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45648</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45648</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45648</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45648</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45648</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45648</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45648</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45648</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45648</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45648</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45648</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45648</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45648</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45648</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45648</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45648</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45648</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45648</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45648</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45648</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45648</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45648</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45648</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45648</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45648</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45648</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45648</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45648</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45648</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45648</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45648</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45648</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45648</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45648</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45648</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45648</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45648</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45648</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45648</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45648</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45648</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45648</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45648</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45648</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45648</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45648</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45648</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45648</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45648</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45648</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45648</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45648</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45648</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45648</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45648</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45648</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45648</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45648</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45648</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45648</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45648</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45648</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45648</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45648</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45648</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45648</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45648</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45648</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45648</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45648</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45648</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45648</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45648</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45648</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45648</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45648</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45648</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45648</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45648</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45648</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45648</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45648</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45648</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45648</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45648</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45648</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45648</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45648</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45648</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45648</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45648</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45648</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45648</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45648</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45648</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45648</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45648</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45648</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45648</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45648</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45648</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45648</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45648</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45648</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45648</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45648</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45648</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45648</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45648</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45648</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45648</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45648</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45648</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45648</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45648</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45648</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45648</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45648</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45648</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45648</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45648</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45648</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45648</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45648</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45648</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45648</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45648</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45648</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45648</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45648</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45648</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45648</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45648</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45648</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45648</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45648</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45648</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45648</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45648</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45648</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45648</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45648</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45648</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45648</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45648</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45648</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45648</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45648</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45648</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45648</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45648</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45648</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45648</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45648</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45648</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45648</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45648</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45648</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45648</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45648</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45648</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45648</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45648</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45648</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45648</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45648</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45648</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45648</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45648</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45648</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45648</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45648</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45648</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45648</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45648</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45648</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45648</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45648</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45648</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45648</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45648</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45648</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45648</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45648</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45648</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45648</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45648</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45648</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45648</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45648</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45648</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45648</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45648</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45648</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45648</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45648</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45648</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45648</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45648</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45648</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45648</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45648</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45648</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45648</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45648</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45648</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45648</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45648</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45648</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45648</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45648</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45648</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45648</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45648</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45648</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45648</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45648</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45648</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45648</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45648</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45648</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45648</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45648</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45648</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45648</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45648</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45648</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45648</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45648</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45648</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45648</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45648</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45648</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45648</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45648</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45648</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45648</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45648</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45648</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45648</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45648</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45648</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45648</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45648</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45648</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45648</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45648</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45648</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45648</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45648</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45648</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45648</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45648</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45648</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45648</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45648</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45648</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45648</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45648</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45648</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45648</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45648</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45648</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45648</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45648</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45648</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45648</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45648</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45648</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45648</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45648</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45648</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45648</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45648</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45648</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45648</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45648</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45648</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45648</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45648</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45648</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45648</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45648</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45648</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45648</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45648</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45648</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45648</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45648</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45648</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45648</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45648</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45648</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45648</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45648</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45648</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45648</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45648</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45648</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45648</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45648</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45648</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45648</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45648</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45648</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45648</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45648</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45648</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45648</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45648</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45648</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45648</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45648</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45648</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45648</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45648</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45648</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45648</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45648</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45648</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45648</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45648</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45648</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45648</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45648</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45648</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45648</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45648</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45648</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45648</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45648</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45648</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45648</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45648</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45648</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45648</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45648</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45648</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45648</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45648</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45648</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45648</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45648</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45648</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45648</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45648</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45648</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45648</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45648</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45648</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45648</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45648</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45648</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45648</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45648</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45648</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45648</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45648</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45648</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45648</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45648</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45648</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45648</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45648</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45648</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45648</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45648</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45648</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45648</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45648</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45648</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45648</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45648</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45648</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45648</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45648</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45648</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45648</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45648</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45648</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45648</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45648</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45648</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45648</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45648</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45648</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45648</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45648</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45648</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45648</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45648</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45648</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45648</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45648</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45648</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45648</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45648</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45648</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45648</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45648</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45648</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45648</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45648</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45648</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45648</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45648</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45648</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45648</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45648</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45648</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45648</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45648</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45648</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45648</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45648</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45648</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45648</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45648</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45648</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45648</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45648</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45648</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45648</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45648</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45648</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45648</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45648</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45648</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45648</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45648</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45648</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45648</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45648</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45648</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45648</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45648</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45648</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45648</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45648</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45648</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45648</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45648</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45648</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45648</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45648</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45648</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45648</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45648</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45648</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45648</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45648</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45648</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45648</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45648</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45648</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45648</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45648</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45648</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45648</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45648</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45648</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45648</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45648</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45648</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45648</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45648</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45648</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45648</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45648</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45648</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45648</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45648</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45648</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45648</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45648</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45648</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45648</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45648</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45648</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45648</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45648</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45648</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45648</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45648</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45648</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45648</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45648</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45648</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45648</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45648</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45648</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45648</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45648</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45648</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45648</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45648</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45648</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45648</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45648</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45648</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45648</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45648</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45648</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45648</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45648</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45648</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45648</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45648</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45648</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45648</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45648</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45648</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45648</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45648</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45648</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45648</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45648</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45648</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45648</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45648</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45648</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45648</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45648</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45648</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45648</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45648</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45648</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45648</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45648</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45648</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45648</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45648</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45648</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45648</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45648</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45648</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45648</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45648</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45648</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45648</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45648</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45648</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45648</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45648</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45648</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45648</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45648</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45648</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45648</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45648</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45648</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45648</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45648</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45648</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45648</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45648</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45648</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45648</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45648</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45648</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45648</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45648</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45648</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45648</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45648</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45648</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45648</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45648</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45648</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45648</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45648</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45648</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45648</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45648</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45648</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45648</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45648</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45648</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45648</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45648</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45648</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45648</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45648</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45648</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45648</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45648</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45648</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45648</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45648</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45648</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45648</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45648</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45648</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45648</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45648</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45648</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45648</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45648</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45648</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45648</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45648</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45648</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45648</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45648</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45648</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45648</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45648</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45648</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45648</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45648</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45648</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45648</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45648</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45648</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45648</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45648</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45648</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45648</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45648</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45648</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45648</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45648</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45648</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45648</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45648</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45648</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45648</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45648</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45648</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45648</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45648</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45648</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45648</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45648</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45648</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45648</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45648</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45648</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45648</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45648</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45648</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45648</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45648</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45648</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45648</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45648</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45648</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45648</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45648</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45648</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45648</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45648</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45648</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45648</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45648</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45648</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45648</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45648</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45648</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45648</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45648</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45648</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45648</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45648</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45648</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45648</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45648</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45648</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45648</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45648</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45648</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45648</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45648</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45648</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45648</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45648</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45648</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45648</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45648</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45648</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45648</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45648</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45648</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45648</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45648</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45648</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45648</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55040-2024</t>
        </is>
      </c>
      <c r="B3345" s="1" t="n">
        <v>45621</v>
      </c>
      <c r="C3345" s="1" t="n">
        <v>45648</v>
      </c>
      <c r="D3345" t="inlineStr">
        <is>
          <t>JÄMTLANDS LÄN</t>
        </is>
      </c>
      <c r="E3345" t="inlineStr">
        <is>
          <t>STRÖMSUND</t>
        </is>
      </c>
      <c r="G3345" t="n">
        <v>10.1</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45648</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55311-2024</t>
        </is>
      </c>
      <c r="B3347" s="1" t="n">
        <v>45621</v>
      </c>
      <c r="C3347" s="1" t="n">
        <v>45648</v>
      </c>
      <c r="D3347" t="inlineStr">
        <is>
          <t>JÄMTLANDS LÄN</t>
        </is>
      </c>
      <c r="E3347" t="inlineStr">
        <is>
          <t>STRÖMSUND</t>
        </is>
      </c>
      <c r="F3347" t="inlineStr">
        <is>
          <t>SCA</t>
        </is>
      </c>
      <c r="G3347" t="n">
        <v>8.6</v>
      </c>
      <c r="H3347" t="n">
        <v>0</v>
      </c>
      <c r="I3347" t="n">
        <v>0</v>
      </c>
      <c r="J3347" t="n">
        <v>0</v>
      </c>
      <c r="K3347" t="n">
        <v>0</v>
      </c>
      <c r="L3347" t="n">
        <v>0</v>
      </c>
      <c r="M3347" t="n">
        <v>0</v>
      </c>
      <c r="N3347" t="n">
        <v>0</v>
      </c>
      <c r="O3347" t="n">
        <v>0</v>
      </c>
      <c r="P3347" t="n">
        <v>0</v>
      </c>
      <c r="Q3347" t="n">
        <v>0</v>
      </c>
      <c r="R3347" s="2" t="inlineStr"/>
    </row>
    <row r="3348" ht="15" customHeight="1">
      <c r="A3348" t="inlineStr">
        <is>
          <t>A 55327-2024</t>
        </is>
      </c>
      <c r="B3348" s="1" t="n">
        <v>45621</v>
      </c>
      <c r="C3348" s="1" t="n">
        <v>45648</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55030-2024</t>
        </is>
      </c>
      <c r="B3349" s="1" t="n">
        <v>45621</v>
      </c>
      <c r="C3349" s="1" t="n">
        <v>45648</v>
      </c>
      <c r="D3349" t="inlineStr">
        <is>
          <t>JÄMTLANDS LÄN</t>
        </is>
      </c>
      <c r="E3349" t="inlineStr">
        <is>
          <t>STRÖMSUND</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55219-2024</t>
        </is>
      </c>
      <c r="B3350" s="1" t="n">
        <v>45621</v>
      </c>
      <c r="C3350" s="1" t="n">
        <v>45648</v>
      </c>
      <c r="D3350" t="inlineStr">
        <is>
          <t>JÄMTLANDS LÄN</t>
        </is>
      </c>
      <c r="E3350" t="inlineStr">
        <is>
          <t>STRÖMSUND</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55161-2024</t>
        </is>
      </c>
      <c r="B3351" s="1" t="n">
        <v>45621</v>
      </c>
      <c r="C3351" s="1" t="n">
        <v>45648</v>
      </c>
      <c r="D3351" t="inlineStr">
        <is>
          <t>JÄMTLANDS LÄN</t>
        </is>
      </c>
      <c r="E3351" t="inlineStr">
        <is>
          <t>STRÖMSUND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55325-2024</t>
        </is>
      </c>
      <c r="B3352" s="1" t="n">
        <v>45621</v>
      </c>
      <c r="C3352" s="1" t="n">
        <v>45648</v>
      </c>
      <c r="D3352" t="inlineStr">
        <is>
          <t>JÄMTLANDS LÄN</t>
        </is>
      </c>
      <c r="E3352" t="inlineStr">
        <is>
          <t>STRÖMSUND</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45648</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45648</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45648</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56270-2024</t>
        </is>
      </c>
      <c r="B3356" s="1" t="n">
        <v>45624</v>
      </c>
      <c r="C3356" s="1" t="n">
        <v>45648</v>
      </c>
      <c r="D3356" t="inlineStr">
        <is>
          <t>JÄMTLANDS LÄN</t>
        </is>
      </c>
      <c r="E3356" t="inlineStr">
        <is>
          <t>STRÖMSUND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56255-2024</t>
        </is>
      </c>
      <c r="B3357" s="1" t="n">
        <v>45624</v>
      </c>
      <c r="C3357" s="1" t="n">
        <v>45648</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45648</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56514-2024</t>
        </is>
      </c>
      <c r="B3359" s="1" t="n">
        <v>45625</v>
      </c>
      <c r="C3359" s="1" t="n">
        <v>45648</v>
      </c>
      <c r="D3359" t="inlineStr">
        <is>
          <t>JÄMTLANDS LÄN</t>
        </is>
      </c>
      <c r="E3359" t="inlineStr">
        <is>
          <t>STRÖMSUND</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56513-2024</t>
        </is>
      </c>
      <c r="B3360" s="1" t="n">
        <v>45625</v>
      </c>
      <c r="C3360" s="1" t="n">
        <v>45648</v>
      </c>
      <c r="D3360" t="inlineStr">
        <is>
          <t>JÄMTLANDS LÄN</t>
        </is>
      </c>
      <c r="E3360" t="inlineStr">
        <is>
          <t>STRÖMSUND</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45648</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56550-2024</t>
        </is>
      </c>
      <c r="B3362" s="1" t="n">
        <v>45625</v>
      </c>
      <c r="C3362" s="1" t="n">
        <v>45648</v>
      </c>
      <c r="D3362" t="inlineStr">
        <is>
          <t>JÄMTLANDS LÄN</t>
        </is>
      </c>
      <c r="E3362" t="inlineStr">
        <is>
          <t>STRÖMSUND</t>
        </is>
      </c>
      <c r="F3362" t="inlineStr">
        <is>
          <t>SCA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56507-2024</t>
        </is>
      </c>
      <c r="B3363" s="1" t="n">
        <v>45625</v>
      </c>
      <c r="C3363" s="1" t="n">
        <v>45648</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45648</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56961-2024</t>
        </is>
      </c>
      <c r="B3365" s="1" t="n">
        <v>45628</v>
      </c>
      <c r="C3365" s="1" t="n">
        <v>45648</v>
      </c>
      <c r="D3365" t="inlineStr">
        <is>
          <t>JÄMTLANDS LÄN</t>
        </is>
      </c>
      <c r="E3365" t="inlineStr">
        <is>
          <t>STRÖMSUND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45648</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56997-2024</t>
        </is>
      </c>
      <c r="B3367" s="1" t="n">
        <v>45628</v>
      </c>
      <c r="C3367" s="1" t="n">
        <v>45648</v>
      </c>
      <c r="D3367" t="inlineStr">
        <is>
          <t>JÄMTLANDS LÄN</t>
        </is>
      </c>
      <c r="E3367" t="inlineStr">
        <is>
          <t>STRÖMSUND</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45648</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45648</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45648</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45648</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45648</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45648</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45648</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45648</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58337-2024</t>
        </is>
      </c>
      <c r="B3376" s="1" t="n">
        <v>45632</v>
      </c>
      <c r="C3376" s="1" t="n">
        <v>45648</v>
      </c>
      <c r="D3376" t="inlineStr">
        <is>
          <t>JÄMTLANDS LÄN</t>
        </is>
      </c>
      <c r="E3376" t="inlineStr">
        <is>
          <t>STRÖMSUND</t>
        </is>
      </c>
      <c r="F3376" t="inlineStr">
        <is>
          <t>SCA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45648</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58206-2024</t>
        </is>
      </c>
      <c r="B3378" s="1" t="n">
        <v>45632</v>
      </c>
      <c r="C3378" s="1" t="n">
        <v>45648</v>
      </c>
      <c r="D3378" t="inlineStr">
        <is>
          <t>JÄMTLANDS LÄN</t>
        </is>
      </c>
      <c r="E3378" t="inlineStr">
        <is>
          <t>STRÖMSUND</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45648</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45648</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45648</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58515-2024</t>
        </is>
      </c>
      <c r="B3382" s="1" t="n">
        <v>45635</v>
      </c>
      <c r="C3382" s="1" t="n">
        <v>45648</v>
      </c>
      <c r="D3382" t="inlineStr">
        <is>
          <t>JÄMTLANDS LÄN</t>
        </is>
      </c>
      <c r="E3382" t="inlineStr">
        <is>
          <t>STRÖMSUND</t>
        </is>
      </c>
      <c r="F3382" t="inlineStr">
        <is>
          <t>SCA</t>
        </is>
      </c>
      <c r="G3382" t="n">
        <v>12.9</v>
      </c>
      <c r="H3382" t="n">
        <v>0</v>
      </c>
      <c r="I3382" t="n">
        <v>0</v>
      </c>
      <c r="J3382" t="n">
        <v>0</v>
      </c>
      <c r="K3382" t="n">
        <v>0</v>
      </c>
      <c r="L3382" t="n">
        <v>0</v>
      </c>
      <c r="M3382" t="n">
        <v>0</v>
      </c>
      <c r="N3382" t="n">
        <v>0</v>
      </c>
      <c r="O3382" t="n">
        <v>0</v>
      </c>
      <c r="P3382" t="n">
        <v>0</v>
      </c>
      <c r="Q3382" t="n">
        <v>0</v>
      </c>
      <c r="R3382" s="2" t="inlineStr"/>
    </row>
    <row r="3383" ht="15" customHeight="1">
      <c r="A3383" t="inlineStr">
        <is>
          <t>A 58646-2024</t>
        </is>
      </c>
      <c r="B3383" s="1" t="n">
        <v>45635</v>
      </c>
      <c r="C3383" s="1" t="n">
        <v>45648</v>
      </c>
      <c r="D3383" t="inlineStr">
        <is>
          <t>JÄMTLANDS LÄN</t>
        </is>
      </c>
      <c r="E3383" t="inlineStr">
        <is>
          <t>STRÖMSUND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58493-2024</t>
        </is>
      </c>
      <c r="B3384" s="1" t="n">
        <v>45635</v>
      </c>
      <c r="C3384" s="1" t="n">
        <v>45648</v>
      </c>
      <c r="D3384" t="inlineStr">
        <is>
          <t>JÄMTLANDS LÄN</t>
        </is>
      </c>
      <c r="E3384" t="inlineStr">
        <is>
          <t>STRÖMSUND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58647-2024</t>
        </is>
      </c>
      <c r="B3385" s="1" t="n">
        <v>45635</v>
      </c>
      <c r="C3385" s="1" t="n">
        <v>45648</v>
      </c>
      <c r="D3385" t="inlineStr">
        <is>
          <t>JÄMTLANDS LÄN</t>
        </is>
      </c>
      <c r="E3385" t="inlineStr">
        <is>
          <t>STRÖMSUND</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45648</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45648</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45648</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45648</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45648</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45648</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59530-2024</t>
        </is>
      </c>
      <c r="B3392" s="1" t="n">
        <v>45638</v>
      </c>
      <c r="C3392" s="1" t="n">
        <v>45648</v>
      </c>
      <c r="D3392" t="inlineStr">
        <is>
          <t>JÄMTLANDS LÄN</t>
        </is>
      </c>
      <c r="E3392" t="inlineStr">
        <is>
          <t>STRÖMSUND</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59568-2024</t>
        </is>
      </c>
      <c r="B3393" s="1" t="n">
        <v>45638</v>
      </c>
      <c r="C3393" s="1" t="n">
        <v>45648</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59508-2024</t>
        </is>
      </c>
      <c r="B3394" s="1" t="n">
        <v>45638</v>
      </c>
      <c r="C3394" s="1" t="n">
        <v>45648</v>
      </c>
      <c r="D3394" t="inlineStr">
        <is>
          <t>JÄMTLANDS LÄN</t>
        </is>
      </c>
      <c r="E3394" t="inlineStr">
        <is>
          <t>STRÖMSUND</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59550-2024</t>
        </is>
      </c>
      <c r="B3395" s="1" t="n">
        <v>45638</v>
      </c>
      <c r="C3395" s="1" t="n">
        <v>45648</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45648</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59742-2024</t>
        </is>
      </c>
      <c r="B3397" s="1" t="n">
        <v>45639</v>
      </c>
      <c r="C3397" s="1" t="n">
        <v>45648</v>
      </c>
      <c r="D3397" t="inlineStr">
        <is>
          <t>JÄMTLANDS LÄN</t>
        </is>
      </c>
      <c r="E3397" t="inlineStr">
        <is>
          <t>STRÖMSUND</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59821-2024</t>
        </is>
      </c>
      <c r="B3398" s="1" t="n">
        <v>45639</v>
      </c>
      <c r="C3398" s="1" t="n">
        <v>45648</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45648</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60053-2024</t>
        </is>
      </c>
      <c r="B3400" s="1" t="n">
        <v>45642</v>
      </c>
      <c r="C3400" s="1" t="n">
        <v>45648</v>
      </c>
      <c r="D3400" t="inlineStr">
        <is>
          <t>JÄMTLANDS LÄN</t>
        </is>
      </c>
      <c r="E3400" t="inlineStr">
        <is>
          <t>STRÖMSUND</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60171-2024</t>
        </is>
      </c>
      <c r="B3401" s="1" t="n">
        <v>45642</v>
      </c>
      <c r="C3401" s="1" t="n">
        <v>45648</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60198-2024</t>
        </is>
      </c>
      <c r="B3402" s="1" t="n">
        <v>45642</v>
      </c>
      <c r="C3402" s="1" t="n">
        <v>45648</v>
      </c>
      <c r="D3402" t="inlineStr">
        <is>
          <t>JÄMTLANDS LÄN</t>
        </is>
      </c>
      <c r="E3402" t="inlineStr">
        <is>
          <t>STRÖMSUND</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60170-2024</t>
        </is>
      </c>
      <c r="B3403" s="1" t="n">
        <v>45642</v>
      </c>
      <c r="C3403" s="1" t="n">
        <v>45648</v>
      </c>
      <c r="D3403" t="inlineStr">
        <is>
          <t>JÄMTLANDS LÄN</t>
        </is>
      </c>
      <c r="E3403" t="inlineStr">
        <is>
          <t>STRÖMSUND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60366-2024</t>
        </is>
      </c>
      <c r="B3404" s="1" t="n">
        <v>45643</v>
      </c>
      <c r="C3404" s="1" t="n">
        <v>45648</v>
      </c>
      <c r="D3404" t="inlineStr">
        <is>
          <t>JÄMTLANDS LÄN</t>
        </is>
      </c>
      <c r="E3404" t="inlineStr">
        <is>
          <t>STRÖMSUND</t>
        </is>
      </c>
      <c r="F3404" t="inlineStr">
        <is>
          <t>Sveaskog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60310-2024</t>
        </is>
      </c>
      <c r="B3405" s="1" t="n">
        <v>45643</v>
      </c>
      <c r="C3405" s="1" t="n">
        <v>45648</v>
      </c>
      <c r="D3405" t="inlineStr">
        <is>
          <t>JÄMTLANDS LÄN</t>
        </is>
      </c>
      <c r="E3405" t="inlineStr">
        <is>
          <t>STRÖMSUND</t>
        </is>
      </c>
      <c r="F3405" t="inlineStr">
        <is>
          <t>SCA</t>
        </is>
      </c>
      <c r="G3405" t="n">
        <v>15.6</v>
      </c>
      <c r="H3405" t="n">
        <v>0</v>
      </c>
      <c r="I3405" t="n">
        <v>0</v>
      </c>
      <c r="J3405" t="n">
        <v>0</v>
      </c>
      <c r="K3405" t="n">
        <v>0</v>
      </c>
      <c r="L3405" t="n">
        <v>0</v>
      </c>
      <c r="M3405" t="n">
        <v>0</v>
      </c>
      <c r="N3405" t="n">
        <v>0</v>
      </c>
      <c r="O3405" t="n">
        <v>0</v>
      </c>
      <c r="P3405" t="n">
        <v>0</v>
      </c>
      <c r="Q3405" t="n">
        <v>0</v>
      </c>
      <c r="R3405" s="2" t="inlineStr"/>
    </row>
    <row r="3406" ht="15" customHeight="1">
      <c r="A3406" t="inlineStr">
        <is>
          <t>A 60791-2024</t>
        </is>
      </c>
      <c r="B3406" s="1" t="n">
        <v>45644</v>
      </c>
      <c r="C3406" s="1" t="n">
        <v>45648</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60800-2024</t>
        </is>
      </c>
      <c r="B3407" s="1" t="n">
        <v>45644</v>
      </c>
      <c r="C3407" s="1" t="n">
        <v>45648</v>
      </c>
      <c r="D3407" t="inlineStr">
        <is>
          <t>JÄMTLANDS LÄN</t>
        </is>
      </c>
      <c r="E3407" t="inlineStr">
        <is>
          <t>STRÖMSUND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60905-2024</t>
        </is>
      </c>
      <c r="B3408" s="1" t="n">
        <v>45644</v>
      </c>
      <c r="C3408" s="1" t="n">
        <v>45648</v>
      </c>
      <c r="D3408" t="inlineStr">
        <is>
          <t>JÄMTLANDS LÄN</t>
        </is>
      </c>
      <c r="E3408" t="inlineStr">
        <is>
          <t>STRÖMSUND</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45648</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45648</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45648</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61163-2024</t>
        </is>
      </c>
      <c r="B3412" s="1" t="n">
        <v>45645</v>
      </c>
      <c r="C3412" s="1" t="n">
        <v>45648</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61160-2024</t>
        </is>
      </c>
      <c r="B3413" s="1" t="n">
        <v>45645</v>
      </c>
      <c r="C3413" s="1" t="n">
        <v>45648</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61475-2024</t>
        </is>
      </c>
      <c r="B3414" s="1" t="n">
        <v>45645</v>
      </c>
      <c r="C3414" s="1" t="n">
        <v>45648</v>
      </c>
      <c r="D3414" t="inlineStr">
        <is>
          <t>JÄMTLANDS LÄN</t>
        </is>
      </c>
      <c r="E3414" t="inlineStr">
        <is>
          <t>STRÖMSUND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61481-2024</t>
        </is>
      </c>
      <c r="B3415" s="1" t="n">
        <v>45645</v>
      </c>
      <c r="C3415" s="1" t="n">
        <v>45648</v>
      </c>
      <c r="D3415" t="inlineStr">
        <is>
          <t>JÄMTLANDS LÄN</t>
        </is>
      </c>
      <c r="E3415" t="inlineStr">
        <is>
          <t>STRÖMSUND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61365-2024</t>
        </is>
      </c>
      <c r="B3416" s="1" t="n">
        <v>45646</v>
      </c>
      <c r="C3416" s="1" t="n">
        <v>45648</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61363-2024</t>
        </is>
      </c>
      <c r="B3417" s="1" t="n">
        <v>45646</v>
      </c>
      <c r="C3417" s="1" t="n">
        <v>45648</v>
      </c>
      <c r="D3417" t="inlineStr">
        <is>
          <t>JÄMTLANDS LÄN</t>
        </is>
      </c>
      <c r="E3417" t="inlineStr">
        <is>
          <t>STRÖMSUND</t>
        </is>
      </c>
      <c r="F3417" t="inlineStr">
        <is>
          <t>SCA</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61402-2024</t>
        </is>
      </c>
      <c r="B3418" s="1" t="n">
        <v>45646</v>
      </c>
      <c r="C3418" s="1" t="n">
        <v>45648</v>
      </c>
      <c r="D3418" t="inlineStr">
        <is>
          <t>JÄMTLANDS LÄN</t>
        </is>
      </c>
      <c r="E3418" t="inlineStr">
        <is>
          <t>STRÖMSUND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61538-2024</t>
        </is>
      </c>
      <c r="B3419" s="1" t="n">
        <v>45646</v>
      </c>
      <c r="C3419" s="1" t="n">
        <v>45648</v>
      </c>
      <c r="D3419" t="inlineStr">
        <is>
          <t>JÄMTLANDS LÄN</t>
        </is>
      </c>
      <c r="E3419" t="inlineStr">
        <is>
          <t>STRÖMSUND</t>
        </is>
      </c>
      <c r="F3419" t="inlineStr">
        <is>
          <t>SCA</t>
        </is>
      </c>
      <c r="G3419" t="n">
        <v>24.4</v>
      </c>
      <c r="H3419" t="n">
        <v>0</v>
      </c>
      <c r="I3419" t="n">
        <v>0</v>
      </c>
      <c r="J3419" t="n">
        <v>0</v>
      </c>
      <c r="K3419" t="n">
        <v>0</v>
      </c>
      <c r="L3419" t="n">
        <v>0</v>
      </c>
      <c r="M3419" t="n">
        <v>0</v>
      </c>
      <c r="N3419" t="n">
        <v>0</v>
      </c>
      <c r="O3419" t="n">
        <v>0</v>
      </c>
      <c r="P3419" t="n">
        <v>0</v>
      </c>
      <c r="Q3419" t="n">
        <v>0</v>
      </c>
      <c r="R3419" s="2" t="inlineStr"/>
    </row>
    <row r="3420" ht="15" customHeight="1">
      <c r="A3420" t="inlineStr">
        <is>
          <t>A 61540-2024</t>
        </is>
      </c>
      <c r="B3420" s="1" t="n">
        <v>45646</v>
      </c>
      <c r="C3420" s="1" t="n">
        <v>45648</v>
      </c>
      <c r="D3420" t="inlineStr">
        <is>
          <t>JÄMTLANDS LÄN</t>
        </is>
      </c>
      <c r="E3420" t="inlineStr">
        <is>
          <t>STRÖMSUND</t>
        </is>
      </c>
      <c r="F3420" t="inlineStr">
        <is>
          <t>SCA</t>
        </is>
      </c>
      <c r="G3420" t="n">
        <v>18.2</v>
      </c>
      <c r="H3420" t="n">
        <v>0</v>
      </c>
      <c r="I3420" t="n">
        <v>0</v>
      </c>
      <c r="J3420" t="n">
        <v>0</v>
      </c>
      <c r="K3420" t="n">
        <v>0</v>
      </c>
      <c r="L3420" t="n">
        <v>0</v>
      </c>
      <c r="M3420" t="n">
        <v>0</v>
      </c>
      <c r="N3420" t="n">
        <v>0</v>
      </c>
      <c r="O3420" t="n">
        <v>0</v>
      </c>
      <c r="P3420" t="n">
        <v>0</v>
      </c>
      <c r="Q3420" t="n">
        <v>0</v>
      </c>
      <c r="R3420" s="2" t="inlineStr"/>
    </row>
    <row r="3421">
      <c r="A3421" t="inlineStr">
        <is>
          <t>A 61539-2024</t>
        </is>
      </c>
      <c r="B3421" s="1" t="n">
        <v>45646</v>
      </c>
      <c r="C3421" s="1" t="n">
        <v>45648</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2024-12-22T15:50:40Z</dcterms:created>
  <dcterms:modified xmlns:dcterms="http://purl.org/dc/terms/" xmlns:xsi="http://www.w3.org/2001/XMLSchema-instance" xsi:type="dcterms:W3CDTF">2024-12-22T15:50:43Z</dcterms:modified>
</cp:coreProperties>
</file>