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45740</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45740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45740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45740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45740</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45740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45740</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45740</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45740</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45740</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45740</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45740</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45740</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45740</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45740</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45740</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45740</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45740</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45740</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45740</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45740</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45740</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45740</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45740</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45740</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45740</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45740</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45740</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45740</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45740</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45740</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45740</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45740</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45740</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45740</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45740</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45740</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45740</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45740</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45740</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45740</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45740</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45740</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45740</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45740</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45740</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45740</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45740</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45740</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45740</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45740</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45740</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45740</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45740</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45740</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45740</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45740</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45740</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45740</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45740</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45740</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45740</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45740</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45740</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45740</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45740</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45740</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45740</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45740</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45740</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45740</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45740</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45740</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45740</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45740</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45740</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45740</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45740</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45740</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45740</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45740</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45740</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45740</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45740</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45740</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45740</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45740</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45740</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45740</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45740</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45740</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45740</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45740</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45740</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45740</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45740</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45740</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45740</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45740</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45740</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45740</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45740</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45740</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45740</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45740</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45740</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45740</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45740</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45740</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45740</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45740</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45740</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45740</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45740</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45740</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45740</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45740</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45740</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45740</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45740</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45740</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45740</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45740</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45740</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45740</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45740</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45740</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45740</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45740</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45740</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45740</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45740</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45740</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45740</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45740</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45740</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45740</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45740</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45740</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45740</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45740</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45740</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45740</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45740</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45740</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45740</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45740</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45740</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45740</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45740</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45740</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45740</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45740</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45740</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45740</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45740</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45740</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45740</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45740</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45740</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45740</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45740</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45740</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45740</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45740</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45740</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45740</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45740</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45740</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45740</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45740</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45740</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45740</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45740</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45740</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45740</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45740</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45740</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45740</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45740</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45740</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45740</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45740</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45740</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45740</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45740</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45740</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45740</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45740</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45740</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45740</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45740</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45740</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45740</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45740</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45740</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45740</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45740</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45740</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45740</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45740</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45740</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45740</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45740</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45740</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45740</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45740</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45740</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45740</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45740</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45740</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45740</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45740</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45740</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45740</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45740</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45740</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45740</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45740</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45740</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45740</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45740</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45740</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45740</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45740</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45740</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45740</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45740</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45740</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45740</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39924-2019</t>
        </is>
      </c>
      <c r="B261" s="1" t="n">
        <v>43692</v>
      </c>
      <c r="C261" s="1" t="n">
        <v>45740</v>
      </c>
      <c r="D261" t="inlineStr">
        <is>
          <t>JÄMTLANDS LÄN</t>
        </is>
      </c>
      <c r="E261" t="inlineStr">
        <is>
          <t>STRÖMSUND</t>
        </is>
      </c>
      <c r="F261" t="inlineStr">
        <is>
          <t>Holmen skog AB</t>
        </is>
      </c>
      <c r="G261" t="n">
        <v>0.8</v>
      </c>
      <c r="H261" t="n">
        <v>1</v>
      </c>
      <c r="I261" t="n">
        <v>0</v>
      </c>
      <c r="J261" t="n">
        <v>2</v>
      </c>
      <c r="K261" t="n">
        <v>0</v>
      </c>
      <c r="L261" t="n">
        <v>0</v>
      </c>
      <c r="M261" t="n">
        <v>0</v>
      </c>
      <c r="N261" t="n">
        <v>0</v>
      </c>
      <c r="O261" t="n">
        <v>2</v>
      </c>
      <c r="P261" t="n">
        <v>0</v>
      </c>
      <c r="Q261" t="n">
        <v>2</v>
      </c>
      <c r="R261" s="2" t="inlineStr">
        <is>
          <t>Harticka
Tretåig hackspett</t>
        </is>
      </c>
      <c r="S261">
        <f>HYPERLINK("https://klasma.github.io/Logging_2313/artfynd/A 39924-2019 artfynd.xlsx", "A 39924-2019")</f>
        <v/>
      </c>
      <c r="T261">
        <f>HYPERLINK("https://klasma.github.io/Logging_2313/kartor/A 39924-2019 karta.png", "A 39924-2019")</f>
        <v/>
      </c>
      <c r="V261">
        <f>HYPERLINK("https://klasma.github.io/Logging_2313/klagomål/A 39924-2019 FSC-klagomål.docx", "A 39924-2019")</f>
        <v/>
      </c>
      <c r="W261">
        <f>HYPERLINK("https://klasma.github.io/Logging_2313/klagomålsmail/A 39924-2019 FSC-klagomål mail.docx", "A 39924-2019")</f>
        <v/>
      </c>
      <c r="X261">
        <f>HYPERLINK("https://klasma.github.io/Logging_2313/tillsyn/A 39924-2019 tillsynsbegäran.docx", "A 39924-2019")</f>
        <v/>
      </c>
      <c r="Y261">
        <f>HYPERLINK("https://klasma.github.io/Logging_2313/tillsynsmail/A 39924-2019 tillsynsbegäran mail.docx", "A 39924-2019")</f>
        <v/>
      </c>
      <c r="Z261">
        <f>HYPERLINK("https://klasma.github.io/Logging_2313/fåglar/A 39924-2019 prioriterade fågelarter.docx", "A 39924-2019")</f>
        <v/>
      </c>
    </row>
    <row r="262" ht="15" customHeight="1">
      <c r="A262" t="inlineStr">
        <is>
          <t>A 42067-2019</t>
        </is>
      </c>
      <c r="B262" s="1" t="n">
        <v>43700</v>
      </c>
      <c r="C262" s="1" t="n">
        <v>45740</v>
      </c>
      <c r="D262" t="inlineStr">
        <is>
          <t>JÄMTLANDS LÄN</t>
        </is>
      </c>
      <c r="E262" t="inlineStr">
        <is>
          <t>STRÖMSUND</t>
        </is>
      </c>
      <c r="F262" t="inlineStr">
        <is>
          <t>SCA</t>
        </is>
      </c>
      <c r="G262" t="n">
        <v>1.9</v>
      </c>
      <c r="H262" t="n">
        <v>0</v>
      </c>
      <c r="I262" t="n">
        <v>1</v>
      </c>
      <c r="J262" t="n">
        <v>1</v>
      </c>
      <c r="K262" t="n">
        <v>0</v>
      </c>
      <c r="L262" t="n">
        <v>0</v>
      </c>
      <c r="M262" t="n">
        <v>0</v>
      </c>
      <c r="N262" t="n">
        <v>0</v>
      </c>
      <c r="O262" t="n">
        <v>1</v>
      </c>
      <c r="P262" t="n">
        <v>0</v>
      </c>
      <c r="Q262" t="n">
        <v>2</v>
      </c>
      <c r="R262" s="2" t="inlineStr">
        <is>
          <t>Gränsticka
Stuplav</t>
        </is>
      </c>
      <c r="S262">
        <f>HYPERLINK("https://klasma.github.io/Logging_2313/artfynd/A 42067-2019 artfynd.xlsx", "A 42067-2019")</f>
        <v/>
      </c>
      <c r="T262">
        <f>HYPERLINK("https://klasma.github.io/Logging_2313/kartor/A 42067-2019 karta.png", "A 42067-2019")</f>
        <v/>
      </c>
      <c r="V262">
        <f>HYPERLINK("https://klasma.github.io/Logging_2313/klagomål/A 42067-2019 FSC-klagomål.docx", "A 42067-2019")</f>
        <v/>
      </c>
      <c r="W262">
        <f>HYPERLINK("https://klasma.github.io/Logging_2313/klagomålsmail/A 42067-2019 FSC-klagomål mail.docx", "A 42067-2019")</f>
        <v/>
      </c>
      <c r="X262">
        <f>HYPERLINK("https://klasma.github.io/Logging_2313/tillsyn/A 42067-2019 tillsynsbegäran.docx", "A 42067-2019")</f>
        <v/>
      </c>
      <c r="Y262">
        <f>HYPERLINK("https://klasma.github.io/Logging_2313/tillsynsmail/A 42067-2019 tillsynsbegäran mail.docx", "A 42067-2019")</f>
        <v/>
      </c>
    </row>
    <row r="263" ht="15" customHeight="1">
      <c r="A263" t="inlineStr">
        <is>
          <t>A 44014-2019</t>
        </is>
      </c>
      <c r="B263" s="1" t="n">
        <v>43709</v>
      </c>
      <c r="C263" s="1" t="n">
        <v>45740</v>
      </c>
      <c r="D263" t="inlineStr">
        <is>
          <t>JÄMTLANDS LÄN</t>
        </is>
      </c>
      <c r="E263" t="inlineStr">
        <is>
          <t>STRÖMSUND</t>
        </is>
      </c>
      <c r="F263" t="inlineStr">
        <is>
          <t>SCA</t>
        </is>
      </c>
      <c r="G263" t="n">
        <v>6.7</v>
      </c>
      <c r="H263" t="n">
        <v>0</v>
      </c>
      <c r="I263" t="n">
        <v>0</v>
      </c>
      <c r="J263" t="n">
        <v>1</v>
      </c>
      <c r="K263" t="n">
        <v>1</v>
      </c>
      <c r="L263" t="n">
        <v>0</v>
      </c>
      <c r="M263" t="n">
        <v>0</v>
      </c>
      <c r="N263" t="n">
        <v>0</v>
      </c>
      <c r="O263" t="n">
        <v>2</v>
      </c>
      <c r="P263" t="n">
        <v>1</v>
      </c>
      <c r="Q263" t="n">
        <v>2</v>
      </c>
      <c r="R263" s="2" t="inlineStr">
        <is>
          <t>Liten sotlav
Gränsticka</t>
        </is>
      </c>
      <c r="S263">
        <f>HYPERLINK("https://klasma.github.io/Logging_2313/artfynd/A 44014-2019 artfynd.xlsx", "A 44014-2019")</f>
        <v/>
      </c>
      <c r="T263">
        <f>HYPERLINK("https://klasma.github.io/Logging_2313/kartor/A 44014-2019 karta.png", "A 44014-2019")</f>
        <v/>
      </c>
      <c r="V263">
        <f>HYPERLINK("https://klasma.github.io/Logging_2313/klagomål/A 44014-2019 FSC-klagomål.docx", "A 44014-2019")</f>
        <v/>
      </c>
      <c r="W263">
        <f>HYPERLINK("https://klasma.github.io/Logging_2313/klagomålsmail/A 44014-2019 FSC-klagomål mail.docx", "A 44014-2019")</f>
        <v/>
      </c>
      <c r="X263">
        <f>HYPERLINK("https://klasma.github.io/Logging_2313/tillsyn/A 44014-2019 tillsynsbegäran.docx", "A 44014-2019")</f>
        <v/>
      </c>
      <c r="Y263">
        <f>HYPERLINK("https://klasma.github.io/Logging_2313/tillsynsmail/A 44014-2019 tillsynsbegäran mail.docx", "A 44014-2019")</f>
        <v/>
      </c>
    </row>
    <row r="264" ht="15" customHeight="1">
      <c r="A264" t="inlineStr">
        <is>
          <t>A 6884-2020</t>
        </is>
      </c>
      <c r="B264" s="1" t="n">
        <v>43867</v>
      </c>
      <c r="C264" s="1" t="n">
        <v>45740</v>
      </c>
      <c r="D264" t="inlineStr">
        <is>
          <t>JÄMTLANDS LÄN</t>
        </is>
      </c>
      <c r="E264" t="inlineStr">
        <is>
          <t>STRÖMSUND</t>
        </is>
      </c>
      <c r="F264" t="inlineStr">
        <is>
          <t>SCA</t>
        </is>
      </c>
      <c r="G264" t="n">
        <v>10.1</v>
      </c>
      <c r="H264" t="n">
        <v>0</v>
      </c>
      <c r="I264" t="n">
        <v>0</v>
      </c>
      <c r="J264" t="n">
        <v>1</v>
      </c>
      <c r="K264" t="n">
        <v>1</v>
      </c>
      <c r="L264" t="n">
        <v>0</v>
      </c>
      <c r="M264" t="n">
        <v>0</v>
      </c>
      <c r="N264" t="n">
        <v>0</v>
      </c>
      <c r="O264" t="n">
        <v>2</v>
      </c>
      <c r="P264" t="n">
        <v>1</v>
      </c>
      <c r="Q264" t="n">
        <v>2</v>
      </c>
      <c r="R264" s="2" t="inlineStr">
        <is>
          <t>Rynkskinn
Brunpudrad nållav</t>
        </is>
      </c>
      <c r="S264">
        <f>HYPERLINK("https://klasma.github.io/Logging_2313/artfynd/A 6884-2020 artfynd.xlsx", "A 6884-2020")</f>
        <v/>
      </c>
      <c r="T264">
        <f>HYPERLINK("https://klasma.github.io/Logging_2313/kartor/A 6884-2020 karta.png", "A 6884-2020")</f>
        <v/>
      </c>
      <c r="V264">
        <f>HYPERLINK("https://klasma.github.io/Logging_2313/klagomål/A 6884-2020 FSC-klagomål.docx", "A 6884-2020")</f>
        <v/>
      </c>
      <c r="W264">
        <f>HYPERLINK("https://klasma.github.io/Logging_2313/klagomålsmail/A 6884-2020 FSC-klagomål mail.docx", "A 6884-2020")</f>
        <v/>
      </c>
      <c r="X264">
        <f>HYPERLINK("https://klasma.github.io/Logging_2313/tillsyn/A 6884-2020 tillsynsbegäran.docx", "A 6884-2020")</f>
        <v/>
      </c>
      <c r="Y264">
        <f>HYPERLINK("https://klasma.github.io/Logging_2313/tillsynsmail/A 6884-2020 tillsynsbegäran mail.docx", "A 6884-2020")</f>
        <v/>
      </c>
    </row>
    <row r="265" ht="15" customHeight="1">
      <c r="A265" t="inlineStr">
        <is>
          <t>A 31447-2020</t>
        </is>
      </c>
      <c r="B265" s="1" t="n">
        <v>44013</v>
      </c>
      <c r="C265" s="1" t="n">
        <v>45740</v>
      </c>
      <c r="D265" t="inlineStr">
        <is>
          <t>JÄMTLANDS LÄN</t>
        </is>
      </c>
      <c r="E265" t="inlineStr">
        <is>
          <t>STRÖMSUND</t>
        </is>
      </c>
      <c r="G265" t="n">
        <v>22</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HYPERLINK("https://klasma.github.io/Logging_2313/artfynd/A 31447-2020 artfynd.xlsx", "A 31447-2020")</f>
        <v/>
      </c>
      <c r="T265">
        <f>HYPERLINK("https://klasma.github.io/Logging_2313/kartor/A 31447-2020 karta.png", "A 31447-2020")</f>
        <v/>
      </c>
      <c r="V265">
        <f>HYPERLINK("https://klasma.github.io/Logging_2313/klagomål/A 31447-2020 FSC-klagomål.docx", "A 31447-2020")</f>
        <v/>
      </c>
      <c r="W265">
        <f>HYPERLINK("https://klasma.github.io/Logging_2313/klagomålsmail/A 31447-2020 FSC-klagomål mail.docx", "A 31447-2020")</f>
        <v/>
      </c>
      <c r="X265">
        <f>HYPERLINK("https://klasma.github.io/Logging_2313/tillsyn/A 31447-2020 tillsynsbegäran.docx", "A 31447-2020")</f>
        <v/>
      </c>
      <c r="Y265">
        <f>HYPERLINK("https://klasma.github.io/Logging_2313/tillsynsmail/A 31447-2020 tillsynsbegäran mail.docx", "A 31447-2020")</f>
        <v/>
      </c>
      <c r="Z265">
        <f>HYPERLINK("https://klasma.github.io/Logging_2313/fåglar/A 31447-2020 prioriterade fågelarter.docx", "A 31447-2020")</f>
        <v/>
      </c>
    </row>
    <row r="266" ht="15" customHeight="1">
      <c r="A266" t="inlineStr">
        <is>
          <t>A 36883-2020</t>
        </is>
      </c>
      <c r="B266" s="1" t="n">
        <v>44053</v>
      </c>
      <c r="C266" s="1" t="n">
        <v>45740</v>
      </c>
      <c r="D266" t="inlineStr">
        <is>
          <t>JÄMTLANDS LÄN</t>
        </is>
      </c>
      <c r="E266" t="inlineStr">
        <is>
          <t>STRÖMSUND</t>
        </is>
      </c>
      <c r="F266" t="inlineStr">
        <is>
          <t>Holmen skog AB</t>
        </is>
      </c>
      <c r="G266" t="n">
        <v>11.1</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36883-2020 artfynd.xlsx", "A 36883-2020")</f>
        <v/>
      </c>
      <c r="T266">
        <f>HYPERLINK("https://klasma.github.io/Logging_2313/kartor/A 36883-2020 karta.png", "A 36883-2020")</f>
        <v/>
      </c>
      <c r="V266">
        <f>HYPERLINK("https://klasma.github.io/Logging_2313/klagomål/A 36883-2020 FSC-klagomål.docx", "A 36883-2020")</f>
        <v/>
      </c>
      <c r="W266">
        <f>HYPERLINK("https://klasma.github.io/Logging_2313/klagomålsmail/A 36883-2020 FSC-klagomål mail.docx", "A 36883-2020")</f>
        <v/>
      </c>
      <c r="X266">
        <f>HYPERLINK("https://klasma.github.io/Logging_2313/tillsyn/A 36883-2020 tillsynsbegäran.docx", "A 36883-2020")</f>
        <v/>
      </c>
      <c r="Y266">
        <f>HYPERLINK("https://klasma.github.io/Logging_2313/tillsynsmail/A 36883-2020 tillsynsbegäran mail.docx", "A 36883-2020")</f>
        <v/>
      </c>
    </row>
    <row r="267" ht="15" customHeight="1">
      <c r="A267" t="inlineStr">
        <is>
          <t>A 39356-2020</t>
        </is>
      </c>
      <c r="B267" s="1" t="n">
        <v>44063</v>
      </c>
      <c r="C267" s="1" t="n">
        <v>45740</v>
      </c>
      <c r="D267" t="inlineStr">
        <is>
          <t>JÄMTLANDS LÄN</t>
        </is>
      </c>
      <c r="E267" t="inlineStr">
        <is>
          <t>STRÖMSUND</t>
        </is>
      </c>
      <c r="F267" t="inlineStr">
        <is>
          <t>SCA</t>
        </is>
      </c>
      <c r="G267" t="n">
        <v>3.9</v>
      </c>
      <c r="H267" t="n">
        <v>0</v>
      </c>
      <c r="I267" t="n">
        <v>0</v>
      </c>
      <c r="J267" t="n">
        <v>2</v>
      </c>
      <c r="K267" t="n">
        <v>0</v>
      </c>
      <c r="L267" t="n">
        <v>0</v>
      </c>
      <c r="M267" t="n">
        <v>0</v>
      </c>
      <c r="N267" t="n">
        <v>0</v>
      </c>
      <c r="O267" t="n">
        <v>2</v>
      </c>
      <c r="P267" t="n">
        <v>0</v>
      </c>
      <c r="Q267" t="n">
        <v>2</v>
      </c>
      <c r="R267" s="2" t="inlineStr">
        <is>
          <t>Gammelgransskål
Skrovellav</t>
        </is>
      </c>
      <c r="S267">
        <f>HYPERLINK("https://klasma.github.io/Logging_2313/artfynd/A 39356-2020 artfynd.xlsx", "A 39356-2020")</f>
        <v/>
      </c>
      <c r="T267">
        <f>HYPERLINK("https://klasma.github.io/Logging_2313/kartor/A 39356-2020 karta.png", "A 39356-2020")</f>
        <v/>
      </c>
      <c r="V267">
        <f>HYPERLINK("https://klasma.github.io/Logging_2313/klagomål/A 39356-2020 FSC-klagomål.docx", "A 39356-2020")</f>
        <v/>
      </c>
      <c r="W267">
        <f>HYPERLINK("https://klasma.github.io/Logging_2313/klagomålsmail/A 39356-2020 FSC-klagomål mail.docx", "A 39356-2020")</f>
        <v/>
      </c>
      <c r="X267">
        <f>HYPERLINK("https://klasma.github.io/Logging_2313/tillsyn/A 39356-2020 tillsynsbegäran.docx", "A 39356-2020")</f>
        <v/>
      </c>
      <c r="Y267">
        <f>HYPERLINK("https://klasma.github.io/Logging_2313/tillsynsmail/A 39356-2020 tillsynsbegäran mail.docx", "A 39356-2020")</f>
        <v/>
      </c>
    </row>
    <row r="268" ht="15" customHeight="1">
      <c r="A268" t="inlineStr">
        <is>
          <t>A 53072-2020</t>
        </is>
      </c>
      <c r="B268" s="1" t="n">
        <v>44120</v>
      </c>
      <c r="C268" s="1" t="n">
        <v>45740</v>
      </c>
      <c r="D268" t="inlineStr">
        <is>
          <t>JÄMTLANDS LÄN</t>
        </is>
      </c>
      <c r="E268" t="inlineStr">
        <is>
          <t>STRÖMSUND</t>
        </is>
      </c>
      <c r="F268" t="inlineStr">
        <is>
          <t>Holmen skog AB</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HYPERLINK("https://klasma.github.io/Logging_2313/artfynd/A 53072-2020 artfynd.xlsx", "A 53072-2020")</f>
        <v/>
      </c>
      <c r="T268">
        <f>HYPERLINK("https://klasma.github.io/Logging_2313/kartor/A 53072-2020 karta.png", "A 53072-2020")</f>
        <v/>
      </c>
      <c r="V268">
        <f>HYPERLINK("https://klasma.github.io/Logging_2313/klagomål/A 53072-2020 FSC-klagomål.docx", "A 53072-2020")</f>
        <v/>
      </c>
      <c r="W268">
        <f>HYPERLINK("https://klasma.github.io/Logging_2313/klagomålsmail/A 53072-2020 FSC-klagomål mail.docx", "A 53072-2020")</f>
        <v/>
      </c>
      <c r="X268">
        <f>HYPERLINK("https://klasma.github.io/Logging_2313/tillsyn/A 53072-2020 tillsynsbegäran.docx", "A 53072-2020")</f>
        <v/>
      </c>
      <c r="Y268">
        <f>HYPERLINK("https://klasma.github.io/Logging_2313/tillsynsmail/A 53072-2020 tillsynsbegäran mail.docx", "A 53072-2020")</f>
        <v/>
      </c>
    </row>
    <row r="269" ht="15" customHeight="1">
      <c r="A269" t="inlineStr">
        <is>
          <t>A 55641-2020</t>
        </is>
      </c>
      <c r="B269" s="1" t="n">
        <v>44131</v>
      </c>
      <c r="C269" s="1" t="n">
        <v>45740</v>
      </c>
      <c r="D269" t="inlineStr">
        <is>
          <t>JÄMTLANDS LÄN</t>
        </is>
      </c>
      <c r="E269" t="inlineStr">
        <is>
          <t>STRÖMSUND</t>
        </is>
      </c>
      <c r="G269" t="n">
        <v>60.4</v>
      </c>
      <c r="H269" t="n">
        <v>0</v>
      </c>
      <c r="I269" t="n">
        <v>0</v>
      </c>
      <c r="J269" t="n">
        <v>1</v>
      </c>
      <c r="K269" t="n">
        <v>1</v>
      </c>
      <c r="L269" t="n">
        <v>0</v>
      </c>
      <c r="M269" t="n">
        <v>0</v>
      </c>
      <c r="N269" t="n">
        <v>0</v>
      </c>
      <c r="O269" t="n">
        <v>2</v>
      </c>
      <c r="P269" t="n">
        <v>1</v>
      </c>
      <c r="Q269" t="n">
        <v>2</v>
      </c>
      <c r="R269" s="2" t="inlineStr">
        <is>
          <t>Norsk näverlav
Luddfingersvamp</t>
        </is>
      </c>
      <c r="S269">
        <f>HYPERLINK("https://klasma.github.io/Logging_2313/artfynd/A 55641-2020 artfynd.xlsx", "A 55641-2020")</f>
        <v/>
      </c>
      <c r="T269">
        <f>HYPERLINK("https://klasma.github.io/Logging_2313/kartor/A 55641-2020 karta.png", "A 55641-2020")</f>
        <v/>
      </c>
      <c r="V269">
        <f>HYPERLINK("https://klasma.github.io/Logging_2313/klagomål/A 55641-2020 FSC-klagomål.docx", "A 55641-2020")</f>
        <v/>
      </c>
      <c r="W269">
        <f>HYPERLINK("https://klasma.github.io/Logging_2313/klagomålsmail/A 55641-2020 FSC-klagomål mail.docx", "A 55641-2020")</f>
        <v/>
      </c>
      <c r="X269">
        <f>HYPERLINK("https://klasma.github.io/Logging_2313/tillsyn/A 55641-2020 tillsynsbegäran.docx", "A 55641-2020")</f>
        <v/>
      </c>
      <c r="Y269">
        <f>HYPERLINK("https://klasma.github.io/Logging_2313/tillsynsmail/A 55641-2020 tillsynsbegäran mail.docx", "A 55641-2020")</f>
        <v/>
      </c>
    </row>
    <row r="270" ht="15" customHeight="1">
      <c r="A270" t="inlineStr">
        <is>
          <t>A 58228-2020</t>
        </is>
      </c>
      <c r="B270" s="1" t="n">
        <v>44144</v>
      </c>
      <c r="C270" s="1" t="n">
        <v>45740</v>
      </c>
      <c r="D270" t="inlineStr">
        <is>
          <t>JÄMTLANDS LÄN</t>
        </is>
      </c>
      <c r="E270" t="inlineStr">
        <is>
          <t>STRÖMSUND</t>
        </is>
      </c>
      <c r="F270" t="inlineStr">
        <is>
          <t>Holmen skog AB</t>
        </is>
      </c>
      <c r="G270" t="n">
        <v>9.199999999999999</v>
      </c>
      <c r="H270" t="n">
        <v>0</v>
      </c>
      <c r="I270" t="n">
        <v>0</v>
      </c>
      <c r="J270" t="n">
        <v>0</v>
      </c>
      <c r="K270" t="n">
        <v>2</v>
      </c>
      <c r="L270" t="n">
        <v>0</v>
      </c>
      <c r="M270" t="n">
        <v>0</v>
      </c>
      <c r="N270" t="n">
        <v>0</v>
      </c>
      <c r="O270" t="n">
        <v>2</v>
      </c>
      <c r="P270" t="n">
        <v>2</v>
      </c>
      <c r="Q270" t="n">
        <v>2</v>
      </c>
      <c r="R270" s="2" t="inlineStr">
        <is>
          <t>Norsk näverlav
Smalskaftslav</t>
        </is>
      </c>
      <c r="S270">
        <f>HYPERLINK("https://klasma.github.io/Logging_2313/artfynd/A 58228-2020 artfynd.xlsx", "A 58228-2020")</f>
        <v/>
      </c>
      <c r="T270">
        <f>HYPERLINK("https://klasma.github.io/Logging_2313/kartor/A 58228-2020 karta.png", "A 58228-2020")</f>
        <v/>
      </c>
      <c r="V270">
        <f>HYPERLINK("https://klasma.github.io/Logging_2313/klagomål/A 58228-2020 FSC-klagomål.docx", "A 58228-2020")</f>
        <v/>
      </c>
      <c r="W270">
        <f>HYPERLINK("https://klasma.github.io/Logging_2313/klagomålsmail/A 58228-2020 FSC-klagomål mail.docx", "A 58228-2020")</f>
        <v/>
      </c>
      <c r="X270">
        <f>HYPERLINK("https://klasma.github.io/Logging_2313/tillsyn/A 58228-2020 tillsynsbegäran.docx", "A 58228-2020")</f>
        <v/>
      </c>
      <c r="Y270">
        <f>HYPERLINK("https://klasma.github.io/Logging_2313/tillsynsmail/A 58228-2020 tillsynsbegäran mail.docx", "A 58228-2020")</f>
        <v/>
      </c>
    </row>
    <row r="271" ht="15" customHeight="1">
      <c r="A271" t="inlineStr">
        <is>
          <t>A 60116-2020</t>
        </is>
      </c>
      <c r="B271" s="1" t="n">
        <v>44151</v>
      </c>
      <c r="C271" s="1" t="n">
        <v>45740</v>
      </c>
      <c r="D271" t="inlineStr">
        <is>
          <t>JÄMTLANDS LÄN</t>
        </is>
      </c>
      <c r="E271" t="inlineStr">
        <is>
          <t>STRÖMSUND</t>
        </is>
      </c>
      <c r="G271" t="n">
        <v>13.7</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60116-2020 artfynd.xlsx", "A 60116-2020")</f>
        <v/>
      </c>
      <c r="T271">
        <f>HYPERLINK("https://klasma.github.io/Logging_2313/kartor/A 60116-2020 karta.png", "A 60116-2020")</f>
        <v/>
      </c>
      <c r="V271">
        <f>HYPERLINK("https://klasma.github.io/Logging_2313/klagomål/A 60116-2020 FSC-klagomål.docx", "A 60116-2020")</f>
        <v/>
      </c>
      <c r="W271">
        <f>HYPERLINK("https://klasma.github.io/Logging_2313/klagomålsmail/A 60116-2020 FSC-klagomål mail.docx", "A 60116-2020")</f>
        <v/>
      </c>
      <c r="X271">
        <f>HYPERLINK("https://klasma.github.io/Logging_2313/tillsyn/A 60116-2020 tillsynsbegäran.docx", "A 60116-2020")</f>
        <v/>
      </c>
      <c r="Y271">
        <f>HYPERLINK("https://klasma.github.io/Logging_2313/tillsynsmail/A 60116-2020 tillsynsbegäran mail.docx", "A 60116-2020")</f>
        <v/>
      </c>
    </row>
    <row r="272" ht="15" customHeight="1">
      <c r="A272" t="inlineStr">
        <is>
          <t>A 66707-2020</t>
        </is>
      </c>
      <c r="B272" s="1" t="n">
        <v>44179</v>
      </c>
      <c r="C272" s="1" t="n">
        <v>45740</v>
      </c>
      <c r="D272" t="inlineStr">
        <is>
          <t>JÄMTLANDS LÄN</t>
        </is>
      </c>
      <c r="E272" t="inlineStr">
        <is>
          <t>STRÖMSUND</t>
        </is>
      </c>
      <c r="G272" t="n">
        <v>29.6</v>
      </c>
      <c r="H272" t="n">
        <v>1</v>
      </c>
      <c r="I272" t="n">
        <v>1</v>
      </c>
      <c r="J272" t="n">
        <v>0</v>
      </c>
      <c r="K272" t="n">
        <v>0</v>
      </c>
      <c r="L272" t="n">
        <v>0</v>
      </c>
      <c r="M272" t="n">
        <v>0</v>
      </c>
      <c r="N272" t="n">
        <v>0</v>
      </c>
      <c r="O272" t="n">
        <v>0</v>
      </c>
      <c r="P272" t="n">
        <v>0</v>
      </c>
      <c r="Q272" t="n">
        <v>2</v>
      </c>
      <c r="R272" s="2" t="inlineStr">
        <is>
          <t>Kransrams
Blåsippa</t>
        </is>
      </c>
      <c r="S272">
        <f>HYPERLINK("https://klasma.github.io/Logging_2313/artfynd/A 66707-2020 artfynd.xlsx", "A 66707-2020")</f>
        <v/>
      </c>
      <c r="T272">
        <f>HYPERLINK("https://klasma.github.io/Logging_2313/kartor/A 66707-2020 karta.png", "A 66707-2020")</f>
        <v/>
      </c>
      <c r="V272">
        <f>HYPERLINK("https://klasma.github.io/Logging_2313/klagomål/A 66707-2020 FSC-klagomål.docx", "A 66707-2020")</f>
        <v/>
      </c>
      <c r="W272">
        <f>HYPERLINK("https://klasma.github.io/Logging_2313/klagomålsmail/A 66707-2020 FSC-klagomål mail.docx", "A 66707-2020")</f>
        <v/>
      </c>
      <c r="X272">
        <f>HYPERLINK("https://klasma.github.io/Logging_2313/tillsyn/A 66707-2020 tillsynsbegäran.docx", "A 66707-2020")</f>
        <v/>
      </c>
      <c r="Y272">
        <f>HYPERLINK("https://klasma.github.io/Logging_2313/tillsynsmail/A 66707-2020 tillsynsbegäran mail.docx", "A 66707-2020")</f>
        <v/>
      </c>
    </row>
    <row r="273" ht="15" customHeight="1">
      <c r="A273" t="inlineStr">
        <is>
          <t>A 68530-2020</t>
        </is>
      </c>
      <c r="B273" s="1" t="n">
        <v>44186</v>
      </c>
      <c r="C273" s="1" t="n">
        <v>45740</v>
      </c>
      <c r="D273" t="inlineStr">
        <is>
          <t>JÄMTLANDS LÄN</t>
        </is>
      </c>
      <c r="E273" t="inlineStr">
        <is>
          <t>STRÖMSUND</t>
        </is>
      </c>
      <c r="F273" t="inlineStr">
        <is>
          <t>Holmen skog AB</t>
        </is>
      </c>
      <c r="G273" t="n">
        <v>82.3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68530-2020 artfynd.xlsx", "A 68530-2020")</f>
        <v/>
      </c>
      <c r="T273">
        <f>HYPERLINK("https://klasma.github.io/Logging_2313/kartor/A 68530-2020 karta.png", "A 68530-2020")</f>
        <v/>
      </c>
      <c r="V273">
        <f>HYPERLINK("https://klasma.github.io/Logging_2313/klagomål/A 68530-2020 FSC-klagomål.docx", "A 68530-2020")</f>
        <v/>
      </c>
      <c r="W273">
        <f>HYPERLINK("https://klasma.github.io/Logging_2313/klagomålsmail/A 68530-2020 FSC-klagomål mail.docx", "A 68530-2020")</f>
        <v/>
      </c>
      <c r="X273">
        <f>HYPERLINK("https://klasma.github.io/Logging_2313/tillsyn/A 68530-2020 tillsynsbegäran.docx", "A 68530-2020")</f>
        <v/>
      </c>
      <c r="Y273">
        <f>HYPERLINK("https://klasma.github.io/Logging_2313/tillsynsmail/A 68530-2020 tillsynsbegäran mail.docx", "A 68530-2020")</f>
        <v/>
      </c>
    </row>
    <row r="274" ht="15" customHeight="1">
      <c r="A274" t="inlineStr">
        <is>
          <t>A 14556-2021</t>
        </is>
      </c>
      <c r="B274" s="1" t="n">
        <v>44279</v>
      </c>
      <c r="C274" s="1" t="n">
        <v>45740</v>
      </c>
      <c r="D274" t="inlineStr">
        <is>
          <t>JÄMTLANDS LÄN</t>
        </is>
      </c>
      <c r="E274" t="inlineStr">
        <is>
          <t>STRÖMSUND</t>
        </is>
      </c>
      <c r="F274" t="inlineStr">
        <is>
          <t>SCA</t>
        </is>
      </c>
      <c r="G274" t="n">
        <v>5.2</v>
      </c>
      <c r="H274" t="n">
        <v>1</v>
      </c>
      <c r="I274" t="n">
        <v>0</v>
      </c>
      <c r="J274" t="n">
        <v>1</v>
      </c>
      <c r="K274" t="n">
        <v>0</v>
      </c>
      <c r="L274" t="n">
        <v>0</v>
      </c>
      <c r="M274" t="n">
        <v>0</v>
      </c>
      <c r="N274" t="n">
        <v>0</v>
      </c>
      <c r="O274" t="n">
        <v>1</v>
      </c>
      <c r="P274" t="n">
        <v>0</v>
      </c>
      <c r="Q274" t="n">
        <v>2</v>
      </c>
      <c r="R274" s="2" t="inlineStr">
        <is>
          <t>Garnlav
Revlummer</t>
        </is>
      </c>
      <c r="S274">
        <f>HYPERLINK("https://klasma.github.io/Logging_2313/artfynd/A 14556-2021 artfynd.xlsx", "A 14556-2021")</f>
        <v/>
      </c>
      <c r="T274">
        <f>HYPERLINK("https://klasma.github.io/Logging_2313/kartor/A 14556-2021 karta.png", "A 14556-2021")</f>
        <v/>
      </c>
      <c r="V274">
        <f>HYPERLINK("https://klasma.github.io/Logging_2313/klagomål/A 14556-2021 FSC-klagomål.docx", "A 14556-2021")</f>
        <v/>
      </c>
      <c r="W274">
        <f>HYPERLINK("https://klasma.github.io/Logging_2313/klagomålsmail/A 14556-2021 FSC-klagomål mail.docx", "A 14556-2021")</f>
        <v/>
      </c>
      <c r="X274">
        <f>HYPERLINK("https://klasma.github.io/Logging_2313/tillsyn/A 14556-2021 tillsynsbegäran.docx", "A 14556-2021")</f>
        <v/>
      </c>
      <c r="Y274">
        <f>HYPERLINK("https://klasma.github.io/Logging_2313/tillsynsmail/A 14556-2021 tillsynsbegäran mail.docx", "A 14556-2021")</f>
        <v/>
      </c>
    </row>
    <row r="275" ht="15" customHeight="1">
      <c r="A275" t="inlineStr">
        <is>
          <t>A 22526-2021</t>
        </is>
      </c>
      <c r="B275" s="1" t="n">
        <v>44326</v>
      </c>
      <c r="C275" s="1" t="n">
        <v>45740</v>
      </c>
      <c r="D275" t="inlineStr">
        <is>
          <t>JÄMTLANDS LÄN</t>
        </is>
      </c>
      <c r="E275" t="inlineStr">
        <is>
          <t>STRÖMSUND</t>
        </is>
      </c>
      <c r="F275" t="inlineStr">
        <is>
          <t>SCA</t>
        </is>
      </c>
      <c r="G275" t="n">
        <v>2.8</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22526-2021 artfynd.xlsx", "A 22526-2021")</f>
        <v/>
      </c>
      <c r="T275">
        <f>HYPERLINK("https://klasma.github.io/Logging_2313/kartor/A 22526-2021 karta.png", "A 22526-2021")</f>
        <v/>
      </c>
      <c r="V275">
        <f>HYPERLINK("https://klasma.github.io/Logging_2313/klagomål/A 22526-2021 FSC-klagomål.docx", "A 22526-2021")</f>
        <v/>
      </c>
      <c r="W275">
        <f>HYPERLINK("https://klasma.github.io/Logging_2313/klagomålsmail/A 22526-2021 FSC-klagomål mail.docx", "A 22526-2021")</f>
        <v/>
      </c>
      <c r="X275">
        <f>HYPERLINK("https://klasma.github.io/Logging_2313/tillsyn/A 22526-2021 tillsynsbegäran.docx", "A 22526-2021")</f>
        <v/>
      </c>
      <c r="Y275">
        <f>HYPERLINK("https://klasma.github.io/Logging_2313/tillsynsmail/A 22526-2021 tillsynsbegäran mail.docx", "A 22526-2021")</f>
        <v/>
      </c>
    </row>
    <row r="276" ht="15" customHeight="1">
      <c r="A276" t="inlineStr">
        <is>
          <t>A 26152-2021</t>
        </is>
      </c>
      <c r="B276" s="1" t="n">
        <v>44346</v>
      </c>
      <c r="C276" s="1" t="n">
        <v>45740</v>
      </c>
      <c r="D276" t="inlineStr">
        <is>
          <t>JÄMTLANDS LÄN</t>
        </is>
      </c>
      <c r="E276" t="inlineStr">
        <is>
          <t>STRÖMSUND</t>
        </is>
      </c>
      <c r="F276" t="inlineStr">
        <is>
          <t>SCA</t>
        </is>
      </c>
      <c r="G276" t="n">
        <v>3</v>
      </c>
      <c r="H276" t="n">
        <v>0</v>
      </c>
      <c r="I276" t="n">
        <v>2</v>
      </c>
      <c r="J276" t="n">
        <v>0</v>
      </c>
      <c r="K276" t="n">
        <v>0</v>
      </c>
      <c r="L276" t="n">
        <v>0</v>
      </c>
      <c r="M276" t="n">
        <v>0</v>
      </c>
      <c r="N276" t="n">
        <v>0</v>
      </c>
      <c r="O276" t="n">
        <v>0</v>
      </c>
      <c r="P276" t="n">
        <v>0</v>
      </c>
      <c r="Q276" t="n">
        <v>2</v>
      </c>
      <c r="R276" s="2" t="inlineStr">
        <is>
          <t>Skinnlav
Stor aspticka</t>
        </is>
      </c>
      <c r="S276">
        <f>HYPERLINK("https://klasma.github.io/Logging_2313/artfynd/A 26152-2021 artfynd.xlsx", "A 26152-2021")</f>
        <v/>
      </c>
      <c r="T276">
        <f>HYPERLINK("https://klasma.github.io/Logging_2313/kartor/A 26152-2021 karta.png", "A 26152-2021")</f>
        <v/>
      </c>
      <c r="V276">
        <f>HYPERLINK("https://klasma.github.io/Logging_2313/klagomål/A 26152-2021 FSC-klagomål.docx", "A 26152-2021")</f>
        <v/>
      </c>
      <c r="W276">
        <f>HYPERLINK("https://klasma.github.io/Logging_2313/klagomålsmail/A 26152-2021 FSC-klagomål mail.docx", "A 26152-2021")</f>
        <v/>
      </c>
      <c r="X276">
        <f>HYPERLINK("https://klasma.github.io/Logging_2313/tillsyn/A 26152-2021 tillsynsbegäran.docx", "A 26152-2021")</f>
        <v/>
      </c>
      <c r="Y276">
        <f>HYPERLINK("https://klasma.github.io/Logging_2313/tillsynsmail/A 26152-2021 tillsynsbegäran mail.docx", "A 26152-2021")</f>
        <v/>
      </c>
    </row>
    <row r="277" ht="15" customHeight="1">
      <c r="A277" t="inlineStr">
        <is>
          <t>A 33544-2021</t>
        </is>
      </c>
      <c r="B277" s="1" t="n">
        <v>44377</v>
      </c>
      <c r="C277" s="1" t="n">
        <v>45740</v>
      </c>
      <c r="D277" t="inlineStr">
        <is>
          <t>JÄMTLANDS LÄN</t>
        </is>
      </c>
      <c r="E277" t="inlineStr">
        <is>
          <t>STRÖMSUND</t>
        </is>
      </c>
      <c r="G277" t="n">
        <v>5.8</v>
      </c>
      <c r="H277" t="n">
        <v>0</v>
      </c>
      <c r="I277" t="n">
        <v>1</v>
      </c>
      <c r="J277" t="n">
        <v>1</v>
      </c>
      <c r="K277" t="n">
        <v>0</v>
      </c>
      <c r="L277" t="n">
        <v>0</v>
      </c>
      <c r="M277" t="n">
        <v>0</v>
      </c>
      <c r="N277" t="n">
        <v>0</v>
      </c>
      <c r="O277" t="n">
        <v>1</v>
      </c>
      <c r="P277" t="n">
        <v>0</v>
      </c>
      <c r="Q277" t="n">
        <v>2</v>
      </c>
      <c r="R277" s="2" t="inlineStr">
        <is>
          <t>Lunglav
Dvärgtufs</t>
        </is>
      </c>
      <c r="S277">
        <f>HYPERLINK("https://klasma.github.io/Logging_2313/artfynd/A 33544-2021 artfynd.xlsx", "A 33544-2021")</f>
        <v/>
      </c>
      <c r="T277">
        <f>HYPERLINK("https://klasma.github.io/Logging_2313/kartor/A 33544-2021 karta.png", "A 33544-2021")</f>
        <v/>
      </c>
      <c r="V277">
        <f>HYPERLINK("https://klasma.github.io/Logging_2313/klagomål/A 33544-2021 FSC-klagomål.docx", "A 33544-2021")</f>
        <v/>
      </c>
      <c r="W277">
        <f>HYPERLINK("https://klasma.github.io/Logging_2313/klagomålsmail/A 33544-2021 FSC-klagomål mail.docx", "A 33544-2021")</f>
        <v/>
      </c>
      <c r="X277">
        <f>HYPERLINK("https://klasma.github.io/Logging_2313/tillsyn/A 33544-2021 tillsynsbegäran.docx", "A 33544-2021")</f>
        <v/>
      </c>
      <c r="Y277">
        <f>HYPERLINK("https://klasma.github.io/Logging_2313/tillsynsmail/A 33544-2021 tillsynsbegäran mail.docx", "A 33544-2021")</f>
        <v/>
      </c>
    </row>
    <row r="278" ht="15" customHeight="1">
      <c r="A278" t="inlineStr">
        <is>
          <t>A 42239-2021</t>
        </is>
      </c>
      <c r="B278" s="1" t="n">
        <v>44426</v>
      </c>
      <c r="C278" s="1" t="n">
        <v>45740</v>
      </c>
      <c r="D278" t="inlineStr">
        <is>
          <t>JÄMTLANDS LÄN</t>
        </is>
      </c>
      <c r="E278" t="inlineStr">
        <is>
          <t>STRÖMSUND</t>
        </is>
      </c>
      <c r="F278" t="inlineStr">
        <is>
          <t>SCA</t>
        </is>
      </c>
      <c r="G278" t="n">
        <v>9.300000000000001</v>
      </c>
      <c r="H278" t="n">
        <v>0</v>
      </c>
      <c r="I278" t="n">
        <v>0</v>
      </c>
      <c r="J278" t="n">
        <v>2</v>
      </c>
      <c r="K278" t="n">
        <v>0</v>
      </c>
      <c r="L278" t="n">
        <v>0</v>
      </c>
      <c r="M278" t="n">
        <v>0</v>
      </c>
      <c r="N278" t="n">
        <v>0</v>
      </c>
      <c r="O278" t="n">
        <v>2</v>
      </c>
      <c r="P278" t="n">
        <v>0</v>
      </c>
      <c r="Q278" t="n">
        <v>2</v>
      </c>
      <c r="R278" s="2" t="inlineStr">
        <is>
          <t>Lunglav
Ullticka</t>
        </is>
      </c>
      <c r="S278">
        <f>HYPERLINK("https://klasma.github.io/Logging_2313/artfynd/A 42239-2021 artfynd.xlsx", "A 42239-2021")</f>
        <v/>
      </c>
      <c r="T278">
        <f>HYPERLINK("https://klasma.github.io/Logging_2313/kartor/A 42239-2021 karta.png", "A 42239-2021")</f>
        <v/>
      </c>
      <c r="V278">
        <f>HYPERLINK("https://klasma.github.io/Logging_2313/klagomål/A 42239-2021 FSC-klagomål.docx", "A 42239-2021")</f>
        <v/>
      </c>
      <c r="W278">
        <f>HYPERLINK("https://klasma.github.io/Logging_2313/klagomålsmail/A 42239-2021 FSC-klagomål mail.docx", "A 42239-2021")</f>
        <v/>
      </c>
      <c r="X278">
        <f>HYPERLINK("https://klasma.github.io/Logging_2313/tillsyn/A 42239-2021 tillsynsbegäran.docx", "A 42239-2021")</f>
        <v/>
      </c>
      <c r="Y278">
        <f>HYPERLINK("https://klasma.github.io/Logging_2313/tillsynsmail/A 42239-2021 tillsynsbegäran mail.docx", "A 42239-2021")</f>
        <v/>
      </c>
    </row>
    <row r="279" ht="15" customHeight="1">
      <c r="A279" t="inlineStr">
        <is>
          <t>A 44604-2021</t>
        </is>
      </c>
      <c r="B279" s="1" t="n">
        <v>44435</v>
      </c>
      <c r="C279" s="1" t="n">
        <v>45740</v>
      </c>
      <c r="D279" t="inlineStr">
        <is>
          <t>JÄMTLANDS LÄN</t>
        </is>
      </c>
      <c r="E279" t="inlineStr">
        <is>
          <t>STRÖMSUND</t>
        </is>
      </c>
      <c r="F279" t="inlineStr">
        <is>
          <t>SCA</t>
        </is>
      </c>
      <c r="G279" t="n">
        <v>2.8</v>
      </c>
      <c r="H279" t="n">
        <v>0</v>
      </c>
      <c r="I279" t="n">
        <v>0</v>
      </c>
      <c r="J279" t="n">
        <v>2</v>
      </c>
      <c r="K279" t="n">
        <v>0</v>
      </c>
      <c r="L279" t="n">
        <v>0</v>
      </c>
      <c r="M279" t="n">
        <v>0</v>
      </c>
      <c r="N279" t="n">
        <v>0</v>
      </c>
      <c r="O279" t="n">
        <v>2</v>
      </c>
      <c r="P279" t="n">
        <v>0</v>
      </c>
      <c r="Q279" t="n">
        <v>2</v>
      </c>
      <c r="R279" s="2" t="inlineStr">
        <is>
          <t>Brunpudrad nållav
Gammelgransskål</t>
        </is>
      </c>
      <c r="S279">
        <f>HYPERLINK("https://klasma.github.io/Logging_2313/artfynd/A 44604-2021 artfynd.xlsx", "A 44604-2021")</f>
        <v/>
      </c>
      <c r="T279">
        <f>HYPERLINK("https://klasma.github.io/Logging_2313/kartor/A 44604-2021 karta.png", "A 44604-2021")</f>
        <v/>
      </c>
      <c r="V279">
        <f>HYPERLINK("https://klasma.github.io/Logging_2313/klagomål/A 44604-2021 FSC-klagomål.docx", "A 44604-2021")</f>
        <v/>
      </c>
      <c r="W279">
        <f>HYPERLINK("https://klasma.github.io/Logging_2313/klagomålsmail/A 44604-2021 FSC-klagomål mail.docx", "A 44604-2021")</f>
        <v/>
      </c>
      <c r="X279">
        <f>HYPERLINK("https://klasma.github.io/Logging_2313/tillsyn/A 44604-2021 tillsynsbegäran.docx", "A 44604-2021")</f>
        <v/>
      </c>
      <c r="Y279">
        <f>HYPERLINK("https://klasma.github.io/Logging_2313/tillsynsmail/A 44604-2021 tillsynsbegäran mail.docx", "A 44604-2021")</f>
        <v/>
      </c>
    </row>
    <row r="280" ht="15" customHeight="1">
      <c r="A280" t="inlineStr">
        <is>
          <t>A 44773-2021</t>
        </is>
      </c>
      <c r="B280" s="1" t="n">
        <v>44438</v>
      </c>
      <c r="C280" s="1" t="n">
        <v>45740</v>
      </c>
      <c r="D280" t="inlineStr">
        <is>
          <t>JÄMTLANDS LÄN</t>
        </is>
      </c>
      <c r="E280" t="inlineStr">
        <is>
          <t>STRÖMSUND</t>
        </is>
      </c>
      <c r="G280" t="n">
        <v>12.3</v>
      </c>
      <c r="H280" t="n">
        <v>0</v>
      </c>
      <c r="I280" t="n">
        <v>0</v>
      </c>
      <c r="J280" t="n">
        <v>1</v>
      </c>
      <c r="K280" t="n">
        <v>1</v>
      </c>
      <c r="L280" t="n">
        <v>0</v>
      </c>
      <c r="M280" t="n">
        <v>0</v>
      </c>
      <c r="N280" t="n">
        <v>0</v>
      </c>
      <c r="O280" t="n">
        <v>2</v>
      </c>
      <c r="P280" t="n">
        <v>1</v>
      </c>
      <c r="Q280" t="n">
        <v>2</v>
      </c>
      <c r="R280" s="2" t="inlineStr">
        <is>
          <t>Allékantlav
Lunglav</t>
        </is>
      </c>
      <c r="S280">
        <f>HYPERLINK("https://klasma.github.io/Logging_2313/artfynd/A 44773-2021 artfynd.xlsx", "A 44773-2021")</f>
        <v/>
      </c>
      <c r="T280">
        <f>HYPERLINK("https://klasma.github.io/Logging_2313/kartor/A 44773-2021 karta.png", "A 44773-2021")</f>
        <v/>
      </c>
      <c r="V280">
        <f>HYPERLINK("https://klasma.github.io/Logging_2313/klagomål/A 44773-2021 FSC-klagomål.docx", "A 44773-2021")</f>
        <v/>
      </c>
      <c r="W280">
        <f>HYPERLINK("https://klasma.github.io/Logging_2313/klagomålsmail/A 44773-2021 FSC-klagomål mail.docx", "A 44773-2021")</f>
        <v/>
      </c>
      <c r="X280">
        <f>HYPERLINK("https://klasma.github.io/Logging_2313/tillsyn/A 44773-2021 tillsynsbegäran.docx", "A 44773-2021")</f>
        <v/>
      </c>
      <c r="Y280">
        <f>HYPERLINK("https://klasma.github.io/Logging_2313/tillsynsmail/A 44773-2021 tillsynsbegäran mail.docx", "A 44773-2021")</f>
        <v/>
      </c>
    </row>
    <row r="281" ht="15" customHeight="1">
      <c r="A281" t="inlineStr">
        <is>
          <t>A 45633-2021</t>
        </is>
      </c>
      <c r="B281" s="1" t="n">
        <v>44440</v>
      </c>
      <c r="C281" s="1" t="n">
        <v>45740</v>
      </c>
      <c r="D281" t="inlineStr">
        <is>
          <t>JÄMTLANDS LÄN</t>
        </is>
      </c>
      <c r="E281" t="inlineStr">
        <is>
          <t>STRÖMSUND</t>
        </is>
      </c>
      <c r="F281" t="inlineStr">
        <is>
          <t>SCA</t>
        </is>
      </c>
      <c r="G281" t="n">
        <v>2.1</v>
      </c>
      <c r="H281" t="n">
        <v>0</v>
      </c>
      <c r="I281" t="n">
        <v>1</v>
      </c>
      <c r="J281" t="n">
        <v>1</v>
      </c>
      <c r="K281" t="n">
        <v>0</v>
      </c>
      <c r="L281" t="n">
        <v>0</v>
      </c>
      <c r="M281" t="n">
        <v>0</v>
      </c>
      <c r="N281" t="n">
        <v>0</v>
      </c>
      <c r="O281" t="n">
        <v>1</v>
      </c>
      <c r="P281" t="n">
        <v>0</v>
      </c>
      <c r="Q281" t="n">
        <v>2</v>
      </c>
      <c r="R281" s="2" t="inlineStr">
        <is>
          <t>Garnlav
Källmossa</t>
        </is>
      </c>
      <c r="S281">
        <f>HYPERLINK("https://klasma.github.io/Logging_2313/artfynd/A 45633-2021 artfynd.xlsx", "A 45633-2021")</f>
        <v/>
      </c>
      <c r="T281">
        <f>HYPERLINK("https://klasma.github.io/Logging_2313/kartor/A 45633-2021 karta.png", "A 45633-2021")</f>
        <v/>
      </c>
      <c r="V281">
        <f>HYPERLINK("https://klasma.github.io/Logging_2313/klagomål/A 45633-2021 FSC-klagomål.docx", "A 45633-2021")</f>
        <v/>
      </c>
      <c r="W281">
        <f>HYPERLINK("https://klasma.github.io/Logging_2313/klagomålsmail/A 45633-2021 FSC-klagomål mail.docx", "A 45633-2021")</f>
        <v/>
      </c>
      <c r="X281">
        <f>HYPERLINK("https://klasma.github.io/Logging_2313/tillsyn/A 45633-2021 tillsynsbegäran.docx", "A 45633-2021")</f>
        <v/>
      </c>
      <c r="Y281">
        <f>HYPERLINK("https://klasma.github.io/Logging_2313/tillsynsmail/A 45633-2021 tillsynsbegäran mail.docx", "A 45633-2021")</f>
        <v/>
      </c>
    </row>
    <row r="282" ht="15" customHeight="1">
      <c r="A282" t="inlineStr">
        <is>
          <t>A 47937-2021</t>
        </is>
      </c>
      <c r="B282" s="1" t="n">
        <v>44448</v>
      </c>
      <c r="C282" s="1" t="n">
        <v>45740</v>
      </c>
      <c r="D282" t="inlineStr">
        <is>
          <t>JÄMTLANDS LÄN</t>
        </is>
      </c>
      <c r="E282" t="inlineStr">
        <is>
          <t>STRÖMSUND</t>
        </is>
      </c>
      <c r="F282" t="inlineStr">
        <is>
          <t>SCA</t>
        </is>
      </c>
      <c r="G282" t="n">
        <v>1.9</v>
      </c>
      <c r="H282" t="n">
        <v>1</v>
      </c>
      <c r="I282" t="n">
        <v>0</v>
      </c>
      <c r="J282" t="n">
        <v>1</v>
      </c>
      <c r="K282" t="n">
        <v>1</v>
      </c>
      <c r="L282" t="n">
        <v>0</v>
      </c>
      <c r="M282" t="n">
        <v>0</v>
      </c>
      <c r="N282" t="n">
        <v>0</v>
      </c>
      <c r="O282" t="n">
        <v>2</v>
      </c>
      <c r="P282" t="n">
        <v>1</v>
      </c>
      <c r="Q282" t="n">
        <v>2</v>
      </c>
      <c r="R282" s="2" t="inlineStr">
        <is>
          <t>Knärot
Granticka</t>
        </is>
      </c>
      <c r="S282">
        <f>HYPERLINK("https://klasma.github.io/Logging_2313/artfynd/A 47937-2021 artfynd.xlsx", "A 47937-2021")</f>
        <v/>
      </c>
      <c r="T282">
        <f>HYPERLINK("https://klasma.github.io/Logging_2313/kartor/A 47937-2021 karta.png", "A 47937-2021")</f>
        <v/>
      </c>
      <c r="U282">
        <f>HYPERLINK("https://klasma.github.io/Logging_2313/knärot/A 47937-2021 karta knärot.png", "A 47937-2021")</f>
        <v/>
      </c>
      <c r="V282">
        <f>HYPERLINK("https://klasma.github.io/Logging_2313/klagomål/A 47937-2021 FSC-klagomål.docx", "A 47937-2021")</f>
        <v/>
      </c>
      <c r="W282">
        <f>HYPERLINK("https://klasma.github.io/Logging_2313/klagomålsmail/A 47937-2021 FSC-klagomål mail.docx", "A 47937-2021")</f>
        <v/>
      </c>
      <c r="X282">
        <f>HYPERLINK("https://klasma.github.io/Logging_2313/tillsyn/A 47937-2021 tillsynsbegäran.docx", "A 47937-2021")</f>
        <v/>
      </c>
      <c r="Y282">
        <f>HYPERLINK("https://klasma.github.io/Logging_2313/tillsynsmail/A 47937-2021 tillsynsbegäran mail.docx", "A 47937-2021")</f>
        <v/>
      </c>
    </row>
    <row r="283" ht="15" customHeight="1">
      <c r="A283" t="inlineStr">
        <is>
          <t>A 61440-2021</t>
        </is>
      </c>
      <c r="B283" s="1" t="n">
        <v>44500</v>
      </c>
      <c r="C283" s="1" t="n">
        <v>45740</v>
      </c>
      <c r="D283" t="inlineStr">
        <is>
          <t>JÄMTLANDS LÄN</t>
        </is>
      </c>
      <c r="E283" t="inlineStr">
        <is>
          <t>STRÖMSUND</t>
        </is>
      </c>
      <c r="F283" t="inlineStr">
        <is>
          <t>SCA</t>
        </is>
      </c>
      <c r="G283" t="n">
        <v>4.1</v>
      </c>
      <c r="H283" t="n">
        <v>0</v>
      </c>
      <c r="I283" t="n">
        <v>0</v>
      </c>
      <c r="J283" t="n">
        <v>2</v>
      </c>
      <c r="K283" t="n">
        <v>0</v>
      </c>
      <c r="L283" t="n">
        <v>0</v>
      </c>
      <c r="M283" t="n">
        <v>0</v>
      </c>
      <c r="N283" t="n">
        <v>0</v>
      </c>
      <c r="O283" t="n">
        <v>2</v>
      </c>
      <c r="P283" t="n">
        <v>0</v>
      </c>
      <c r="Q283" t="n">
        <v>2</v>
      </c>
      <c r="R283" s="2" t="inlineStr">
        <is>
          <t>Dvärgbägarlav
Mörk kolflarnlav</t>
        </is>
      </c>
      <c r="S283">
        <f>HYPERLINK("https://klasma.github.io/Logging_2313/artfynd/A 61440-2021 artfynd.xlsx", "A 61440-2021")</f>
        <v/>
      </c>
      <c r="T283">
        <f>HYPERLINK("https://klasma.github.io/Logging_2313/kartor/A 61440-2021 karta.png", "A 61440-2021")</f>
        <v/>
      </c>
      <c r="V283">
        <f>HYPERLINK("https://klasma.github.io/Logging_2313/klagomål/A 61440-2021 FSC-klagomål.docx", "A 61440-2021")</f>
        <v/>
      </c>
      <c r="W283">
        <f>HYPERLINK("https://klasma.github.io/Logging_2313/klagomålsmail/A 61440-2021 FSC-klagomål mail.docx", "A 61440-2021")</f>
        <v/>
      </c>
      <c r="X283">
        <f>HYPERLINK("https://klasma.github.io/Logging_2313/tillsyn/A 61440-2021 tillsynsbegäran.docx", "A 61440-2021")</f>
        <v/>
      </c>
      <c r="Y283">
        <f>HYPERLINK("https://klasma.github.io/Logging_2313/tillsynsmail/A 61440-2021 tillsynsbegäran mail.docx", "A 61440-2021")</f>
        <v/>
      </c>
    </row>
    <row r="284" ht="15" customHeight="1">
      <c r="A284" t="inlineStr">
        <is>
          <t>A 63532-2021</t>
        </is>
      </c>
      <c r="B284" s="1" t="n">
        <v>44504</v>
      </c>
      <c r="C284" s="1" t="n">
        <v>45740</v>
      </c>
      <c r="D284" t="inlineStr">
        <is>
          <t>JÄMTLANDS LÄN</t>
        </is>
      </c>
      <c r="E284" t="inlineStr">
        <is>
          <t>STRÖMSUND</t>
        </is>
      </c>
      <c r="F284" t="inlineStr">
        <is>
          <t>SCA</t>
        </is>
      </c>
      <c r="G284" t="n">
        <v>22.3</v>
      </c>
      <c r="H284" t="n">
        <v>0</v>
      </c>
      <c r="I284" t="n">
        <v>0</v>
      </c>
      <c r="J284" t="n">
        <v>1</v>
      </c>
      <c r="K284" t="n">
        <v>1</v>
      </c>
      <c r="L284" t="n">
        <v>0</v>
      </c>
      <c r="M284" t="n">
        <v>0</v>
      </c>
      <c r="N284" t="n">
        <v>0</v>
      </c>
      <c r="O284" t="n">
        <v>2</v>
      </c>
      <c r="P284" t="n">
        <v>1</v>
      </c>
      <c r="Q284" t="n">
        <v>2</v>
      </c>
      <c r="R284" s="2" t="inlineStr">
        <is>
          <t>Norsk näverlav
Gränsticka</t>
        </is>
      </c>
      <c r="S284">
        <f>HYPERLINK("https://klasma.github.io/Logging_2313/artfynd/A 63532-2021 artfynd.xlsx", "A 63532-2021")</f>
        <v/>
      </c>
      <c r="T284">
        <f>HYPERLINK("https://klasma.github.io/Logging_2313/kartor/A 63532-2021 karta.png", "A 63532-2021")</f>
        <v/>
      </c>
      <c r="V284">
        <f>HYPERLINK("https://klasma.github.io/Logging_2313/klagomål/A 63532-2021 FSC-klagomål.docx", "A 63532-2021")</f>
        <v/>
      </c>
      <c r="W284">
        <f>HYPERLINK("https://klasma.github.io/Logging_2313/klagomålsmail/A 63532-2021 FSC-klagomål mail.docx", "A 63532-2021")</f>
        <v/>
      </c>
      <c r="X284">
        <f>HYPERLINK("https://klasma.github.io/Logging_2313/tillsyn/A 63532-2021 tillsynsbegäran.docx", "A 63532-2021")</f>
        <v/>
      </c>
      <c r="Y284">
        <f>HYPERLINK("https://klasma.github.io/Logging_2313/tillsynsmail/A 63532-2021 tillsynsbegäran mail.docx", "A 63532-2021")</f>
        <v/>
      </c>
    </row>
    <row r="285" ht="15" customHeight="1">
      <c r="A285" t="inlineStr">
        <is>
          <t>A 69811-2021</t>
        </is>
      </c>
      <c r="B285" s="1" t="n">
        <v>44532</v>
      </c>
      <c r="C285" s="1" t="n">
        <v>45740</v>
      </c>
      <c r="D285" t="inlineStr">
        <is>
          <t>JÄMTLANDS LÄN</t>
        </is>
      </c>
      <c r="E285" t="inlineStr">
        <is>
          <t>STRÖMSUND</t>
        </is>
      </c>
      <c r="G285" t="n">
        <v>6.7</v>
      </c>
      <c r="H285" t="n">
        <v>1</v>
      </c>
      <c r="I285" t="n">
        <v>1</v>
      </c>
      <c r="J285" t="n">
        <v>1</v>
      </c>
      <c r="K285" t="n">
        <v>0</v>
      </c>
      <c r="L285" t="n">
        <v>0</v>
      </c>
      <c r="M285" t="n">
        <v>0</v>
      </c>
      <c r="N285" t="n">
        <v>0</v>
      </c>
      <c r="O285" t="n">
        <v>1</v>
      </c>
      <c r="P285" t="n">
        <v>0</v>
      </c>
      <c r="Q285" t="n">
        <v>2</v>
      </c>
      <c r="R285" s="2" t="inlineStr">
        <is>
          <t>Gränsticka
Spindelblomster</t>
        </is>
      </c>
      <c r="S285">
        <f>HYPERLINK("https://klasma.github.io/Logging_2313/artfynd/A 69811-2021 artfynd.xlsx", "A 69811-2021")</f>
        <v/>
      </c>
      <c r="T285">
        <f>HYPERLINK("https://klasma.github.io/Logging_2313/kartor/A 69811-2021 karta.png", "A 69811-2021")</f>
        <v/>
      </c>
      <c r="V285">
        <f>HYPERLINK("https://klasma.github.io/Logging_2313/klagomål/A 69811-2021 FSC-klagomål.docx", "A 69811-2021")</f>
        <v/>
      </c>
      <c r="W285">
        <f>HYPERLINK("https://klasma.github.io/Logging_2313/klagomålsmail/A 69811-2021 FSC-klagomål mail.docx", "A 69811-2021")</f>
        <v/>
      </c>
      <c r="X285">
        <f>HYPERLINK("https://klasma.github.io/Logging_2313/tillsyn/A 69811-2021 tillsynsbegäran.docx", "A 69811-2021")</f>
        <v/>
      </c>
      <c r="Y285">
        <f>HYPERLINK("https://klasma.github.io/Logging_2313/tillsynsmail/A 69811-2021 tillsynsbegäran mail.docx", "A 69811-2021")</f>
        <v/>
      </c>
    </row>
    <row r="286" ht="15" customHeight="1">
      <c r="A286" t="inlineStr">
        <is>
          <t>A 6334-2022</t>
        </is>
      </c>
      <c r="B286" s="1" t="n">
        <v>44600</v>
      </c>
      <c r="C286" s="1" t="n">
        <v>45740</v>
      </c>
      <c r="D286" t="inlineStr">
        <is>
          <t>JÄMTLANDS LÄN</t>
        </is>
      </c>
      <c r="E286" t="inlineStr">
        <is>
          <t>STRÖMSUND</t>
        </is>
      </c>
      <c r="G286" t="n">
        <v>16.7</v>
      </c>
      <c r="H286" t="n">
        <v>0</v>
      </c>
      <c r="I286" t="n">
        <v>1</v>
      </c>
      <c r="J286" t="n">
        <v>1</v>
      </c>
      <c r="K286" t="n">
        <v>0</v>
      </c>
      <c r="L286" t="n">
        <v>0</v>
      </c>
      <c r="M286" t="n">
        <v>0</v>
      </c>
      <c r="N286" t="n">
        <v>0</v>
      </c>
      <c r="O286" t="n">
        <v>1</v>
      </c>
      <c r="P286" t="n">
        <v>0</v>
      </c>
      <c r="Q286" t="n">
        <v>2</v>
      </c>
      <c r="R286" s="2" t="inlineStr">
        <is>
          <t>Lunglav
Luddlav</t>
        </is>
      </c>
      <c r="S286">
        <f>HYPERLINK("https://klasma.github.io/Logging_2313/artfynd/A 6334-2022 artfynd.xlsx", "A 6334-2022")</f>
        <v/>
      </c>
      <c r="T286">
        <f>HYPERLINK("https://klasma.github.io/Logging_2313/kartor/A 6334-2022 karta.png", "A 6334-2022")</f>
        <v/>
      </c>
      <c r="V286">
        <f>HYPERLINK("https://klasma.github.io/Logging_2313/klagomål/A 6334-2022 FSC-klagomål.docx", "A 6334-2022")</f>
        <v/>
      </c>
      <c r="W286">
        <f>HYPERLINK("https://klasma.github.io/Logging_2313/klagomålsmail/A 6334-2022 FSC-klagomål mail.docx", "A 6334-2022")</f>
        <v/>
      </c>
      <c r="X286">
        <f>HYPERLINK("https://klasma.github.io/Logging_2313/tillsyn/A 6334-2022 tillsynsbegäran.docx", "A 6334-2022")</f>
        <v/>
      </c>
      <c r="Y286">
        <f>HYPERLINK("https://klasma.github.io/Logging_2313/tillsynsmail/A 6334-2022 tillsynsbegäran mail.docx", "A 6334-2022")</f>
        <v/>
      </c>
    </row>
    <row r="287" ht="15" customHeight="1">
      <c r="A287" t="inlineStr">
        <is>
          <t>A 9363-2022</t>
        </is>
      </c>
      <c r="B287" s="1" t="n">
        <v>44616</v>
      </c>
      <c r="C287" s="1" t="n">
        <v>45740</v>
      </c>
      <c r="D287" t="inlineStr">
        <is>
          <t>JÄMTLANDS LÄN</t>
        </is>
      </c>
      <c r="E287" t="inlineStr">
        <is>
          <t>STRÖMSUND</t>
        </is>
      </c>
      <c r="G287" t="n">
        <v>4.5</v>
      </c>
      <c r="H287" t="n">
        <v>0</v>
      </c>
      <c r="I287" t="n">
        <v>1</v>
      </c>
      <c r="J287" t="n">
        <v>1</v>
      </c>
      <c r="K287" t="n">
        <v>0</v>
      </c>
      <c r="L287" t="n">
        <v>0</v>
      </c>
      <c r="M287" t="n">
        <v>0</v>
      </c>
      <c r="N287" t="n">
        <v>0</v>
      </c>
      <c r="O287" t="n">
        <v>1</v>
      </c>
      <c r="P287" t="n">
        <v>0</v>
      </c>
      <c r="Q287" t="n">
        <v>2</v>
      </c>
      <c r="R287" s="2" t="inlineStr">
        <is>
          <t>Lunglav
Svart trolldruva</t>
        </is>
      </c>
      <c r="S287">
        <f>HYPERLINK("https://klasma.github.io/Logging_2313/artfynd/A 9363-2022 artfynd.xlsx", "A 9363-2022")</f>
        <v/>
      </c>
      <c r="T287">
        <f>HYPERLINK("https://klasma.github.io/Logging_2313/kartor/A 9363-2022 karta.png", "A 9363-2022")</f>
        <v/>
      </c>
      <c r="V287">
        <f>HYPERLINK("https://klasma.github.io/Logging_2313/klagomål/A 9363-2022 FSC-klagomål.docx", "A 9363-2022")</f>
        <v/>
      </c>
      <c r="W287">
        <f>HYPERLINK("https://klasma.github.io/Logging_2313/klagomålsmail/A 9363-2022 FSC-klagomål mail.docx", "A 9363-2022")</f>
        <v/>
      </c>
      <c r="X287">
        <f>HYPERLINK("https://klasma.github.io/Logging_2313/tillsyn/A 9363-2022 tillsynsbegäran.docx", "A 9363-2022")</f>
        <v/>
      </c>
      <c r="Y287">
        <f>HYPERLINK("https://klasma.github.io/Logging_2313/tillsynsmail/A 9363-2022 tillsynsbegäran mail.docx", "A 9363-2022")</f>
        <v/>
      </c>
    </row>
    <row r="288" ht="15" customHeight="1">
      <c r="A288" t="inlineStr">
        <is>
          <t>A 11124-2022</t>
        </is>
      </c>
      <c r="B288" s="1" t="n">
        <v>44628</v>
      </c>
      <c r="C288" s="1" t="n">
        <v>45740</v>
      </c>
      <c r="D288" t="inlineStr">
        <is>
          <t>JÄMTLANDS LÄN</t>
        </is>
      </c>
      <c r="E288" t="inlineStr">
        <is>
          <t>STRÖMSUND</t>
        </is>
      </c>
      <c r="F288" t="inlineStr">
        <is>
          <t>SCA</t>
        </is>
      </c>
      <c r="G288" t="n">
        <v>3.4</v>
      </c>
      <c r="H288" t="n">
        <v>2</v>
      </c>
      <c r="I288" t="n">
        <v>0</v>
      </c>
      <c r="J288" t="n">
        <v>0</v>
      </c>
      <c r="K288" t="n">
        <v>0</v>
      </c>
      <c r="L288" t="n">
        <v>0</v>
      </c>
      <c r="M288" t="n">
        <v>0</v>
      </c>
      <c r="N288" t="n">
        <v>0</v>
      </c>
      <c r="O288" t="n">
        <v>0</v>
      </c>
      <c r="P288" t="n">
        <v>0</v>
      </c>
      <c r="Q288" t="n">
        <v>2</v>
      </c>
      <c r="R288" s="2" t="inlineStr">
        <is>
          <t>Fläcknycklar
Ängsnycklar</t>
        </is>
      </c>
      <c r="S288">
        <f>HYPERLINK("https://klasma.github.io/Logging_2313/artfynd/A 11124-2022 artfynd.xlsx", "A 11124-2022")</f>
        <v/>
      </c>
      <c r="T288">
        <f>HYPERLINK("https://klasma.github.io/Logging_2313/kartor/A 11124-2022 karta.png", "A 11124-2022")</f>
        <v/>
      </c>
      <c r="V288">
        <f>HYPERLINK("https://klasma.github.io/Logging_2313/klagomål/A 11124-2022 FSC-klagomål.docx", "A 11124-2022")</f>
        <v/>
      </c>
      <c r="W288">
        <f>HYPERLINK("https://klasma.github.io/Logging_2313/klagomålsmail/A 11124-2022 FSC-klagomål mail.docx", "A 11124-2022")</f>
        <v/>
      </c>
      <c r="X288">
        <f>HYPERLINK("https://klasma.github.io/Logging_2313/tillsyn/A 11124-2022 tillsynsbegäran.docx", "A 11124-2022")</f>
        <v/>
      </c>
      <c r="Y288">
        <f>HYPERLINK("https://klasma.github.io/Logging_2313/tillsynsmail/A 11124-2022 tillsynsbegäran mail.docx", "A 11124-2022")</f>
        <v/>
      </c>
    </row>
    <row r="289" ht="15" customHeight="1">
      <c r="A289" t="inlineStr">
        <is>
          <t>A 16513-2022</t>
        </is>
      </c>
      <c r="B289" s="1" t="n">
        <v>44672</v>
      </c>
      <c r="C289" s="1" t="n">
        <v>45740</v>
      </c>
      <c r="D289" t="inlineStr">
        <is>
          <t>JÄMTLANDS LÄN</t>
        </is>
      </c>
      <c r="E289" t="inlineStr">
        <is>
          <t>STRÖMSUND</t>
        </is>
      </c>
      <c r="G289" t="n">
        <v>13.1</v>
      </c>
      <c r="H289" t="n">
        <v>0</v>
      </c>
      <c r="I289" t="n">
        <v>0</v>
      </c>
      <c r="J289" t="n">
        <v>2</v>
      </c>
      <c r="K289" t="n">
        <v>0</v>
      </c>
      <c r="L289" t="n">
        <v>0</v>
      </c>
      <c r="M289" t="n">
        <v>0</v>
      </c>
      <c r="N289" t="n">
        <v>0</v>
      </c>
      <c r="O289" t="n">
        <v>2</v>
      </c>
      <c r="P289" t="n">
        <v>0</v>
      </c>
      <c r="Q289" t="n">
        <v>2</v>
      </c>
      <c r="R289" s="2" t="inlineStr">
        <is>
          <t>Garnlav
Lunglav</t>
        </is>
      </c>
      <c r="S289">
        <f>HYPERLINK("https://klasma.github.io/Logging_2313/artfynd/A 16513-2022 artfynd.xlsx", "A 16513-2022")</f>
        <v/>
      </c>
      <c r="T289">
        <f>HYPERLINK("https://klasma.github.io/Logging_2313/kartor/A 16513-2022 karta.png", "A 16513-2022")</f>
        <v/>
      </c>
      <c r="V289">
        <f>HYPERLINK("https://klasma.github.io/Logging_2313/klagomål/A 16513-2022 FSC-klagomål.docx", "A 16513-2022")</f>
        <v/>
      </c>
      <c r="W289">
        <f>HYPERLINK("https://klasma.github.io/Logging_2313/klagomålsmail/A 16513-2022 FSC-klagomål mail.docx", "A 16513-2022")</f>
        <v/>
      </c>
      <c r="X289">
        <f>HYPERLINK("https://klasma.github.io/Logging_2313/tillsyn/A 16513-2022 tillsynsbegäran.docx", "A 16513-2022")</f>
        <v/>
      </c>
      <c r="Y289">
        <f>HYPERLINK("https://klasma.github.io/Logging_2313/tillsynsmail/A 16513-2022 tillsynsbegäran mail.docx", "A 16513-2022")</f>
        <v/>
      </c>
    </row>
    <row r="290" ht="15" customHeight="1">
      <c r="A290" t="inlineStr">
        <is>
          <t>A 25014-2022</t>
        </is>
      </c>
      <c r="B290" s="1" t="n">
        <v>44728</v>
      </c>
      <c r="C290" s="1" t="n">
        <v>45740</v>
      </c>
      <c r="D290" t="inlineStr">
        <is>
          <t>JÄMTLANDS LÄN</t>
        </is>
      </c>
      <c r="E290" t="inlineStr">
        <is>
          <t>STRÖMSUND</t>
        </is>
      </c>
      <c r="F290" t="inlineStr">
        <is>
          <t>SCA</t>
        </is>
      </c>
      <c r="G290" t="n">
        <v>2.7</v>
      </c>
      <c r="H290" t="n">
        <v>0</v>
      </c>
      <c r="I290" t="n">
        <v>0</v>
      </c>
      <c r="J290" t="n">
        <v>1</v>
      </c>
      <c r="K290" t="n">
        <v>1</v>
      </c>
      <c r="L290" t="n">
        <v>0</v>
      </c>
      <c r="M290" t="n">
        <v>0</v>
      </c>
      <c r="N290" t="n">
        <v>0</v>
      </c>
      <c r="O290" t="n">
        <v>2</v>
      </c>
      <c r="P290" t="n">
        <v>1</v>
      </c>
      <c r="Q290" t="n">
        <v>2</v>
      </c>
      <c r="R290" s="2" t="inlineStr">
        <is>
          <t>Rynkskinn
Ullticka</t>
        </is>
      </c>
      <c r="S290">
        <f>HYPERLINK("https://klasma.github.io/Logging_2313/artfynd/A 25014-2022 artfynd.xlsx", "A 25014-2022")</f>
        <v/>
      </c>
      <c r="T290">
        <f>HYPERLINK("https://klasma.github.io/Logging_2313/kartor/A 25014-2022 karta.png", "A 25014-2022")</f>
        <v/>
      </c>
      <c r="V290">
        <f>HYPERLINK("https://klasma.github.io/Logging_2313/klagomål/A 25014-2022 FSC-klagomål.docx", "A 25014-2022")</f>
        <v/>
      </c>
      <c r="W290">
        <f>HYPERLINK("https://klasma.github.io/Logging_2313/klagomålsmail/A 25014-2022 FSC-klagomål mail.docx", "A 25014-2022")</f>
        <v/>
      </c>
      <c r="X290">
        <f>HYPERLINK("https://klasma.github.io/Logging_2313/tillsyn/A 25014-2022 tillsynsbegäran.docx", "A 25014-2022")</f>
        <v/>
      </c>
      <c r="Y290">
        <f>HYPERLINK("https://klasma.github.io/Logging_2313/tillsynsmail/A 25014-2022 tillsynsbegäran mail.docx", "A 25014-2022")</f>
        <v/>
      </c>
    </row>
    <row r="291" ht="15" customHeight="1">
      <c r="A291" t="inlineStr">
        <is>
          <t>A 25038-2022</t>
        </is>
      </c>
      <c r="B291" s="1" t="n">
        <v>44728</v>
      </c>
      <c r="C291" s="1" t="n">
        <v>45740</v>
      </c>
      <c r="D291" t="inlineStr">
        <is>
          <t>JÄMTLANDS LÄN</t>
        </is>
      </c>
      <c r="E291" t="inlineStr">
        <is>
          <t>STRÖMSUND</t>
        </is>
      </c>
      <c r="F291" t="inlineStr">
        <is>
          <t>SCA</t>
        </is>
      </c>
      <c r="G291" t="n">
        <v>7.7</v>
      </c>
      <c r="H291" t="n">
        <v>1</v>
      </c>
      <c r="I291" t="n">
        <v>0</v>
      </c>
      <c r="J291" t="n">
        <v>0</v>
      </c>
      <c r="K291" t="n">
        <v>2</v>
      </c>
      <c r="L291" t="n">
        <v>0</v>
      </c>
      <c r="M291" t="n">
        <v>0</v>
      </c>
      <c r="N291" t="n">
        <v>0</v>
      </c>
      <c r="O291" t="n">
        <v>2</v>
      </c>
      <c r="P291" t="n">
        <v>2</v>
      </c>
      <c r="Q291" t="n">
        <v>2</v>
      </c>
      <c r="R291" s="2" t="inlineStr">
        <is>
          <t>Gräddporing
Knärot</t>
        </is>
      </c>
      <c r="S291">
        <f>HYPERLINK("https://klasma.github.io/Logging_2313/artfynd/A 25038-2022 artfynd.xlsx", "A 25038-2022")</f>
        <v/>
      </c>
      <c r="T291">
        <f>HYPERLINK("https://klasma.github.io/Logging_2313/kartor/A 25038-2022 karta.png", "A 25038-2022")</f>
        <v/>
      </c>
      <c r="U291">
        <f>HYPERLINK("https://klasma.github.io/Logging_2313/knärot/A 25038-2022 karta knärot.png", "A 25038-2022")</f>
        <v/>
      </c>
      <c r="V291">
        <f>HYPERLINK("https://klasma.github.io/Logging_2313/klagomål/A 25038-2022 FSC-klagomål.docx", "A 25038-2022")</f>
        <v/>
      </c>
      <c r="W291">
        <f>HYPERLINK("https://klasma.github.io/Logging_2313/klagomålsmail/A 25038-2022 FSC-klagomål mail.docx", "A 25038-2022")</f>
        <v/>
      </c>
      <c r="X291">
        <f>HYPERLINK("https://klasma.github.io/Logging_2313/tillsyn/A 25038-2022 tillsynsbegäran.docx", "A 25038-2022")</f>
        <v/>
      </c>
      <c r="Y291">
        <f>HYPERLINK("https://klasma.github.io/Logging_2313/tillsynsmail/A 25038-2022 tillsynsbegäran mail.docx", "A 25038-2022")</f>
        <v/>
      </c>
    </row>
    <row r="292" ht="15" customHeight="1">
      <c r="A292" t="inlineStr">
        <is>
          <t>A 29302-2022</t>
        </is>
      </c>
      <c r="B292" s="1" t="n">
        <v>44750</v>
      </c>
      <c r="C292" s="1" t="n">
        <v>45740</v>
      </c>
      <c r="D292" t="inlineStr">
        <is>
          <t>JÄMTLANDS LÄN</t>
        </is>
      </c>
      <c r="E292" t="inlineStr">
        <is>
          <t>STRÖMSUND</t>
        </is>
      </c>
      <c r="F292" t="inlineStr">
        <is>
          <t>SCA</t>
        </is>
      </c>
      <c r="G292" t="n">
        <v>1.9</v>
      </c>
      <c r="H292" t="n">
        <v>0</v>
      </c>
      <c r="I292" t="n">
        <v>0</v>
      </c>
      <c r="J292" t="n">
        <v>1</v>
      </c>
      <c r="K292" t="n">
        <v>1</v>
      </c>
      <c r="L292" t="n">
        <v>0</v>
      </c>
      <c r="M292" t="n">
        <v>0</v>
      </c>
      <c r="N292" t="n">
        <v>0</v>
      </c>
      <c r="O292" t="n">
        <v>2</v>
      </c>
      <c r="P292" t="n">
        <v>1</v>
      </c>
      <c r="Q292" t="n">
        <v>2</v>
      </c>
      <c r="R292" s="2" t="inlineStr">
        <is>
          <t>Ostticka
Garnlav</t>
        </is>
      </c>
      <c r="S292">
        <f>HYPERLINK("https://klasma.github.io/Logging_2313/artfynd/A 29302-2022 artfynd.xlsx", "A 29302-2022")</f>
        <v/>
      </c>
      <c r="T292">
        <f>HYPERLINK("https://klasma.github.io/Logging_2313/kartor/A 29302-2022 karta.png", "A 29302-2022")</f>
        <v/>
      </c>
      <c r="V292">
        <f>HYPERLINK("https://klasma.github.io/Logging_2313/klagomål/A 29302-2022 FSC-klagomål.docx", "A 29302-2022")</f>
        <v/>
      </c>
      <c r="W292">
        <f>HYPERLINK("https://klasma.github.io/Logging_2313/klagomålsmail/A 29302-2022 FSC-klagomål mail.docx", "A 29302-2022")</f>
        <v/>
      </c>
      <c r="X292">
        <f>HYPERLINK("https://klasma.github.io/Logging_2313/tillsyn/A 29302-2022 tillsynsbegäran.docx", "A 29302-2022")</f>
        <v/>
      </c>
      <c r="Y292">
        <f>HYPERLINK("https://klasma.github.io/Logging_2313/tillsynsmail/A 29302-2022 tillsynsbegäran mail.docx", "A 29302-2022")</f>
        <v/>
      </c>
    </row>
    <row r="293" ht="15" customHeight="1">
      <c r="A293" t="inlineStr">
        <is>
          <t>A 29301-2022</t>
        </is>
      </c>
      <c r="B293" s="1" t="n">
        <v>44750</v>
      </c>
      <c r="C293" s="1" t="n">
        <v>45740</v>
      </c>
      <c r="D293" t="inlineStr">
        <is>
          <t>JÄMTLANDS LÄN</t>
        </is>
      </c>
      <c r="E293" t="inlineStr">
        <is>
          <t>STRÖMSUND</t>
        </is>
      </c>
      <c r="F293" t="inlineStr">
        <is>
          <t>SCA</t>
        </is>
      </c>
      <c r="G293" t="n">
        <v>6.8</v>
      </c>
      <c r="H293" t="n">
        <v>0</v>
      </c>
      <c r="I293" t="n">
        <v>1</v>
      </c>
      <c r="J293" t="n">
        <v>1</v>
      </c>
      <c r="K293" t="n">
        <v>0</v>
      </c>
      <c r="L293" t="n">
        <v>0</v>
      </c>
      <c r="M293" t="n">
        <v>0</v>
      </c>
      <c r="N293" t="n">
        <v>0</v>
      </c>
      <c r="O293" t="n">
        <v>1</v>
      </c>
      <c r="P293" t="n">
        <v>0</v>
      </c>
      <c r="Q293" t="n">
        <v>2</v>
      </c>
      <c r="R293" s="2" t="inlineStr">
        <is>
          <t>Vitgrynig nållav
Källmossa</t>
        </is>
      </c>
      <c r="S293">
        <f>HYPERLINK("https://klasma.github.io/Logging_2313/artfynd/A 29301-2022 artfynd.xlsx", "A 29301-2022")</f>
        <v/>
      </c>
      <c r="T293">
        <f>HYPERLINK("https://klasma.github.io/Logging_2313/kartor/A 29301-2022 karta.png", "A 29301-2022")</f>
        <v/>
      </c>
      <c r="V293">
        <f>HYPERLINK("https://klasma.github.io/Logging_2313/klagomål/A 29301-2022 FSC-klagomål.docx", "A 29301-2022")</f>
        <v/>
      </c>
      <c r="W293">
        <f>HYPERLINK("https://klasma.github.io/Logging_2313/klagomålsmail/A 29301-2022 FSC-klagomål mail.docx", "A 29301-2022")</f>
        <v/>
      </c>
      <c r="X293">
        <f>HYPERLINK("https://klasma.github.io/Logging_2313/tillsyn/A 29301-2022 tillsynsbegäran.docx", "A 29301-2022")</f>
        <v/>
      </c>
      <c r="Y293">
        <f>HYPERLINK("https://klasma.github.io/Logging_2313/tillsynsmail/A 29301-2022 tillsynsbegäran mail.docx", "A 29301-2022")</f>
        <v/>
      </c>
    </row>
    <row r="294" ht="15" customHeight="1">
      <c r="A294" t="inlineStr">
        <is>
          <t>A 35994-2022</t>
        </is>
      </c>
      <c r="B294" s="1" t="n">
        <v>44802</v>
      </c>
      <c r="C294" s="1" t="n">
        <v>45740</v>
      </c>
      <c r="D294" t="inlineStr">
        <is>
          <t>JÄMTLANDS LÄN</t>
        </is>
      </c>
      <c r="E294" t="inlineStr">
        <is>
          <t>STRÖMSUND</t>
        </is>
      </c>
      <c r="F294" t="inlineStr">
        <is>
          <t>Sveaskog</t>
        </is>
      </c>
      <c r="G294" t="n">
        <v>14.8</v>
      </c>
      <c r="H294" t="n">
        <v>1</v>
      </c>
      <c r="I294" t="n">
        <v>0</v>
      </c>
      <c r="J294" t="n">
        <v>2</v>
      </c>
      <c r="K294" t="n">
        <v>0</v>
      </c>
      <c r="L294" t="n">
        <v>0</v>
      </c>
      <c r="M294" t="n">
        <v>0</v>
      </c>
      <c r="N294" t="n">
        <v>0</v>
      </c>
      <c r="O294" t="n">
        <v>2</v>
      </c>
      <c r="P294" t="n">
        <v>0</v>
      </c>
      <c r="Q294" t="n">
        <v>2</v>
      </c>
      <c r="R294" s="2" t="inlineStr">
        <is>
          <t>Lunglav
Spillkråka</t>
        </is>
      </c>
      <c r="S294">
        <f>HYPERLINK("https://klasma.github.io/Logging_2313/artfynd/A 35994-2022 artfynd.xlsx", "A 35994-2022")</f>
        <v/>
      </c>
      <c r="T294">
        <f>HYPERLINK("https://klasma.github.io/Logging_2313/kartor/A 35994-2022 karta.png", "A 35994-2022")</f>
        <v/>
      </c>
      <c r="V294">
        <f>HYPERLINK("https://klasma.github.io/Logging_2313/klagomål/A 35994-2022 FSC-klagomål.docx", "A 35994-2022")</f>
        <v/>
      </c>
      <c r="W294">
        <f>HYPERLINK("https://klasma.github.io/Logging_2313/klagomålsmail/A 35994-2022 FSC-klagomål mail.docx", "A 35994-2022")</f>
        <v/>
      </c>
      <c r="X294">
        <f>HYPERLINK("https://klasma.github.io/Logging_2313/tillsyn/A 35994-2022 tillsynsbegäran.docx", "A 35994-2022")</f>
        <v/>
      </c>
      <c r="Y294">
        <f>HYPERLINK("https://klasma.github.io/Logging_2313/tillsynsmail/A 35994-2022 tillsynsbegäran mail.docx", "A 35994-2022")</f>
        <v/>
      </c>
      <c r="Z294">
        <f>HYPERLINK("https://klasma.github.io/Logging_2313/fåglar/A 35994-2022 prioriterade fågelarter.docx", "A 35994-2022")</f>
        <v/>
      </c>
    </row>
    <row r="295" ht="15" customHeight="1">
      <c r="A295" t="inlineStr">
        <is>
          <t>A 37786-2022</t>
        </is>
      </c>
      <c r="B295" s="1" t="n">
        <v>44810</v>
      </c>
      <c r="C295" s="1" t="n">
        <v>45740</v>
      </c>
      <c r="D295" t="inlineStr">
        <is>
          <t>JÄMTLANDS LÄN</t>
        </is>
      </c>
      <c r="E295" t="inlineStr">
        <is>
          <t>STRÖMSUND</t>
        </is>
      </c>
      <c r="G295" t="n">
        <v>2.3</v>
      </c>
      <c r="H295" t="n">
        <v>0</v>
      </c>
      <c r="I295" t="n">
        <v>1</v>
      </c>
      <c r="J295" t="n">
        <v>1</v>
      </c>
      <c r="K295" t="n">
        <v>0</v>
      </c>
      <c r="L295" t="n">
        <v>0</v>
      </c>
      <c r="M295" t="n">
        <v>0</v>
      </c>
      <c r="N295" t="n">
        <v>0</v>
      </c>
      <c r="O295" t="n">
        <v>1</v>
      </c>
      <c r="P295" t="n">
        <v>0</v>
      </c>
      <c r="Q295" t="n">
        <v>2</v>
      </c>
      <c r="R295" s="2" t="inlineStr">
        <is>
          <t>Orange taggsvamp
Svart trolldruva</t>
        </is>
      </c>
      <c r="S295">
        <f>HYPERLINK("https://klasma.github.io/Logging_2313/artfynd/A 37786-2022 artfynd.xlsx", "A 37786-2022")</f>
        <v/>
      </c>
      <c r="T295">
        <f>HYPERLINK("https://klasma.github.io/Logging_2313/kartor/A 37786-2022 karta.png", "A 37786-2022")</f>
        <v/>
      </c>
      <c r="V295">
        <f>HYPERLINK("https://klasma.github.io/Logging_2313/klagomål/A 37786-2022 FSC-klagomål.docx", "A 37786-2022")</f>
        <v/>
      </c>
      <c r="W295">
        <f>HYPERLINK("https://klasma.github.io/Logging_2313/klagomålsmail/A 37786-2022 FSC-klagomål mail.docx", "A 37786-2022")</f>
        <v/>
      </c>
      <c r="X295">
        <f>HYPERLINK("https://klasma.github.io/Logging_2313/tillsyn/A 37786-2022 tillsynsbegäran.docx", "A 37786-2022")</f>
        <v/>
      </c>
      <c r="Y295">
        <f>HYPERLINK("https://klasma.github.io/Logging_2313/tillsynsmail/A 37786-2022 tillsynsbegäran mail.docx", "A 37786-2022")</f>
        <v/>
      </c>
    </row>
    <row r="296" ht="15" customHeight="1">
      <c r="A296" t="inlineStr">
        <is>
          <t>A 39686-2022</t>
        </is>
      </c>
      <c r="B296" s="1" t="n">
        <v>44818</v>
      </c>
      <c r="C296" s="1" t="n">
        <v>45740</v>
      </c>
      <c r="D296" t="inlineStr">
        <is>
          <t>JÄMTLANDS LÄN</t>
        </is>
      </c>
      <c r="E296" t="inlineStr">
        <is>
          <t>STRÖMSUND</t>
        </is>
      </c>
      <c r="F296" t="inlineStr">
        <is>
          <t>SCA</t>
        </is>
      </c>
      <c r="G296" t="n">
        <v>4.7</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39686-2022 artfynd.xlsx", "A 39686-2022")</f>
        <v/>
      </c>
      <c r="T296">
        <f>HYPERLINK("https://klasma.github.io/Logging_2313/kartor/A 39686-2022 karta.png", "A 39686-2022")</f>
        <v/>
      </c>
      <c r="V296">
        <f>HYPERLINK("https://klasma.github.io/Logging_2313/klagomål/A 39686-2022 FSC-klagomål.docx", "A 39686-2022")</f>
        <v/>
      </c>
      <c r="W296">
        <f>HYPERLINK("https://klasma.github.io/Logging_2313/klagomålsmail/A 39686-2022 FSC-klagomål mail.docx", "A 39686-2022")</f>
        <v/>
      </c>
      <c r="X296">
        <f>HYPERLINK("https://klasma.github.io/Logging_2313/tillsyn/A 39686-2022 tillsynsbegäran.docx", "A 39686-2022")</f>
        <v/>
      </c>
      <c r="Y296">
        <f>HYPERLINK("https://klasma.github.io/Logging_2313/tillsynsmail/A 39686-2022 tillsynsbegäran mail.docx", "A 39686-2022")</f>
        <v/>
      </c>
    </row>
    <row r="297" ht="15" customHeight="1">
      <c r="A297" t="inlineStr">
        <is>
          <t>A 46621-2022</t>
        </is>
      </c>
      <c r="B297" s="1" t="n">
        <v>44848</v>
      </c>
      <c r="C297" s="1" t="n">
        <v>45740</v>
      </c>
      <c r="D297" t="inlineStr">
        <is>
          <t>JÄMTLANDS LÄN</t>
        </is>
      </c>
      <c r="E297" t="inlineStr">
        <is>
          <t>STRÖMSUND</t>
        </is>
      </c>
      <c r="F297" t="inlineStr">
        <is>
          <t>SCA</t>
        </is>
      </c>
      <c r="G297" t="n">
        <v>6.8</v>
      </c>
      <c r="H297" t="n">
        <v>0</v>
      </c>
      <c r="I297" t="n">
        <v>0</v>
      </c>
      <c r="J297" t="n">
        <v>2</v>
      </c>
      <c r="K297" t="n">
        <v>0</v>
      </c>
      <c r="L297" t="n">
        <v>0</v>
      </c>
      <c r="M297" t="n">
        <v>0</v>
      </c>
      <c r="N297" t="n">
        <v>0</v>
      </c>
      <c r="O297" t="n">
        <v>2</v>
      </c>
      <c r="P297" t="n">
        <v>0</v>
      </c>
      <c r="Q297" t="n">
        <v>2</v>
      </c>
      <c r="R297" s="2" t="inlineStr">
        <is>
          <t>Garnlav
Ullticka</t>
        </is>
      </c>
      <c r="S297">
        <f>HYPERLINK("https://klasma.github.io/Logging_2313/artfynd/A 46621-2022 artfynd.xlsx", "A 46621-2022")</f>
        <v/>
      </c>
      <c r="T297">
        <f>HYPERLINK("https://klasma.github.io/Logging_2313/kartor/A 46621-2022 karta.png", "A 46621-2022")</f>
        <v/>
      </c>
      <c r="V297">
        <f>HYPERLINK("https://klasma.github.io/Logging_2313/klagomål/A 46621-2022 FSC-klagomål.docx", "A 46621-2022")</f>
        <v/>
      </c>
      <c r="W297">
        <f>HYPERLINK("https://klasma.github.io/Logging_2313/klagomålsmail/A 46621-2022 FSC-klagomål mail.docx", "A 46621-2022")</f>
        <v/>
      </c>
      <c r="X297">
        <f>HYPERLINK("https://klasma.github.io/Logging_2313/tillsyn/A 46621-2022 tillsynsbegäran.docx", "A 46621-2022")</f>
        <v/>
      </c>
      <c r="Y297">
        <f>HYPERLINK("https://klasma.github.io/Logging_2313/tillsynsmail/A 46621-2022 tillsynsbegäran mail.docx", "A 46621-2022")</f>
        <v/>
      </c>
    </row>
    <row r="298" ht="15" customHeight="1">
      <c r="A298" t="inlineStr">
        <is>
          <t>A 55533-2022</t>
        </is>
      </c>
      <c r="B298" s="1" t="n">
        <v>44887</v>
      </c>
      <c r="C298" s="1" t="n">
        <v>45740</v>
      </c>
      <c r="D298" t="inlineStr">
        <is>
          <t>JÄMTLANDS LÄN</t>
        </is>
      </c>
      <c r="E298" t="inlineStr">
        <is>
          <t>STRÖMSUND</t>
        </is>
      </c>
      <c r="F298" t="inlineStr">
        <is>
          <t>SCA</t>
        </is>
      </c>
      <c r="G298" t="n">
        <v>4.7</v>
      </c>
      <c r="H298" t="n">
        <v>0</v>
      </c>
      <c r="I298" t="n">
        <v>0</v>
      </c>
      <c r="J298" t="n">
        <v>1</v>
      </c>
      <c r="K298" t="n">
        <v>1</v>
      </c>
      <c r="L298" t="n">
        <v>0</v>
      </c>
      <c r="M298" t="n">
        <v>0</v>
      </c>
      <c r="N298" t="n">
        <v>0</v>
      </c>
      <c r="O298" t="n">
        <v>2</v>
      </c>
      <c r="P298" t="n">
        <v>1</v>
      </c>
      <c r="Q298" t="n">
        <v>2</v>
      </c>
      <c r="R298" s="2" t="inlineStr">
        <is>
          <t>Rynkskinn
Rosenticka</t>
        </is>
      </c>
      <c r="S298">
        <f>HYPERLINK("https://klasma.github.io/Logging_2313/artfynd/A 55533-2022 artfynd.xlsx", "A 55533-2022")</f>
        <v/>
      </c>
      <c r="T298">
        <f>HYPERLINK("https://klasma.github.io/Logging_2313/kartor/A 55533-2022 karta.png", "A 55533-2022")</f>
        <v/>
      </c>
      <c r="V298">
        <f>HYPERLINK("https://klasma.github.io/Logging_2313/klagomål/A 55533-2022 FSC-klagomål.docx", "A 55533-2022")</f>
        <v/>
      </c>
      <c r="W298">
        <f>HYPERLINK("https://klasma.github.io/Logging_2313/klagomålsmail/A 55533-2022 FSC-klagomål mail.docx", "A 55533-2022")</f>
        <v/>
      </c>
      <c r="X298">
        <f>HYPERLINK("https://klasma.github.io/Logging_2313/tillsyn/A 55533-2022 tillsynsbegäran.docx", "A 55533-2022")</f>
        <v/>
      </c>
      <c r="Y298">
        <f>HYPERLINK("https://klasma.github.io/Logging_2313/tillsynsmail/A 55533-2022 tillsynsbegäran mail.docx", "A 55533-2022")</f>
        <v/>
      </c>
    </row>
    <row r="299" ht="15" customHeight="1">
      <c r="A299" t="inlineStr">
        <is>
          <t>A 61385-2022</t>
        </is>
      </c>
      <c r="B299" s="1" t="n">
        <v>44915</v>
      </c>
      <c r="C299" s="1" t="n">
        <v>45740</v>
      </c>
      <c r="D299" t="inlineStr">
        <is>
          <t>JÄMTLANDS LÄN</t>
        </is>
      </c>
      <c r="E299" t="inlineStr">
        <is>
          <t>STRÖMSUND</t>
        </is>
      </c>
      <c r="G299" t="n">
        <v>2.6</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61385-2022 artfynd.xlsx", "A 61385-2022")</f>
        <v/>
      </c>
      <c r="T299">
        <f>HYPERLINK("https://klasma.github.io/Logging_2313/kartor/A 61385-2022 karta.png", "A 61385-2022")</f>
        <v/>
      </c>
      <c r="V299">
        <f>HYPERLINK("https://klasma.github.io/Logging_2313/klagomål/A 61385-2022 FSC-klagomål.docx", "A 61385-2022")</f>
        <v/>
      </c>
      <c r="W299">
        <f>HYPERLINK("https://klasma.github.io/Logging_2313/klagomålsmail/A 61385-2022 FSC-klagomål mail.docx", "A 61385-2022")</f>
        <v/>
      </c>
      <c r="X299">
        <f>HYPERLINK("https://klasma.github.io/Logging_2313/tillsyn/A 61385-2022 tillsynsbegäran.docx", "A 61385-2022")</f>
        <v/>
      </c>
      <c r="Y299">
        <f>HYPERLINK("https://klasma.github.io/Logging_2313/tillsynsmail/A 61385-2022 tillsynsbegäran mail.docx", "A 61385-2022")</f>
        <v/>
      </c>
    </row>
    <row r="300" ht="15" customHeight="1">
      <c r="A300" t="inlineStr">
        <is>
          <t>A 13189-2023</t>
        </is>
      </c>
      <c r="B300" s="1" t="n">
        <v>45002</v>
      </c>
      <c r="C300" s="1" t="n">
        <v>45740</v>
      </c>
      <c r="D300" t="inlineStr">
        <is>
          <t>JÄMTLANDS LÄN</t>
        </is>
      </c>
      <c r="E300" t="inlineStr">
        <is>
          <t>STRÖMSUND</t>
        </is>
      </c>
      <c r="G300" t="n">
        <v>14.9</v>
      </c>
      <c r="H300" t="n">
        <v>1</v>
      </c>
      <c r="I300" t="n">
        <v>1</v>
      </c>
      <c r="J300" t="n">
        <v>1</v>
      </c>
      <c r="K300" t="n">
        <v>0</v>
      </c>
      <c r="L300" t="n">
        <v>0</v>
      </c>
      <c r="M300" t="n">
        <v>0</v>
      </c>
      <c r="N300" t="n">
        <v>0</v>
      </c>
      <c r="O300" t="n">
        <v>1</v>
      </c>
      <c r="P300" t="n">
        <v>0</v>
      </c>
      <c r="Q300" t="n">
        <v>2</v>
      </c>
      <c r="R300" s="2" t="inlineStr">
        <is>
          <t>Lunglav
Guckusko</t>
        </is>
      </c>
      <c r="S300">
        <f>HYPERLINK("https://klasma.github.io/Logging_2313/artfynd/A 13189-2023 artfynd.xlsx", "A 13189-2023")</f>
        <v/>
      </c>
      <c r="T300">
        <f>HYPERLINK("https://klasma.github.io/Logging_2313/kartor/A 13189-2023 karta.png", "A 13189-2023")</f>
        <v/>
      </c>
      <c r="V300">
        <f>HYPERLINK("https://klasma.github.io/Logging_2313/klagomål/A 13189-2023 FSC-klagomål.docx", "A 13189-2023")</f>
        <v/>
      </c>
      <c r="W300">
        <f>HYPERLINK("https://klasma.github.io/Logging_2313/klagomålsmail/A 13189-2023 FSC-klagomål mail.docx", "A 13189-2023")</f>
        <v/>
      </c>
      <c r="X300">
        <f>HYPERLINK("https://klasma.github.io/Logging_2313/tillsyn/A 13189-2023 tillsynsbegäran.docx", "A 13189-2023")</f>
        <v/>
      </c>
      <c r="Y300">
        <f>HYPERLINK("https://klasma.github.io/Logging_2313/tillsynsmail/A 13189-2023 tillsynsbegäran mail.docx", "A 13189-2023")</f>
        <v/>
      </c>
    </row>
    <row r="301" ht="15" customHeight="1">
      <c r="A301" t="inlineStr">
        <is>
          <t>A 15461-2023</t>
        </is>
      </c>
      <c r="B301" s="1" t="n">
        <v>45019</v>
      </c>
      <c r="C301" s="1" t="n">
        <v>45740</v>
      </c>
      <c r="D301" t="inlineStr">
        <is>
          <t>JÄMTLANDS LÄN</t>
        </is>
      </c>
      <c r="E301" t="inlineStr">
        <is>
          <t>STRÖMSUND</t>
        </is>
      </c>
      <c r="G301" t="n">
        <v>13.9</v>
      </c>
      <c r="H301" t="n">
        <v>0</v>
      </c>
      <c r="I301" t="n">
        <v>0</v>
      </c>
      <c r="J301" t="n">
        <v>1</v>
      </c>
      <c r="K301" t="n">
        <v>1</v>
      </c>
      <c r="L301" t="n">
        <v>0</v>
      </c>
      <c r="M301" t="n">
        <v>0</v>
      </c>
      <c r="N301" t="n">
        <v>0</v>
      </c>
      <c r="O301" t="n">
        <v>2</v>
      </c>
      <c r="P301" t="n">
        <v>1</v>
      </c>
      <c r="Q301" t="n">
        <v>2</v>
      </c>
      <c r="R301" s="2" t="inlineStr">
        <is>
          <t>Blåfotad fagerspindling
Puderspindling</t>
        </is>
      </c>
      <c r="S301">
        <f>HYPERLINK("https://klasma.github.io/Logging_2313/artfynd/A 15461-2023 artfynd.xlsx", "A 15461-2023")</f>
        <v/>
      </c>
      <c r="T301">
        <f>HYPERLINK("https://klasma.github.io/Logging_2313/kartor/A 15461-2023 karta.png", "A 15461-2023")</f>
        <v/>
      </c>
      <c r="V301">
        <f>HYPERLINK("https://klasma.github.io/Logging_2313/klagomål/A 15461-2023 FSC-klagomål.docx", "A 15461-2023")</f>
        <v/>
      </c>
      <c r="W301">
        <f>HYPERLINK("https://klasma.github.io/Logging_2313/klagomålsmail/A 15461-2023 FSC-klagomål mail.docx", "A 15461-2023")</f>
        <v/>
      </c>
      <c r="X301">
        <f>HYPERLINK("https://klasma.github.io/Logging_2313/tillsyn/A 15461-2023 tillsynsbegäran.docx", "A 15461-2023")</f>
        <v/>
      </c>
      <c r="Y301">
        <f>HYPERLINK("https://klasma.github.io/Logging_2313/tillsynsmail/A 15461-2023 tillsynsbegäran mail.docx", "A 15461-2023")</f>
        <v/>
      </c>
    </row>
    <row r="302" ht="15" customHeight="1">
      <c r="A302" t="inlineStr">
        <is>
          <t>A 16761-2023</t>
        </is>
      </c>
      <c r="B302" s="1" t="n">
        <v>45030</v>
      </c>
      <c r="C302" s="1" t="n">
        <v>45740</v>
      </c>
      <c r="D302" t="inlineStr">
        <is>
          <t>JÄMTLANDS LÄN</t>
        </is>
      </c>
      <c r="E302" t="inlineStr">
        <is>
          <t>STRÖMSUND</t>
        </is>
      </c>
      <c r="F302" t="inlineStr">
        <is>
          <t>SCA</t>
        </is>
      </c>
      <c r="G302" t="n">
        <v>41.3</v>
      </c>
      <c r="H302" t="n">
        <v>1</v>
      </c>
      <c r="I302" t="n">
        <v>1</v>
      </c>
      <c r="J302" t="n">
        <v>1</v>
      </c>
      <c r="K302" t="n">
        <v>0</v>
      </c>
      <c r="L302" t="n">
        <v>0</v>
      </c>
      <c r="M302" t="n">
        <v>0</v>
      </c>
      <c r="N302" t="n">
        <v>0</v>
      </c>
      <c r="O302" t="n">
        <v>1</v>
      </c>
      <c r="P302" t="n">
        <v>0</v>
      </c>
      <c r="Q302" t="n">
        <v>2</v>
      </c>
      <c r="R302" s="2" t="inlineStr">
        <is>
          <t>Brunklöver
Plattlummer</t>
        </is>
      </c>
      <c r="S302">
        <f>HYPERLINK("https://klasma.github.io/Logging_2313/artfynd/A 16761-2023 artfynd.xlsx", "A 16761-2023")</f>
        <v/>
      </c>
      <c r="T302">
        <f>HYPERLINK("https://klasma.github.io/Logging_2313/kartor/A 16761-2023 karta.png", "A 16761-2023")</f>
        <v/>
      </c>
      <c r="V302">
        <f>HYPERLINK("https://klasma.github.io/Logging_2313/klagomål/A 16761-2023 FSC-klagomål.docx", "A 16761-2023")</f>
        <v/>
      </c>
      <c r="W302">
        <f>HYPERLINK("https://klasma.github.io/Logging_2313/klagomålsmail/A 16761-2023 FSC-klagomål mail.docx", "A 16761-2023")</f>
        <v/>
      </c>
      <c r="X302">
        <f>HYPERLINK("https://klasma.github.io/Logging_2313/tillsyn/A 16761-2023 tillsynsbegäran.docx", "A 16761-2023")</f>
        <v/>
      </c>
      <c r="Y302">
        <f>HYPERLINK("https://klasma.github.io/Logging_2313/tillsynsmail/A 16761-2023 tillsynsbegäran mail.docx", "A 16761-2023")</f>
        <v/>
      </c>
    </row>
    <row r="303" ht="15" customHeight="1">
      <c r="A303" t="inlineStr">
        <is>
          <t>A 17956-2023</t>
        </is>
      </c>
      <c r="B303" s="1" t="n">
        <v>45037</v>
      </c>
      <c r="C303" s="1" t="n">
        <v>45740</v>
      </c>
      <c r="D303" t="inlineStr">
        <is>
          <t>JÄMTLANDS LÄN</t>
        </is>
      </c>
      <c r="E303" t="inlineStr">
        <is>
          <t>STRÖMSUND</t>
        </is>
      </c>
      <c r="G303" t="n">
        <v>5.1</v>
      </c>
      <c r="H303" t="n">
        <v>0</v>
      </c>
      <c r="I303" t="n">
        <v>1</v>
      </c>
      <c r="J303" t="n">
        <v>1</v>
      </c>
      <c r="K303" t="n">
        <v>0</v>
      </c>
      <c r="L303" t="n">
        <v>0</v>
      </c>
      <c r="M303" t="n">
        <v>0</v>
      </c>
      <c r="N303" t="n">
        <v>0</v>
      </c>
      <c r="O303" t="n">
        <v>1</v>
      </c>
      <c r="P303" t="n">
        <v>0</v>
      </c>
      <c r="Q303" t="n">
        <v>2</v>
      </c>
      <c r="R303" s="2" t="inlineStr">
        <is>
          <t>Koralltaggsvamp
Stuplav</t>
        </is>
      </c>
      <c r="S303">
        <f>HYPERLINK("https://klasma.github.io/Logging_2313/artfynd/A 17956-2023 artfynd.xlsx", "A 17956-2023")</f>
        <v/>
      </c>
      <c r="T303">
        <f>HYPERLINK("https://klasma.github.io/Logging_2313/kartor/A 17956-2023 karta.png", "A 17956-2023")</f>
        <v/>
      </c>
      <c r="V303">
        <f>HYPERLINK("https://klasma.github.io/Logging_2313/klagomål/A 17956-2023 FSC-klagomål.docx", "A 17956-2023")</f>
        <v/>
      </c>
      <c r="W303">
        <f>HYPERLINK("https://klasma.github.io/Logging_2313/klagomålsmail/A 17956-2023 FSC-klagomål mail.docx", "A 17956-2023")</f>
        <v/>
      </c>
      <c r="X303">
        <f>HYPERLINK("https://klasma.github.io/Logging_2313/tillsyn/A 17956-2023 tillsynsbegäran.docx", "A 17956-2023")</f>
        <v/>
      </c>
      <c r="Y303">
        <f>HYPERLINK("https://klasma.github.io/Logging_2313/tillsynsmail/A 17956-2023 tillsynsbegäran mail.docx", "A 17956-2023")</f>
        <v/>
      </c>
    </row>
    <row r="304" ht="15" customHeight="1">
      <c r="A304" t="inlineStr">
        <is>
          <t>A 18987-2023</t>
        </is>
      </c>
      <c r="B304" s="1" t="n">
        <v>45044</v>
      </c>
      <c r="C304" s="1" t="n">
        <v>45740</v>
      </c>
      <c r="D304" t="inlineStr">
        <is>
          <t>JÄMTLANDS LÄN</t>
        </is>
      </c>
      <c r="E304" t="inlineStr">
        <is>
          <t>STRÖMSUND</t>
        </is>
      </c>
      <c r="F304" t="inlineStr">
        <is>
          <t>SCA</t>
        </is>
      </c>
      <c r="G304" t="n">
        <v>4.4</v>
      </c>
      <c r="H304" t="n">
        <v>0</v>
      </c>
      <c r="I304" t="n">
        <v>1</v>
      </c>
      <c r="J304" t="n">
        <v>1</v>
      </c>
      <c r="K304" t="n">
        <v>0</v>
      </c>
      <c r="L304" t="n">
        <v>0</v>
      </c>
      <c r="M304" t="n">
        <v>0</v>
      </c>
      <c r="N304" t="n">
        <v>0</v>
      </c>
      <c r="O304" t="n">
        <v>1</v>
      </c>
      <c r="P304" t="n">
        <v>0</v>
      </c>
      <c r="Q304" t="n">
        <v>2</v>
      </c>
      <c r="R304" s="2" t="inlineStr">
        <is>
          <t>Skrovellav
Mörk husmossa</t>
        </is>
      </c>
      <c r="S304">
        <f>HYPERLINK("https://klasma.github.io/Logging_2313/artfynd/A 18987-2023 artfynd.xlsx", "A 18987-2023")</f>
        <v/>
      </c>
      <c r="T304">
        <f>HYPERLINK("https://klasma.github.io/Logging_2313/kartor/A 18987-2023 karta.png", "A 18987-2023")</f>
        <v/>
      </c>
      <c r="V304">
        <f>HYPERLINK("https://klasma.github.io/Logging_2313/klagomål/A 18987-2023 FSC-klagomål.docx", "A 18987-2023")</f>
        <v/>
      </c>
      <c r="W304">
        <f>HYPERLINK("https://klasma.github.io/Logging_2313/klagomålsmail/A 18987-2023 FSC-klagomål mail.docx", "A 18987-2023")</f>
        <v/>
      </c>
      <c r="X304">
        <f>HYPERLINK("https://klasma.github.io/Logging_2313/tillsyn/A 18987-2023 tillsynsbegäran.docx", "A 18987-2023")</f>
        <v/>
      </c>
      <c r="Y304">
        <f>HYPERLINK("https://klasma.github.io/Logging_2313/tillsynsmail/A 18987-2023 tillsynsbegäran mail.docx", "A 18987-2023")</f>
        <v/>
      </c>
    </row>
    <row r="305" ht="15" customHeight="1">
      <c r="A305" t="inlineStr">
        <is>
          <t>A 23776-2023</t>
        </is>
      </c>
      <c r="B305" s="1" t="n">
        <v>45077</v>
      </c>
      <c r="C305" s="1" t="n">
        <v>45740</v>
      </c>
      <c r="D305" t="inlineStr">
        <is>
          <t>JÄMTLANDS LÄN</t>
        </is>
      </c>
      <c r="E305" t="inlineStr">
        <is>
          <t>STRÖMSUND</t>
        </is>
      </c>
      <c r="F305" t="inlineStr">
        <is>
          <t>SCA</t>
        </is>
      </c>
      <c r="G305" t="n">
        <v>10.6</v>
      </c>
      <c r="H305" t="n">
        <v>0</v>
      </c>
      <c r="I305" t="n">
        <v>1</v>
      </c>
      <c r="J305" t="n">
        <v>1</v>
      </c>
      <c r="K305" t="n">
        <v>0</v>
      </c>
      <c r="L305" t="n">
        <v>0</v>
      </c>
      <c r="M305" t="n">
        <v>0</v>
      </c>
      <c r="N305" t="n">
        <v>0</v>
      </c>
      <c r="O305" t="n">
        <v>1</v>
      </c>
      <c r="P305" t="n">
        <v>0</v>
      </c>
      <c r="Q305" t="n">
        <v>2</v>
      </c>
      <c r="R305" s="2" t="inlineStr">
        <is>
          <t>Lunglav
Stor aspticka</t>
        </is>
      </c>
      <c r="S305">
        <f>HYPERLINK("https://klasma.github.io/Logging_2313/artfynd/A 23776-2023 artfynd.xlsx", "A 23776-2023")</f>
        <v/>
      </c>
      <c r="T305">
        <f>HYPERLINK("https://klasma.github.io/Logging_2313/kartor/A 23776-2023 karta.png", "A 23776-2023")</f>
        <v/>
      </c>
      <c r="V305">
        <f>HYPERLINK("https://klasma.github.io/Logging_2313/klagomål/A 23776-2023 FSC-klagomål.docx", "A 23776-2023")</f>
        <v/>
      </c>
      <c r="W305">
        <f>HYPERLINK("https://klasma.github.io/Logging_2313/klagomålsmail/A 23776-2023 FSC-klagomål mail.docx", "A 23776-2023")</f>
        <v/>
      </c>
      <c r="X305">
        <f>HYPERLINK("https://klasma.github.io/Logging_2313/tillsyn/A 23776-2023 tillsynsbegäran.docx", "A 23776-2023")</f>
        <v/>
      </c>
      <c r="Y305">
        <f>HYPERLINK("https://klasma.github.io/Logging_2313/tillsynsmail/A 23776-2023 tillsynsbegäran mail.docx", "A 23776-2023")</f>
        <v/>
      </c>
    </row>
    <row r="306" ht="15" customHeight="1">
      <c r="A306" t="inlineStr">
        <is>
          <t>A 25327-2023</t>
        </is>
      </c>
      <c r="B306" s="1" t="n">
        <v>45086</v>
      </c>
      <c r="C306" s="1" t="n">
        <v>45740</v>
      </c>
      <c r="D306" t="inlineStr">
        <is>
          <t>JÄMTLANDS LÄN</t>
        </is>
      </c>
      <c r="E306" t="inlineStr">
        <is>
          <t>STRÖMSUND</t>
        </is>
      </c>
      <c r="F306" t="inlineStr">
        <is>
          <t>SCA</t>
        </is>
      </c>
      <c r="G306" t="n">
        <v>4.2</v>
      </c>
      <c r="H306" t="n">
        <v>0</v>
      </c>
      <c r="I306" t="n">
        <v>0</v>
      </c>
      <c r="J306" t="n">
        <v>2</v>
      </c>
      <c r="K306" t="n">
        <v>0</v>
      </c>
      <c r="L306" t="n">
        <v>0</v>
      </c>
      <c r="M306" t="n">
        <v>0</v>
      </c>
      <c r="N306" t="n">
        <v>0</v>
      </c>
      <c r="O306" t="n">
        <v>2</v>
      </c>
      <c r="P306" t="n">
        <v>0</v>
      </c>
      <c r="Q306" t="n">
        <v>2</v>
      </c>
      <c r="R306" s="2" t="inlineStr">
        <is>
          <t>Lunglav
Skrovellav</t>
        </is>
      </c>
      <c r="S306">
        <f>HYPERLINK("https://klasma.github.io/Logging_2313/artfynd/A 25327-2023 artfynd.xlsx", "A 25327-2023")</f>
        <v/>
      </c>
      <c r="T306">
        <f>HYPERLINK("https://klasma.github.io/Logging_2313/kartor/A 25327-2023 karta.png", "A 25327-2023")</f>
        <v/>
      </c>
      <c r="V306">
        <f>HYPERLINK("https://klasma.github.io/Logging_2313/klagomål/A 25327-2023 FSC-klagomål.docx", "A 25327-2023")</f>
        <v/>
      </c>
      <c r="W306">
        <f>HYPERLINK("https://klasma.github.io/Logging_2313/klagomålsmail/A 25327-2023 FSC-klagomål mail.docx", "A 25327-2023")</f>
        <v/>
      </c>
      <c r="X306">
        <f>HYPERLINK("https://klasma.github.io/Logging_2313/tillsyn/A 25327-2023 tillsynsbegäran.docx", "A 25327-2023")</f>
        <v/>
      </c>
      <c r="Y306">
        <f>HYPERLINK("https://klasma.github.io/Logging_2313/tillsynsmail/A 25327-2023 tillsynsbegäran mail.docx", "A 25327-2023")</f>
        <v/>
      </c>
    </row>
    <row r="307" ht="15" customHeight="1">
      <c r="A307" t="inlineStr">
        <is>
          <t>A 27367-2023</t>
        </is>
      </c>
      <c r="B307" s="1" t="n">
        <v>45096</v>
      </c>
      <c r="C307" s="1" t="n">
        <v>45740</v>
      </c>
      <c r="D307" t="inlineStr">
        <is>
          <t>JÄMTLANDS LÄN</t>
        </is>
      </c>
      <c r="E307" t="inlineStr">
        <is>
          <t>STRÖMSUND</t>
        </is>
      </c>
      <c r="F307" t="inlineStr">
        <is>
          <t>SCA</t>
        </is>
      </c>
      <c r="G307" t="n">
        <v>2.8</v>
      </c>
      <c r="H307" t="n">
        <v>0</v>
      </c>
      <c r="I307" t="n">
        <v>2</v>
      </c>
      <c r="J307" t="n">
        <v>0</v>
      </c>
      <c r="K307" t="n">
        <v>0</v>
      </c>
      <c r="L307" t="n">
        <v>0</v>
      </c>
      <c r="M307" t="n">
        <v>0</v>
      </c>
      <c r="N307" t="n">
        <v>0</v>
      </c>
      <c r="O307" t="n">
        <v>0</v>
      </c>
      <c r="P307" t="n">
        <v>0</v>
      </c>
      <c r="Q307" t="n">
        <v>2</v>
      </c>
      <c r="R307" s="2" t="inlineStr">
        <is>
          <t>Bollvitmossa
Skinnlav</t>
        </is>
      </c>
      <c r="S307">
        <f>HYPERLINK("https://klasma.github.io/Logging_2313/artfynd/A 27367-2023 artfynd.xlsx", "A 27367-2023")</f>
        <v/>
      </c>
      <c r="T307">
        <f>HYPERLINK("https://klasma.github.io/Logging_2313/kartor/A 27367-2023 karta.png", "A 27367-2023")</f>
        <v/>
      </c>
      <c r="V307">
        <f>HYPERLINK("https://klasma.github.io/Logging_2313/klagomål/A 27367-2023 FSC-klagomål.docx", "A 27367-2023")</f>
        <v/>
      </c>
      <c r="W307">
        <f>HYPERLINK("https://klasma.github.io/Logging_2313/klagomålsmail/A 27367-2023 FSC-klagomål mail.docx", "A 27367-2023")</f>
        <v/>
      </c>
      <c r="X307">
        <f>HYPERLINK("https://klasma.github.io/Logging_2313/tillsyn/A 27367-2023 tillsynsbegäran.docx", "A 27367-2023")</f>
        <v/>
      </c>
      <c r="Y307">
        <f>HYPERLINK("https://klasma.github.io/Logging_2313/tillsynsmail/A 27367-2023 tillsynsbegäran mail.docx", "A 27367-2023")</f>
        <v/>
      </c>
    </row>
    <row r="308" ht="15" customHeight="1">
      <c r="A308" t="inlineStr">
        <is>
          <t>A 29071-2023</t>
        </is>
      </c>
      <c r="B308" s="1" t="n">
        <v>45104</v>
      </c>
      <c r="C308" s="1" t="n">
        <v>45740</v>
      </c>
      <c r="D308" t="inlineStr">
        <is>
          <t>JÄMTLANDS LÄN</t>
        </is>
      </c>
      <c r="E308" t="inlineStr">
        <is>
          <t>STRÖMSUND</t>
        </is>
      </c>
      <c r="F308" t="inlineStr">
        <is>
          <t>SCA</t>
        </is>
      </c>
      <c r="G308" t="n">
        <v>6.9</v>
      </c>
      <c r="H308" t="n">
        <v>0</v>
      </c>
      <c r="I308" t="n">
        <v>0</v>
      </c>
      <c r="J308" t="n">
        <v>2</v>
      </c>
      <c r="K308" t="n">
        <v>0</v>
      </c>
      <c r="L308" t="n">
        <v>0</v>
      </c>
      <c r="M308" t="n">
        <v>0</v>
      </c>
      <c r="N308" t="n">
        <v>0</v>
      </c>
      <c r="O308" t="n">
        <v>2</v>
      </c>
      <c r="P308" t="n">
        <v>0</v>
      </c>
      <c r="Q308" t="n">
        <v>2</v>
      </c>
      <c r="R308" s="2" t="inlineStr">
        <is>
          <t>Dvärgbägarlav
Kortskaftad ärgspik</t>
        </is>
      </c>
      <c r="S308">
        <f>HYPERLINK("https://klasma.github.io/Logging_2313/artfynd/A 29071-2023 artfynd.xlsx", "A 29071-2023")</f>
        <v/>
      </c>
      <c r="T308">
        <f>HYPERLINK("https://klasma.github.io/Logging_2313/kartor/A 29071-2023 karta.png", "A 29071-2023")</f>
        <v/>
      </c>
      <c r="V308">
        <f>HYPERLINK("https://klasma.github.io/Logging_2313/klagomål/A 29071-2023 FSC-klagomål.docx", "A 29071-2023")</f>
        <v/>
      </c>
      <c r="W308">
        <f>HYPERLINK("https://klasma.github.io/Logging_2313/klagomålsmail/A 29071-2023 FSC-klagomål mail.docx", "A 29071-2023")</f>
        <v/>
      </c>
      <c r="X308">
        <f>HYPERLINK("https://klasma.github.io/Logging_2313/tillsyn/A 29071-2023 tillsynsbegäran.docx", "A 29071-2023")</f>
        <v/>
      </c>
      <c r="Y308">
        <f>HYPERLINK("https://klasma.github.io/Logging_2313/tillsynsmail/A 29071-2023 tillsynsbegäran mail.docx", "A 29071-2023")</f>
        <v/>
      </c>
    </row>
    <row r="309" ht="15" customHeight="1">
      <c r="A309" t="inlineStr">
        <is>
          <t>A 29633-2023</t>
        </is>
      </c>
      <c r="B309" s="1" t="n">
        <v>45106</v>
      </c>
      <c r="C309" s="1" t="n">
        <v>45740</v>
      </c>
      <c r="D309" t="inlineStr">
        <is>
          <t>JÄMTLANDS LÄN</t>
        </is>
      </c>
      <c r="E309" t="inlineStr">
        <is>
          <t>STRÖMSUND</t>
        </is>
      </c>
      <c r="F309" t="inlineStr">
        <is>
          <t>SCA</t>
        </is>
      </c>
      <c r="G309" t="n">
        <v>1</v>
      </c>
      <c r="H309" t="n">
        <v>0</v>
      </c>
      <c r="I309" t="n">
        <v>1</v>
      </c>
      <c r="J309" t="n">
        <v>1</v>
      </c>
      <c r="K309" t="n">
        <v>0</v>
      </c>
      <c r="L309" t="n">
        <v>0</v>
      </c>
      <c r="M309" t="n">
        <v>0</v>
      </c>
      <c r="N309" t="n">
        <v>0</v>
      </c>
      <c r="O309" t="n">
        <v>1</v>
      </c>
      <c r="P309" t="n">
        <v>0</v>
      </c>
      <c r="Q309" t="n">
        <v>2</v>
      </c>
      <c r="R309" s="2" t="inlineStr">
        <is>
          <t>Lunglav
Stuplav</t>
        </is>
      </c>
      <c r="S309">
        <f>HYPERLINK("https://klasma.github.io/Logging_2313/artfynd/A 29633-2023 artfynd.xlsx", "A 29633-2023")</f>
        <v/>
      </c>
      <c r="T309">
        <f>HYPERLINK("https://klasma.github.io/Logging_2313/kartor/A 29633-2023 karta.png", "A 29633-2023")</f>
        <v/>
      </c>
      <c r="V309">
        <f>HYPERLINK("https://klasma.github.io/Logging_2313/klagomål/A 29633-2023 FSC-klagomål.docx", "A 29633-2023")</f>
        <v/>
      </c>
      <c r="W309">
        <f>HYPERLINK("https://klasma.github.io/Logging_2313/klagomålsmail/A 29633-2023 FSC-klagomål mail.docx", "A 29633-2023")</f>
        <v/>
      </c>
      <c r="X309">
        <f>HYPERLINK("https://klasma.github.io/Logging_2313/tillsyn/A 29633-2023 tillsynsbegäran.docx", "A 29633-2023")</f>
        <v/>
      </c>
      <c r="Y309">
        <f>HYPERLINK("https://klasma.github.io/Logging_2313/tillsynsmail/A 29633-2023 tillsynsbegäran mail.docx", "A 29633-2023")</f>
        <v/>
      </c>
    </row>
    <row r="310" ht="15" customHeight="1">
      <c r="A310" t="inlineStr">
        <is>
          <t>A 39055-2023</t>
        </is>
      </c>
      <c r="B310" s="1" t="n">
        <v>45163</v>
      </c>
      <c r="C310" s="1" t="n">
        <v>45740</v>
      </c>
      <c r="D310" t="inlineStr">
        <is>
          <t>JÄMTLANDS LÄN</t>
        </is>
      </c>
      <c r="E310" t="inlineStr">
        <is>
          <t>STRÖMSUND</t>
        </is>
      </c>
      <c r="F310" t="inlineStr">
        <is>
          <t>SCA</t>
        </is>
      </c>
      <c r="G310" t="n">
        <v>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39055-2023 artfynd.xlsx", "A 39055-2023")</f>
        <v/>
      </c>
      <c r="T310">
        <f>HYPERLINK("https://klasma.github.io/Logging_2313/kartor/A 39055-2023 karta.png", "A 39055-2023")</f>
        <v/>
      </c>
      <c r="V310">
        <f>HYPERLINK("https://klasma.github.io/Logging_2313/klagomål/A 39055-2023 FSC-klagomål.docx", "A 39055-2023")</f>
        <v/>
      </c>
      <c r="W310">
        <f>HYPERLINK("https://klasma.github.io/Logging_2313/klagomålsmail/A 39055-2023 FSC-klagomål mail.docx", "A 39055-2023")</f>
        <v/>
      </c>
      <c r="X310">
        <f>HYPERLINK("https://klasma.github.io/Logging_2313/tillsyn/A 39055-2023 tillsynsbegäran.docx", "A 39055-2023")</f>
        <v/>
      </c>
      <c r="Y310">
        <f>HYPERLINK("https://klasma.github.io/Logging_2313/tillsynsmail/A 39055-2023 tillsynsbegäran mail.docx", "A 39055-2023")</f>
        <v/>
      </c>
    </row>
    <row r="311" ht="15" customHeight="1">
      <c r="A311" t="inlineStr">
        <is>
          <t>A 44413-2023</t>
        </is>
      </c>
      <c r="B311" s="1" t="n">
        <v>45188</v>
      </c>
      <c r="C311" s="1" t="n">
        <v>45740</v>
      </c>
      <c r="D311" t="inlineStr">
        <is>
          <t>JÄMTLANDS LÄN</t>
        </is>
      </c>
      <c r="E311" t="inlineStr">
        <is>
          <t>STRÖMSUND</t>
        </is>
      </c>
      <c r="F311" t="inlineStr">
        <is>
          <t>SCA</t>
        </is>
      </c>
      <c r="G311" t="n">
        <v>2</v>
      </c>
      <c r="H311" t="n">
        <v>1</v>
      </c>
      <c r="I311" t="n">
        <v>1</v>
      </c>
      <c r="J311" t="n">
        <v>1</v>
      </c>
      <c r="K311" t="n">
        <v>0</v>
      </c>
      <c r="L311" t="n">
        <v>0</v>
      </c>
      <c r="M311" t="n">
        <v>0</v>
      </c>
      <c r="N311" t="n">
        <v>0</v>
      </c>
      <c r="O311" t="n">
        <v>1</v>
      </c>
      <c r="P311" t="n">
        <v>0</v>
      </c>
      <c r="Q311" t="n">
        <v>2</v>
      </c>
      <c r="R311" s="2" t="inlineStr">
        <is>
          <t>Gammelgransskål
Korallrot</t>
        </is>
      </c>
      <c r="S311">
        <f>HYPERLINK("https://klasma.github.io/Logging_2313/artfynd/A 44413-2023 artfynd.xlsx", "A 44413-2023")</f>
        <v/>
      </c>
      <c r="T311">
        <f>HYPERLINK("https://klasma.github.io/Logging_2313/kartor/A 44413-2023 karta.png", "A 44413-2023")</f>
        <v/>
      </c>
      <c r="V311">
        <f>HYPERLINK("https://klasma.github.io/Logging_2313/klagomål/A 44413-2023 FSC-klagomål.docx", "A 44413-2023")</f>
        <v/>
      </c>
      <c r="W311">
        <f>HYPERLINK("https://klasma.github.io/Logging_2313/klagomålsmail/A 44413-2023 FSC-klagomål mail.docx", "A 44413-2023")</f>
        <v/>
      </c>
      <c r="X311">
        <f>HYPERLINK("https://klasma.github.io/Logging_2313/tillsyn/A 44413-2023 tillsynsbegäran.docx", "A 44413-2023")</f>
        <v/>
      </c>
      <c r="Y311">
        <f>HYPERLINK("https://klasma.github.io/Logging_2313/tillsynsmail/A 44413-2023 tillsynsbegäran mail.docx", "A 44413-2023")</f>
        <v/>
      </c>
    </row>
    <row r="312" ht="15" customHeight="1">
      <c r="A312" t="inlineStr">
        <is>
          <t>A 51001-2023</t>
        </is>
      </c>
      <c r="B312" s="1" t="n">
        <v>45218</v>
      </c>
      <c r="C312" s="1" t="n">
        <v>45740</v>
      </c>
      <c r="D312" t="inlineStr">
        <is>
          <t>JÄMTLANDS LÄN</t>
        </is>
      </c>
      <c r="E312" t="inlineStr">
        <is>
          <t>STRÖMSUND</t>
        </is>
      </c>
      <c r="G312" t="n">
        <v>10.3</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HYPERLINK("https://klasma.github.io/Logging_2313/artfynd/A 51001-2023 artfynd.xlsx", "A 51001-2023")</f>
        <v/>
      </c>
      <c r="T312">
        <f>HYPERLINK("https://klasma.github.io/Logging_2313/kartor/A 51001-2023 karta.png", "A 51001-2023")</f>
        <v/>
      </c>
      <c r="V312">
        <f>HYPERLINK("https://klasma.github.io/Logging_2313/klagomål/A 51001-2023 FSC-klagomål.docx", "A 51001-2023")</f>
        <v/>
      </c>
      <c r="W312">
        <f>HYPERLINK("https://klasma.github.io/Logging_2313/klagomålsmail/A 51001-2023 FSC-klagomål mail.docx", "A 51001-2023")</f>
        <v/>
      </c>
      <c r="X312">
        <f>HYPERLINK("https://klasma.github.io/Logging_2313/tillsyn/A 51001-2023 tillsynsbegäran.docx", "A 51001-2023")</f>
        <v/>
      </c>
      <c r="Y312">
        <f>HYPERLINK("https://klasma.github.io/Logging_2313/tillsynsmail/A 51001-2023 tillsynsbegäran mail.docx", "A 51001-2023")</f>
        <v/>
      </c>
      <c r="Z312">
        <f>HYPERLINK("https://klasma.github.io/Logging_2313/fåglar/A 51001-2023 prioriterade fågelarter.docx", "A 51001-2023")</f>
        <v/>
      </c>
    </row>
    <row r="313" ht="15" customHeight="1">
      <c r="A313" t="inlineStr">
        <is>
          <t>A 55658-2023</t>
        </is>
      </c>
      <c r="B313" s="1" t="n">
        <v>45238</v>
      </c>
      <c r="C313" s="1" t="n">
        <v>45740</v>
      </c>
      <c r="D313" t="inlineStr">
        <is>
          <t>JÄMTLANDS LÄN</t>
        </is>
      </c>
      <c r="E313" t="inlineStr">
        <is>
          <t>STRÖMSUND</t>
        </is>
      </c>
      <c r="F313" t="inlineStr">
        <is>
          <t>SCA</t>
        </is>
      </c>
      <c r="G313" t="n">
        <v>6.2</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55658-2023 artfynd.xlsx", "A 55658-2023")</f>
        <v/>
      </c>
      <c r="T313">
        <f>HYPERLINK("https://klasma.github.io/Logging_2313/kartor/A 55658-2023 karta.png", "A 55658-2023")</f>
        <v/>
      </c>
      <c r="V313">
        <f>HYPERLINK("https://klasma.github.io/Logging_2313/klagomål/A 55658-2023 FSC-klagomål.docx", "A 55658-2023")</f>
        <v/>
      </c>
      <c r="W313">
        <f>HYPERLINK("https://klasma.github.io/Logging_2313/klagomålsmail/A 55658-2023 FSC-klagomål mail.docx", "A 55658-2023")</f>
        <v/>
      </c>
      <c r="X313">
        <f>HYPERLINK("https://klasma.github.io/Logging_2313/tillsyn/A 55658-2023 tillsynsbegäran.docx", "A 55658-2023")</f>
        <v/>
      </c>
      <c r="Y313">
        <f>HYPERLINK("https://klasma.github.io/Logging_2313/tillsynsmail/A 55658-2023 tillsynsbegäran mail.docx", "A 55658-2023")</f>
        <v/>
      </c>
    </row>
    <row r="314" ht="15" customHeight="1">
      <c r="A314" t="inlineStr">
        <is>
          <t>A 55921-2023</t>
        </is>
      </c>
      <c r="B314" s="1" t="n">
        <v>45239</v>
      </c>
      <c r="C314" s="1" t="n">
        <v>45740</v>
      </c>
      <c r="D314" t="inlineStr">
        <is>
          <t>JÄMTLANDS LÄN</t>
        </is>
      </c>
      <c r="E314" t="inlineStr">
        <is>
          <t>STRÖMSUND</t>
        </is>
      </c>
      <c r="F314" t="inlineStr">
        <is>
          <t>SCA</t>
        </is>
      </c>
      <c r="G314" t="n">
        <v>6.3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55921-2023 artfynd.xlsx", "A 55921-2023")</f>
        <v/>
      </c>
      <c r="T314">
        <f>HYPERLINK("https://klasma.github.io/Logging_2313/kartor/A 55921-2023 karta.png", "A 55921-2023")</f>
        <v/>
      </c>
      <c r="V314">
        <f>HYPERLINK("https://klasma.github.io/Logging_2313/klagomål/A 55921-2023 FSC-klagomål.docx", "A 55921-2023")</f>
        <v/>
      </c>
      <c r="W314">
        <f>HYPERLINK("https://klasma.github.io/Logging_2313/klagomålsmail/A 55921-2023 FSC-klagomål mail.docx", "A 55921-2023")</f>
        <v/>
      </c>
      <c r="X314">
        <f>HYPERLINK("https://klasma.github.io/Logging_2313/tillsyn/A 55921-2023 tillsynsbegäran.docx", "A 55921-2023")</f>
        <v/>
      </c>
      <c r="Y314">
        <f>HYPERLINK("https://klasma.github.io/Logging_2313/tillsynsmail/A 55921-2023 tillsynsbegäran mail.docx", "A 55921-2023")</f>
        <v/>
      </c>
      <c r="Z314">
        <f>HYPERLINK("https://klasma.github.io/Logging_2313/fåglar/A 55921-2023 prioriterade fågelarter.docx", "A 55921-2023")</f>
        <v/>
      </c>
    </row>
    <row r="315" ht="15" customHeight="1">
      <c r="A315" t="inlineStr">
        <is>
          <t>A 60503-2023</t>
        </is>
      </c>
      <c r="B315" s="1" t="n">
        <v>45258</v>
      </c>
      <c r="C315" s="1" t="n">
        <v>45740</v>
      </c>
      <c r="D315" t="inlineStr">
        <is>
          <t>JÄMTLANDS LÄN</t>
        </is>
      </c>
      <c r="E315" t="inlineStr">
        <is>
          <t>STRÖMSUND</t>
        </is>
      </c>
      <c r="G315" t="n">
        <v>5.7</v>
      </c>
      <c r="H315" t="n">
        <v>1</v>
      </c>
      <c r="I315" t="n">
        <v>0</v>
      </c>
      <c r="J315" t="n">
        <v>2</v>
      </c>
      <c r="K315" t="n">
        <v>0</v>
      </c>
      <c r="L315" t="n">
        <v>0</v>
      </c>
      <c r="M315" t="n">
        <v>0</v>
      </c>
      <c r="N315" t="n">
        <v>0</v>
      </c>
      <c r="O315" t="n">
        <v>2</v>
      </c>
      <c r="P315" t="n">
        <v>0</v>
      </c>
      <c r="Q315" t="n">
        <v>2</v>
      </c>
      <c r="R315" s="2" t="inlineStr">
        <is>
          <t>Garnlav
Tretåig hackspett</t>
        </is>
      </c>
      <c r="S315">
        <f>HYPERLINK("https://klasma.github.io/Logging_2313/artfynd/A 60503-2023 artfynd.xlsx", "A 60503-2023")</f>
        <v/>
      </c>
      <c r="T315">
        <f>HYPERLINK("https://klasma.github.io/Logging_2313/kartor/A 60503-2023 karta.png", "A 60503-2023")</f>
        <v/>
      </c>
      <c r="V315">
        <f>HYPERLINK("https://klasma.github.io/Logging_2313/klagomål/A 60503-2023 FSC-klagomål.docx", "A 60503-2023")</f>
        <v/>
      </c>
      <c r="W315">
        <f>HYPERLINK("https://klasma.github.io/Logging_2313/klagomålsmail/A 60503-2023 FSC-klagomål mail.docx", "A 60503-2023")</f>
        <v/>
      </c>
      <c r="X315">
        <f>HYPERLINK("https://klasma.github.io/Logging_2313/tillsyn/A 60503-2023 tillsynsbegäran.docx", "A 60503-2023")</f>
        <v/>
      </c>
      <c r="Y315">
        <f>HYPERLINK("https://klasma.github.io/Logging_2313/tillsynsmail/A 60503-2023 tillsynsbegäran mail.docx", "A 60503-2023")</f>
        <v/>
      </c>
      <c r="Z315">
        <f>HYPERLINK("https://klasma.github.io/Logging_2313/fåglar/A 60503-2023 prioriterade fågelarter.docx", "A 60503-2023")</f>
        <v/>
      </c>
    </row>
    <row r="316" ht="15" customHeight="1">
      <c r="A316" t="inlineStr">
        <is>
          <t>A 2666-2024</t>
        </is>
      </c>
      <c r="B316" s="1" t="n">
        <v>45314</v>
      </c>
      <c r="C316" s="1" t="n">
        <v>45740</v>
      </c>
      <c r="D316" t="inlineStr">
        <is>
          <t>JÄMTLANDS LÄN</t>
        </is>
      </c>
      <c r="E316" t="inlineStr">
        <is>
          <t>STRÖMSUND</t>
        </is>
      </c>
      <c r="G316" t="n">
        <v>17.1</v>
      </c>
      <c r="H316" t="n">
        <v>0</v>
      </c>
      <c r="I316" t="n">
        <v>0</v>
      </c>
      <c r="J316" t="n">
        <v>0</v>
      </c>
      <c r="K316" t="n">
        <v>2</v>
      </c>
      <c r="L316" t="n">
        <v>0</v>
      </c>
      <c r="M316" t="n">
        <v>0</v>
      </c>
      <c r="N316" t="n">
        <v>0</v>
      </c>
      <c r="O316" t="n">
        <v>2</v>
      </c>
      <c r="P316" t="n">
        <v>2</v>
      </c>
      <c r="Q316" t="n">
        <v>2</v>
      </c>
      <c r="R316" s="2" t="inlineStr">
        <is>
          <t>Norsk näverlav
Smalskaftslav</t>
        </is>
      </c>
      <c r="S316">
        <f>HYPERLINK("https://klasma.github.io/Logging_2313/artfynd/A 2666-2024 artfynd.xlsx", "A 2666-2024")</f>
        <v/>
      </c>
      <c r="T316">
        <f>HYPERLINK("https://klasma.github.io/Logging_2313/kartor/A 2666-2024 karta.png", "A 2666-2024")</f>
        <v/>
      </c>
      <c r="V316">
        <f>HYPERLINK("https://klasma.github.io/Logging_2313/klagomål/A 2666-2024 FSC-klagomål.docx", "A 2666-2024")</f>
        <v/>
      </c>
      <c r="W316">
        <f>HYPERLINK("https://klasma.github.io/Logging_2313/klagomålsmail/A 2666-2024 FSC-klagomål mail.docx", "A 2666-2024")</f>
        <v/>
      </c>
      <c r="X316">
        <f>HYPERLINK("https://klasma.github.io/Logging_2313/tillsyn/A 2666-2024 tillsynsbegäran.docx", "A 2666-2024")</f>
        <v/>
      </c>
      <c r="Y316">
        <f>HYPERLINK("https://klasma.github.io/Logging_2313/tillsynsmail/A 2666-2024 tillsynsbegäran mail.docx", "A 2666-2024")</f>
        <v/>
      </c>
    </row>
    <row r="317" ht="15" customHeight="1">
      <c r="A317" t="inlineStr">
        <is>
          <t>A 20781-2024</t>
        </is>
      </c>
      <c r="B317" s="1" t="n">
        <v>45437</v>
      </c>
      <c r="C317" s="1" t="n">
        <v>45740</v>
      </c>
      <c r="D317" t="inlineStr">
        <is>
          <t>JÄMTLANDS LÄN</t>
        </is>
      </c>
      <c r="E317" t="inlineStr">
        <is>
          <t>STRÖMSUND</t>
        </is>
      </c>
      <c r="F317" t="inlineStr">
        <is>
          <t>SCA</t>
        </is>
      </c>
      <c r="G317" t="n">
        <v>3</v>
      </c>
      <c r="H317" t="n">
        <v>1</v>
      </c>
      <c r="I317" t="n">
        <v>0</v>
      </c>
      <c r="J317" t="n">
        <v>1</v>
      </c>
      <c r="K317" t="n">
        <v>0</v>
      </c>
      <c r="L317" t="n">
        <v>1</v>
      </c>
      <c r="M317" t="n">
        <v>0</v>
      </c>
      <c r="N317" t="n">
        <v>0</v>
      </c>
      <c r="O317" t="n">
        <v>2</v>
      </c>
      <c r="P317" t="n">
        <v>1</v>
      </c>
      <c r="Q317" t="n">
        <v>2</v>
      </c>
      <c r="R317" s="2" t="inlineStr">
        <is>
          <t>Storspov
Majviva</t>
        </is>
      </c>
      <c r="S317">
        <f>HYPERLINK("https://klasma.github.io/Logging_2313/artfynd/A 20781-2024 artfynd.xlsx", "A 20781-2024")</f>
        <v/>
      </c>
      <c r="T317">
        <f>HYPERLINK("https://klasma.github.io/Logging_2313/kartor/A 20781-2024 karta.png", "A 20781-2024")</f>
        <v/>
      </c>
      <c r="V317">
        <f>HYPERLINK("https://klasma.github.io/Logging_2313/klagomål/A 20781-2024 FSC-klagomål.docx", "A 20781-2024")</f>
        <v/>
      </c>
      <c r="W317">
        <f>HYPERLINK("https://klasma.github.io/Logging_2313/klagomålsmail/A 20781-2024 FSC-klagomål mail.docx", "A 20781-2024")</f>
        <v/>
      </c>
      <c r="X317">
        <f>HYPERLINK("https://klasma.github.io/Logging_2313/tillsyn/A 20781-2024 tillsynsbegäran.docx", "A 20781-2024")</f>
        <v/>
      </c>
      <c r="Y317">
        <f>HYPERLINK("https://klasma.github.io/Logging_2313/tillsynsmail/A 20781-2024 tillsynsbegäran mail.docx", "A 20781-2024")</f>
        <v/>
      </c>
    </row>
    <row r="318" ht="15" customHeight="1">
      <c r="A318" t="inlineStr">
        <is>
          <t>A 21344-2024</t>
        </is>
      </c>
      <c r="B318" s="1" t="n">
        <v>45441</v>
      </c>
      <c r="C318" s="1" t="n">
        <v>45740</v>
      </c>
      <c r="D318" t="inlineStr">
        <is>
          <t>JÄMTLANDS LÄN</t>
        </is>
      </c>
      <c r="E318" t="inlineStr">
        <is>
          <t>STRÖMSUND</t>
        </is>
      </c>
      <c r="G318" t="n">
        <v>8.699999999999999</v>
      </c>
      <c r="H318" t="n">
        <v>0</v>
      </c>
      <c r="I318" t="n">
        <v>0</v>
      </c>
      <c r="J318" t="n">
        <v>2</v>
      </c>
      <c r="K318" t="n">
        <v>0</v>
      </c>
      <c r="L318" t="n">
        <v>0</v>
      </c>
      <c r="M318" t="n">
        <v>0</v>
      </c>
      <c r="N318" t="n">
        <v>0</v>
      </c>
      <c r="O318" t="n">
        <v>2</v>
      </c>
      <c r="P318" t="n">
        <v>0</v>
      </c>
      <c r="Q318" t="n">
        <v>2</v>
      </c>
      <c r="R318" s="2" t="inlineStr">
        <is>
          <t>Lunglav
Ullticka</t>
        </is>
      </c>
      <c r="S318">
        <f>HYPERLINK("https://klasma.github.io/Logging_2313/artfynd/A 21344-2024 artfynd.xlsx", "A 21344-2024")</f>
        <v/>
      </c>
      <c r="T318">
        <f>HYPERLINK("https://klasma.github.io/Logging_2313/kartor/A 21344-2024 karta.png", "A 21344-2024")</f>
        <v/>
      </c>
      <c r="V318">
        <f>HYPERLINK("https://klasma.github.io/Logging_2313/klagomål/A 21344-2024 FSC-klagomål.docx", "A 21344-2024")</f>
        <v/>
      </c>
      <c r="W318">
        <f>HYPERLINK("https://klasma.github.io/Logging_2313/klagomålsmail/A 21344-2024 FSC-klagomål mail.docx", "A 21344-2024")</f>
        <v/>
      </c>
      <c r="X318">
        <f>HYPERLINK("https://klasma.github.io/Logging_2313/tillsyn/A 21344-2024 tillsynsbegäran.docx", "A 21344-2024")</f>
        <v/>
      </c>
      <c r="Y318">
        <f>HYPERLINK("https://klasma.github.io/Logging_2313/tillsynsmail/A 21344-2024 tillsynsbegäran mail.docx", "A 21344-2024")</f>
        <v/>
      </c>
    </row>
    <row r="319" ht="15" customHeight="1">
      <c r="A319" t="inlineStr">
        <is>
          <t>A 21604-2024</t>
        </is>
      </c>
      <c r="B319" s="1" t="n">
        <v>45442</v>
      </c>
      <c r="C319" s="1" t="n">
        <v>45740</v>
      </c>
      <c r="D319" t="inlineStr">
        <is>
          <t>JÄMTLANDS LÄN</t>
        </is>
      </c>
      <c r="E319" t="inlineStr">
        <is>
          <t>STRÖMSUND</t>
        </is>
      </c>
      <c r="F319" t="inlineStr">
        <is>
          <t>SCA</t>
        </is>
      </c>
      <c r="G319" t="n">
        <v>8</v>
      </c>
      <c r="H319" t="n">
        <v>2</v>
      </c>
      <c r="I319" t="n">
        <v>0</v>
      </c>
      <c r="J319" t="n">
        <v>1</v>
      </c>
      <c r="K319" t="n">
        <v>1</v>
      </c>
      <c r="L319" t="n">
        <v>0</v>
      </c>
      <c r="M319" t="n">
        <v>0</v>
      </c>
      <c r="N319" t="n">
        <v>0</v>
      </c>
      <c r="O319" t="n">
        <v>2</v>
      </c>
      <c r="P319" t="n">
        <v>1</v>
      </c>
      <c r="Q319" t="n">
        <v>2</v>
      </c>
      <c r="R319" s="2" t="inlineStr">
        <is>
          <t>Topplåsbräken
Tretåig hackspett</t>
        </is>
      </c>
      <c r="S319">
        <f>HYPERLINK("https://klasma.github.io/Logging_2313/artfynd/A 21604-2024 artfynd.xlsx", "A 21604-2024")</f>
        <v/>
      </c>
      <c r="T319">
        <f>HYPERLINK("https://klasma.github.io/Logging_2313/kartor/A 21604-2024 karta.png", "A 21604-2024")</f>
        <v/>
      </c>
      <c r="V319">
        <f>HYPERLINK("https://klasma.github.io/Logging_2313/klagomål/A 21604-2024 FSC-klagomål.docx", "A 21604-2024")</f>
        <v/>
      </c>
      <c r="W319">
        <f>HYPERLINK("https://klasma.github.io/Logging_2313/klagomålsmail/A 21604-2024 FSC-klagomål mail.docx", "A 21604-2024")</f>
        <v/>
      </c>
      <c r="X319">
        <f>HYPERLINK("https://klasma.github.io/Logging_2313/tillsyn/A 21604-2024 tillsynsbegäran.docx", "A 21604-2024")</f>
        <v/>
      </c>
      <c r="Y319">
        <f>HYPERLINK("https://klasma.github.io/Logging_2313/tillsynsmail/A 21604-2024 tillsynsbegäran mail.docx", "A 21604-2024")</f>
        <v/>
      </c>
      <c r="Z319">
        <f>HYPERLINK("https://klasma.github.io/Logging_2313/fåglar/A 21604-2024 prioriterade fågelarter.docx", "A 21604-2024")</f>
        <v/>
      </c>
    </row>
    <row r="320" ht="15" customHeight="1">
      <c r="A320" t="inlineStr">
        <is>
          <t>A 21629-2024</t>
        </is>
      </c>
      <c r="B320" s="1" t="n">
        <v>45442</v>
      </c>
      <c r="C320" s="1" t="n">
        <v>45740</v>
      </c>
      <c r="D320" t="inlineStr">
        <is>
          <t>JÄMTLANDS LÄN</t>
        </is>
      </c>
      <c r="E320" t="inlineStr">
        <is>
          <t>STRÖMSUND</t>
        </is>
      </c>
      <c r="F320" t="inlineStr">
        <is>
          <t>Holmen skog AB</t>
        </is>
      </c>
      <c r="G320" t="n">
        <v>1.1</v>
      </c>
      <c r="H320" t="n">
        <v>0</v>
      </c>
      <c r="I320" t="n">
        <v>0</v>
      </c>
      <c r="J320" t="n">
        <v>2</v>
      </c>
      <c r="K320" t="n">
        <v>0</v>
      </c>
      <c r="L320" t="n">
        <v>0</v>
      </c>
      <c r="M320" t="n">
        <v>0</v>
      </c>
      <c r="N320" t="n">
        <v>0</v>
      </c>
      <c r="O320" t="n">
        <v>2</v>
      </c>
      <c r="P320" t="n">
        <v>0</v>
      </c>
      <c r="Q320" t="n">
        <v>2</v>
      </c>
      <c r="R320" s="2" t="inlineStr">
        <is>
          <t>Blå taggsvamp
Talltaggsvamp</t>
        </is>
      </c>
      <c r="S320">
        <f>HYPERLINK("https://klasma.github.io/Logging_2313/artfynd/A 21629-2024 artfynd.xlsx", "A 21629-2024")</f>
        <v/>
      </c>
      <c r="T320">
        <f>HYPERLINK("https://klasma.github.io/Logging_2313/kartor/A 21629-2024 karta.png", "A 21629-2024")</f>
        <v/>
      </c>
      <c r="V320">
        <f>HYPERLINK("https://klasma.github.io/Logging_2313/klagomål/A 21629-2024 FSC-klagomål.docx", "A 21629-2024")</f>
        <v/>
      </c>
      <c r="W320">
        <f>HYPERLINK("https://klasma.github.io/Logging_2313/klagomålsmail/A 21629-2024 FSC-klagomål mail.docx", "A 21629-2024")</f>
        <v/>
      </c>
      <c r="X320">
        <f>HYPERLINK("https://klasma.github.io/Logging_2313/tillsyn/A 21629-2024 tillsynsbegäran.docx", "A 21629-2024")</f>
        <v/>
      </c>
      <c r="Y320">
        <f>HYPERLINK("https://klasma.github.io/Logging_2313/tillsynsmail/A 21629-2024 tillsynsbegäran mail.docx", "A 21629-2024")</f>
        <v/>
      </c>
    </row>
    <row r="321" ht="15" customHeight="1">
      <c r="A321" t="inlineStr">
        <is>
          <t>A 24803-2024</t>
        </is>
      </c>
      <c r="B321" s="1" t="n">
        <v>45461</v>
      </c>
      <c r="C321" s="1" t="n">
        <v>45740</v>
      </c>
      <c r="D321" t="inlineStr">
        <is>
          <t>JÄMTLANDS LÄN</t>
        </is>
      </c>
      <c r="E321" t="inlineStr">
        <is>
          <t>STRÖMSUND</t>
        </is>
      </c>
      <c r="F321" t="inlineStr">
        <is>
          <t>SCA</t>
        </is>
      </c>
      <c r="G321" t="n">
        <v>1.9</v>
      </c>
      <c r="H321" t="n">
        <v>0</v>
      </c>
      <c r="I321" t="n">
        <v>0</v>
      </c>
      <c r="J321" t="n">
        <v>2</v>
      </c>
      <c r="K321" t="n">
        <v>0</v>
      </c>
      <c r="L321" t="n">
        <v>0</v>
      </c>
      <c r="M321" t="n">
        <v>0</v>
      </c>
      <c r="N321" t="n">
        <v>0</v>
      </c>
      <c r="O321" t="n">
        <v>2</v>
      </c>
      <c r="P321" t="n">
        <v>0</v>
      </c>
      <c r="Q321" t="n">
        <v>2</v>
      </c>
      <c r="R321" s="2" t="inlineStr">
        <is>
          <t>Doftskinn
Kolflarnlav</t>
        </is>
      </c>
      <c r="S321">
        <f>HYPERLINK("https://klasma.github.io/Logging_2313/artfynd/A 24803-2024 artfynd.xlsx", "A 24803-2024")</f>
        <v/>
      </c>
      <c r="T321">
        <f>HYPERLINK("https://klasma.github.io/Logging_2313/kartor/A 24803-2024 karta.png", "A 24803-2024")</f>
        <v/>
      </c>
      <c r="V321">
        <f>HYPERLINK("https://klasma.github.io/Logging_2313/klagomål/A 24803-2024 FSC-klagomål.docx", "A 24803-2024")</f>
        <v/>
      </c>
      <c r="W321">
        <f>HYPERLINK("https://klasma.github.io/Logging_2313/klagomålsmail/A 24803-2024 FSC-klagomål mail.docx", "A 24803-2024")</f>
        <v/>
      </c>
      <c r="X321">
        <f>HYPERLINK("https://klasma.github.io/Logging_2313/tillsyn/A 24803-2024 tillsynsbegäran.docx", "A 24803-2024")</f>
        <v/>
      </c>
      <c r="Y321">
        <f>HYPERLINK("https://klasma.github.io/Logging_2313/tillsynsmail/A 24803-2024 tillsynsbegäran mail.docx", "A 24803-2024")</f>
        <v/>
      </c>
    </row>
    <row r="322" ht="15" customHeight="1">
      <c r="A322" t="inlineStr">
        <is>
          <t>A 29495-2024</t>
        </is>
      </c>
      <c r="B322" s="1" t="n">
        <v>45484</v>
      </c>
      <c r="C322" s="1" t="n">
        <v>45740</v>
      </c>
      <c r="D322" t="inlineStr">
        <is>
          <t>JÄMTLANDS LÄN</t>
        </is>
      </c>
      <c r="E322" t="inlineStr">
        <is>
          <t>STRÖMSUND</t>
        </is>
      </c>
      <c r="F322" t="inlineStr">
        <is>
          <t>Holmen skog AB</t>
        </is>
      </c>
      <c r="G322" t="n">
        <v>5.7</v>
      </c>
      <c r="H322" t="n">
        <v>0</v>
      </c>
      <c r="I322" t="n">
        <v>0</v>
      </c>
      <c r="J322" t="n">
        <v>2</v>
      </c>
      <c r="K322" t="n">
        <v>0</v>
      </c>
      <c r="L322" t="n">
        <v>0</v>
      </c>
      <c r="M322" t="n">
        <v>0</v>
      </c>
      <c r="N322" t="n">
        <v>0</v>
      </c>
      <c r="O322" t="n">
        <v>2</v>
      </c>
      <c r="P322" t="n">
        <v>0</v>
      </c>
      <c r="Q322" t="n">
        <v>2</v>
      </c>
      <c r="R322" s="2" t="inlineStr">
        <is>
          <t>Granticka
Harticka</t>
        </is>
      </c>
      <c r="S322">
        <f>HYPERLINK("https://klasma.github.io/Logging_2313/artfynd/A 29495-2024 artfynd.xlsx", "A 29495-2024")</f>
        <v/>
      </c>
      <c r="T322">
        <f>HYPERLINK("https://klasma.github.io/Logging_2313/kartor/A 29495-2024 karta.png", "A 29495-2024")</f>
        <v/>
      </c>
      <c r="V322">
        <f>HYPERLINK("https://klasma.github.io/Logging_2313/klagomål/A 29495-2024 FSC-klagomål.docx", "A 29495-2024")</f>
        <v/>
      </c>
      <c r="W322">
        <f>HYPERLINK("https://klasma.github.io/Logging_2313/klagomålsmail/A 29495-2024 FSC-klagomål mail.docx", "A 29495-2024")</f>
        <v/>
      </c>
      <c r="X322">
        <f>HYPERLINK("https://klasma.github.io/Logging_2313/tillsyn/A 29495-2024 tillsynsbegäran.docx", "A 29495-2024")</f>
        <v/>
      </c>
      <c r="Y322">
        <f>HYPERLINK("https://klasma.github.io/Logging_2313/tillsynsmail/A 29495-2024 tillsynsbegäran mail.docx", "A 29495-2024")</f>
        <v/>
      </c>
    </row>
    <row r="323" ht="15" customHeight="1">
      <c r="A323" t="inlineStr">
        <is>
          <t>A 30350-2024</t>
        </is>
      </c>
      <c r="B323" s="1" t="n">
        <v>45491</v>
      </c>
      <c r="C323" s="1" t="n">
        <v>45740</v>
      </c>
      <c r="D323" t="inlineStr">
        <is>
          <t>JÄMTLANDS LÄN</t>
        </is>
      </c>
      <c r="E323" t="inlineStr">
        <is>
          <t>STRÖMSUND</t>
        </is>
      </c>
      <c r="F323" t="inlineStr">
        <is>
          <t>SCA</t>
        </is>
      </c>
      <c r="G323" t="n">
        <v>3.9</v>
      </c>
      <c r="H323" t="n">
        <v>1</v>
      </c>
      <c r="I323" t="n">
        <v>2</v>
      </c>
      <c r="J323" t="n">
        <v>0</v>
      </c>
      <c r="K323" t="n">
        <v>0</v>
      </c>
      <c r="L323" t="n">
        <v>0</v>
      </c>
      <c r="M323" t="n">
        <v>0</v>
      </c>
      <c r="N323" t="n">
        <v>0</v>
      </c>
      <c r="O323" t="n">
        <v>0</v>
      </c>
      <c r="P323" t="n">
        <v>0</v>
      </c>
      <c r="Q323" t="n">
        <v>2</v>
      </c>
      <c r="R323" s="2" t="inlineStr">
        <is>
          <t>Granriska
Tvåblad</t>
        </is>
      </c>
      <c r="S323">
        <f>HYPERLINK("https://klasma.github.io/Logging_2313/artfynd/A 30350-2024 artfynd.xlsx", "A 30350-2024")</f>
        <v/>
      </c>
      <c r="T323">
        <f>HYPERLINK("https://klasma.github.io/Logging_2313/kartor/A 30350-2024 karta.png", "A 30350-2024")</f>
        <v/>
      </c>
      <c r="V323">
        <f>HYPERLINK("https://klasma.github.io/Logging_2313/klagomål/A 30350-2024 FSC-klagomål.docx", "A 30350-2024")</f>
        <v/>
      </c>
      <c r="W323">
        <f>HYPERLINK("https://klasma.github.io/Logging_2313/klagomålsmail/A 30350-2024 FSC-klagomål mail.docx", "A 30350-2024")</f>
        <v/>
      </c>
      <c r="X323">
        <f>HYPERLINK("https://klasma.github.io/Logging_2313/tillsyn/A 30350-2024 tillsynsbegäran.docx", "A 30350-2024")</f>
        <v/>
      </c>
      <c r="Y323">
        <f>HYPERLINK("https://klasma.github.io/Logging_2313/tillsynsmail/A 30350-2024 tillsynsbegäran mail.docx", "A 30350-2024")</f>
        <v/>
      </c>
    </row>
    <row r="324" ht="15" customHeight="1">
      <c r="A324" t="inlineStr">
        <is>
          <t>A 30351-2024</t>
        </is>
      </c>
      <c r="B324" s="1" t="n">
        <v>45491</v>
      </c>
      <c r="C324" s="1" t="n">
        <v>45740</v>
      </c>
      <c r="D324" t="inlineStr">
        <is>
          <t>JÄMTLANDS LÄN</t>
        </is>
      </c>
      <c r="E324" t="inlineStr">
        <is>
          <t>STRÖMSUND</t>
        </is>
      </c>
      <c r="F324" t="inlineStr">
        <is>
          <t>SCA</t>
        </is>
      </c>
      <c r="G324" t="n">
        <v>4.8</v>
      </c>
      <c r="H324" t="n">
        <v>0</v>
      </c>
      <c r="I324" t="n">
        <v>0</v>
      </c>
      <c r="J324" t="n">
        <v>1</v>
      </c>
      <c r="K324" t="n">
        <v>1</v>
      </c>
      <c r="L324" t="n">
        <v>0</v>
      </c>
      <c r="M324" t="n">
        <v>0</v>
      </c>
      <c r="N324" t="n">
        <v>0</v>
      </c>
      <c r="O324" t="n">
        <v>2</v>
      </c>
      <c r="P324" t="n">
        <v>1</v>
      </c>
      <c r="Q324" t="n">
        <v>2</v>
      </c>
      <c r="R324" s="2" t="inlineStr">
        <is>
          <t>Rynkskinn
Gammelgransskål</t>
        </is>
      </c>
      <c r="S324">
        <f>HYPERLINK("https://klasma.github.io/Logging_2313/artfynd/A 30351-2024 artfynd.xlsx", "A 30351-2024")</f>
        <v/>
      </c>
      <c r="T324">
        <f>HYPERLINK("https://klasma.github.io/Logging_2313/kartor/A 30351-2024 karta.png", "A 30351-2024")</f>
        <v/>
      </c>
      <c r="V324">
        <f>HYPERLINK("https://klasma.github.io/Logging_2313/klagomål/A 30351-2024 FSC-klagomål.docx", "A 30351-2024")</f>
        <v/>
      </c>
      <c r="W324">
        <f>HYPERLINK("https://klasma.github.io/Logging_2313/klagomålsmail/A 30351-2024 FSC-klagomål mail.docx", "A 30351-2024")</f>
        <v/>
      </c>
      <c r="X324">
        <f>HYPERLINK("https://klasma.github.io/Logging_2313/tillsyn/A 30351-2024 tillsynsbegäran.docx", "A 30351-2024")</f>
        <v/>
      </c>
      <c r="Y324">
        <f>HYPERLINK("https://klasma.github.io/Logging_2313/tillsynsmail/A 30351-2024 tillsynsbegäran mail.docx", "A 30351-2024")</f>
        <v/>
      </c>
    </row>
    <row r="325" ht="15" customHeight="1">
      <c r="A325" t="inlineStr">
        <is>
          <t>A 36837-2024</t>
        </is>
      </c>
      <c r="B325" s="1" t="n">
        <v>45538</v>
      </c>
      <c r="C325" s="1" t="n">
        <v>45740</v>
      </c>
      <c r="D325" t="inlineStr">
        <is>
          <t>JÄMTLANDS LÄN</t>
        </is>
      </c>
      <c r="E325" t="inlineStr">
        <is>
          <t>STRÖMSUND</t>
        </is>
      </c>
      <c r="F325" t="inlineStr">
        <is>
          <t>SCA</t>
        </is>
      </c>
      <c r="G325" t="n">
        <v>5</v>
      </c>
      <c r="H325" t="n">
        <v>0</v>
      </c>
      <c r="I325" t="n">
        <v>1</v>
      </c>
      <c r="J325" t="n">
        <v>1</v>
      </c>
      <c r="K325" t="n">
        <v>0</v>
      </c>
      <c r="L325" t="n">
        <v>0</v>
      </c>
      <c r="M325" t="n">
        <v>0</v>
      </c>
      <c r="N325" t="n">
        <v>0</v>
      </c>
      <c r="O325" t="n">
        <v>1</v>
      </c>
      <c r="P325" t="n">
        <v>0</v>
      </c>
      <c r="Q325" t="n">
        <v>2</v>
      </c>
      <c r="R325" s="2" t="inlineStr">
        <is>
          <t>Skrovellav
Stuplav</t>
        </is>
      </c>
      <c r="S325">
        <f>HYPERLINK("https://klasma.github.io/Logging_2313/artfynd/A 36837-2024 artfynd.xlsx", "A 36837-2024")</f>
        <v/>
      </c>
      <c r="T325">
        <f>HYPERLINK("https://klasma.github.io/Logging_2313/kartor/A 36837-2024 karta.png", "A 36837-2024")</f>
        <v/>
      </c>
      <c r="V325">
        <f>HYPERLINK("https://klasma.github.io/Logging_2313/klagomål/A 36837-2024 FSC-klagomål.docx", "A 36837-2024")</f>
        <v/>
      </c>
      <c r="W325">
        <f>HYPERLINK("https://klasma.github.io/Logging_2313/klagomålsmail/A 36837-2024 FSC-klagomål mail.docx", "A 36837-2024")</f>
        <v/>
      </c>
      <c r="X325">
        <f>HYPERLINK("https://klasma.github.io/Logging_2313/tillsyn/A 36837-2024 tillsynsbegäran.docx", "A 36837-2024")</f>
        <v/>
      </c>
      <c r="Y325">
        <f>HYPERLINK("https://klasma.github.io/Logging_2313/tillsynsmail/A 36837-2024 tillsynsbegäran mail.docx", "A 36837-2024")</f>
        <v/>
      </c>
    </row>
    <row r="326" ht="15" customHeight="1">
      <c r="A326" t="inlineStr">
        <is>
          <t>A 38281-2024</t>
        </is>
      </c>
      <c r="B326" s="1" t="n">
        <v>45545</v>
      </c>
      <c r="C326" s="1" t="n">
        <v>45740</v>
      </c>
      <c r="D326" t="inlineStr">
        <is>
          <t>JÄMTLANDS LÄN</t>
        </is>
      </c>
      <c r="E326" t="inlineStr">
        <is>
          <t>STRÖMSUND</t>
        </is>
      </c>
      <c r="F326" t="inlineStr">
        <is>
          <t>SCA</t>
        </is>
      </c>
      <c r="G326" t="n">
        <v>1.7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38281-2024 artfynd.xlsx", "A 38281-2024")</f>
        <v/>
      </c>
      <c r="T326">
        <f>HYPERLINK("https://klasma.github.io/Logging_2313/kartor/A 38281-2024 karta.png", "A 38281-2024")</f>
        <v/>
      </c>
      <c r="V326">
        <f>HYPERLINK("https://klasma.github.io/Logging_2313/klagomål/A 38281-2024 FSC-klagomål.docx", "A 38281-2024")</f>
        <v/>
      </c>
      <c r="W326">
        <f>HYPERLINK("https://klasma.github.io/Logging_2313/klagomålsmail/A 38281-2024 FSC-klagomål mail.docx", "A 38281-2024")</f>
        <v/>
      </c>
      <c r="X326">
        <f>HYPERLINK("https://klasma.github.io/Logging_2313/tillsyn/A 38281-2024 tillsynsbegäran.docx", "A 38281-2024")</f>
        <v/>
      </c>
      <c r="Y326">
        <f>HYPERLINK("https://klasma.github.io/Logging_2313/tillsynsmail/A 38281-2024 tillsynsbegäran mail.docx", "A 38281-2024")</f>
        <v/>
      </c>
    </row>
    <row r="327" ht="15" customHeight="1">
      <c r="A327" t="inlineStr">
        <is>
          <t>A 46380-2024</t>
        </is>
      </c>
      <c r="B327" s="1" t="n">
        <v>45582</v>
      </c>
      <c r="C327" s="1" t="n">
        <v>45740</v>
      </c>
      <c r="D327" t="inlineStr">
        <is>
          <t>JÄMTLANDS LÄN</t>
        </is>
      </c>
      <c r="E327" t="inlineStr">
        <is>
          <t>STRÖMSUND</t>
        </is>
      </c>
      <c r="F327" t="inlineStr">
        <is>
          <t>SCA</t>
        </is>
      </c>
      <c r="G327" t="n">
        <v>6.7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46380-2024 artfynd.xlsx", "A 46380-2024")</f>
        <v/>
      </c>
      <c r="T327">
        <f>HYPERLINK("https://klasma.github.io/Logging_2313/kartor/A 46380-2024 karta.png", "A 46380-2024")</f>
        <v/>
      </c>
      <c r="V327">
        <f>HYPERLINK("https://klasma.github.io/Logging_2313/klagomål/A 46380-2024 FSC-klagomål.docx", "A 46380-2024")</f>
        <v/>
      </c>
      <c r="W327">
        <f>HYPERLINK("https://klasma.github.io/Logging_2313/klagomålsmail/A 46380-2024 FSC-klagomål mail.docx", "A 46380-2024")</f>
        <v/>
      </c>
      <c r="X327">
        <f>HYPERLINK("https://klasma.github.io/Logging_2313/tillsyn/A 46380-2024 tillsynsbegäran.docx", "A 46380-2024")</f>
        <v/>
      </c>
      <c r="Y327">
        <f>HYPERLINK("https://klasma.github.io/Logging_2313/tillsynsmail/A 46380-2024 tillsynsbegäran mail.docx", "A 46380-2024")</f>
        <v/>
      </c>
    </row>
    <row r="328" ht="15" customHeight="1">
      <c r="A328" t="inlineStr">
        <is>
          <t>A 49190-2024</t>
        </is>
      </c>
      <c r="B328" s="1" t="n">
        <v>45595</v>
      </c>
      <c r="C328" s="1" t="n">
        <v>45740</v>
      </c>
      <c r="D328" t="inlineStr">
        <is>
          <t>JÄMTLANDS LÄN</t>
        </is>
      </c>
      <c r="E328" t="inlineStr">
        <is>
          <t>STRÖMSUND</t>
        </is>
      </c>
      <c r="F328" t="inlineStr">
        <is>
          <t>SCA</t>
        </is>
      </c>
      <c r="G328" t="n">
        <v>8</v>
      </c>
      <c r="H328" t="n">
        <v>0</v>
      </c>
      <c r="I328" t="n">
        <v>0</v>
      </c>
      <c r="J328" t="n">
        <v>2</v>
      </c>
      <c r="K328" t="n">
        <v>0</v>
      </c>
      <c r="L328" t="n">
        <v>0</v>
      </c>
      <c r="M328" t="n">
        <v>0</v>
      </c>
      <c r="N328" t="n">
        <v>0</v>
      </c>
      <c r="O328" t="n">
        <v>2</v>
      </c>
      <c r="P328" t="n">
        <v>0</v>
      </c>
      <c r="Q328" t="n">
        <v>2</v>
      </c>
      <c r="R328" s="2" t="inlineStr">
        <is>
          <t>Gammelgransskål
Ullticka</t>
        </is>
      </c>
      <c r="S328">
        <f>HYPERLINK("https://klasma.github.io/Logging_2313/artfynd/A 49190-2024 artfynd.xlsx", "A 49190-2024")</f>
        <v/>
      </c>
      <c r="T328">
        <f>HYPERLINK("https://klasma.github.io/Logging_2313/kartor/A 49190-2024 karta.png", "A 49190-2024")</f>
        <v/>
      </c>
      <c r="V328">
        <f>HYPERLINK("https://klasma.github.io/Logging_2313/klagomål/A 49190-2024 FSC-klagomål.docx", "A 49190-2024")</f>
        <v/>
      </c>
      <c r="W328">
        <f>HYPERLINK("https://klasma.github.io/Logging_2313/klagomålsmail/A 49190-2024 FSC-klagomål mail.docx", "A 49190-2024")</f>
        <v/>
      </c>
      <c r="X328">
        <f>HYPERLINK("https://klasma.github.io/Logging_2313/tillsyn/A 49190-2024 tillsynsbegäran.docx", "A 49190-2024")</f>
        <v/>
      </c>
      <c r="Y328">
        <f>HYPERLINK("https://klasma.github.io/Logging_2313/tillsynsmail/A 49190-2024 tillsynsbegäran mail.docx", "A 49190-2024")</f>
        <v/>
      </c>
    </row>
    <row r="329" ht="15" customHeight="1">
      <c r="A329" t="inlineStr">
        <is>
          <t>A 49183-2024</t>
        </is>
      </c>
      <c r="B329" s="1" t="n">
        <v>45595</v>
      </c>
      <c r="C329" s="1" t="n">
        <v>45740</v>
      </c>
      <c r="D329" t="inlineStr">
        <is>
          <t>JÄMTLANDS LÄN</t>
        </is>
      </c>
      <c r="E329" t="inlineStr">
        <is>
          <t>STRÖMSUND</t>
        </is>
      </c>
      <c r="F329" t="inlineStr">
        <is>
          <t>SCA</t>
        </is>
      </c>
      <c r="G329" t="n">
        <v>3</v>
      </c>
      <c r="H329" t="n">
        <v>1</v>
      </c>
      <c r="I329" t="n">
        <v>0</v>
      </c>
      <c r="J329" t="n">
        <v>1</v>
      </c>
      <c r="K329" t="n">
        <v>0</v>
      </c>
      <c r="L329" t="n">
        <v>0</v>
      </c>
      <c r="M329" t="n">
        <v>0</v>
      </c>
      <c r="N329" t="n">
        <v>0</v>
      </c>
      <c r="O329" t="n">
        <v>1</v>
      </c>
      <c r="P329" t="n">
        <v>0</v>
      </c>
      <c r="Q329" t="n">
        <v>2</v>
      </c>
      <c r="R329" s="2" t="inlineStr">
        <is>
          <t>Ullticka
Revlummer</t>
        </is>
      </c>
      <c r="S329">
        <f>HYPERLINK("https://klasma.github.io/Logging_2313/artfynd/A 49183-2024 artfynd.xlsx", "A 49183-2024")</f>
        <v/>
      </c>
      <c r="T329">
        <f>HYPERLINK("https://klasma.github.io/Logging_2313/kartor/A 49183-2024 karta.png", "A 49183-2024")</f>
        <v/>
      </c>
      <c r="V329">
        <f>HYPERLINK("https://klasma.github.io/Logging_2313/klagomål/A 49183-2024 FSC-klagomål.docx", "A 49183-2024")</f>
        <v/>
      </c>
      <c r="W329">
        <f>HYPERLINK("https://klasma.github.io/Logging_2313/klagomålsmail/A 49183-2024 FSC-klagomål mail.docx", "A 49183-2024")</f>
        <v/>
      </c>
      <c r="X329">
        <f>HYPERLINK("https://klasma.github.io/Logging_2313/tillsyn/A 49183-2024 tillsynsbegäran.docx", "A 49183-2024")</f>
        <v/>
      </c>
      <c r="Y329">
        <f>HYPERLINK("https://klasma.github.io/Logging_2313/tillsynsmail/A 49183-2024 tillsynsbegäran mail.docx", "A 49183-2024")</f>
        <v/>
      </c>
    </row>
    <row r="330" ht="15" customHeight="1">
      <c r="A330" t="inlineStr">
        <is>
          <t>A 49646-2024</t>
        </is>
      </c>
      <c r="B330" s="1" t="n">
        <v>45596</v>
      </c>
      <c r="C330" s="1" t="n">
        <v>45740</v>
      </c>
      <c r="D330" t="inlineStr">
        <is>
          <t>JÄMTLANDS LÄN</t>
        </is>
      </c>
      <c r="E330" t="inlineStr">
        <is>
          <t>STRÖMSUND</t>
        </is>
      </c>
      <c r="F330" t="inlineStr">
        <is>
          <t>SCA</t>
        </is>
      </c>
      <c r="G330" t="n">
        <v>6.6</v>
      </c>
      <c r="H330" t="n">
        <v>2</v>
      </c>
      <c r="I330" t="n">
        <v>0</v>
      </c>
      <c r="J330" t="n">
        <v>1</v>
      </c>
      <c r="K330" t="n">
        <v>1</v>
      </c>
      <c r="L330" t="n">
        <v>0</v>
      </c>
      <c r="M330" t="n">
        <v>0</v>
      </c>
      <c r="N330" t="n">
        <v>0</v>
      </c>
      <c r="O330" t="n">
        <v>2</v>
      </c>
      <c r="P330" t="n">
        <v>1</v>
      </c>
      <c r="Q330" t="n">
        <v>2</v>
      </c>
      <c r="R330" s="2" t="inlineStr">
        <is>
          <t>Doftticka
Tretåig hackspett</t>
        </is>
      </c>
      <c r="S330">
        <f>HYPERLINK("https://klasma.github.io/Logging_2313/artfynd/A 49646-2024 artfynd.xlsx", "A 49646-2024")</f>
        <v/>
      </c>
      <c r="T330">
        <f>HYPERLINK("https://klasma.github.io/Logging_2313/kartor/A 49646-2024 karta.png", "A 49646-2024")</f>
        <v/>
      </c>
      <c r="V330">
        <f>HYPERLINK("https://klasma.github.io/Logging_2313/klagomål/A 49646-2024 FSC-klagomål.docx", "A 49646-2024")</f>
        <v/>
      </c>
      <c r="W330">
        <f>HYPERLINK("https://klasma.github.io/Logging_2313/klagomålsmail/A 49646-2024 FSC-klagomål mail.docx", "A 49646-2024")</f>
        <v/>
      </c>
      <c r="X330">
        <f>HYPERLINK("https://klasma.github.io/Logging_2313/tillsyn/A 49646-2024 tillsynsbegäran.docx", "A 49646-2024")</f>
        <v/>
      </c>
      <c r="Y330">
        <f>HYPERLINK("https://klasma.github.io/Logging_2313/tillsynsmail/A 49646-2024 tillsynsbegäran mail.docx", "A 49646-2024")</f>
        <v/>
      </c>
      <c r="Z330">
        <f>HYPERLINK("https://klasma.github.io/Logging_2313/fåglar/A 49646-2024 prioriterade fågelarter.docx", "A 49646-2024")</f>
        <v/>
      </c>
    </row>
    <row r="331" ht="15" customHeight="1">
      <c r="A331" t="inlineStr">
        <is>
          <t>A 53678-2024</t>
        </is>
      </c>
      <c r="B331" s="1" t="n">
        <v>45615</v>
      </c>
      <c r="C331" s="1" t="n">
        <v>45740</v>
      </c>
      <c r="D331" t="inlineStr">
        <is>
          <t>JÄMTLANDS LÄN</t>
        </is>
      </c>
      <c r="E331" t="inlineStr">
        <is>
          <t>STRÖMSUND</t>
        </is>
      </c>
      <c r="F331" t="inlineStr">
        <is>
          <t>SCA</t>
        </is>
      </c>
      <c r="G331" t="n">
        <v>13.5</v>
      </c>
      <c r="H331" t="n">
        <v>0</v>
      </c>
      <c r="I331" t="n">
        <v>0</v>
      </c>
      <c r="J331" t="n">
        <v>2</v>
      </c>
      <c r="K331" t="n">
        <v>0</v>
      </c>
      <c r="L331" t="n">
        <v>0</v>
      </c>
      <c r="M331" t="n">
        <v>0</v>
      </c>
      <c r="N331" t="n">
        <v>0</v>
      </c>
      <c r="O331" t="n">
        <v>2</v>
      </c>
      <c r="P331" t="n">
        <v>0</v>
      </c>
      <c r="Q331" t="n">
        <v>2</v>
      </c>
      <c r="R331" s="2" t="inlineStr">
        <is>
          <t>Garnlav
Skrovellav</t>
        </is>
      </c>
      <c r="S331">
        <f>HYPERLINK("https://klasma.github.io/Logging_2313/artfynd/A 53678-2024 artfynd.xlsx", "A 53678-2024")</f>
        <v/>
      </c>
      <c r="T331">
        <f>HYPERLINK("https://klasma.github.io/Logging_2313/kartor/A 53678-2024 karta.png", "A 53678-2024")</f>
        <v/>
      </c>
      <c r="V331">
        <f>HYPERLINK("https://klasma.github.io/Logging_2313/klagomål/A 53678-2024 FSC-klagomål.docx", "A 53678-2024")</f>
        <v/>
      </c>
      <c r="W331">
        <f>HYPERLINK("https://klasma.github.io/Logging_2313/klagomålsmail/A 53678-2024 FSC-klagomål mail.docx", "A 53678-2024")</f>
        <v/>
      </c>
      <c r="X331">
        <f>HYPERLINK("https://klasma.github.io/Logging_2313/tillsyn/A 53678-2024 tillsynsbegäran.docx", "A 53678-2024")</f>
        <v/>
      </c>
      <c r="Y331">
        <f>HYPERLINK("https://klasma.github.io/Logging_2313/tillsynsmail/A 53678-2024 tillsynsbegäran mail.docx", "A 53678-2024")</f>
        <v/>
      </c>
    </row>
    <row r="332" ht="15" customHeight="1">
      <c r="A332" t="inlineStr">
        <is>
          <t>A 55040-2024</t>
        </is>
      </c>
      <c r="B332" s="1" t="n">
        <v>45621</v>
      </c>
      <c r="C332" s="1" t="n">
        <v>45740</v>
      </c>
      <c r="D332" t="inlineStr">
        <is>
          <t>JÄMTLANDS LÄN</t>
        </is>
      </c>
      <c r="E332" t="inlineStr">
        <is>
          <t>STRÖMSUND</t>
        </is>
      </c>
      <c r="G332" t="n">
        <v>10.1</v>
      </c>
      <c r="H332" t="n">
        <v>1</v>
      </c>
      <c r="I332" t="n">
        <v>0</v>
      </c>
      <c r="J332" t="n">
        <v>2</v>
      </c>
      <c r="K332" t="n">
        <v>0</v>
      </c>
      <c r="L332" t="n">
        <v>0</v>
      </c>
      <c r="M332" t="n">
        <v>0</v>
      </c>
      <c r="N332" t="n">
        <v>0</v>
      </c>
      <c r="O332" t="n">
        <v>2</v>
      </c>
      <c r="P332" t="n">
        <v>0</v>
      </c>
      <c r="Q332" t="n">
        <v>2</v>
      </c>
      <c r="R332" s="2" t="inlineStr">
        <is>
          <t>Granticka
Tretåig hackspett</t>
        </is>
      </c>
      <c r="S332">
        <f>HYPERLINK("https://klasma.github.io/Logging_2313/artfynd/A 55040-2024 artfynd.xlsx", "A 55040-2024")</f>
        <v/>
      </c>
      <c r="T332">
        <f>HYPERLINK("https://klasma.github.io/Logging_2313/kartor/A 55040-2024 karta.png", "A 55040-2024")</f>
        <v/>
      </c>
      <c r="V332">
        <f>HYPERLINK("https://klasma.github.io/Logging_2313/klagomål/A 55040-2024 FSC-klagomål.docx", "A 55040-2024")</f>
        <v/>
      </c>
      <c r="W332">
        <f>HYPERLINK("https://klasma.github.io/Logging_2313/klagomålsmail/A 55040-2024 FSC-klagomål mail.docx", "A 55040-2024")</f>
        <v/>
      </c>
      <c r="X332">
        <f>HYPERLINK("https://klasma.github.io/Logging_2313/tillsyn/A 55040-2024 tillsynsbegäran.docx", "A 55040-2024")</f>
        <v/>
      </c>
      <c r="Y332">
        <f>HYPERLINK("https://klasma.github.io/Logging_2313/tillsynsmail/A 55040-2024 tillsynsbegäran mail.docx", "A 55040-2024")</f>
        <v/>
      </c>
      <c r="Z332">
        <f>HYPERLINK("https://klasma.github.io/Logging_2313/fåglar/A 55040-2024 prioriterade fågelarter.docx", "A 55040-2024")</f>
        <v/>
      </c>
    </row>
    <row r="333" ht="15" customHeight="1">
      <c r="A333" t="inlineStr">
        <is>
          <t>A 55639-2024</t>
        </is>
      </c>
      <c r="B333" s="1" t="n">
        <v>45622</v>
      </c>
      <c r="C333" s="1" t="n">
        <v>45740</v>
      </c>
      <c r="D333" t="inlineStr">
        <is>
          <t>JÄMTLANDS LÄN</t>
        </is>
      </c>
      <c r="E333" t="inlineStr">
        <is>
          <t>STRÖMSUND</t>
        </is>
      </c>
      <c r="F333" t="inlineStr">
        <is>
          <t>SCA</t>
        </is>
      </c>
      <c r="G333" t="n">
        <v>5.8</v>
      </c>
      <c r="H333" t="n">
        <v>0</v>
      </c>
      <c r="I333" t="n">
        <v>0</v>
      </c>
      <c r="J333" t="n">
        <v>2</v>
      </c>
      <c r="K333" t="n">
        <v>0</v>
      </c>
      <c r="L333" t="n">
        <v>0</v>
      </c>
      <c r="M333" t="n">
        <v>0</v>
      </c>
      <c r="N333" t="n">
        <v>0</v>
      </c>
      <c r="O333" t="n">
        <v>2</v>
      </c>
      <c r="P333" t="n">
        <v>0</v>
      </c>
      <c r="Q333" t="n">
        <v>2</v>
      </c>
      <c r="R333" s="2" t="inlineStr">
        <is>
          <t>Harticka
Skrovellav</t>
        </is>
      </c>
      <c r="S333">
        <f>HYPERLINK("https://klasma.github.io/Logging_2313/artfynd/A 55639-2024 artfynd.xlsx", "A 55639-2024")</f>
        <v/>
      </c>
      <c r="T333">
        <f>HYPERLINK("https://klasma.github.io/Logging_2313/kartor/A 55639-2024 karta.png", "A 55639-2024")</f>
        <v/>
      </c>
      <c r="V333">
        <f>HYPERLINK("https://klasma.github.io/Logging_2313/klagomål/A 55639-2024 FSC-klagomål.docx", "A 55639-2024")</f>
        <v/>
      </c>
      <c r="W333">
        <f>HYPERLINK("https://klasma.github.io/Logging_2313/klagomålsmail/A 55639-2024 FSC-klagomål mail.docx", "A 55639-2024")</f>
        <v/>
      </c>
      <c r="X333">
        <f>HYPERLINK("https://klasma.github.io/Logging_2313/tillsyn/A 55639-2024 tillsynsbegäran.docx", "A 55639-2024")</f>
        <v/>
      </c>
      <c r="Y333">
        <f>HYPERLINK("https://klasma.github.io/Logging_2313/tillsynsmail/A 55639-2024 tillsynsbegäran mail.docx", "A 55639-2024")</f>
        <v/>
      </c>
    </row>
    <row r="334" ht="15" customHeight="1">
      <c r="A334" t="inlineStr">
        <is>
          <t>A 2716-2025</t>
        </is>
      </c>
      <c r="B334" s="1" t="n">
        <v>45677</v>
      </c>
      <c r="C334" s="1" t="n">
        <v>45740</v>
      </c>
      <c r="D334" t="inlineStr">
        <is>
          <t>JÄMTLANDS LÄN</t>
        </is>
      </c>
      <c r="E334" t="inlineStr">
        <is>
          <t>STRÖMSUND</t>
        </is>
      </c>
      <c r="F334" t="inlineStr">
        <is>
          <t>SCA</t>
        </is>
      </c>
      <c r="G334" t="n">
        <v>3.6</v>
      </c>
      <c r="H334" t="n">
        <v>0</v>
      </c>
      <c r="I334" t="n">
        <v>0</v>
      </c>
      <c r="J334" t="n">
        <v>2</v>
      </c>
      <c r="K334" t="n">
        <v>0</v>
      </c>
      <c r="L334" t="n">
        <v>0</v>
      </c>
      <c r="M334" t="n">
        <v>0</v>
      </c>
      <c r="N334" t="n">
        <v>0</v>
      </c>
      <c r="O334" t="n">
        <v>2</v>
      </c>
      <c r="P334" t="n">
        <v>0</v>
      </c>
      <c r="Q334" t="n">
        <v>2</v>
      </c>
      <c r="R334" s="2" t="inlineStr">
        <is>
          <t>Vaddporing
Vedskivlav</t>
        </is>
      </c>
      <c r="S334">
        <f>HYPERLINK("https://klasma.github.io/Logging_2313/artfynd/A 2716-2025 artfynd.xlsx", "A 2716-2025")</f>
        <v/>
      </c>
      <c r="T334">
        <f>HYPERLINK("https://klasma.github.io/Logging_2313/kartor/A 2716-2025 karta.png", "A 2716-2025")</f>
        <v/>
      </c>
      <c r="V334">
        <f>HYPERLINK("https://klasma.github.io/Logging_2313/klagomål/A 2716-2025 FSC-klagomål.docx", "A 2716-2025")</f>
        <v/>
      </c>
      <c r="W334">
        <f>HYPERLINK("https://klasma.github.io/Logging_2313/klagomålsmail/A 2716-2025 FSC-klagomål mail.docx", "A 2716-2025")</f>
        <v/>
      </c>
      <c r="X334">
        <f>HYPERLINK("https://klasma.github.io/Logging_2313/tillsyn/A 2716-2025 tillsynsbegäran.docx", "A 2716-2025")</f>
        <v/>
      </c>
      <c r="Y334">
        <f>HYPERLINK("https://klasma.github.io/Logging_2313/tillsynsmail/A 2716-2025 tillsynsbegäran mail.docx", "A 2716-2025")</f>
        <v/>
      </c>
    </row>
    <row r="335" ht="15" customHeight="1">
      <c r="A335" t="inlineStr">
        <is>
          <t>A 21660-2019</t>
        </is>
      </c>
      <c r="B335" s="1" t="n">
        <v>43581</v>
      </c>
      <c r="C335" s="1" t="n">
        <v>45740</v>
      </c>
      <c r="D335" t="inlineStr">
        <is>
          <t>JÄMTLANDS LÄN</t>
        </is>
      </c>
      <c r="E335" t="inlineStr">
        <is>
          <t>STRÖMSUND</t>
        </is>
      </c>
      <c r="G335" t="n">
        <v>1.7</v>
      </c>
      <c r="H335" t="n">
        <v>0</v>
      </c>
      <c r="I335" t="n">
        <v>0</v>
      </c>
      <c r="J335" t="n">
        <v>1</v>
      </c>
      <c r="K335" t="n">
        <v>0</v>
      </c>
      <c r="L335" t="n">
        <v>0</v>
      </c>
      <c r="M335" t="n">
        <v>0</v>
      </c>
      <c r="N335" t="n">
        <v>0</v>
      </c>
      <c r="O335" t="n">
        <v>1</v>
      </c>
      <c r="P335" t="n">
        <v>0</v>
      </c>
      <c r="Q335" t="n">
        <v>1</v>
      </c>
      <c r="R335" s="2" t="inlineStr">
        <is>
          <t>Granticka</t>
        </is>
      </c>
      <c r="S335">
        <f>HYPERLINK("https://klasma.github.io/Logging_2313/artfynd/A 21660-2019 artfynd.xlsx", "A 21660-2019")</f>
        <v/>
      </c>
      <c r="T335">
        <f>HYPERLINK("https://klasma.github.io/Logging_2313/kartor/A 21660-2019 karta.png", "A 21660-2019")</f>
        <v/>
      </c>
      <c r="V335">
        <f>HYPERLINK("https://klasma.github.io/Logging_2313/klagomål/A 21660-2019 FSC-klagomål.docx", "A 21660-2019")</f>
        <v/>
      </c>
      <c r="W335">
        <f>HYPERLINK("https://klasma.github.io/Logging_2313/klagomålsmail/A 21660-2019 FSC-klagomål mail.docx", "A 21660-2019")</f>
        <v/>
      </c>
      <c r="X335">
        <f>HYPERLINK("https://klasma.github.io/Logging_2313/tillsyn/A 21660-2019 tillsynsbegäran.docx", "A 21660-2019")</f>
        <v/>
      </c>
      <c r="Y335">
        <f>HYPERLINK("https://klasma.github.io/Logging_2313/tillsynsmail/A 21660-2019 tillsynsbegäran mail.docx", "A 21660-2019")</f>
        <v/>
      </c>
    </row>
    <row r="336" ht="15" customHeight="1">
      <c r="A336" t="inlineStr">
        <is>
          <t>A 22339-2019</t>
        </is>
      </c>
      <c r="B336" s="1" t="n">
        <v>43586</v>
      </c>
      <c r="C336" s="1" t="n">
        <v>45740</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Vedflikmossa</t>
        </is>
      </c>
      <c r="S336">
        <f>HYPERLINK("https://klasma.github.io/Logging_2313/artfynd/A 22339-2019 artfynd.xlsx", "A 22339-2019")</f>
        <v/>
      </c>
      <c r="T336">
        <f>HYPERLINK("https://klasma.github.io/Logging_2313/kartor/A 22339-2019 karta.png", "A 22339-2019")</f>
        <v/>
      </c>
      <c r="V336">
        <f>HYPERLINK("https://klasma.github.io/Logging_2313/klagomål/A 22339-2019 FSC-klagomål.docx", "A 22339-2019")</f>
        <v/>
      </c>
      <c r="W336">
        <f>HYPERLINK("https://klasma.github.io/Logging_2313/klagomålsmail/A 22339-2019 FSC-klagomål mail.docx", "A 22339-2019")</f>
        <v/>
      </c>
      <c r="X336">
        <f>HYPERLINK("https://klasma.github.io/Logging_2313/tillsyn/A 22339-2019 tillsynsbegäran.docx", "A 22339-2019")</f>
        <v/>
      </c>
      <c r="Y336">
        <f>HYPERLINK("https://klasma.github.io/Logging_2313/tillsynsmail/A 22339-2019 tillsynsbegäran mail.docx", "A 22339-2019")</f>
        <v/>
      </c>
    </row>
    <row r="337" ht="15" customHeight="1">
      <c r="A337" t="inlineStr">
        <is>
          <t>A 24577-2019</t>
        </is>
      </c>
      <c r="B337" s="1" t="n">
        <v>43600</v>
      </c>
      <c r="C337" s="1" t="n">
        <v>45740</v>
      </c>
      <c r="D337" t="inlineStr">
        <is>
          <t>JÄMTLANDS LÄN</t>
        </is>
      </c>
      <c r="E337" t="inlineStr">
        <is>
          <t>STRÖMSUND</t>
        </is>
      </c>
      <c r="F337" t="inlineStr">
        <is>
          <t>SCA</t>
        </is>
      </c>
      <c r="G337" t="n">
        <v>138.7</v>
      </c>
      <c r="H337" t="n">
        <v>1</v>
      </c>
      <c r="I337" t="n">
        <v>0</v>
      </c>
      <c r="J337" t="n">
        <v>1</v>
      </c>
      <c r="K337" t="n">
        <v>0</v>
      </c>
      <c r="L337" t="n">
        <v>0</v>
      </c>
      <c r="M337" t="n">
        <v>0</v>
      </c>
      <c r="N337" t="n">
        <v>0</v>
      </c>
      <c r="O337" t="n">
        <v>1</v>
      </c>
      <c r="P337" t="n">
        <v>0</v>
      </c>
      <c r="Q337" t="n">
        <v>1</v>
      </c>
      <c r="R337" s="2" t="inlineStr">
        <is>
          <t>Höstlåsbräken</t>
        </is>
      </c>
      <c r="S337">
        <f>HYPERLINK("https://klasma.github.io/Logging_2313/artfynd/A 24577-2019 artfynd.xlsx", "A 24577-2019")</f>
        <v/>
      </c>
      <c r="T337">
        <f>HYPERLINK("https://klasma.github.io/Logging_2313/kartor/A 24577-2019 karta.png", "A 24577-2019")</f>
        <v/>
      </c>
      <c r="V337">
        <f>HYPERLINK("https://klasma.github.io/Logging_2313/klagomål/A 24577-2019 FSC-klagomål.docx", "A 24577-2019")</f>
        <v/>
      </c>
      <c r="W337">
        <f>HYPERLINK("https://klasma.github.io/Logging_2313/klagomålsmail/A 24577-2019 FSC-klagomål mail.docx", "A 24577-2019")</f>
        <v/>
      </c>
      <c r="X337">
        <f>HYPERLINK("https://klasma.github.io/Logging_2313/tillsyn/A 24577-2019 tillsynsbegäran.docx", "A 24577-2019")</f>
        <v/>
      </c>
      <c r="Y337">
        <f>HYPERLINK("https://klasma.github.io/Logging_2313/tillsynsmail/A 24577-2019 tillsynsbegäran mail.docx", "A 24577-2019")</f>
        <v/>
      </c>
    </row>
    <row r="338" ht="15" customHeight="1">
      <c r="A338" t="inlineStr">
        <is>
          <t>A 29291-2019</t>
        </is>
      </c>
      <c r="B338" s="1" t="n">
        <v>43629</v>
      </c>
      <c r="C338" s="1" t="n">
        <v>45740</v>
      </c>
      <c r="D338" t="inlineStr">
        <is>
          <t>JÄMTLANDS LÄN</t>
        </is>
      </c>
      <c r="E338" t="inlineStr">
        <is>
          <t>STRÖMSUND</t>
        </is>
      </c>
      <c r="G338" t="n">
        <v>16</v>
      </c>
      <c r="H338" t="n">
        <v>0</v>
      </c>
      <c r="I338" t="n">
        <v>1</v>
      </c>
      <c r="J338" t="n">
        <v>0</v>
      </c>
      <c r="K338" t="n">
        <v>0</v>
      </c>
      <c r="L338" t="n">
        <v>0</v>
      </c>
      <c r="M338" t="n">
        <v>0</v>
      </c>
      <c r="N338" t="n">
        <v>0</v>
      </c>
      <c r="O338" t="n">
        <v>0</v>
      </c>
      <c r="P338" t="n">
        <v>0</v>
      </c>
      <c r="Q338" t="n">
        <v>1</v>
      </c>
      <c r="R338" s="2" t="inlineStr">
        <is>
          <t>Finbräken</t>
        </is>
      </c>
      <c r="S338">
        <f>HYPERLINK("https://klasma.github.io/Logging_2313/artfynd/A 29291-2019 artfynd.xlsx", "A 29291-2019")</f>
        <v/>
      </c>
      <c r="T338">
        <f>HYPERLINK("https://klasma.github.io/Logging_2313/kartor/A 29291-2019 karta.png", "A 29291-2019")</f>
        <v/>
      </c>
      <c r="V338">
        <f>HYPERLINK("https://klasma.github.io/Logging_2313/klagomål/A 29291-2019 FSC-klagomål.docx", "A 29291-2019")</f>
        <v/>
      </c>
      <c r="W338">
        <f>HYPERLINK("https://klasma.github.io/Logging_2313/klagomålsmail/A 29291-2019 FSC-klagomål mail.docx", "A 29291-2019")</f>
        <v/>
      </c>
      <c r="X338">
        <f>HYPERLINK("https://klasma.github.io/Logging_2313/tillsyn/A 29291-2019 tillsynsbegäran.docx", "A 29291-2019")</f>
        <v/>
      </c>
      <c r="Y338">
        <f>HYPERLINK("https://klasma.github.io/Logging_2313/tillsynsmail/A 29291-2019 tillsynsbegäran mail.docx", "A 29291-2019")</f>
        <v/>
      </c>
    </row>
    <row r="339" ht="15" customHeight="1">
      <c r="A339" t="inlineStr">
        <is>
          <t>A 32596-2019</t>
        </is>
      </c>
      <c r="B339" s="1" t="n">
        <v>43647</v>
      </c>
      <c r="C339" s="1" t="n">
        <v>45740</v>
      </c>
      <c r="D339" t="inlineStr">
        <is>
          <t>JÄMTLANDS LÄN</t>
        </is>
      </c>
      <c r="E339" t="inlineStr">
        <is>
          <t>STRÖMSUND</t>
        </is>
      </c>
      <c r="G339" t="n">
        <v>2.6</v>
      </c>
      <c r="H339" t="n">
        <v>1</v>
      </c>
      <c r="I339" t="n">
        <v>0</v>
      </c>
      <c r="J339" t="n">
        <v>0</v>
      </c>
      <c r="K339" t="n">
        <v>1</v>
      </c>
      <c r="L339" t="n">
        <v>0</v>
      </c>
      <c r="M339" t="n">
        <v>0</v>
      </c>
      <c r="N339" t="n">
        <v>0</v>
      </c>
      <c r="O339" t="n">
        <v>1</v>
      </c>
      <c r="P339" t="n">
        <v>1</v>
      </c>
      <c r="Q339" t="n">
        <v>1</v>
      </c>
      <c r="R339" s="2" t="inlineStr">
        <is>
          <t>Knärot</t>
        </is>
      </c>
      <c r="S339">
        <f>HYPERLINK("https://klasma.github.io/Logging_2313/artfynd/A 32596-2019 artfynd.xlsx", "A 32596-2019")</f>
        <v/>
      </c>
      <c r="T339">
        <f>HYPERLINK("https://klasma.github.io/Logging_2313/kartor/A 32596-2019 karta.png", "A 32596-2019")</f>
        <v/>
      </c>
      <c r="U339">
        <f>HYPERLINK("https://klasma.github.io/Logging_2313/knärot/A 32596-2019 karta knärot.png", "A 32596-2019")</f>
        <v/>
      </c>
      <c r="V339">
        <f>HYPERLINK("https://klasma.github.io/Logging_2313/klagomål/A 32596-2019 FSC-klagomål.docx", "A 32596-2019")</f>
        <v/>
      </c>
      <c r="W339">
        <f>HYPERLINK("https://klasma.github.io/Logging_2313/klagomålsmail/A 32596-2019 FSC-klagomål mail.docx", "A 32596-2019")</f>
        <v/>
      </c>
      <c r="X339">
        <f>HYPERLINK("https://klasma.github.io/Logging_2313/tillsyn/A 32596-2019 tillsynsbegäran.docx", "A 32596-2019")</f>
        <v/>
      </c>
      <c r="Y339">
        <f>HYPERLINK("https://klasma.github.io/Logging_2313/tillsynsmail/A 32596-2019 tillsynsbegäran mail.docx", "A 32596-2019")</f>
        <v/>
      </c>
    </row>
    <row r="340" ht="15" customHeight="1">
      <c r="A340" t="inlineStr">
        <is>
          <t>A 40660-2019</t>
        </is>
      </c>
      <c r="B340" s="1" t="n">
        <v>43696</v>
      </c>
      <c r="C340" s="1" t="n">
        <v>45740</v>
      </c>
      <c r="D340" t="inlineStr">
        <is>
          <t>JÄMTLANDS LÄN</t>
        </is>
      </c>
      <c r="E340" t="inlineStr">
        <is>
          <t>STRÖMSUND</t>
        </is>
      </c>
      <c r="G340" t="n">
        <v>6.5</v>
      </c>
      <c r="H340" t="n">
        <v>1</v>
      </c>
      <c r="I340" t="n">
        <v>0</v>
      </c>
      <c r="J340" t="n">
        <v>0</v>
      </c>
      <c r="K340" t="n">
        <v>0</v>
      </c>
      <c r="L340" t="n">
        <v>0</v>
      </c>
      <c r="M340" t="n">
        <v>0</v>
      </c>
      <c r="N340" t="n">
        <v>0</v>
      </c>
      <c r="O340" t="n">
        <v>0</v>
      </c>
      <c r="P340" t="n">
        <v>0</v>
      </c>
      <c r="Q340" t="n">
        <v>1</v>
      </c>
      <c r="R340" s="2" t="inlineStr">
        <is>
          <t>Fläcknycklar</t>
        </is>
      </c>
      <c r="S340">
        <f>HYPERLINK("https://klasma.github.io/Logging_2313/artfynd/A 40660-2019 artfynd.xlsx", "A 40660-2019")</f>
        <v/>
      </c>
      <c r="T340">
        <f>HYPERLINK("https://klasma.github.io/Logging_2313/kartor/A 40660-2019 karta.png", "A 40660-2019")</f>
        <v/>
      </c>
      <c r="V340">
        <f>HYPERLINK("https://klasma.github.io/Logging_2313/klagomål/A 40660-2019 FSC-klagomål.docx", "A 40660-2019")</f>
        <v/>
      </c>
      <c r="W340">
        <f>HYPERLINK("https://klasma.github.io/Logging_2313/klagomålsmail/A 40660-2019 FSC-klagomål mail.docx", "A 40660-2019")</f>
        <v/>
      </c>
      <c r="X340">
        <f>HYPERLINK("https://klasma.github.io/Logging_2313/tillsyn/A 40660-2019 tillsynsbegäran.docx", "A 40660-2019")</f>
        <v/>
      </c>
      <c r="Y340">
        <f>HYPERLINK("https://klasma.github.io/Logging_2313/tillsynsmail/A 40660-2019 tillsynsbegäran mail.docx", "A 40660-2019")</f>
        <v/>
      </c>
    </row>
    <row r="341" ht="15" customHeight="1">
      <c r="A341" t="inlineStr">
        <is>
          <t>A 40524-2019</t>
        </is>
      </c>
      <c r="B341" s="1" t="n">
        <v>43696</v>
      </c>
      <c r="C341" s="1" t="n">
        <v>45740</v>
      </c>
      <c r="D341" t="inlineStr">
        <is>
          <t>JÄMTLANDS LÄN</t>
        </is>
      </c>
      <c r="E341" t="inlineStr">
        <is>
          <t>STRÖMSUND</t>
        </is>
      </c>
      <c r="G341" t="n">
        <v>5.9</v>
      </c>
      <c r="H341" t="n">
        <v>1</v>
      </c>
      <c r="I341" t="n">
        <v>1</v>
      </c>
      <c r="J341" t="n">
        <v>0</v>
      </c>
      <c r="K341" t="n">
        <v>0</v>
      </c>
      <c r="L341" t="n">
        <v>0</v>
      </c>
      <c r="M341" t="n">
        <v>0</v>
      </c>
      <c r="N341" t="n">
        <v>0</v>
      </c>
      <c r="O341" t="n">
        <v>0</v>
      </c>
      <c r="P341" t="n">
        <v>0</v>
      </c>
      <c r="Q341" t="n">
        <v>1</v>
      </c>
      <c r="R341" s="2" t="inlineStr">
        <is>
          <t>Grönkulla</t>
        </is>
      </c>
      <c r="S341">
        <f>HYPERLINK("https://klasma.github.io/Logging_2313/artfynd/A 40524-2019 artfynd.xlsx", "A 40524-2019")</f>
        <v/>
      </c>
      <c r="T341">
        <f>HYPERLINK("https://klasma.github.io/Logging_2313/kartor/A 40524-2019 karta.png", "A 40524-2019")</f>
        <v/>
      </c>
      <c r="V341">
        <f>HYPERLINK("https://klasma.github.io/Logging_2313/klagomål/A 40524-2019 FSC-klagomål.docx", "A 40524-2019")</f>
        <v/>
      </c>
      <c r="W341">
        <f>HYPERLINK("https://klasma.github.io/Logging_2313/klagomålsmail/A 40524-2019 FSC-klagomål mail.docx", "A 40524-2019")</f>
        <v/>
      </c>
      <c r="X341">
        <f>HYPERLINK("https://klasma.github.io/Logging_2313/tillsyn/A 40524-2019 tillsynsbegäran.docx", "A 40524-2019")</f>
        <v/>
      </c>
      <c r="Y341">
        <f>HYPERLINK("https://klasma.github.io/Logging_2313/tillsynsmail/A 40524-2019 tillsynsbegäran mail.docx", "A 40524-2019")</f>
        <v/>
      </c>
    </row>
    <row r="342" ht="15" customHeight="1">
      <c r="A342" t="inlineStr">
        <is>
          <t>A 44011-2019</t>
        </is>
      </c>
      <c r="B342" s="1" t="n">
        <v>43709</v>
      </c>
      <c r="C342" s="1" t="n">
        <v>45740</v>
      </c>
      <c r="D342" t="inlineStr">
        <is>
          <t>JÄMTLANDS LÄN</t>
        </is>
      </c>
      <c r="E342" t="inlineStr">
        <is>
          <t>STRÖMSUND</t>
        </is>
      </c>
      <c r="F342" t="inlineStr">
        <is>
          <t>SCA</t>
        </is>
      </c>
      <c r="G342" t="n">
        <v>2.8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44011-2019 artfynd.xlsx", "A 44011-2019")</f>
        <v/>
      </c>
      <c r="T342">
        <f>HYPERLINK("https://klasma.github.io/Logging_2313/kartor/A 44011-2019 karta.png", "A 44011-2019")</f>
        <v/>
      </c>
      <c r="V342">
        <f>HYPERLINK("https://klasma.github.io/Logging_2313/klagomål/A 44011-2019 FSC-klagomål.docx", "A 44011-2019")</f>
        <v/>
      </c>
      <c r="W342">
        <f>HYPERLINK("https://klasma.github.io/Logging_2313/klagomålsmail/A 44011-2019 FSC-klagomål mail.docx", "A 44011-2019")</f>
        <v/>
      </c>
      <c r="X342">
        <f>HYPERLINK("https://klasma.github.io/Logging_2313/tillsyn/A 44011-2019 tillsynsbegäran.docx", "A 44011-2019")</f>
        <v/>
      </c>
      <c r="Y342">
        <f>HYPERLINK("https://klasma.github.io/Logging_2313/tillsynsmail/A 44011-2019 tillsynsbegäran mail.docx", "A 44011-2019")</f>
        <v/>
      </c>
    </row>
    <row r="343" ht="15" customHeight="1">
      <c r="A343" t="inlineStr">
        <is>
          <t>A 44527-2019</t>
        </is>
      </c>
      <c r="B343" s="1" t="n">
        <v>43711</v>
      </c>
      <c r="C343" s="1" t="n">
        <v>45740</v>
      </c>
      <c r="D343" t="inlineStr">
        <is>
          <t>JÄMTLANDS LÄN</t>
        </is>
      </c>
      <c r="E343" t="inlineStr">
        <is>
          <t>STRÖMSUND</t>
        </is>
      </c>
      <c r="G343" t="n">
        <v>19.8</v>
      </c>
      <c r="H343" t="n">
        <v>0</v>
      </c>
      <c r="I343" t="n">
        <v>1</v>
      </c>
      <c r="J343" t="n">
        <v>0</v>
      </c>
      <c r="K343" t="n">
        <v>0</v>
      </c>
      <c r="L343" t="n">
        <v>0</v>
      </c>
      <c r="M343" t="n">
        <v>0</v>
      </c>
      <c r="N343" t="n">
        <v>0</v>
      </c>
      <c r="O343" t="n">
        <v>0</v>
      </c>
      <c r="P343" t="n">
        <v>0</v>
      </c>
      <c r="Q343" t="n">
        <v>1</v>
      </c>
      <c r="R343" s="2" t="inlineStr">
        <is>
          <t>Finbräken</t>
        </is>
      </c>
      <c r="S343">
        <f>HYPERLINK("https://klasma.github.io/Logging_2313/artfynd/A 44527-2019 artfynd.xlsx", "A 44527-2019")</f>
        <v/>
      </c>
      <c r="T343">
        <f>HYPERLINK("https://klasma.github.io/Logging_2313/kartor/A 44527-2019 karta.png", "A 44527-2019")</f>
        <v/>
      </c>
      <c r="V343">
        <f>HYPERLINK("https://klasma.github.io/Logging_2313/klagomål/A 44527-2019 FSC-klagomål.docx", "A 44527-2019")</f>
        <v/>
      </c>
      <c r="W343">
        <f>HYPERLINK("https://klasma.github.io/Logging_2313/klagomålsmail/A 44527-2019 FSC-klagomål mail.docx", "A 44527-2019")</f>
        <v/>
      </c>
      <c r="X343">
        <f>HYPERLINK("https://klasma.github.io/Logging_2313/tillsyn/A 44527-2019 tillsynsbegäran.docx", "A 44527-2019")</f>
        <v/>
      </c>
      <c r="Y343">
        <f>HYPERLINK("https://klasma.github.io/Logging_2313/tillsynsmail/A 44527-2019 tillsynsbegäran mail.docx", "A 44527-2019")</f>
        <v/>
      </c>
    </row>
    <row r="344" ht="15" customHeight="1">
      <c r="A344" t="inlineStr">
        <is>
          <t>A 47080-2019</t>
        </is>
      </c>
      <c r="B344" s="1" t="n">
        <v>43720</v>
      </c>
      <c r="C344" s="1" t="n">
        <v>45740</v>
      </c>
      <c r="D344" t="inlineStr">
        <is>
          <t>JÄMTLANDS LÄN</t>
        </is>
      </c>
      <c r="E344" t="inlineStr">
        <is>
          <t>STRÖMSUND</t>
        </is>
      </c>
      <c r="F344" t="inlineStr">
        <is>
          <t>SCA</t>
        </is>
      </c>
      <c r="G344" t="n">
        <v>13.5</v>
      </c>
      <c r="H344" t="n">
        <v>0</v>
      </c>
      <c r="I344" t="n">
        <v>1</v>
      </c>
      <c r="J344" t="n">
        <v>0</v>
      </c>
      <c r="K344" t="n">
        <v>0</v>
      </c>
      <c r="L344" t="n">
        <v>0</v>
      </c>
      <c r="M344" t="n">
        <v>0</v>
      </c>
      <c r="N344" t="n">
        <v>0</v>
      </c>
      <c r="O344" t="n">
        <v>0</v>
      </c>
      <c r="P344" t="n">
        <v>0</v>
      </c>
      <c r="Q344" t="n">
        <v>1</v>
      </c>
      <c r="R344" s="2" t="inlineStr">
        <is>
          <t>Skinnlav</t>
        </is>
      </c>
      <c r="S344">
        <f>HYPERLINK("https://klasma.github.io/Logging_2313/artfynd/A 47080-2019 artfynd.xlsx", "A 47080-2019")</f>
        <v/>
      </c>
      <c r="T344">
        <f>HYPERLINK("https://klasma.github.io/Logging_2313/kartor/A 47080-2019 karta.png", "A 47080-2019")</f>
        <v/>
      </c>
      <c r="V344">
        <f>HYPERLINK("https://klasma.github.io/Logging_2313/klagomål/A 47080-2019 FSC-klagomål.docx", "A 47080-2019")</f>
        <v/>
      </c>
      <c r="W344">
        <f>HYPERLINK("https://klasma.github.io/Logging_2313/klagomålsmail/A 47080-2019 FSC-klagomål mail.docx", "A 47080-2019")</f>
        <v/>
      </c>
      <c r="X344">
        <f>HYPERLINK("https://klasma.github.io/Logging_2313/tillsyn/A 47080-2019 tillsynsbegäran.docx", "A 47080-2019")</f>
        <v/>
      </c>
      <c r="Y344">
        <f>HYPERLINK("https://klasma.github.io/Logging_2313/tillsynsmail/A 47080-2019 tillsynsbegäran mail.docx", "A 47080-2019")</f>
        <v/>
      </c>
    </row>
    <row r="345" ht="15" customHeight="1">
      <c r="A345" t="inlineStr">
        <is>
          <t>A 48800-2019</t>
        </is>
      </c>
      <c r="B345" s="1" t="n">
        <v>43727</v>
      </c>
      <c r="C345" s="1" t="n">
        <v>45740</v>
      </c>
      <c r="D345" t="inlineStr">
        <is>
          <t>JÄMTLANDS LÄN</t>
        </is>
      </c>
      <c r="E345" t="inlineStr">
        <is>
          <t>STRÖMSUND</t>
        </is>
      </c>
      <c r="F345" t="inlineStr">
        <is>
          <t>SCA</t>
        </is>
      </c>
      <c r="G345" t="n">
        <v>2.3</v>
      </c>
      <c r="H345" t="n">
        <v>0</v>
      </c>
      <c r="I345" t="n">
        <v>0</v>
      </c>
      <c r="J345" t="n">
        <v>1</v>
      </c>
      <c r="K345" t="n">
        <v>0</v>
      </c>
      <c r="L345" t="n">
        <v>0</v>
      </c>
      <c r="M345" t="n">
        <v>0</v>
      </c>
      <c r="N345" t="n">
        <v>0</v>
      </c>
      <c r="O345" t="n">
        <v>1</v>
      </c>
      <c r="P345" t="n">
        <v>0</v>
      </c>
      <c r="Q345" t="n">
        <v>1</v>
      </c>
      <c r="R345" s="2" t="inlineStr">
        <is>
          <t>Kolflarnlav</t>
        </is>
      </c>
      <c r="S345">
        <f>HYPERLINK("https://klasma.github.io/Logging_2313/artfynd/A 48800-2019 artfynd.xlsx", "A 48800-2019")</f>
        <v/>
      </c>
      <c r="T345">
        <f>HYPERLINK("https://klasma.github.io/Logging_2313/kartor/A 48800-2019 karta.png", "A 48800-2019")</f>
        <v/>
      </c>
      <c r="V345">
        <f>HYPERLINK("https://klasma.github.io/Logging_2313/klagomål/A 48800-2019 FSC-klagomål.docx", "A 48800-2019")</f>
        <v/>
      </c>
      <c r="W345">
        <f>HYPERLINK("https://klasma.github.io/Logging_2313/klagomålsmail/A 48800-2019 FSC-klagomål mail.docx", "A 48800-2019")</f>
        <v/>
      </c>
      <c r="X345">
        <f>HYPERLINK("https://klasma.github.io/Logging_2313/tillsyn/A 48800-2019 tillsynsbegäran.docx", "A 48800-2019")</f>
        <v/>
      </c>
      <c r="Y345">
        <f>HYPERLINK("https://klasma.github.io/Logging_2313/tillsynsmail/A 48800-2019 tillsynsbegäran mail.docx", "A 48800-2019")</f>
        <v/>
      </c>
    </row>
    <row r="346" ht="15" customHeight="1">
      <c r="A346" t="inlineStr">
        <is>
          <t>A 50000-2019</t>
        </is>
      </c>
      <c r="B346" s="1" t="n">
        <v>43733</v>
      </c>
      <c r="C346" s="1" t="n">
        <v>45740</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Granticka</t>
        </is>
      </c>
      <c r="S346">
        <f>HYPERLINK("https://klasma.github.io/Logging_2313/artfynd/A 50000-2019 artfynd.xlsx", "A 50000-2019")</f>
        <v/>
      </c>
      <c r="T346">
        <f>HYPERLINK("https://klasma.github.io/Logging_2313/kartor/A 50000-2019 karta.png", "A 50000-2019")</f>
        <v/>
      </c>
      <c r="V346">
        <f>HYPERLINK("https://klasma.github.io/Logging_2313/klagomål/A 50000-2019 FSC-klagomål.docx", "A 50000-2019")</f>
        <v/>
      </c>
      <c r="W346">
        <f>HYPERLINK("https://klasma.github.io/Logging_2313/klagomålsmail/A 50000-2019 FSC-klagomål mail.docx", "A 50000-2019")</f>
        <v/>
      </c>
      <c r="X346">
        <f>HYPERLINK("https://klasma.github.io/Logging_2313/tillsyn/A 50000-2019 tillsynsbegäran.docx", "A 50000-2019")</f>
        <v/>
      </c>
      <c r="Y346">
        <f>HYPERLINK("https://klasma.github.io/Logging_2313/tillsynsmail/A 50000-2019 tillsynsbegäran mail.docx", "A 50000-2019")</f>
        <v/>
      </c>
    </row>
    <row r="347" ht="15" customHeight="1">
      <c r="A347" t="inlineStr">
        <is>
          <t>A 56810-2019</t>
        </is>
      </c>
      <c r="B347" s="1" t="n">
        <v>43763</v>
      </c>
      <c r="C347" s="1" t="n">
        <v>45740</v>
      </c>
      <c r="D347" t="inlineStr">
        <is>
          <t>JÄMTLANDS LÄN</t>
        </is>
      </c>
      <c r="E347" t="inlineStr">
        <is>
          <t>STRÖMSUND</t>
        </is>
      </c>
      <c r="F347" t="inlineStr">
        <is>
          <t>SCA</t>
        </is>
      </c>
      <c r="G347" t="n">
        <v>9.6</v>
      </c>
      <c r="H347" t="n">
        <v>1</v>
      </c>
      <c r="I347" t="n">
        <v>1</v>
      </c>
      <c r="J347" t="n">
        <v>0</v>
      </c>
      <c r="K347" t="n">
        <v>0</v>
      </c>
      <c r="L347" t="n">
        <v>0</v>
      </c>
      <c r="M347" t="n">
        <v>0</v>
      </c>
      <c r="N347" t="n">
        <v>0</v>
      </c>
      <c r="O347" t="n">
        <v>0</v>
      </c>
      <c r="P347" t="n">
        <v>0</v>
      </c>
      <c r="Q347" t="n">
        <v>1</v>
      </c>
      <c r="R347" s="2" t="inlineStr">
        <is>
          <t>Guckusko</t>
        </is>
      </c>
      <c r="S347">
        <f>HYPERLINK("https://klasma.github.io/Logging_2313/artfynd/A 56810-2019 artfynd.xlsx", "A 56810-2019")</f>
        <v/>
      </c>
      <c r="T347">
        <f>HYPERLINK("https://klasma.github.io/Logging_2313/kartor/A 56810-2019 karta.png", "A 56810-2019")</f>
        <v/>
      </c>
      <c r="V347">
        <f>HYPERLINK("https://klasma.github.io/Logging_2313/klagomål/A 56810-2019 FSC-klagomål.docx", "A 56810-2019")</f>
        <v/>
      </c>
      <c r="W347">
        <f>HYPERLINK("https://klasma.github.io/Logging_2313/klagomålsmail/A 56810-2019 FSC-klagomål mail.docx", "A 56810-2019")</f>
        <v/>
      </c>
      <c r="X347">
        <f>HYPERLINK("https://klasma.github.io/Logging_2313/tillsyn/A 56810-2019 tillsynsbegäran.docx", "A 56810-2019")</f>
        <v/>
      </c>
      <c r="Y347">
        <f>HYPERLINK("https://klasma.github.io/Logging_2313/tillsynsmail/A 56810-2019 tillsynsbegäran mail.docx", "A 56810-2019")</f>
        <v/>
      </c>
    </row>
    <row r="348" ht="15" customHeight="1">
      <c r="A348" t="inlineStr">
        <is>
          <t>A 1201-2020</t>
        </is>
      </c>
      <c r="B348" s="1" t="n">
        <v>43840</v>
      </c>
      <c r="C348" s="1" t="n">
        <v>45740</v>
      </c>
      <c r="D348" t="inlineStr">
        <is>
          <t>JÄMTLANDS LÄN</t>
        </is>
      </c>
      <c r="E348" t="inlineStr">
        <is>
          <t>STRÖMSUND</t>
        </is>
      </c>
      <c r="G348" t="n">
        <v>39.5</v>
      </c>
      <c r="H348" t="n">
        <v>1</v>
      </c>
      <c r="I348" t="n">
        <v>0</v>
      </c>
      <c r="J348" t="n">
        <v>0</v>
      </c>
      <c r="K348" t="n">
        <v>1</v>
      </c>
      <c r="L348" t="n">
        <v>0</v>
      </c>
      <c r="M348" t="n">
        <v>0</v>
      </c>
      <c r="N348" t="n">
        <v>0</v>
      </c>
      <c r="O348" t="n">
        <v>1</v>
      </c>
      <c r="P348" t="n">
        <v>1</v>
      </c>
      <c r="Q348" t="n">
        <v>1</v>
      </c>
      <c r="R348" s="2" t="inlineStr">
        <is>
          <t>Knärot</t>
        </is>
      </c>
      <c r="S348">
        <f>HYPERLINK("https://klasma.github.io/Logging_2313/artfynd/A 1201-2020 artfynd.xlsx", "A 1201-2020")</f>
        <v/>
      </c>
      <c r="T348">
        <f>HYPERLINK("https://klasma.github.io/Logging_2313/kartor/A 1201-2020 karta.png", "A 1201-2020")</f>
        <v/>
      </c>
      <c r="U348">
        <f>HYPERLINK("https://klasma.github.io/Logging_2313/knärot/A 1201-2020 karta knärot.png", "A 1201-2020")</f>
        <v/>
      </c>
      <c r="V348">
        <f>HYPERLINK("https://klasma.github.io/Logging_2313/klagomål/A 1201-2020 FSC-klagomål.docx", "A 1201-2020")</f>
        <v/>
      </c>
      <c r="W348">
        <f>HYPERLINK("https://klasma.github.io/Logging_2313/klagomålsmail/A 1201-2020 FSC-klagomål mail.docx", "A 1201-2020")</f>
        <v/>
      </c>
      <c r="X348">
        <f>HYPERLINK("https://klasma.github.io/Logging_2313/tillsyn/A 1201-2020 tillsynsbegäran.docx", "A 1201-2020")</f>
        <v/>
      </c>
      <c r="Y348">
        <f>HYPERLINK("https://klasma.github.io/Logging_2313/tillsynsmail/A 1201-2020 tillsynsbegäran mail.docx", "A 1201-2020")</f>
        <v/>
      </c>
    </row>
    <row r="349" ht="15" customHeight="1">
      <c r="A349" t="inlineStr">
        <is>
          <t>A 3781-2020</t>
        </is>
      </c>
      <c r="B349" s="1" t="n">
        <v>43846</v>
      </c>
      <c r="C349" s="1" t="n">
        <v>45740</v>
      </c>
      <c r="D349" t="inlineStr">
        <is>
          <t>JÄMTLANDS LÄN</t>
        </is>
      </c>
      <c r="E349" t="inlineStr">
        <is>
          <t>STRÖMSUND</t>
        </is>
      </c>
      <c r="G349" t="n">
        <v>1</v>
      </c>
      <c r="H349" t="n">
        <v>0</v>
      </c>
      <c r="I349" t="n">
        <v>1</v>
      </c>
      <c r="J349" t="n">
        <v>0</v>
      </c>
      <c r="K349" t="n">
        <v>0</v>
      </c>
      <c r="L349" t="n">
        <v>0</v>
      </c>
      <c r="M349" t="n">
        <v>0</v>
      </c>
      <c r="N349" t="n">
        <v>0</v>
      </c>
      <c r="O349" t="n">
        <v>0</v>
      </c>
      <c r="P349" t="n">
        <v>0</v>
      </c>
      <c r="Q349" t="n">
        <v>1</v>
      </c>
      <c r="R349" s="2" t="inlineStr">
        <is>
          <t>Tibast</t>
        </is>
      </c>
      <c r="S349">
        <f>HYPERLINK("https://klasma.github.io/Logging_2313/artfynd/A 3781-2020 artfynd.xlsx", "A 3781-2020")</f>
        <v/>
      </c>
      <c r="T349">
        <f>HYPERLINK("https://klasma.github.io/Logging_2313/kartor/A 3781-2020 karta.png", "A 3781-2020")</f>
        <v/>
      </c>
      <c r="V349">
        <f>HYPERLINK("https://klasma.github.io/Logging_2313/klagomål/A 3781-2020 FSC-klagomål.docx", "A 3781-2020")</f>
        <v/>
      </c>
      <c r="W349">
        <f>HYPERLINK("https://klasma.github.io/Logging_2313/klagomålsmail/A 3781-2020 FSC-klagomål mail.docx", "A 3781-2020")</f>
        <v/>
      </c>
      <c r="X349">
        <f>HYPERLINK("https://klasma.github.io/Logging_2313/tillsyn/A 3781-2020 tillsynsbegäran.docx", "A 3781-2020")</f>
        <v/>
      </c>
      <c r="Y349">
        <f>HYPERLINK("https://klasma.github.io/Logging_2313/tillsynsmail/A 3781-2020 tillsynsbegäran mail.docx", "A 3781-2020")</f>
        <v/>
      </c>
    </row>
    <row r="350" ht="15" customHeight="1">
      <c r="A350" t="inlineStr">
        <is>
          <t>A 2491-2020</t>
        </is>
      </c>
      <c r="B350" s="1" t="n">
        <v>43847</v>
      </c>
      <c r="C350" s="1" t="n">
        <v>45740</v>
      </c>
      <c r="D350" t="inlineStr">
        <is>
          <t>JÄMTLANDS LÄN</t>
        </is>
      </c>
      <c r="E350" t="inlineStr">
        <is>
          <t>STRÖMSUND</t>
        </is>
      </c>
      <c r="G350" t="n">
        <v>19</v>
      </c>
      <c r="H350" t="n">
        <v>0</v>
      </c>
      <c r="I350" t="n">
        <v>1</v>
      </c>
      <c r="J350" t="n">
        <v>0</v>
      </c>
      <c r="K350" t="n">
        <v>0</v>
      </c>
      <c r="L350" t="n">
        <v>0</v>
      </c>
      <c r="M350" t="n">
        <v>0</v>
      </c>
      <c r="N350" t="n">
        <v>0</v>
      </c>
      <c r="O350" t="n">
        <v>0</v>
      </c>
      <c r="P350" t="n">
        <v>0</v>
      </c>
      <c r="Q350" t="n">
        <v>1</v>
      </c>
      <c r="R350" s="2" t="inlineStr">
        <is>
          <t>Finbräken</t>
        </is>
      </c>
      <c r="S350">
        <f>HYPERLINK("https://klasma.github.io/Logging_2313/artfynd/A 2491-2020 artfynd.xlsx", "A 2491-2020")</f>
        <v/>
      </c>
      <c r="T350">
        <f>HYPERLINK("https://klasma.github.io/Logging_2313/kartor/A 2491-2020 karta.png", "A 2491-2020")</f>
        <v/>
      </c>
      <c r="V350">
        <f>HYPERLINK("https://klasma.github.io/Logging_2313/klagomål/A 2491-2020 FSC-klagomål.docx", "A 2491-2020")</f>
        <v/>
      </c>
      <c r="W350">
        <f>HYPERLINK("https://klasma.github.io/Logging_2313/klagomålsmail/A 2491-2020 FSC-klagomål mail.docx", "A 2491-2020")</f>
        <v/>
      </c>
      <c r="X350">
        <f>HYPERLINK("https://klasma.github.io/Logging_2313/tillsyn/A 2491-2020 tillsynsbegäran.docx", "A 2491-2020")</f>
        <v/>
      </c>
      <c r="Y350">
        <f>HYPERLINK("https://klasma.github.io/Logging_2313/tillsynsmail/A 2491-2020 tillsynsbegäran mail.docx", "A 2491-2020")</f>
        <v/>
      </c>
    </row>
    <row r="351" ht="15" customHeight="1">
      <c r="A351" t="inlineStr">
        <is>
          <t>A 2503-2020</t>
        </is>
      </c>
      <c r="B351" s="1" t="n">
        <v>43847</v>
      </c>
      <c r="C351" s="1" t="n">
        <v>45740</v>
      </c>
      <c r="D351" t="inlineStr">
        <is>
          <t>JÄMTLANDS LÄN</t>
        </is>
      </c>
      <c r="E351" t="inlineStr">
        <is>
          <t>STRÖMSUND</t>
        </is>
      </c>
      <c r="G351" t="n">
        <v>61.1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2503-2020 artfynd.xlsx", "A 2503-2020")</f>
        <v/>
      </c>
      <c r="T351">
        <f>HYPERLINK("https://klasma.github.io/Logging_2313/kartor/A 2503-2020 karta.png", "A 2503-2020")</f>
        <v/>
      </c>
      <c r="V351">
        <f>HYPERLINK("https://klasma.github.io/Logging_2313/klagomål/A 2503-2020 FSC-klagomål.docx", "A 2503-2020")</f>
        <v/>
      </c>
      <c r="W351">
        <f>HYPERLINK("https://klasma.github.io/Logging_2313/klagomålsmail/A 2503-2020 FSC-klagomål mail.docx", "A 2503-2020")</f>
        <v/>
      </c>
      <c r="X351">
        <f>HYPERLINK("https://klasma.github.io/Logging_2313/tillsyn/A 2503-2020 tillsynsbegäran.docx", "A 2503-2020")</f>
        <v/>
      </c>
      <c r="Y351">
        <f>HYPERLINK("https://klasma.github.io/Logging_2313/tillsynsmail/A 2503-2020 tillsynsbegäran mail.docx", "A 2503-2020")</f>
        <v/>
      </c>
    </row>
    <row r="352" ht="15" customHeight="1">
      <c r="A352" t="inlineStr">
        <is>
          <t>A 28772-2020</t>
        </is>
      </c>
      <c r="B352" s="1" t="n">
        <v>43999</v>
      </c>
      <c r="C352" s="1" t="n">
        <v>45740</v>
      </c>
      <c r="D352" t="inlineStr">
        <is>
          <t>JÄMTLANDS LÄN</t>
        </is>
      </c>
      <c r="E352" t="inlineStr">
        <is>
          <t>STRÖMSUND</t>
        </is>
      </c>
      <c r="F352" t="inlineStr">
        <is>
          <t>SCA</t>
        </is>
      </c>
      <c r="G352" t="n">
        <v>6.5</v>
      </c>
      <c r="H352" t="n">
        <v>1</v>
      </c>
      <c r="I352" t="n">
        <v>1</v>
      </c>
      <c r="J352" t="n">
        <v>0</v>
      </c>
      <c r="K352" t="n">
        <v>0</v>
      </c>
      <c r="L352" t="n">
        <v>0</v>
      </c>
      <c r="M352" t="n">
        <v>0</v>
      </c>
      <c r="N352" t="n">
        <v>0</v>
      </c>
      <c r="O352" t="n">
        <v>0</v>
      </c>
      <c r="P352" t="n">
        <v>0</v>
      </c>
      <c r="Q352" t="n">
        <v>1</v>
      </c>
      <c r="R352" s="2" t="inlineStr">
        <is>
          <t>Lappranunkel</t>
        </is>
      </c>
      <c r="S352">
        <f>HYPERLINK("https://klasma.github.io/Logging_2313/artfynd/A 28772-2020 artfynd.xlsx", "A 28772-2020")</f>
        <v/>
      </c>
      <c r="T352">
        <f>HYPERLINK("https://klasma.github.io/Logging_2313/kartor/A 28772-2020 karta.png", "A 28772-2020")</f>
        <v/>
      </c>
      <c r="V352">
        <f>HYPERLINK("https://klasma.github.io/Logging_2313/klagomål/A 28772-2020 FSC-klagomål.docx", "A 28772-2020")</f>
        <v/>
      </c>
      <c r="W352">
        <f>HYPERLINK("https://klasma.github.io/Logging_2313/klagomålsmail/A 28772-2020 FSC-klagomål mail.docx", "A 28772-2020")</f>
        <v/>
      </c>
      <c r="X352">
        <f>HYPERLINK("https://klasma.github.io/Logging_2313/tillsyn/A 28772-2020 tillsynsbegäran.docx", "A 28772-2020")</f>
        <v/>
      </c>
      <c r="Y352">
        <f>HYPERLINK("https://klasma.github.io/Logging_2313/tillsynsmail/A 28772-2020 tillsynsbegäran mail.docx", "A 28772-2020")</f>
        <v/>
      </c>
    </row>
    <row r="353" ht="15" customHeight="1">
      <c r="A353" t="inlineStr">
        <is>
          <t>A 29060-2020</t>
        </is>
      </c>
      <c r="B353" s="1" t="n">
        <v>44000</v>
      </c>
      <c r="C353" s="1" t="n">
        <v>45740</v>
      </c>
      <c r="D353" t="inlineStr">
        <is>
          <t>JÄMTLANDS LÄN</t>
        </is>
      </c>
      <c r="E353" t="inlineStr">
        <is>
          <t>STRÖMSUND</t>
        </is>
      </c>
      <c r="F353" t="inlineStr">
        <is>
          <t>SCA</t>
        </is>
      </c>
      <c r="G353" t="n">
        <v>12</v>
      </c>
      <c r="H353" t="n">
        <v>0</v>
      </c>
      <c r="I353" t="n">
        <v>0</v>
      </c>
      <c r="J353" t="n">
        <v>1</v>
      </c>
      <c r="K353" t="n">
        <v>0</v>
      </c>
      <c r="L353" t="n">
        <v>0</v>
      </c>
      <c r="M353" t="n">
        <v>0</v>
      </c>
      <c r="N353" t="n">
        <v>0</v>
      </c>
      <c r="O353" t="n">
        <v>1</v>
      </c>
      <c r="P353" t="n">
        <v>0</v>
      </c>
      <c r="Q353" t="n">
        <v>1</v>
      </c>
      <c r="R353" s="2" t="inlineStr">
        <is>
          <t>Skrovellav</t>
        </is>
      </c>
      <c r="S353">
        <f>HYPERLINK("https://klasma.github.io/Logging_2313/artfynd/A 29060-2020 artfynd.xlsx", "A 29060-2020")</f>
        <v/>
      </c>
      <c r="T353">
        <f>HYPERLINK("https://klasma.github.io/Logging_2313/kartor/A 29060-2020 karta.png", "A 29060-2020")</f>
        <v/>
      </c>
      <c r="V353">
        <f>HYPERLINK("https://klasma.github.io/Logging_2313/klagomål/A 29060-2020 FSC-klagomål.docx", "A 29060-2020")</f>
        <v/>
      </c>
      <c r="W353">
        <f>HYPERLINK("https://klasma.github.io/Logging_2313/klagomålsmail/A 29060-2020 FSC-klagomål mail.docx", "A 29060-2020")</f>
        <v/>
      </c>
      <c r="X353">
        <f>HYPERLINK("https://klasma.github.io/Logging_2313/tillsyn/A 29060-2020 tillsynsbegäran.docx", "A 29060-2020")</f>
        <v/>
      </c>
      <c r="Y353">
        <f>HYPERLINK("https://klasma.github.io/Logging_2313/tillsynsmail/A 29060-2020 tillsynsbegäran mail.docx", "A 29060-2020")</f>
        <v/>
      </c>
    </row>
    <row r="354" ht="15" customHeight="1">
      <c r="A354" t="inlineStr">
        <is>
          <t>A 32205-2020</t>
        </is>
      </c>
      <c r="B354" s="1" t="n">
        <v>44015</v>
      </c>
      <c r="C354" s="1" t="n">
        <v>45740</v>
      </c>
      <c r="D354" t="inlineStr">
        <is>
          <t>JÄMTLANDS LÄN</t>
        </is>
      </c>
      <c r="E354" t="inlineStr">
        <is>
          <t>STRÖMSUND</t>
        </is>
      </c>
      <c r="F354" t="inlineStr">
        <is>
          <t>SCA</t>
        </is>
      </c>
      <c r="G354" t="n">
        <v>25.3</v>
      </c>
      <c r="H354" t="n">
        <v>0</v>
      </c>
      <c r="I354" t="n">
        <v>0</v>
      </c>
      <c r="J354" t="n">
        <v>1</v>
      </c>
      <c r="K354" t="n">
        <v>0</v>
      </c>
      <c r="L354" t="n">
        <v>0</v>
      </c>
      <c r="M354" t="n">
        <v>0</v>
      </c>
      <c r="N354" t="n">
        <v>0</v>
      </c>
      <c r="O354" t="n">
        <v>1</v>
      </c>
      <c r="P354" t="n">
        <v>0</v>
      </c>
      <c r="Q354" t="n">
        <v>1</v>
      </c>
      <c r="R354" s="2" t="inlineStr">
        <is>
          <t>Harticka</t>
        </is>
      </c>
      <c r="S354">
        <f>HYPERLINK("https://klasma.github.io/Logging_2313/artfynd/A 32205-2020 artfynd.xlsx", "A 32205-2020")</f>
        <v/>
      </c>
      <c r="T354">
        <f>HYPERLINK("https://klasma.github.io/Logging_2313/kartor/A 32205-2020 karta.png", "A 32205-2020")</f>
        <v/>
      </c>
      <c r="V354">
        <f>HYPERLINK("https://klasma.github.io/Logging_2313/klagomål/A 32205-2020 FSC-klagomål.docx", "A 32205-2020")</f>
        <v/>
      </c>
      <c r="W354">
        <f>HYPERLINK("https://klasma.github.io/Logging_2313/klagomålsmail/A 32205-2020 FSC-klagomål mail.docx", "A 32205-2020")</f>
        <v/>
      </c>
      <c r="X354">
        <f>HYPERLINK("https://klasma.github.io/Logging_2313/tillsyn/A 32205-2020 tillsynsbegäran.docx", "A 32205-2020")</f>
        <v/>
      </c>
      <c r="Y354">
        <f>HYPERLINK("https://klasma.github.io/Logging_2313/tillsynsmail/A 32205-2020 tillsynsbegäran mail.docx", "A 32205-2020")</f>
        <v/>
      </c>
    </row>
    <row r="355" ht="15" customHeight="1">
      <c r="A355" t="inlineStr">
        <is>
          <t>A 35600-2020</t>
        </is>
      </c>
      <c r="B355" s="1" t="n">
        <v>44043</v>
      </c>
      <c r="C355" s="1" t="n">
        <v>45740</v>
      </c>
      <c r="D355" t="inlineStr">
        <is>
          <t>JÄMTLANDS LÄN</t>
        </is>
      </c>
      <c r="E355" t="inlineStr">
        <is>
          <t>STRÖMSUND</t>
        </is>
      </c>
      <c r="F355" t="inlineStr">
        <is>
          <t>SCA</t>
        </is>
      </c>
      <c r="G355" t="n">
        <v>5</v>
      </c>
      <c r="H355" t="n">
        <v>0</v>
      </c>
      <c r="I355" t="n">
        <v>0</v>
      </c>
      <c r="J355" t="n">
        <v>1</v>
      </c>
      <c r="K355" t="n">
        <v>0</v>
      </c>
      <c r="L355" t="n">
        <v>0</v>
      </c>
      <c r="M355" t="n">
        <v>0</v>
      </c>
      <c r="N355" t="n">
        <v>0</v>
      </c>
      <c r="O355" t="n">
        <v>1</v>
      </c>
      <c r="P355" t="n">
        <v>0</v>
      </c>
      <c r="Q355" t="n">
        <v>1</v>
      </c>
      <c r="R355" s="2" t="inlineStr">
        <is>
          <t>Skrovellav</t>
        </is>
      </c>
      <c r="S355">
        <f>HYPERLINK("https://klasma.github.io/Logging_2313/artfynd/A 35600-2020 artfynd.xlsx", "A 35600-2020")</f>
        <v/>
      </c>
      <c r="T355">
        <f>HYPERLINK("https://klasma.github.io/Logging_2313/kartor/A 35600-2020 karta.png", "A 35600-2020")</f>
        <v/>
      </c>
      <c r="V355">
        <f>HYPERLINK("https://klasma.github.io/Logging_2313/klagomål/A 35600-2020 FSC-klagomål.docx", "A 35600-2020")</f>
        <v/>
      </c>
      <c r="W355">
        <f>HYPERLINK("https://klasma.github.io/Logging_2313/klagomålsmail/A 35600-2020 FSC-klagomål mail.docx", "A 35600-2020")</f>
        <v/>
      </c>
      <c r="X355">
        <f>HYPERLINK("https://klasma.github.io/Logging_2313/tillsyn/A 35600-2020 tillsynsbegäran.docx", "A 35600-2020")</f>
        <v/>
      </c>
      <c r="Y355">
        <f>HYPERLINK("https://klasma.github.io/Logging_2313/tillsynsmail/A 35600-2020 tillsynsbegäran mail.docx", "A 35600-2020")</f>
        <v/>
      </c>
    </row>
    <row r="356" ht="15" customHeight="1">
      <c r="A356" t="inlineStr">
        <is>
          <t>A 43809-2020</t>
        </is>
      </c>
      <c r="B356" s="1" t="n">
        <v>44082</v>
      </c>
      <c r="C356" s="1" t="n">
        <v>45740</v>
      </c>
      <c r="D356" t="inlineStr">
        <is>
          <t>JÄMTLANDS LÄN</t>
        </is>
      </c>
      <c r="E356" t="inlineStr">
        <is>
          <t>STRÖMSUND</t>
        </is>
      </c>
      <c r="F356" t="inlineStr">
        <is>
          <t>Sveaskog</t>
        </is>
      </c>
      <c r="G356" t="n">
        <v>10.4</v>
      </c>
      <c r="H356" t="n">
        <v>0</v>
      </c>
      <c r="I356" t="n">
        <v>0</v>
      </c>
      <c r="J356" t="n">
        <v>1</v>
      </c>
      <c r="K356" t="n">
        <v>0</v>
      </c>
      <c r="L356" t="n">
        <v>0</v>
      </c>
      <c r="M356" t="n">
        <v>0</v>
      </c>
      <c r="N356" t="n">
        <v>0</v>
      </c>
      <c r="O356" t="n">
        <v>1</v>
      </c>
      <c r="P356" t="n">
        <v>0</v>
      </c>
      <c r="Q356" t="n">
        <v>1</v>
      </c>
      <c r="R356" s="2" t="inlineStr">
        <is>
          <t>Lunglav</t>
        </is>
      </c>
      <c r="S356">
        <f>HYPERLINK("https://klasma.github.io/Logging_2313/artfynd/A 43809-2020 artfynd.xlsx", "A 43809-2020")</f>
        <v/>
      </c>
      <c r="T356">
        <f>HYPERLINK("https://klasma.github.io/Logging_2313/kartor/A 43809-2020 karta.png", "A 43809-2020")</f>
        <v/>
      </c>
      <c r="V356">
        <f>HYPERLINK("https://klasma.github.io/Logging_2313/klagomål/A 43809-2020 FSC-klagomål.docx", "A 43809-2020")</f>
        <v/>
      </c>
      <c r="W356">
        <f>HYPERLINK("https://klasma.github.io/Logging_2313/klagomålsmail/A 43809-2020 FSC-klagomål mail.docx", "A 43809-2020")</f>
        <v/>
      </c>
      <c r="X356">
        <f>HYPERLINK("https://klasma.github.io/Logging_2313/tillsyn/A 43809-2020 tillsynsbegäran.docx", "A 43809-2020")</f>
        <v/>
      </c>
      <c r="Y356">
        <f>HYPERLINK("https://klasma.github.io/Logging_2313/tillsynsmail/A 43809-2020 tillsynsbegäran mail.docx", "A 43809-2020")</f>
        <v/>
      </c>
    </row>
    <row r="357" ht="15" customHeight="1">
      <c r="A357" t="inlineStr">
        <is>
          <t>A 53035-2020</t>
        </is>
      </c>
      <c r="B357" s="1" t="n">
        <v>44120</v>
      </c>
      <c r="C357" s="1" t="n">
        <v>45740</v>
      </c>
      <c r="D357" t="inlineStr">
        <is>
          <t>JÄMTLANDS LÄN</t>
        </is>
      </c>
      <c r="E357" t="inlineStr">
        <is>
          <t>STRÖMSUND</t>
        </is>
      </c>
      <c r="F357" t="inlineStr">
        <is>
          <t>Holmen skog AB</t>
        </is>
      </c>
      <c r="G357" t="n">
        <v>4.1</v>
      </c>
      <c r="H357" t="n">
        <v>0</v>
      </c>
      <c r="I357" t="n">
        <v>0</v>
      </c>
      <c r="J357" t="n">
        <v>1</v>
      </c>
      <c r="K357" t="n">
        <v>0</v>
      </c>
      <c r="L357" t="n">
        <v>0</v>
      </c>
      <c r="M357" t="n">
        <v>0</v>
      </c>
      <c r="N357" t="n">
        <v>0</v>
      </c>
      <c r="O357" t="n">
        <v>1</v>
      </c>
      <c r="P357" t="n">
        <v>0</v>
      </c>
      <c r="Q357" t="n">
        <v>1</v>
      </c>
      <c r="R357" s="2" t="inlineStr">
        <is>
          <t>Skrovellav</t>
        </is>
      </c>
      <c r="S357">
        <f>HYPERLINK("https://klasma.github.io/Logging_2313/artfynd/A 53035-2020 artfynd.xlsx", "A 53035-2020")</f>
        <v/>
      </c>
      <c r="T357">
        <f>HYPERLINK("https://klasma.github.io/Logging_2313/kartor/A 53035-2020 karta.png", "A 53035-2020")</f>
        <v/>
      </c>
      <c r="V357">
        <f>HYPERLINK("https://klasma.github.io/Logging_2313/klagomål/A 53035-2020 FSC-klagomål.docx", "A 53035-2020")</f>
        <v/>
      </c>
      <c r="W357">
        <f>HYPERLINK("https://klasma.github.io/Logging_2313/klagomålsmail/A 53035-2020 FSC-klagomål mail.docx", "A 53035-2020")</f>
        <v/>
      </c>
      <c r="X357">
        <f>HYPERLINK("https://klasma.github.io/Logging_2313/tillsyn/A 53035-2020 tillsynsbegäran.docx", "A 53035-2020")</f>
        <v/>
      </c>
      <c r="Y357">
        <f>HYPERLINK("https://klasma.github.io/Logging_2313/tillsynsmail/A 53035-2020 tillsynsbegäran mail.docx", "A 53035-2020")</f>
        <v/>
      </c>
    </row>
    <row r="358" ht="15" customHeight="1">
      <c r="A358" t="inlineStr">
        <is>
          <t>A 54372-2020</t>
        </is>
      </c>
      <c r="B358" s="1" t="n">
        <v>44126</v>
      </c>
      <c r="C358" s="1" t="n">
        <v>45740</v>
      </c>
      <c r="D358" t="inlineStr">
        <is>
          <t>JÄMTLANDS LÄN</t>
        </is>
      </c>
      <c r="E358" t="inlineStr">
        <is>
          <t>STRÖMSUND</t>
        </is>
      </c>
      <c r="F358" t="inlineStr">
        <is>
          <t>Holmen skog AB</t>
        </is>
      </c>
      <c r="G358" t="n">
        <v>5.1</v>
      </c>
      <c r="H358" t="n">
        <v>0</v>
      </c>
      <c r="I358" t="n">
        <v>0</v>
      </c>
      <c r="J358" t="n">
        <v>1</v>
      </c>
      <c r="K358" t="n">
        <v>0</v>
      </c>
      <c r="L358" t="n">
        <v>0</v>
      </c>
      <c r="M358" t="n">
        <v>0</v>
      </c>
      <c r="N358" t="n">
        <v>0</v>
      </c>
      <c r="O358" t="n">
        <v>1</v>
      </c>
      <c r="P358" t="n">
        <v>0</v>
      </c>
      <c r="Q358" t="n">
        <v>1</v>
      </c>
      <c r="R358" s="2" t="inlineStr">
        <is>
          <t>Reliktbock</t>
        </is>
      </c>
      <c r="S358">
        <f>HYPERLINK("https://klasma.github.io/Logging_2313/artfynd/A 54372-2020 artfynd.xlsx", "A 54372-2020")</f>
        <v/>
      </c>
      <c r="T358">
        <f>HYPERLINK("https://klasma.github.io/Logging_2313/kartor/A 54372-2020 karta.png", "A 54372-2020")</f>
        <v/>
      </c>
      <c r="V358">
        <f>HYPERLINK("https://klasma.github.io/Logging_2313/klagomål/A 54372-2020 FSC-klagomål.docx", "A 54372-2020")</f>
        <v/>
      </c>
      <c r="W358">
        <f>HYPERLINK("https://klasma.github.io/Logging_2313/klagomålsmail/A 54372-2020 FSC-klagomål mail.docx", "A 54372-2020")</f>
        <v/>
      </c>
      <c r="X358">
        <f>HYPERLINK("https://klasma.github.io/Logging_2313/tillsyn/A 54372-2020 tillsynsbegäran.docx", "A 54372-2020")</f>
        <v/>
      </c>
      <c r="Y358">
        <f>HYPERLINK("https://klasma.github.io/Logging_2313/tillsynsmail/A 54372-2020 tillsynsbegäran mail.docx", "A 54372-2020")</f>
        <v/>
      </c>
    </row>
    <row r="359" ht="15" customHeight="1">
      <c r="A359" t="inlineStr">
        <is>
          <t>A 54982-2020</t>
        </is>
      </c>
      <c r="B359" s="1" t="n">
        <v>44130</v>
      </c>
      <c r="C359" s="1" t="n">
        <v>45740</v>
      </c>
      <c r="D359" t="inlineStr">
        <is>
          <t>JÄMTLANDS LÄN</t>
        </is>
      </c>
      <c r="E359" t="inlineStr">
        <is>
          <t>STRÖMSUND</t>
        </is>
      </c>
      <c r="F359" t="inlineStr">
        <is>
          <t>Holmen skog AB</t>
        </is>
      </c>
      <c r="G359" t="n">
        <v>5.7</v>
      </c>
      <c r="H359" t="n">
        <v>0</v>
      </c>
      <c r="I359" t="n">
        <v>0</v>
      </c>
      <c r="J359" t="n">
        <v>0</v>
      </c>
      <c r="K359" t="n">
        <v>1</v>
      </c>
      <c r="L359" t="n">
        <v>0</v>
      </c>
      <c r="M359" t="n">
        <v>0</v>
      </c>
      <c r="N359" t="n">
        <v>0</v>
      </c>
      <c r="O359" t="n">
        <v>1</v>
      </c>
      <c r="P359" t="n">
        <v>1</v>
      </c>
      <c r="Q359" t="n">
        <v>1</v>
      </c>
      <c r="R359" s="2" t="inlineStr">
        <is>
          <t>Norsk näverlav</t>
        </is>
      </c>
      <c r="S359">
        <f>HYPERLINK("https://klasma.github.io/Logging_2313/artfynd/A 54982-2020 artfynd.xlsx", "A 54982-2020")</f>
        <v/>
      </c>
      <c r="T359">
        <f>HYPERLINK("https://klasma.github.io/Logging_2313/kartor/A 54982-2020 karta.png", "A 54982-2020")</f>
        <v/>
      </c>
      <c r="V359">
        <f>HYPERLINK("https://klasma.github.io/Logging_2313/klagomål/A 54982-2020 FSC-klagomål.docx", "A 54982-2020")</f>
        <v/>
      </c>
      <c r="W359">
        <f>HYPERLINK("https://klasma.github.io/Logging_2313/klagomålsmail/A 54982-2020 FSC-klagomål mail.docx", "A 54982-2020")</f>
        <v/>
      </c>
      <c r="X359">
        <f>HYPERLINK("https://klasma.github.io/Logging_2313/tillsyn/A 54982-2020 tillsynsbegäran.docx", "A 54982-2020")</f>
        <v/>
      </c>
      <c r="Y359">
        <f>HYPERLINK("https://klasma.github.io/Logging_2313/tillsynsmail/A 54982-2020 tillsynsbegäran mail.docx", "A 54982-2020")</f>
        <v/>
      </c>
    </row>
    <row r="360" ht="15" customHeight="1">
      <c r="A360" t="inlineStr">
        <is>
          <t>A 58560-2020</t>
        </is>
      </c>
      <c r="B360" s="1" t="n">
        <v>44145</v>
      </c>
      <c r="C360" s="1" t="n">
        <v>45740</v>
      </c>
      <c r="D360" t="inlineStr">
        <is>
          <t>JÄMTLANDS LÄN</t>
        </is>
      </c>
      <c r="E360" t="inlineStr">
        <is>
          <t>STRÖMSUND</t>
        </is>
      </c>
      <c r="F360" t="inlineStr">
        <is>
          <t>Holmen skog AB</t>
        </is>
      </c>
      <c r="G360" t="n">
        <v>17.7</v>
      </c>
      <c r="H360" t="n">
        <v>0</v>
      </c>
      <c r="I360" t="n">
        <v>0</v>
      </c>
      <c r="J360" t="n">
        <v>0</v>
      </c>
      <c r="K360" t="n">
        <v>1</v>
      </c>
      <c r="L360" t="n">
        <v>0</v>
      </c>
      <c r="M360" t="n">
        <v>0</v>
      </c>
      <c r="N360" t="n">
        <v>0</v>
      </c>
      <c r="O360" t="n">
        <v>1</v>
      </c>
      <c r="P360" t="n">
        <v>1</v>
      </c>
      <c r="Q360" t="n">
        <v>1</v>
      </c>
      <c r="R360" s="2" t="inlineStr">
        <is>
          <t>Smalskaftslav</t>
        </is>
      </c>
      <c r="S360">
        <f>HYPERLINK("https://klasma.github.io/Logging_2313/artfynd/A 58560-2020 artfynd.xlsx", "A 58560-2020")</f>
        <v/>
      </c>
      <c r="T360">
        <f>HYPERLINK("https://klasma.github.io/Logging_2313/kartor/A 58560-2020 karta.png", "A 58560-2020")</f>
        <v/>
      </c>
      <c r="V360">
        <f>HYPERLINK("https://klasma.github.io/Logging_2313/klagomål/A 58560-2020 FSC-klagomål.docx", "A 58560-2020")</f>
        <v/>
      </c>
      <c r="W360">
        <f>HYPERLINK("https://klasma.github.io/Logging_2313/klagomålsmail/A 58560-2020 FSC-klagomål mail.docx", "A 58560-2020")</f>
        <v/>
      </c>
      <c r="X360">
        <f>HYPERLINK("https://klasma.github.io/Logging_2313/tillsyn/A 58560-2020 tillsynsbegäran.docx", "A 58560-2020")</f>
        <v/>
      </c>
      <c r="Y360">
        <f>HYPERLINK("https://klasma.github.io/Logging_2313/tillsynsmail/A 58560-2020 tillsynsbegäran mail.docx", "A 58560-2020")</f>
        <v/>
      </c>
    </row>
    <row r="361" ht="15" customHeight="1">
      <c r="A361" t="inlineStr">
        <is>
          <t>A 64823-2020</t>
        </is>
      </c>
      <c r="B361" s="1" t="n">
        <v>44169</v>
      </c>
      <c r="C361" s="1" t="n">
        <v>45740</v>
      </c>
      <c r="D361" t="inlineStr">
        <is>
          <t>JÄMTLANDS LÄN</t>
        </is>
      </c>
      <c r="E361" t="inlineStr">
        <is>
          <t>STRÖMSUND</t>
        </is>
      </c>
      <c r="F361" t="inlineStr">
        <is>
          <t>SCA</t>
        </is>
      </c>
      <c r="G361" t="n">
        <v>11.3</v>
      </c>
      <c r="H361" t="n">
        <v>1</v>
      </c>
      <c r="I361" t="n">
        <v>0</v>
      </c>
      <c r="J361" t="n">
        <v>0</v>
      </c>
      <c r="K361" t="n">
        <v>1</v>
      </c>
      <c r="L361" t="n">
        <v>0</v>
      </c>
      <c r="M361" t="n">
        <v>0</v>
      </c>
      <c r="N361" t="n">
        <v>0</v>
      </c>
      <c r="O361" t="n">
        <v>1</v>
      </c>
      <c r="P361" t="n">
        <v>1</v>
      </c>
      <c r="Q361" t="n">
        <v>1</v>
      </c>
      <c r="R361" s="2" t="inlineStr">
        <is>
          <t>Knärot</t>
        </is>
      </c>
      <c r="S361">
        <f>HYPERLINK("https://klasma.github.io/Logging_2313/artfynd/A 64823-2020 artfynd.xlsx", "A 64823-2020")</f>
        <v/>
      </c>
      <c r="T361">
        <f>HYPERLINK("https://klasma.github.io/Logging_2313/kartor/A 64823-2020 karta.png", "A 64823-2020")</f>
        <v/>
      </c>
      <c r="U361">
        <f>HYPERLINK("https://klasma.github.io/Logging_2313/knärot/A 64823-2020 karta knärot.png", "A 64823-2020")</f>
        <v/>
      </c>
      <c r="V361">
        <f>HYPERLINK("https://klasma.github.io/Logging_2313/klagomål/A 64823-2020 FSC-klagomål.docx", "A 64823-2020")</f>
        <v/>
      </c>
      <c r="W361">
        <f>HYPERLINK("https://klasma.github.io/Logging_2313/klagomålsmail/A 64823-2020 FSC-klagomål mail.docx", "A 64823-2020")</f>
        <v/>
      </c>
      <c r="X361">
        <f>HYPERLINK("https://klasma.github.io/Logging_2313/tillsyn/A 64823-2020 tillsynsbegäran.docx", "A 64823-2020")</f>
        <v/>
      </c>
      <c r="Y361">
        <f>HYPERLINK("https://klasma.github.io/Logging_2313/tillsynsmail/A 64823-2020 tillsynsbegäran mail.docx", "A 64823-2020")</f>
        <v/>
      </c>
    </row>
    <row r="362" ht="15" customHeight="1">
      <c r="A362" t="inlineStr">
        <is>
          <t>A 64791-2020</t>
        </is>
      </c>
      <c r="B362" s="1" t="n">
        <v>44169</v>
      </c>
      <c r="C362" s="1" t="n">
        <v>45740</v>
      </c>
      <c r="D362" t="inlineStr">
        <is>
          <t>JÄMTLANDS LÄN</t>
        </is>
      </c>
      <c r="E362" t="inlineStr">
        <is>
          <t>STRÖMSUND</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HYPERLINK("https://klasma.github.io/Logging_2313/artfynd/A 64791-2020 artfynd.xlsx", "A 64791-2020")</f>
        <v/>
      </c>
      <c r="T362">
        <f>HYPERLINK("https://klasma.github.io/Logging_2313/kartor/A 64791-2020 karta.png", "A 64791-2020")</f>
        <v/>
      </c>
      <c r="V362">
        <f>HYPERLINK("https://klasma.github.io/Logging_2313/klagomål/A 64791-2020 FSC-klagomål.docx", "A 64791-2020")</f>
        <v/>
      </c>
      <c r="W362">
        <f>HYPERLINK("https://klasma.github.io/Logging_2313/klagomålsmail/A 64791-2020 FSC-klagomål mail.docx", "A 64791-2020")</f>
        <v/>
      </c>
      <c r="X362">
        <f>HYPERLINK("https://klasma.github.io/Logging_2313/tillsyn/A 64791-2020 tillsynsbegäran.docx", "A 64791-2020")</f>
        <v/>
      </c>
      <c r="Y362">
        <f>HYPERLINK("https://klasma.github.io/Logging_2313/tillsynsmail/A 64791-2020 tillsynsbegäran mail.docx", "A 64791-2020")</f>
        <v/>
      </c>
    </row>
    <row r="363" ht="15" customHeight="1">
      <c r="A363" t="inlineStr">
        <is>
          <t>A 66717-2020</t>
        </is>
      </c>
      <c r="B363" s="1" t="n">
        <v>44179</v>
      </c>
      <c r="C363" s="1" t="n">
        <v>45740</v>
      </c>
      <c r="D363" t="inlineStr">
        <is>
          <t>JÄMTLANDS LÄN</t>
        </is>
      </c>
      <c r="E363" t="inlineStr">
        <is>
          <t>STRÖMSUND</t>
        </is>
      </c>
      <c r="F363" t="inlineStr">
        <is>
          <t>SCA</t>
        </is>
      </c>
      <c r="G363" t="n">
        <v>22.4</v>
      </c>
      <c r="H363" t="n">
        <v>0</v>
      </c>
      <c r="I363" t="n">
        <v>0</v>
      </c>
      <c r="J363" t="n">
        <v>1</v>
      </c>
      <c r="K363" t="n">
        <v>0</v>
      </c>
      <c r="L363" t="n">
        <v>0</v>
      </c>
      <c r="M363" t="n">
        <v>0</v>
      </c>
      <c r="N363" t="n">
        <v>0</v>
      </c>
      <c r="O363" t="n">
        <v>1</v>
      </c>
      <c r="P363" t="n">
        <v>0</v>
      </c>
      <c r="Q363" t="n">
        <v>1</v>
      </c>
      <c r="R363" s="2" t="inlineStr">
        <is>
          <t>Gränsticka</t>
        </is>
      </c>
      <c r="S363">
        <f>HYPERLINK("https://klasma.github.io/Logging_2313/artfynd/A 66717-2020 artfynd.xlsx", "A 66717-2020")</f>
        <v/>
      </c>
      <c r="T363">
        <f>HYPERLINK("https://klasma.github.io/Logging_2313/kartor/A 66717-2020 karta.png", "A 66717-2020")</f>
        <v/>
      </c>
      <c r="V363">
        <f>HYPERLINK("https://klasma.github.io/Logging_2313/klagomål/A 66717-2020 FSC-klagomål.docx", "A 66717-2020")</f>
        <v/>
      </c>
      <c r="W363">
        <f>HYPERLINK("https://klasma.github.io/Logging_2313/klagomålsmail/A 66717-2020 FSC-klagomål mail.docx", "A 66717-2020")</f>
        <v/>
      </c>
      <c r="X363">
        <f>HYPERLINK("https://klasma.github.io/Logging_2313/tillsyn/A 66717-2020 tillsynsbegäran.docx", "A 66717-2020")</f>
        <v/>
      </c>
      <c r="Y363">
        <f>HYPERLINK("https://klasma.github.io/Logging_2313/tillsynsmail/A 66717-2020 tillsynsbegäran mail.docx", "A 66717-2020")</f>
        <v/>
      </c>
    </row>
    <row r="364" ht="15" customHeight="1">
      <c r="A364" t="inlineStr">
        <is>
          <t>A 9710-2021</t>
        </is>
      </c>
      <c r="B364" s="1" t="n">
        <v>44252</v>
      </c>
      <c r="C364" s="1" t="n">
        <v>45740</v>
      </c>
      <c r="D364" t="inlineStr">
        <is>
          <t>JÄMTLANDS LÄN</t>
        </is>
      </c>
      <c r="E364" t="inlineStr">
        <is>
          <t>STRÖMSUND</t>
        </is>
      </c>
      <c r="G364" t="n">
        <v>18.5</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9710-2021 artfynd.xlsx", "A 9710-2021")</f>
        <v/>
      </c>
      <c r="T364">
        <f>HYPERLINK("https://klasma.github.io/Logging_2313/kartor/A 9710-2021 karta.png", "A 9710-2021")</f>
        <v/>
      </c>
      <c r="V364">
        <f>HYPERLINK("https://klasma.github.io/Logging_2313/klagomål/A 9710-2021 FSC-klagomål.docx", "A 9710-2021")</f>
        <v/>
      </c>
      <c r="W364">
        <f>HYPERLINK("https://klasma.github.io/Logging_2313/klagomålsmail/A 9710-2021 FSC-klagomål mail.docx", "A 9710-2021")</f>
        <v/>
      </c>
      <c r="X364">
        <f>HYPERLINK("https://klasma.github.io/Logging_2313/tillsyn/A 9710-2021 tillsynsbegäran.docx", "A 9710-2021")</f>
        <v/>
      </c>
      <c r="Y364">
        <f>HYPERLINK("https://klasma.github.io/Logging_2313/tillsynsmail/A 9710-2021 tillsynsbegäran mail.docx", "A 9710-2021")</f>
        <v/>
      </c>
      <c r="Z364">
        <f>HYPERLINK("https://klasma.github.io/Logging_2313/fåglar/A 9710-2021 prioriterade fågelarter.docx", "A 9710-2021")</f>
        <v/>
      </c>
    </row>
    <row r="365" ht="15" customHeight="1">
      <c r="A365" t="inlineStr">
        <is>
          <t>A 17855-2021</t>
        </is>
      </c>
      <c r="B365" s="1" t="n">
        <v>44300</v>
      </c>
      <c r="C365" s="1" t="n">
        <v>45740</v>
      </c>
      <c r="D365" t="inlineStr">
        <is>
          <t>JÄMTLANDS LÄN</t>
        </is>
      </c>
      <c r="E365" t="inlineStr">
        <is>
          <t>STRÖMSUND</t>
        </is>
      </c>
      <c r="F365" t="inlineStr">
        <is>
          <t>SCA</t>
        </is>
      </c>
      <c r="G365" t="n">
        <v>10.1</v>
      </c>
      <c r="H365" t="n">
        <v>1</v>
      </c>
      <c r="I365" t="n">
        <v>0</v>
      </c>
      <c r="J365" t="n">
        <v>0</v>
      </c>
      <c r="K365" t="n">
        <v>1</v>
      </c>
      <c r="L365" t="n">
        <v>0</v>
      </c>
      <c r="M365" t="n">
        <v>0</v>
      </c>
      <c r="N365" t="n">
        <v>0</v>
      </c>
      <c r="O365" t="n">
        <v>1</v>
      </c>
      <c r="P365" t="n">
        <v>1</v>
      </c>
      <c r="Q365" t="n">
        <v>1</v>
      </c>
      <c r="R365" s="2" t="inlineStr">
        <is>
          <t>Knärot</t>
        </is>
      </c>
      <c r="S365">
        <f>HYPERLINK("https://klasma.github.io/Logging_2313/artfynd/A 17855-2021 artfynd.xlsx", "A 17855-2021")</f>
        <v/>
      </c>
      <c r="T365">
        <f>HYPERLINK("https://klasma.github.io/Logging_2313/kartor/A 17855-2021 karta.png", "A 17855-2021")</f>
        <v/>
      </c>
      <c r="U365">
        <f>HYPERLINK("https://klasma.github.io/Logging_2313/knärot/A 17855-2021 karta knärot.png", "A 17855-2021")</f>
        <v/>
      </c>
      <c r="V365">
        <f>HYPERLINK("https://klasma.github.io/Logging_2313/klagomål/A 17855-2021 FSC-klagomål.docx", "A 17855-2021")</f>
        <v/>
      </c>
      <c r="W365">
        <f>HYPERLINK("https://klasma.github.io/Logging_2313/klagomålsmail/A 17855-2021 FSC-klagomål mail.docx", "A 17855-2021")</f>
        <v/>
      </c>
      <c r="X365">
        <f>HYPERLINK("https://klasma.github.io/Logging_2313/tillsyn/A 17855-2021 tillsynsbegäran.docx", "A 17855-2021")</f>
        <v/>
      </c>
      <c r="Y365">
        <f>HYPERLINK("https://klasma.github.io/Logging_2313/tillsynsmail/A 17855-2021 tillsynsbegäran mail.docx", "A 17855-2021")</f>
        <v/>
      </c>
    </row>
    <row r="366" ht="15" customHeight="1">
      <c r="A366" t="inlineStr">
        <is>
          <t>A 21938-2021</t>
        </is>
      </c>
      <c r="B366" s="1" t="n">
        <v>44322</v>
      </c>
      <c r="C366" s="1" t="n">
        <v>45740</v>
      </c>
      <c r="D366" t="inlineStr">
        <is>
          <t>JÄMTLANDS LÄN</t>
        </is>
      </c>
      <c r="E366" t="inlineStr">
        <is>
          <t>STRÖMSUND</t>
        </is>
      </c>
      <c r="F366" t="inlineStr">
        <is>
          <t>SCA</t>
        </is>
      </c>
      <c r="G366" t="n">
        <v>4.9</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21938-2021 artfynd.xlsx", "A 21938-2021")</f>
        <v/>
      </c>
      <c r="T366">
        <f>HYPERLINK("https://klasma.github.io/Logging_2313/kartor/A 21938-2021 karta.png", "A 21938-2021")</f>
        <v/>
      </c>
      <c r="U366">
        <f>HYPERLINK("https://klasma.github.io/Logging_2313/knärot/A 21938-2021 karta knärot.png", "A 21938-2021")</f>
        <v/>
      </c>
      <c r="V366">
        <f>HYPERLINK("https://klasma.github.io/Logging_2313/klagomål/A 21938-2021 FSC-klagomål.docx", "A 21938-2021")</f>
        <v/>
      </c>
      <c r="W366">
        <f>HYPERLINK("https://klasma.github.io/Logging_2313/klagomålsmail/A 21938-2021 FSC-klagomål mail.docx", "A 21938-2021")</f>
        <v/>
      </c>
      <c r="X366">
        <f>HYPERLINK("https://klasma.github.io/Logging_2313/tillsyn/A 21938-2021 tillsynsbegäran.docx", "A 21938-2021")</f>
        <v/>
      </c>
      <c r="Y366">
        <f>HYPERLINK("https://klasma.github.io/Logging_2313/tillsynsmail/A 21938-2021 tillsynsbegäran mail.docx", "A 21938-2021")</f>
        <v/>
      </c>
      <c r="Z366">
        <f>HYPERLINK("https://klasma.github.io/Logging_2313/fåglar/A 21938-2021 prioriterade fågelarter.docx", "A 21938-2021")</f>
        <v/>
      </c>
    </row>
    <row r="367" ht="15" customHeight="1">
      <c r="A367" t="inlineStr">
        <is>
          <t>A 25818-2021</t>
        </is>
      </c>
      <c r="B367" s="1" t="n">
        <v>44344</v>
      </c>
      <c r="C367" s="1" t="n">
        <v>45740</v>
      </c>
      <c r="D367" t="inlineStr">
        <is>
          <t>JÄMTLANDS LÄN</t>
        </is>
      </c>
      <c r="E367" t="inlineStr">
        <is>
          <t>STRÖMSUND</t>
        </is>
      </c>
      <c r="F367" t="inlineStr">
        <is>
          <t>SCA</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HYPERLINK("https://klasma.github.io/Logging_2313/artfynd/A 25818-2021 artfynd.xlsx", "A 25818-2021")</f>
        <v/>
      </c>
      <c r="T367">
        <f>HYPERLINK("https://klasma.github.io/Logging_2313/kartor/A 25818-2021 karta.png", "A 25818-2021")</f>
        <v/>
      </c>
      <c r="U367">
        <f>HYPERLINK("https://klasma.github.io/Logging_2313/knärot/A 25818-2021 karta knärot.png", "A 25818-2021")</f>
        <v/>
      </c>
      <c r="V367">
        <f>HYPERLINK("https://klasma.github.io/Logging_2313/klagomål/A 25818-2021 FSC-klagomål.docx", "A 25818-2021")</f>
        <v/>
      </c>
      <c r="W367">
        <f>HYPERLINK("https://klasma.github.io/Logging_2313/klagomålsmail/A 25818-2021 FSC-klagomål mail.docx", "A 25818-2021")</f>
        <v/>
      </c>
      <c r="X367">
        <f>HYPERLINK("https://klasma.github.io/Logging_2313/tillsyn/A 25818-2021 tillsynsbegäran.docx", "A 25818-2021")</f>
        <v/>
      </c>
      <c r="Y367">
        <f>HYPERLINK("https://klasma.github.io/Logging_2313/tillsynsmail/A 25818-2021 tillsynsbegäran mail.docx", "A 25818-2021")</f>
        <v/>
      </c>
    </row>
    <row r="368" ht="15" customHeight="1">
      <c r="A368" t="inlineStr">
        <is>
          <t>A 26148-2021</t>
        </is>
      </c>
      <c r="B368" s="1" t="n">
        <v>44346</v>
      </c>
      <c r="C368" s="1" t="n">
        <v>45740</v>
      </c>
      <c r="D368" t="inlineStr">
        <is>
          <t>JÄMTLANDS LÄN</t>
        </is>
      </c>
      <c r="E368" t="inlineStr">
        <is>
          <t>STRÖMSUND</t>
        </is>
      </c>
      <c r="F368" t="inlineStr">
        <is>
          <t>SCA</t>
        </is>
      </c>
      <c r="G368" t="n">
        <v>5.4</v>
      </c>
      <c r="H368" t="n">
        <v>0</v>
      </c>
      <c r="I368" t="n">
        <v>1</v>
      </c>
      <c r="J368" t="n">
        <v>0</v>
      </c>
      <c r="K368" t="n">
        <v>0</v>
      </c>
      <c r="L368" t="n">
        <v>0</v>
      </c>
      <c r="M368" t="n">
        <v>0</v>
      </c>
      <c r="N368" t="n">
        <v>0</v>
      </c>
      <c r="O368" t="n">
        <v>0</v>
      </c>
      <c r="P368" t="n">
        <v>0</v>
      </c>
      <c r="Q368" t="n">
        <v>1</v>
      </c>
      <c r="R368" s="2" t="inlineStr">
        <is>
          <t>Skinnlav</t>
        </is>
      </c>
      <c r="S368">
        <f>HYPERLINK("https://klasma.github.io/Logging_2313/artfynd/A 26148-2021 artfynd.xlsx", "A 26148-2021")</f>
        <v/>
      </c>
      <c r="T368">
        <f>HYPERLINK("https://klasma.github.io/Logging_2313/kartor/A 26148-2021 karta.png", "A 26148-2021")</f>
        <v/>
      </c>
      <c r="V368">
        <f>HYPERLINK("https://klasma.github.io/Logging_2313/klagomål/A 26148-2021 FSC-klagomål.docx", "A 26148-2021")</f>
        <v/>
      </c>
      <c r="W368">
        <f>HYPERLINK("https://klasma.github.io/Logging_2313/klagomålsmail/A 26148-2021 FSC-klagomål mail.docx", "A 26148-2021")</f>
        <v/>
      </c>
      <c r="X368">
        <f>HYPERLINK("https://klasma.github.io/Logging_2313/tillsyn/A 26148-2021 tillsynsbegäran.docx", "A 26148-2021")</f>
        <v/>
      </c>
      <c r="Y368">
        <f>HYPERLINK("https://klasma.github.io/Logging_2313/tillsynsmail/A 26148-2021 tillsynsbegäran mail.docx", "A 26148-2021")</f>
        <v/>
      </c>
    </row>
    <row r="369" ht="15" customHeight="1">
      <c r="A369" t="inlineStr">
        <is>
          <t>A 26151-2021</t>
        </is>
      </c>
      <c r="B369" s="1" t="n">
        <v>44346</v>
      </c>
      <c r="C369" s="1" t="n">
        <v>45740</v>
      </c>
      <c r="D369" t="inlineStr">
        <is>
          <t>JÄMTLANDS LÄN</t>
        </is>
      </c>
      <c r="E369" t="inlineStr">
        <is>
          <t>STRÖMSUND</t>
        </is>
      </c>
      <c r="F369" t="inlineStr">
        <is>
          <t>SCA</t>
        </is>
      </c>
      <c r="G369" t="n">
        <v>2.6</v>
      </c>
      <c r="H369" t="n">
        <v>0</v>
      </c>
      <c r="I369" t="n">
        <v>1</v>
      </c>
      <c r="J369" t="n">
        <v>0</v>
      </c>
      <c r="K369" t="n">
        <v>0</v>
      </c>
      <c r="L369" t="n">
        <v>0</v>
      </c>
      <c r="M369" t="n">
        <v>0</v>
      </c>
      <c r="N369" t="n">
        <v>0</v>
      </c>
      <c r="O369" t="n">
        <v>0</v>
      </c>
      <c r="P369" t="n">
        <v>0</v>
      </c>
      <c r="Q369" t="n">
        <v>1</v>
      </c>
      <c r="R369" s="2" t="inlineStr">
        <is>
          <t>Skinnlav</t>
        </is>
      </c>
      <c r="S369">
        <f>HYPERLINK("https://klasma.github.io/Logging_2313/artfynd/A 26151-2021 artfynd.xlsx", "A 26151-2021")</f>
        <v/>
      </c>
      <c r="T369">
        <f>HYPERLINK("https://klasma.github.io/Logging_2313/kartor/A 26151-2021 karta.png", "A 26151-2021")</f>
        <v/>
      </c>
      <c r="V369">
        <f>HYPERLINK("https://klasma.github.io/Logging_2313/klagomål/A 26151-2021 FSC-klagomål.docx", "A 26151-2021")</f>
        <v/>
      </c>
      <c r="W369">
        <f>HYPERLINK("https://klasma.github.io/Logging_2313/klagomålsmail/A 26151-2021 FSC-klagomål mail.docx", "A 26151-2021")</f>
        <v/>
      </c>
      <c r="X369">
        <f>HYPERLINK("https://klasma.github.io/Logging_2313/tillsyn/A 26151-2021 tillsynsbegäran.docx", "A 26151-2021")</f>
        <v/>
      </c>
      <c r="Y369">
        <f>HYPERLINK("https://klasma.github.io/Logging_2313/tillsynsmail/A 26151-2021 tillsynsbegäran mail.docx", "A 26151-2021")</f>
        <v/>
      </c>
    </row>
    <row r="370" ht="15" customHeight="1">
      <c r="A370" t="inlineStr">
        <is>
          <t>A 26147-2021</t>
        </is>
      </c>
      <c r="B370" s="1" t="n">
        <v>44346</v>
      </c>
      <c r="C370" s="1" t="n">
        <v>45740</v>
      </c>
      <c r="D370" t="inlineStr">
        <is>
          <t>JÄMTLANDS LÄN</t>
        </is>
      </c>
      <c r="E370" t="inlineStr">
        <is>
          <t>STRÖMSUND</t>
        </is>
      </c>
      <c r="F370" t="inlineStr">
        <is>
          <t>SCA</t>
        </is>
      </c>
      <c r="G370" t="n">
        <v>5.3</v>
      </c>
      <c r="H370" t="n">
        <v>0</v>
      </c>
      <c r="I370" t="n">
        <v>0</v>
      </c>
      <c r="J370" t="n">
        <v>1</v>
      </c>
      <c r="K370" t="n">
        <v>0</v>
      </c>
      <c r="L370" t="n">
        <v>0</v>
      </c>
      <c r="M370" t="n">
        <v>0</v>
      </c>
      <c r="N370" t="n">
        <v>0</v>
      </c>
      <c r="O370" t="n">
        <v>1</v>
      </c>
      <c r="P370" t="n">
        <v>0</v>
      </c>
      <c r="Q370" t="n">
        <v>1</v>
      </c>
      <c r="R370" s="2" t="inlineStr">
        <is>
          <t>Skrovellav</t>
        </is>
      </c>
      <c r="S370">
        <f>HYPERLINK("https://klasma.github.io/Logging_2313/artfynd/A 26147-2021 artfynd.xlsx", "A 26147-2021")</f>
        <v/>
      </c>
      <c r="T370">
        <f>HYPERLINK("https://klasma.github.io/Logging_2313/kartor/A 26147-2021 karta.png", "A 26147-2021")</f>
        <v/>
      </c>
      <c r="V370">
        <f>HYPERLINK("https://klasma.github.io/Logging_2313/klagomål/A 26147-2021 FSC-klagomål.docx", "A 26147-2021")</f>
        <v/>
      </c>
      <c r="W370">
        <f>HYPERLINK("https://klasma.github.io/Logging_2313/klagomålsmail/A 26147-2021 FSC-klagomål mail.docx", "A 26147-2021")</f>
        <v/>
      </c>
      <c r="X370">
        <f>HYPERLINK("https://klasma.github.io/Logging_2313/tillsyn/A 26147-2021 tillsynsbegäran.docx", "A 26147-2021")</f>
        <v/>
      </c>
      <c r="Y370">
        <f>HYPERLINK("https://klasma.github.io/Logging_2313/tillsynsmail/A 26147-2021 tillsynsbegäran mail.docx", "A 26147-2021")</f>
        <v/>
      </c>
    </row>
    <row r="371" ht="15" customHeight="1">
      <c r="A371" t="inlineStr">
        <is>
          <t>A 27560-2021</t>
        </is>
      </c>
      <c r="B371" s="1" t="n">
        <v>44352</v>
      </c>
      <c r="C371" s="1" t="n">
        <v>45740</v>
      </c>
      <c r="D371" t="inlineStr">
        <is>
          <t>JÄMTLANDS LÄN</t>
        </is>
      </c>
      <c r="E371" t="inlineStr">
        <is>
          <t>STRÖMSUND</t>
        </is>
      </c>
      <c r="G371" t="n">
        <v>2.5</v>
      </c>
      <c r="H371" t="n">
        <v>1</v>
      </c>
      <c r="I371" t="n">
        <v>0</v>
      </c>
      <c r="J371" t="n">
        <v>0</v>
      </c>
      <c r="K371" t="n">
        <v>0</v>
      </c>
      <c r="L371" t="n">
        <v>0</v>
      </c>
      <c r="M371" t="n">
        <v>0</v>
      </c>
      <c r="N371" t="n">
        <v>0</v>
      </c>
      <c r="O371" t="n">
        <v>0</v>
      </c>
      <c r="P371" t="n">
        <v>0</v>
      </c>
      <c r="Q371" t="n">
        <v>1</v>
      </c>
      <c r="R371" s="2" t="inlineStr">
        <is>
          <t>Fläcknycklar</t>
        </is>
      </c>
      <c r="S371">
        <f>HYPERLINK("https://klasma.github.io/Logging_2313/artfynd/A 27560-2021 artfynd.xlsx", "A 27560-2021")</f>
        <v/>
      </c>
      <c r="T371">
        <f>HYPERLINK("https://klasma.github.io/Logging_2313/kartor/A 27560-2021 karta.png", "A 27560-2021")</f>
        <v/>
      </c>
      <c r="V371">
        <f>HYPERLINK("https://klasma.github.io/Logging_2313/klagomål/A 27560-2021 FSC-klagomål.docx", "A 27560-2021")</f>
        <v/>
      </c>
      <c r="W371">
        <f>HYPERLINK("https://klasma.github.io/Logging_2313/klagomålsmail/A 27560-2021 FSC-klagomål mail.docx", "A 27560-2021")</f>
        <v/>
      </c>
      <c r="X371">
        <f>HYPERLINK("https://klasma.github.io/Logging_2313/tillsyn/A 27560-2021 tillsynsbegäran.docx", "A 27560-2021")</f>
        <v/>
      </c>
      <c r="Y371">
        <f>HYPERLINK("https://klasma.github.io/Logging_2313/tillsynsmail/A 27560-2021 tillsynsbegäran mail.docx", "A 27560-2021")</f>
        <v/>
      </c>
    </row>
    <row r="372" ht="15" customHeight="1">
      <c r="A372" t="inlineStr">
        <is>
          <t>A 29597-2021</t>
        </is>
      </c>
      <c r="B372" s="1" t="n">
        <v>44361</v>
      </c>
      <c r="C372" s="1" t="n">
        <v>45740</v>
      </c>
      <c r="D372" t="inlineStr">
        <is>
          <t>JÄMTLANDS LÄN</t>
        </is>
      </c>
      <c r="E372" t="inlineStr">
        <is>
          <t>STRÖMSUND</t>
        </is>
      </c>
      <c r="F372" t="inlineStr">
        <is>
          <t>SCA</t>
        </is>
      </c>
      <c r="G372" t="n">
        <v>2.6</v>
      </c>
      <c r="H372" t="n">
        <v>1</v>
      </c>
      <c r="I372" t="n">
        <v>0</v>
      </c>
      <c r="J372" t="n">
        <v>0</v>
      </c>
      <c r="K372" t="n">
        <v>0</v>
      </c>
      <c r="L372" t="n">
        <v>0</v>
      </c>
      <c r="M372" t="n">
        <v>0</v>
      </c>
      <c r="N372" t="n">
        <v>0</v>
      </c>
      <c r="O372" t="n">
        <v>0</v>
      </c>
      <c r="P372" t="n">
        <v>0</v>
      </c>
      <c r="Q372" t="n">
        <v>1</v>
      </c>
      <c r="R372" s="2" t="inlineStr">
        <is>
          <t>Mattlummer</t>
        </is>
      </c>
      <c r="S372">
        <f>HYPERLINK("https://klasma.github.io/Logging_2313/artfynd/A 29597-2021 artfynd.xlsx", "A 29597-2021")</f>
        <v/>
      </c>
      <c r="T372">
        <f>HYPERLINK("https://klasma.github.io/Logging_2313/kartor/A 29597-2021 karta.png", "A 29597-2021")</f>
        <v/>
      </c>
      <c r="V372">
        <f>HYPERLINK("https://klasma.github.io/Logging_2313/klagomål/A 29597-2021 FSC-klagomål.docx", "A 29597-2021")</f>
        <v/>
      </c>
      <c r="W372">
        <f>HYPERLINK("https://klasma.github.io/Logging_2313/klagomålsmail/A 29597-2021 FSC-klagomål mail.docx", "A 29597-2021")</f>
        <v/>
      </c>
      <c r="X372">
        <f>HYPERLINK("https://klasma.github.io/Logging_2313/tillsyn/A 29597-2021 tillsynsbegäran.docx", "A 29597-2021")</f>
        <v/>
      </c>
      <c r="Y372">
        <f>HYPERLINK("https://klasma.github.io/Logging_2313/tillsynsmail/A 29597-2021 tillsynsbegäran mail.docx", "A 29597-2021")</f>
        <v/>
      </c>
    </row>
    <row r="373" ht="15" customHeight="1">
      <c r="A373" t="inlineStr">
        <is>
          <t>A 32913-2021</t>
        </is>
      </c>
      <c r="B373" s="1" t="n">
        <v>44375</v>
      </c>
      <c r="C373" s="1" t="n">
        <v>45740</v>
      </c>
      <c r="D373" t="inlineStr">
        <is>
          <t>JÄMTLANDS LÄN</t>
        </is>
      </c>
      <c r="E373" t="inlineStr">
        <is>
          <t>STRÖMSUND</t>
        </is>
      </c>
      <c r="F373" t="inlineStr">
        <is>
          <t>SCA</t>
        </is>
      </c>
      <c r="G373" t="n">
        <v>22</v>
      </c>
      <c r="H373" t="n">
        <v>0</v>
      </c>
      <c r="I373" t="n">
        <v>1</v>
      </c>
      <c r="J373" t="n">
        <v>0</v>
      </c>
      <c r="K373" t="n">
        <v>0</v>
      </c>
      <c r="L373" t="n">
        <v>0</v>
      </c>
      <c r="M373" t="n">
        <v>0</v>
      </c>
      <c r="N373" t="n">
        <v>0</v>
      </c>
      <c r="O373" t="n">
        <v>0</v>
      </c>
      <c r="P373" t="n">
        <v>0</v>
      </c>
      <c r="Q373" t="n">
        <v>1</v>
      </c>
      <c r="R373" s="2" t="inlineStr">
        <is>
          <t>Korallblylav</t>
        </is>
      </c>
      <c r="S373">
        <f>HYPERLINK("https://klasma.github.io/Logging_2313/artfynd/A 32913-2021 artfynd.xlsx", "A 32913-2021")</f>
        <v/>
      </c>
      <c r="T373">
        <f>HYPERLINK("https://klasma.github.io/Logging_2313/kartor/A 32913-2021 karta.png", "A 32913-2021")</f>
        <v/>
      </c>
      <c r="V373">
        <f>HYPERLINK("https://klasma.github.io/Logging_2313/klagomål/A 32913-2021 FSC-klagomål.docx", "A 32913-2021")</f>
        <v/>
      </c>
      <c r="W373">
        <f>HYPERLINK("https://klasma.github.io/Logging_2313/klagomålsmail/A 32913-2021 FSC-klagomål mail.docx", "A 32913-2021")</f>
        <v/>
      </c>
      <c r="X373">
        <f>HYPERLINK("https://klasma.github.io/Logging_2313/tillsyn/A 32913-2021 tillsynsbegäran.docx", "A 32913-2021")</f>
        <v/>
      </c>
      <c r="Y373">
        <f>HYPERLINK("https://klasma.github.io/Logging_2313/tillsynsmail/A 32913-2021 tillsynsbegäran mail.docx", "A 32913-2021")</f>
        <v/>
      </c>
    </row>
    <row r="374" ht="15" customHeight="1">
      <c r="A374" t="inlineStr">
        <is>
          <t>A 33545-2021</t>
        </is>
      </c>
      <c r="B374" s="1" t="n">
        <v>44377</v>
      </c>
      <c r="C374" s="1" t="n">
        <v>45740</v>
      </c>
      <c r="D374" t="inlineStr">
        <is>
          <t>JÄMTLANDS LÄN</t>
        </is>
      </c>
      <c r="E374" t="inlineStr">
        <is>
          <t>STRÖMSUND</t>
        </is>
      </c>
      <c r="G374" t="n">
        <v>7.5</v>
      </c>
      <c r="H374" t="n">
        <v>0</v>
      </c>
      <c r="I374" t="n">
        <v>0</v>
      </c>
      <c r="J374" t="n">
        <v>1</v>
      </c>
      <c r="K374" t="n">
        <v>0</v>
      </c>
      <c r="L374" t="n">
        <v>0</v>
      </c>
      <c r="M374" t="n">
        <v>0</v>
      </c>
      <c r="N374" t="n">
        <v>0</v>
      </c>
      <c r="O374" t="n">
        <v>1</v>
      </c>
      <c r="P374" t="n">
        <v>0</v>
      </c>
      <c r="Q374" t="n">
        <v>1</v>
      </c>
      <c r="R374" s="2" t="inlineStr">
        <is>
          <t>Lunglav</t>
        </is>
      </c>
      <c r="S374">
        <f>HYPERLINK("https://klasma.github.io/Logging_2313/artfynd/A 33545-2021 artfynd.xlsx", "A 33545-2021")</f>
        <v/>
      </c>
      <c r="T374">
        <f>HYPERLINK("https://klasma.github.io/Logging_2313/kartor/A 33545-2021 karta.png", "A 33545-2021")</f>
        <v/>
      </c>
      <c r="V374">
        <f>HYPERLINK("https://klasma.github.io/Logging_2313/klagomål/A 33545-2021 FSC-klagomål.docx", "A 33545-2021")</f>
        <v/>
      </c>
      <c r="W374">
        <f>HYPERLINK("https://klasma.github.io/Logging_2313/klagomålsmail/A 33545-2021 FSC-klagomål mail.docx", "A 33545-2021")</f>
        <v/>
      </c>
      <c r="X374">
        <f>HYPERLINK("https://klasma.github.io/Logging_2313/tillsyn/A 33545-2021 tillsynsbegäran.docx", "A 33545-2021")</f>
        <v/>
      </c>
      <c r="Y374">
        <f>HYPERLINK("https://klasma.github.io/Logging_2313/tillsynsmail/A 33545-2021 tillsynsbegäran mail.docx", "A 33545-2021")</f>
        <v/>
      </c>
    </row>
    <row r="375" ht="15" customHeight="1">
      <c r="A375" t="inlineStr">
        <is>
          <t>A 35444-2021</t>
        </is>
      </c>
      <c r="B375" s="1" t="n">
        <v>44385</v>
      </c>
      <c r="C375" s="1" t="n">
        <v>45740</v>
      </c>
      <c r="D375" t="inlineStr">
        <is>
          <t>JÄMTLANDS LÄN</t>
        </is>
      </c>
      <c r="E375" t="inlineStr">
        <is>
          <t>STRÖMSUND</t>
        </is>
      </c>
      <c r="G375" t="n">
        <v>20</v>
      </c>
      <c r="H375" t="n">
        <v>1</v>
      </c>
      <c r="I375" t="n">
        <v>0</v>
      </c>
      <c r="J375" t="n">
        <v>1</v>
      </c>
      <c r="K375" t="n">
        <v>0</v>
      </c>
      <c r="L375" t="n">
        <v>0</v>
      </c>
      <c r="M375" t="n">
        <v>0</v>
      </c>
      <c r="N375" t="n">
        <v>0</v>
      </c>
      <c r="O375" t="n">
        <v>1</v>
      </c>
      <c r="P375" t="n">
        <v>0</v>
      </c>
      <c r="Q375" t="n">
        <v>1</v>
      </c>
      <c r="R375" s="2" t="inlineStr">
        <is>
          <t>Tretåig hackspett</t>
        </is>
      </c>
      <c r="S375">
        <f>HYPERLINK("https://klasma.github.io/Logging_2313/artfynd/A 35444-2021 artfynd.xlsx", "A 35444-2021")</f>
        <v/>
      </c>
      <c r="T375">
        <f>HYPERLINK("https://klasma.github.io/Logging_2313/kartor/A 35444-2021 karta.png", "A 35444-2021")</f>
        <v/>
      </c>
      <c r="V375">
        <f>HYPERLINK("https://klasma.github.io/Logging_2313/klagomål/A 35444-2021 FSC-klagomål.docx", "A 35444-2021")</f>
        <v/>
      </c>
      <c r="W375">
        <f>HYPERLINK("https://klasma.github.io/Logging_2313/klagomålsmail/A 35444-2021 FSC-klagomål mail.docx", "A 35444-2021")</f>
        <v/>
      </c>
      <c r="X375">
        <f>HYPERLINK("https://klasma.github.io/Logging_2313/tillsyn/A 35444-2021 tillsynsbegäran.docx", "A 35444-2021")</f>
        <v/>
      </c>
      <c r="Y375">
        <f>HYPERLINK("https://klasma.github.io/Logging_2313/tillsynsmail/A 35444-2021 tillsynsbegäran mail.docx", "A 35444-2021")</f>
        <v/>
      </c>
      <c r="Z375">
        <f>HYPERLINK("https://klasma.github.io/Logging_2313/fåglar/A 35444-2021 prioriterade fågelarter.docx", "A 35444-2021")</f>
        <v/>
      </c>
    </row>
    <row r="376" ht="15" customHeight="1">
      <c r="A376" t="inlineStr">
        <is>
          <t>A 38584-2021</t>
        </is>
      </c>
      <c r="B376" s="1" t="n">
        <v>44407</v>
      </c>
      <c r="C376" s="1" t="n">
        <v>45740</v>
      </c>
      <c r="D376" t="inlineStr">
        <is>
          <t>JÄMTLANDS LÄN</t>
        </is>
      </c>
      <c r="E376" t="inlineStr">
        <is>
          <t>STRÖMSUND</t>
        </is>
      </c>
      <c r="F376" t="inlineStr">
        <is>
          <t>SCA</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HYPERLINK("https://klasma.github.io/Logging_2313/artfynd/A 38584-2021 artfynd.xlsx", "A 38584-2021")</f>
        <v/>
      </c>
      <c r="T376">
        <f>HYPERLINK("https://klasma.github.io/Logging_2313/kartor/A 38584-2021 karta.png", "A 38584-2021")</f>
        <v/>
      </c>
      <c r="U376">
        <f>HYPERLINK("https://klasma.github.io/Logging_2313/knärot/A 38584-2021 karta knärot.png", "A 38584-2021")</f>
        <v/>
      </c>
      <c r="V376">
        <f>HYPERLINK("https://klasma.github.io/Logging_2313/klagomål/A 38584-2021 FSC-klagomål.docx", "A 38584-2021")</f>
        <v/>
      </c>
      <c r="W376">
        <f>HYPERLINK("https://klasma.github.io/Logging_2313/klagomålsmail/A 38584-2021 FSC-klagomål mail.docx", "A 38584-2021")</f>
        <v/>
      </c>
      <c r="X376">
        <f>HYPERLINK("https://klasma.github.io/Logging_2313/tillsyn/A 38584-2021 tillsynsbegäran.docx", "A 38584-2021")</f>
        <v/>
      </c>
      <c r="Y376">
        <f>HYPERLINK("https://klasma.github.io/Logging_2313/tillsynsmail/A 38584-2021 tillsynsbegäran mail.docx", "A 38584-2021")</f>
        <v/>
      </c>
    </row>
    <row r="377" ht="15" customHeight="1">
      <c r="A377" t="inlineStr">
        <is>
          <t>A 39928-2021</t>
        </is>
      </c>
      <c r="B377" s="1" t="n">
        <v>44417</v>
      </c>
      <c r="C377" s="1" t="n">
        <v>45740</v>
      </c>
      <c r="D377" t="inlineStr">
        <is>
          <t>JÄMTLANDS LÄN</t>
        </is>
      </c>
      <c r="E377" t="inlineStr">
        <is>
          <t>STRÖMSUND</t>
        </is>
      </c>
      <c r="F377" t="inlineStr">
        <is>
          <t>SCA</t>
        </is>
      </c>
      <c r="G377" t="n">
        <v>1.5</v>
      </c>
      <c r="H377" t="n">
        <v>1</v>
      </c>
      <c r="I377" t="n">
        <v>0</v>
      </c>
      <c r="J377" t="n">
        <v>1</v>
      </c>
      <c r="K377" t="n">
        <v>0</v>
      </c>
      <c r="L377" t="n">
        <v>0</v>
      </c>
      <c r="M377" t="n">
        <v>0</v>
      </c>
      <c r="N377" t="n">
        <v>0</v>
      </c>
      <c r="O377" t="n">
        <v>1</v>
      </c>
      <c r="P377" t="n">
        <v>0</v>
      </c>
      <c r="Q377" t="n">
        <v>1</v>
      </c>
      <c r="R377" s="2" t="inlineStr">
        <is>
          <t>Utter</t>
        </is>
      </c>
      <c r="S377">
        <f>HYPERLINK("https://klasma.github.io/Logging_2313/artfynd/A 39928-2021 artfynd.xlsx", "A 39928-2021")</f>
        <v/>
      </c>
      <c r="T377">
        <f>HYPERLINK("https://klasma.github.io/Logging_2313/kartor/A 39928-2021 karta.png", "A 39928-2021")</f>
        <v/>
      </c>
      <c r="V377">
        <f>HYPERLINK("https://klasma.github.io/Logging_2313/klagomål/A 39928-2021 FSC-klagomål.docx", "A 39928-2021")</f>
        <v/>
      </c>
      <c r="W377">
        <f>HYPERLINK("https://klasma.github.io/Logging_2313/klagomålsmail/A 39928-2021 FSC-klagomål mail.docx", "A 39928-2021")</f>
        <v/>
      </c>
      <c r="X377">
        <f>HYPERLINK("https://klasma.github.io/Logging_2313/tillsyn/A 39928-2021 tillsynsbegäran.docx", "A 39928-2021")</f>
        <v/>
      </c>
      <c r="Y377">
        <f>HYPERLINK("https://klasma.github.io/Logging_2313/tillsynsmail/A 39928-2021 tillsynsbegäran mail.docx", "A 39928-2021")</f>
        <v/>
      </c>
    </row>
    <row r="378" ht="15" customHeight="1">
      <c r="A378" t="inlineStr">
        <is>
          <t>A 42246-2021</t>
        </is>
      </c>
      <c r="B378" s="1" t="n">
        <v>44426</v>
      </c>
      <c r="C378" s="1" t="n">
        <v>45740</v>
      </c>
      <c r="D378" t="inlineStr">
        <is>
          <t>JÄMTLANDS LÄN</t>
        </is>
      </c>
      <c r="E378" t="inlineStr">
        <is>
          <t>STRÖMSUND</t>
        </is>
      </c>
      <c r="F378" t="inlineStr">
        <is>
          <t>SCA</t>
        </is>
      </c>
      <c r="G378" t="n">
        <v>6.6</v>
      </c>
      <c r="H378" t="n">
        <v>0</v>
      </c>
      <c r="I378" t="n">
        <v>0</v>
      </c>
      <c r="J378" t="n">
        <v>1</v>
      </c>
      <c r="K378" t="n">
        <v>0</v>
      </c>
      <c r="L378" t="n">
        <v>0</v>
      </c>
      <c r="M378" t="n">
        <v>0</v>
      </c>
      <c r="N378" t="n">
        <v>0</v>
      </c>
      <c r="O378" t="n">
        <v>1</v>
      </c>
      <c r="P378" t="n">
        <v>0</v>
      </c>
      <c r="Q378" t="n">
        <v>1</v>
      </c>
      <c r="R378" s="2" t="inlineStr">
        <is>
          <t>Garnlav</t>
        </is>
      </c>
      <c r="S378">
        <f>HYPERLINK("https://klasma.github.io/Logging_2313/artfynd/A 42246-2021 artfynd.xlsx", "A 42246-2021")</f>
        <v/>
      </c>
      <c r="T378">
        <f>HYPERLINK("https://klasma.github.io/Logging_2313/kartor/A 42246-2021 karta.png", "A 42246-2021")</f>
        <v/>
      </c>
      <c r="V378">
        <f>HYPERLINK("https://klasma.github.io/Logging_2313/klagomål/A 42246-2021 FSC-klagomål.docx", "A 42246-2021")</f>
        <v/>
      </c>
      <c r="W378">
        <f>HYPERLINK("https://klasma.github.io/Logging_2313/klagomålsmail/A 42246-2021 FSC-klagomål mail.docx", "A 42246-2021")</f>
        <v/>
      </c>
      <c r="X378">
        <f>HYPERLINK("https://klasma.github.io/Logging_2313/tillsyn/A 42246-2021 tillsynsbegäran.docx", "A 42246-2021")</f>
        <v/>
      </c>
      <c r="Y378">
        <f>HYPERLINK("https://klasma.github.io/Logging_2313/tillsynsmail/A 42246-2021 tillsynsbegäran mail.docx", "A 42246-2021")</f>
        <v/>
      </c>
    </row>
    <row r="379" ht="15" customHeight="1">
      <c r="A379" t="inlineStr">
        <is>
          <t>A 50654-2021</t>
        </is>
      </c>
      <c r="B379" s="1" t="n">
        <v>44459</v>
      </c>
      <c r="C379" s="1" t="n">
        <v>45740</v>
      </c>
      <c r="D379" t="inlineStr">
        <is>
          <t>JÄMTLANDS LÄN</t>
        </is>
      </c>
      <c r="E379" t="inlineStr">
        <is>
          <t>STRÖMSUND</t>
        </is>
      </c>
      <c r="F379" t="inlineStr">
        <is>
          <t>SCA</t>
        </is>
      </c>
      <c r="G379" t="n">
        <v>3.1</v>
      </c>
      <c r="H379" t="n">
        <v>0</v>
      </c>
      <c r="I379" t="n">
        <v>0</v>
      </c>
      <c r="J379" t="n">
        <v>1</v>
      </c>
      <c r="K379" t="n">
        <v>0</v>
      </c>
      <c r="L379" t="n">
        <v>0</v>
      </c>
      <c r="M379" t="n">
        <v>0</v>
      </c>
      <c r="N379" t="n">
        <v>0</v>
      </c>
      <c r="O379" t="n">
        <v>1</v>
      </c>
      <c r="P379" t="n">
        <v>0</v>
      </c>
      <c r="Q379" t="n">
        <v>1</v>
      </c>
      <c r="R379" s="2" t="inlineStr">
        <is>
          <t>Ullticka</t>
        </is>
      </c>
      <c r="S379">
        <f>HYPERLINK("https://klasma.github.io/Logging_2313/artfynd/A 50654-2021 artfynd.xlsx", "A 50654-2021")</f>
        <v/>
      </c>
      <c r="T379">
        <f>HYPERLINK("https://klasma.github.io/Logging_2313/kartor/A 50654-2021 karta.png", "A 50654-2021")</f>
        <v/>
      </c>
      <c r="V379">
        <f>HYPERLINK("https://klasma.github.io/Logging_2313/klagomål/A 50654-2021 FSC-klagomål.docx", "A 50654-2021")</f>
        <v/>
      </c>
      <c r="W379">
        <f>HYPERLINK("https://klasma.github.io/Logging_2313/klagomålsmail/A 50654-2021 FSC-klagomål mail.docx", "A 50654-2021")</f>
        <v/>
      </c>
      <c r="X379">
        <f>HYPERLINK("https://klasma.github.io/Logging_2313/tillsyn/A 50654-2021 tillsynsbegäran.docx", "A 50654-2021")</f>
        <v/>
      </c>
      <c r="Y379">
        <f>HYPERLINK("https://klasma.github.io/Logging_2313/tillsynsmail/A 50654-2021 tillsynsbegäran mail.docx", "A 50654-2021")</f>
        <v/>
      </c>
    </row>
    <row r="380" ht="15" customHeight="1">
      <c r="A380" t="inlineStr">
        <is>
          <t>A 53509-2021</t>
        </is>
      </c>
      <c r="B380" s="1" t="n">
        <v>44468</v>
      </c>
      <c r="C380" s="1" t="n">
        <v>45740</v>
      </c>
      <c r="D380" t="inlineStr">
        <is>
          <t>JÄMTLANDS LÄN</t>
        </is>
      </c>
      <c r="E380" t="inlineStr">
        <is>
          <t>STRÖMSUND</t>
        </is>
      </c>
      <c r="F380" t="inlineStr">
        <is>
          <t>SCA</t>
        </is>
      </c>
      <c r="G380" t="n">
        <v>3.4</v>
      </c>
      <c r="H380" t="n">
        <v>0</v>
      </c>
      <c r="I380" t="n">
        <v>1</v>
      </c>
      <c r="J380" t="n">
        <v>0</v>
      </c>
      <c r="K380" t="n">
        <v>0</v>
      </c>
      <c r="L380" t="n">
        <v>0</v>
      </c>
      <c r="M380" t="n">
        <v>0</v>
      </c>
      <c r="N380" t="n">
        <v>0</v>
      </c>
      <c r="O380" t="n">
        <v>0</v>
      </c>
      <c r="P380" t="n">
        <v>0</v>
      </c>
      <c r="Q380" t="n">
        <v>1</v>
      </c>
      <c r="R380" s="2" t="inlineStr">
        <is>
          <t>Stor aspticka</t>
        </is>
      </c>
      <c r="S380">
        <f>HYPERLINK("https://klasma.github.io/Logging_2313/artfynd/A 53509-2021 artfynd.xlsx", "A 53509-2021")</f>
        <v/>
      </c>
      <c r="T380">
        <f>HYPERLINK("https://klasma.github.io/Logging_2313/kartor/A 53509-2021 karta.png", "A 53509-2021")</f>
        <v/>
      </c>
      <c r="V380">
        <f>HYPERLINK("https://klasma.github.io/Logging_2313/klagomål/A 53509-2021 FSC-klagomål.docx", "A 53509-2021")</f>
        <v/>
      </c>
      <c r="W380">
        <f>HYPERLINK("https://klasma.github.io/Logging_2313/klagomålsmail/A 53509-2021 FSC-klagomål mail.docx", "A 53509-2021")</f>
        <v/>
      </c>
      <c r="X380">
        <f>HYPERLINK("https://klasma.github.io/Logging_2313/tillsyn/A 53509-2021 tillsynsbegäran.docx", "A 53509-2021")</f>
        <v/>
      </c>
      <c r="Y380">
        <f>HYPERLINK("https://klasma.github.io/Logging_2313/tillsynsmail/A 53509-2021 tillsynsbegäran mail.docx", "A 53509-2021")</f>
        <v/>
      </c>
    </row>
    <row r="381" ht="15" customHeight="1">
      <c r="A381" t="inlineStr">
        <is>
          <t>A 53517-2021</t>
        </is>
      </c>
      <c r="B381" s="1" t="n">
        <v>44468</v>
      </c>
      <c r="C381" s="1" t="n">
        <v>45740</v>
      </c>
      <c r="D381" t="inlineStr">
        <is>
          <t>JÄMTLANDS LÄN</t>
        </is>
      </c>
      <c r="E381" t="inlineStr">
        <is>
          <t>STRÖMSUND</t>
        </is>
      </c>
      <c r="F381" t="inlineStr">
        <is>
          <t>SCA</t>
        </is>
      </c>
      <c r="G381" t="n">
        <v>3</v>
      </c>
      <c r="H381" t="n">
        <v>0</v>
      </c>
      <c r="I381" t="n">
        <v>0</v>
      </c>
      <c r="J381" t="n">
        <v>1</v>
      </c>
      <c r="K381" t="n">
        <v>0</v>
      </c>
      <c r="L381" t="n">
        <v>0</v>
      </c>
      <c r="M381" t="n">
        <v>0</v>
      </c>
      <c r="N381" t="n">
        <v>0</v>
      </c>
      <c r="O381" t="n">
        <v>1</v>
      </c>
      <c r="P381" t="n">
        <v>0</v>
      </c>
      <c r="Q381" t="n">
        <v>1</v>
      </c>
      <c r="R381" s="2" t="inlineStr">
        <is>
          <t>Lunglav</t>
        </is>
      </c>
      <c r="S381">
        <f>HYPERLINK("https://klasma.github.io/Logging_2313/artfynd/A 53517-2021 artfynd.xlsx", "A 53517-2021")</f>
        <v/>
      </c>
      <c r="T381">
        <f>HYPERLINK("https://klasma.github.io/Logging_2313/kartor/A 53517-2021 karta.png", "A 53517-2021")</f>
        <v/>
      </c>
      <c r="V381">
        <f>HYPERLINK("https://klasma.github.io/Logging_2313/klagomål/A 53517-2021 FSC-klagomål.docx", "A 53517-2021")</f>
        <v/>
      </c>
      <c r="W381">
        <f>HYPERLINK("https://klasma.github.io/Logging_2313/klagomålsmail/A 53517-2021 FSC-klagomål mail.docx", "A 53517-2021")</f>
        <v/>
      </c>
      <c r="X381">
        <f>HYPERLINK("https://klasma.github.io/Logging_2313/tillsyn/A 53517-2021 tillsynsbegäran.docx", "A 53517-2021")</f>
        <v/>
      </c>
      <c r="Y381">
        <f>HYPERLINK("https://klasma.github.io/Logging_2313/tillsynsmail/A 53517-2021 tillsynsbegäran mail.docx", "A 53517-2021")</f>
        <v/>
      </c>
    </row>
    <row r="382" ht="15" customHeight="1">
      <c r="A382" t="inlineStr">
        <is>
          <t>A 55604-2021</t>
        </is>
      </c>
      <c r="B382" s="1" t="n">
        <v>44475</v>
      </c>
      <c r="C382" s="1" t="n">
        <v>45740</v>
      </c>
      <c r="D382" t="inlineStr">
        <is>
          <t>JÄMTLANDS LÄN</t>
        </is>
      </c>
      <c r="E382" t="inlineStr">
        <is>
          <t>STRÖMSUND</t>
        </is>
      </c>
      <c r="F382" t="inlineStr">
        <is>
          <t>SCA</t>
        </is>
      </c>
      <c r="G382" t="n">
        <v>4.9</v>
      </c>
      <c r="H382" t="n">
        <v>0</v>
      </c>
      <c r="I382" t="n">
        <v>1</v>
      </c>
      <c r="J382" t="n">
        <v>0</v>
      </c>
      <c r="K382" t="n">
        <v>0</v>
      </c>
      <c r="L382" t="n">
        <v>0</v>
      </c>
      <c r="M382" t="n">
        <v>0</v>
      </c>
      <c r="N382" t="n">
        <v>0</v>
      </c>
      <c r="O382" t="n">
        <v>0</v>
      </c>
      <c r="P382" t="n">
        <v>0</v>
      </c>
      <c r="Q382" t="n">
        <v>1</v>
      </c>
      <c r="R382" s="2" t="inlineStr">
        <is>
          <t>Stor aspticka</t>
        </is>
      </c>
      <c r="S382">
        <f>HYPERLINK("https://klasma.github.io/Logging_2313/artfynd/A 55604-2021 artfynd.xlsx", "A 55604-2021")</f>
        <v/>
      </c>
      <c r="T382">
        <f>HYPERLINK("https://klasma.github.io/Logging_2313/kartor/A 55604-2021 karta.png", "A 55604-2021")</f>
        <v/>
      </c>
      <c r="V382">
        <f>HYPERLINK("https://klasma.github.io/Logging_2313/klagomål/A 55604-2021 FSC-klagomål.docx", "A 55604-2021")</f>
        <v/>
      </c>
      <c r="W382">
        <f>HYPERLINK("https://klasma.github.io/Logging_2313/klagomålsmail/A 55604-2021 FSC-klagomål mail.docx", "A 55604-2021")</f>
        <v/>
      </c>
      <c r="X382">
        <f>HYPERLINK("https://klasma.github.io/Logging_2313/tillsyn/A 55604-2021 tillsynsbegäran.docx", "A 55604-2021")</f>
        <v/>
      </c>
      <c r="Y382">
        <f>HYPERLINK("https://klasma.github.io/Logging_2313/tillsynsmail/A 55604-2021 tillsynsbegäran mail.docx", "A 55604-2021")</f>
        <v/>
      </c>
    </row>
    <row r="383" ht="15" customHeight="1">
      <c r="A383" t="inlineStr">
        <is>
          <t>A 56210-2021</t>
        </is>
      </c>
      <c r="B383" s="1" t="n">
        <v>44477</v>
      </c>
      <c r="C383" s="1" t="n">
        <v>45740</v>
      </c>
      <c r="D383" t="inlineStr">
        <is>
          <t>JÄMTLANDS LÄN</t>
        </is>
      </c>
      <c r="E383" t="inlineStr">
        <is>
          <t>STRÖMSUND</t>
        </is>
      </c>
      <c r="F383" t="inlineStr">
        <is>
          <t>SCA</t>
        </is>
      </c>
      <c r="G383" t="n">
        <v>24.1</v>
      </c>
      <c r="H383" t="n">
        <v>0</v>
      </c>
      <c r="I383" t="n">
        <v>0</v>
      </c>
      <c r="J383" t="n">
        <v>1</v>
      </c>
      <c r="K383" t="n">
        <v>0</v>
      </c>
      <c r="L383" t="n">
        <v>0</v>
      </c>
      <c r="M383" t="n">
        <v>0</v>
      </c>
      <c r="N383" t="n">
        <v>0</v>
      </c>
      <c r="O383" t="n">
        <v>1</v>
      </c>
      <c r="P383" t="n">
        <v>0</v>
      </c>
      <c r="Q383" t="n">
        <v>1</v>
      </c>
      <c r="R383" s="2" t="inlineStr">
        <is>
          <t>Skrovellav</t>
        </is>
      </c>
      <c r="S383">
        <f>HYPERLINK("https://klasma.github.io/Logging_2313/artfynd/A 56210-2021 artfynd.xlsx", "A 56210-2021")</f>
        <v/>
      </c>
      <c r="T383">
        <f>HYPERLINK("https://klasma.github.io/Logging_2313/kartor/A 56210-2021 karta.png", "A 56210-2021")</f>
        <v/>
      </c>
      <c r="V383">
        <f>HYPERLINK("https://klasma.github.io/Logging_2313/klagomål/A 56210-2021 FSC-klagomål.docx", "A 56210-2021")</f>
        <v/>
      </c>
      <c r="W383">
        <f>HYPERLINK("https://klasma.github.io/Logging_2313/klagomålsmail/A 56210-2021 FSC-klagomål mail.docx", "A 56210-2021")</f>
        <v/>
      </c>
      <c r="X383">
        <f>HYPERLINK("https://klasma.github.io/Logging_2313/tillsyn/A 56210-2021 tillsynsbegäran.docx", "A 56210-2021")</f>
        <v/>
      </c>
      <c r="Y383">
        <f>HYPERLINK("https://klasma.github.io/Logging_2313/tillsynsmail/A 56210-2021 tillsynsbegäran mail.docx", "A 56210-2021")</f>
        <v/>
      </c>
    </row>
    <row r="384" ht="15" customHeight="1">
      <c r="A384" t="inlineStr">
        <is>
          <t>A 61437-2021</t>
        </is>
      </c>
      <c r="B384" s="1" t="n">
        <v>44500</v>
      </c>
      <c r="C384" s="1" t="n">
        <v>45740</v>
      </c>
      <c r="D384" t="inlineStr">
        <is>
          <t>JÄMTLANDS LÄN</t>
        </is>
      </c>
      <c r="E384" t="inlineStr">
        <is>
          <t>STRÖMSUND</t>
        </is>
      </c>
      <c r="F384" t="inlineStr">
        <is>
          <t>SCA</t>
        </is>
      </c>
      <c r="G384" t="n">
        <v>3.6</v>
      </c>
      <c r="H384" t="n">
        <v>0</v>
      </c>
      <c r="I384" t="n">
        <v>0</v>
      </c>
      <c r="J384" t="n">
        <v>1</v>
      </c>
      <c r="K384" t="n">
        <v>0</v>
      </c>
      <c r="L384" t="n">
        <v>0</v>
      </c>
      <c r="M384" t="n">
        <v>0</v>
      </c>
      <c r="N384" t="n">
        <v>0</v>
      </c>
      <c r="O384" t="n">
        <v>1</v>
      </c>
      <c r="P384" t="n">
        <v>0</v>
      </c>
      <c r="Q384" t="n">
        <v>1</v>
      </c>
      <c r="R384" s="2" t="inlineStr">
        <is>
          <t>Rödbrun klubbdyna</t>
        </is>
      </c>
      <c r="S384">
        <f>HYPERLINK("https://klasma.github.io/Logging_2313/artfynd/A 61437-2021 artfynd.xlsx", "A 61437-2021")</f>
        <v/>
      </c>
      <c r="T384">
        <f>HYPERLINK("https://klasma.github.io/Logging_2313/kartor/A 61437-2021 karta.png", "A 61437-2021")</f>
        <v/>
      </c>
      <c r="V384">
        <f>HYPERLINK("https://klasma.github.io/Logging_2313/klagomål/A 61437-2021 FSC-klagomål.docx", "A 61437-2021")</f>
        <v/>
      </c>
      <c r="W384">
        <f>HYPERLINK("https://klasma.github.io/Logging_2313/klagomålsmail/A 61437-2021 FSC-klagomål mail.docx", "A 61437-2021")</f>
        <v/>
      </c>
      <c r="X384">
        <f>HYPERLINK("https://klasma.github.io/Logging_2313/tillsyn/A 61437-2021 tillsynsbegäran.docx", "A 61437-2021")</f>
        <v/>
      </c>
      <c r="Y384">
        <f>HYPERLINK("https://klasma.github.io/Logging_2313/tillsynsmail/A 61437-2021 tillsynsbegäran mail.docx", "A 61437-2021")</f>
        <v/>
      </c>
    </row>
    <row r="385" ht="15" customHeight="1">
      <c r="A385" t="inlineStr">
        <is>
          <t>A 61482-2021</t>
        </is>
      </c>
      <c r="B385" s="1" t="n">
        <v>44500</v>
      </c>
      <c r="C385" s="1" t="n">
        <v>45740</v>
      </c>
      <c r="D385" t="inlineStr">
        <is>
          <t>JÄMTLANDS LÄN</t>
        </is>
      </c>
      <c r="E385" t="inlineStr">
        <is>
          <t>STRÖMSUND</t>
        </is>
      </c>
      <c r="F385" t="inlineStr">
        <is>
          <t>SCA</t>
        </is>
      </c>
      <c r="G385" t="n">
        <v>5.9</v>
      </c>
      <c r="H385" t="n">
        <v>0</v>
      </c>
      <c r="I385" t="n">
        <v>0</v>
      </c>
      <c r="J385" t="n">
        <v>1</v>
      </c>
      <c r="K385" t="n">
        <v>0</v>
      </c>
      <c r="L385" t="n">
        <v>0</v>
      </c>
      <c r="M385" t="n">
        <v>0</v>
      </c>
      <c r="N385" t="n">
        <v>0</v>
      </c>
      <c r="O385" t="n">
        <v>1</v>
      </c>
      <c r="P385" t="n">
        <v>0</v>
      </c>
      <c r="Q385" t="n">
        <v>1</v>
      </c>
      <c r="R385" s="2" t="inlineStr">
        <is>
          <t>Lunglav</t>
        </is>
      </c>
      <c r="S385">
        <f>HYPERLINK("https://klasma.github.io/Logging_2313/artfynd/A 61482-2021 artfynd.xlsx", "A 61482-2021")</f>
        <v/>
      </c>
      <c r="T385">
        <f>HYPERLINK("https://klasma.github.io/Logging_2313/kartor/A 61482-2021 karta.png", "A 61482-2021")</f>
        <v/>
      </c>
      <c r="V385">
        <f>HYPERLINK("https://klasma.github.io/Logging_2313/klagomål/A 61482-2021 FSC-klagomål.docx", "A 61482-2021")</f>
        <v/>
      </c>
      <c r="W385">
        <f>HYPERLINK("https://klasma.github.io/Logging_2313/klagomålsmail/A 61482-2021 FSC-klagomål mail.docx", "A 61482-2021")</f>
        <v/>
      </c>
      <c r="X385">
        <f>HYPERLINK("https://klasma.github.io/Logging_2313/tillsyn/A 61482-2021 tillsynsbegäran.docx", "A 61482-2021")</f>
        <v/>
      </c>
      <c r="Y385">
        <f>HYPERLINK("https://klasma.github.io/Logging_2313/tillsynsmail/A 61482-2021 tillsynsbegäran mail.docx", "A 61482-2021")</f>
        <v/>
      </c>
    </row>
    <row r="386" ht="15" customHeight="1">
      <c r="A386" t="inlineStr">
        <is>
          <t>A 64658-2021</t>
        </is>
      </c>
      <c r="B386" s="1" t="n">
        <v>44511</v>
      </c>
      <c r="C386" s="1" t="n">
        <v>45740</v>
      </c>
      <c r="D386" t="inlineStr">
        <is>
          <t>JÄMTLANDS LÄN</t>
        </is>
      </c>
      <c r="E386" t="inlineStr">
        <is>
          <t>STRÖMSUND</t>
        </is>
      </c>
      <c r="F386" t="inlineStr">
        <is>
          <t>SCA</t>
        </is>
      </c>
      <c r="G386" t="n">
        <v>4.7</v>
      </c>
      <c r="H386" t="n">
        <v>0</v>
      </c>
      <c r="I386" t="n">
        <v>0</v>
      </c>
      <c r="J386" t="n">
        <v>1</v>
      </c>
      <c r="K386" t="n">
        <v>0</v>
      </c>
      <c r="L386" t="n">
        <v>0</v>
      </c>
      <c r="M386" t="n">
        <v>0</v>
      </c>
      <c r="N386" t="n">
        <v>0</v>
      </c>
      <c r="O386" t="n">
        <v>1</v>
      </c>
      <c r="P386" t="n">
        <v>0</v>
      </c>
      <c r="Q386" t="n">
        <v>1</v>
      </c>
      <c r="R386" s="2" t="inlineStr">
        <is>
          <t>Harticka</t>
        </is>
      </c>
      <c r="S386">
        <f>HYPERLINK("https://klasma.github.io/Logging_2313/artfynd/A 64658-2021 artfynd.xlsx", "A 64658-2021")</f>
        <v/>
      </c>
      <c r="T386">
        <f>HYPERLINK("https://klasma.github.io/Logging_2313/kartor/A 64658-2021 karta.png", "A 64658-2021")</f>
        <v/>
      </c>
      <c r="V386">
        <f>HYPERLINK("https://klasma.github.io/Logging_2313/klagomål/A 64658-2021 FSC-klagomål.docx", "A 64658-2021")</f>
        <v/>
      </c>
      <c r="W386">
        <f>HYPERLINK("https://klasma.github.io/Logging_2313/klagomålsmail/A 64658-2021 FSC-klagomål mail.docx", "A 64658-2021")</f>
        <v/>
      </c>
      <c r="X386">
        <f>HYPERLINK("https://klasma.github.io/Logging_2313/tillsyn/A 64658-2021 tillsynsbegäran.docx", "A 64658-2021")</f>
        <v/>
      </c>
      <c r="Y386">
        <f>HYPERLINK("https://klasma.github.io/Logging_2313/tillsynsmail/A 64658-2021 tillsynsbegäran mail.docx", "A 64658-2021")</f>
        <v/>
      </c>
    </row>
    <row r="387" ht="15" customHeight="1">
      <c r="A387" t="inlineStr">
        <is>
          <t>A 66483-2021</t>
        </is>
      </c>
      <c r="B387" s="1" t="n">
        <v>44518</v>
      </c>
      <c r="C387" s="1" t="n">
        <v>45740</v>
      </c>
      <c r="D387" t="inlineStr">
        <is>
          <t>JÄMTLANDS LÄN</t>
        </is>
      </c>
      <c r="E387" t="inlineStr">
        <is>
          <t>STRÖMSUND</t>
        </is>
      </c>
      <c r="F387" t="inlineStr">
        <is>
          <t>SCA</t>
        </is>
      </c>
      <c r="G387" t="n">
        <v>10.2</v>
      </c>
      <c r="H387" t="n">
        <v>0</v>
      </c>
      <c r="I387" t="n">
        <v>0</v>
      </c>
      <c r="J387" t="n">
        <v>1</v>
      </c>
      <c r="K387" t="n">
        <v>0</v>
      </c>
      <c r="L387" t="n">
        <v>0</v>
      </c>
      <c r="M387" t="n">
        <v>0</v>
      </c>
      <c r="N387" t="n">
        <v>0</v>
      </c>
      <c r="O387" t="n">
        <v>1</v>
      </c>
      <c r="P387" t="n">
        <v>0</v>
      </c>
      <c r="Q387" t="n">
        <v>1</v>
      </c>
      <c r="R387" s="2" t="inlineStr">
        <is>
          <t>Knottrig blåslav</t>
        </is>
      </c>
      <c r="S387">
        <f>HYPERLINK("https://klasma.github.io/Logging_2313/artfynd/A 66483-2021 artfynd.xlsx", "A 66483-2021")</f>
        <v/>
      </c>
      <c r="T387">
        <f>HYPERLINK("https://klasma.github.io/Logging_2313/kartor/A 66483-2021 karta.png", "A 66483-2021")</f>
        <v/>
      </c>
      <c r="V387">
        <f>HYPERLINK("https://klasma.github.io/Logging_2313/klagomål/A 66483-2021 FSC-klagomål.docx", "A 66483-2021")</f>
        <v/>
      </c>
      <c r="W387">
        <f>HYPERLINK("https://klasma.github.io/Logging_2313/klagomålsmail/A 66483-2021 FSC-klagomål mail.docx", "A 66483-2021")</f>
        <v/>
      </c>
      <c r="X387">
        <f>HYPERLINK("https://klasma.github.io/Logging_2313/tillsyn/A 66483-2021 tillsynsbegäran.docx", "A 66483-2021")</f>
        <v/>
      </c>
      <c r="Y387">
        <f>HYPERLINK("https://klasma.github.io/Logging_2313/tillsynsmail/A 66483-2021 tillsynsbegäran mail.docx", "A 66483-2021")</f>
        <v/>
      </c>
    </row>
    <row r="388" ht="15" customHeight="1">
      <c r="A388" t="inlineStr">
        <is>
          <t>A 68604-2021</t>
        </is>
      </c>
      <c r="B388" s="1" t="n">
        <v>44529</v>
      </c>
      <c r="C388" s="1" t="n">
        <v>45740</v>
      </c>
      <c r="D388" t="inlineStr">
        <is>
          <t>JÄMTLANDS LÄN</t>
        </is>
      </c>
      <c r="E388" t="inlineStr">
        <is>
          <t>STRÖMSUND</t>
        </is>
      </c>
      <c r="G388" t="n">
        <v>1.3</v>
      </c>
      <c r="H388" t="n">
        <v>0</v>
      </c>
      <c r="I388" t="n">
        <v>0</v>
      </c>
      <c r="J388" t="n">
        <v>1</v>
      </c>
      <c r="K388" t="n">
        <v>0</v>
      </c>
      <c r="L388" t="n">
        <v>0</v>
      </c>
      <c r="M388" t="n">
        <v>0</v>
      </c>
      <c r="N388" t="n">
        <v>0</v>
      </c>
      <c r="O388" t="n">
        <v>1</v>
      </c>
      <c r="P388" t="n">
        <v>0</v>
      </c>
      <c r="Q388" t="n">
        <v>1</v>
      </c>
      <c r="R388" s="2" t="inlineStr">
        <is>
          <t>Blanksvart spiklav</t>
        </is>
      </c>
      <c r="S388">
        <f>HYPERLINK("https://klasma.github.io/Logging_2313/artfynd/A 68604-2021 artfynd.xlsx", "A 68604-2021")</f>
        <v/>
      </c>
      <c r="T388">
        <f>HYPERLINK("https://klasma.github.io/Logging_2313/kartor/A 68604-2021 karta.png", "A 68604-2021")</f>
        <v/>
      </c>
      <c r="V388">
        <f>HYPERLINK("https://klasma.github.io/Logging_2313/klagomål/A 68604-2021 FSC-klagomål.docx", "A 68604-2021")</f>
        <v/>
      </c>
      <c r="W388">
        <f>HYPERLINK("https://klasma.github.io/Logging_2313/klagomålsmail/A 68604-2021 FSC-klagomål mail.docx", "A 68604-2021")</f>
        <v/>
      </c>
      <c r="X388">
        <f>HYPERLINK("https://klasma.github.io/Logging_2313/tillsyn/A 68604-2021 tillsynsbegäran.docx", "A 68604-2021")</f>
        <v/>
      </c>
      <c r="Y388">
        <f>HYPERLINK("https://klasma.github.io/Logging_2313/tillsynsmail/A 68604-2021 tillsynsbegäran mail.docx", "A 68604-2021")</f>
        <v/>
      </c>
    </row>
    <row r="389" ht="15" customHeight="1">
      <c r="A389" t="inlineStr">
        <is>
          <t>A 69134-2021</t>
        </is>
      </c>
      <c r="B389" s="1" t="n">
        <v>44530</v>
      </c>
      <c r="C389" s="1" t="n">
        <v>45740</v>
      </c>
      <c r="D389" t="inlineStr">
        <is>
          <t>JÄMTLANDS LÄN</t>
        </is>
      </c>
      <c r="E389" t="inlineStr">
        <is>
          <t>STRÖMSUND</t>
        </is>
      </c>
      <c r="G389" t="n">
        <v>9.4</v>
      </c>
      <c r="H389" t="n">
        <v>0</v>
      </c>
      <c r="I389" t="n">
        <v>0</v>
      </c>
      <c r="J389" t="n">
        <v>1</v>
      </c>
      <c r="K389" t="n">
        <v>0</v>
      </c>
      <c r="L389" t="n">
        <v>0</v>
      </c>
      <c r="M389" t="n">
        <v>0</v>
      </c>
      <c r="N389" t="n">
        <v>0</v>
      </c>
      <c r="O389" t="n">
        <v>1</v>
      </c>
      <c r="P389" t="n">
        <v>0</v>
      </c>
      <c r="Q389" t="n">
        <v>1</v>
      </c>
      <c r="R389" s="2" t="inlineStr">
        <is>
          <t>Garnlav</t>
        </is>
      </c>
      <c r="S389">
        <f>HYPERLINK("https://klasma.github.io/Logging_2313/artfynd/A 69134-2021 artfynd.xlsx", "A 69134-2021")</f>
        <v/>
      </c>
      <c r="T389">
        <f>HYPERLINK("https://klasma.github.io/Logging_2313/kartor/A 69134-2021 karta.png", "A 69134-2021")</f>
        <v/>
      </c>
      <c r="V389">
        <f>HYPERLINK("https://klasma.github.io/Logging_2313/klagomål/A 69134-2021 FSC-klagomål.docx", "A 69134-2021")</f>
        <v/>
      </c>
      <c r="W389">
        <f>HYPERLINK("https://klasma.github.io/Logging_2313/klagomålsmail/A 69134-2021 FSC-klagomål mail.docx", "A 69134-2021")</f>
        <v/>
      </c>
      <c r="X389">
        <f>HYPERLINK("https://klasma.github.io/Logging_2313/tillsyn/A 69134-2021 tillsynsbegäran.docx", "A 69134-2021")</f>
        <v/>
      </c>
      <c r="Y389">
        <f>HYPERLINK("https://klasma.github.io/Logging_2313/tillsynsmail/A 69134-2021 tillsynsbegäran mail.docx", "A 69134-2021")</f>
        <v/>
      </c>
    </row>
    <row r="390" ht="15" customHeight="1">
      <c r="A390" t="inlineStr">
        <is>
          <t>A 69551-2021</t>
        </is>
      </c>
      <c r="B390" s="1" t="n">
        <v>44531</v>
      </c>
      <c r="C390" s="1" t="n">
        <v>45740</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69551-2021 artfynd.xlsx", "A 69551-2021")</f>
        <v/>
      </c>
      <c r="T390">
        <f>HYPERLINK("https://klasma.github.io/Logging_2313/kartor/A 69551-2021 karta.png", "A 69551-2021")</f>
        <v/>
      </c>
      <c r="V390">
        <f>HYPERLINK("https://klasma.github.io/Logging_2313/klagomål/A 69551-2021 FSC-klagomål.docx", "A 69551-2021")</f>
        <v/>
      </c>
      <c r="W390">
        <f>HYPERLINK("https://klasma.github.io/Logging_2313/klagomålsmail/A 69551-2021 FSC-klagomål mail.docx", "A 69551-2021")</f>
        <v/>
      </c>
      <c r="X390">
        <f>HYPERLINK("https://klasma.github.io/Logging_2313/tillsyn/A 69551-2021 tillsynsbegäran.docx", "A 69551-2021")</f>
        <v/>
      </c>
      <c r="Y390">
        <f>HYPERLINK("https://klasma.github.io/Logging_2313/tillsynsmail/A 69551-2021 tillsynsbegäran mail.docx", "A 69551-2021")</f>
        <v/>
      </c>
    </row>
    <row r="391" ht="15" customHeight="1">
      <c r="A391" t="inlineStr">
        <is>
          <t>A 10696-2022</t>
        </is>
      </c>
      <c r="B391" s="1" t="n">
        <v>44624</v>
      </c>
      <c r="C391" s="1" t="n">
        <v>45740</v>
      </c>
      <c r="D391" t="inlineStr">
        <is>
          <t>JÄMTLANDS LÄN</t>
        </is>
      </c>
      <c r="E391" t="inlineStr">
        <is>
          <t>STRÖMSUND</t>
        </is>
      </c>
      <c r="F391" t="inlineStr">
        <is>
          <t>SCA</t>
        </is>
      </c>
      <c r="G391" t="n">
        <v>9</v>
      </c>
      <c r="H391" t="n">
        <v>0</v>
      </c>
      <c r="I391" t="n">
        <v>0</v>
      </c>
      <c r="J391" t="n">
        <v>0</v>
      </c>
      <c r="K391" t="n">
        <v>1</v>
      </c>
      <c r="L391" t="n">
        <v>0</v>
      </c>
      <c r="M391" t="n">
        <v>0</v>
      </c>
      <c r="N391" t="n">
        <v>0</v>
      </c>
      <c r="O391" t="n">
        <v>1</v>
      </c>
      <c r="P391" t="n">
        <v>1</v>
      </c>
      <c r="Q391" t="n">
        <v>1</v>
      </c>
      <c r="R391" s="2" t="inlineStr">
        <is>
          <t>Smalskaftslav</t>
        </is>
      </c>
      <c r="S391">
        <f>HYPERLINK("https://klasma.github.io/Logging_2313/artfynd/A 10696-2022 artfynd.xlsx", "A 10696-2022")</f>
        <v/>
      </c>
      <c r="T391">
        <f>HYPERLINK("https://klasma.github.io/Logging_2313/kartor/A 10696-2022 karta.png", "A 10696-2022")</f>
        <v/>
      </c>
      <c r="V391">
        <f>HYPERLINK("https://klasma.github.io/Logging_2313/klagomål/A 10696-2022 FSC-klagomål.docx", "A 10696-2022")</f>
        <v/>
      </c>
      <c r="W391">
        <f>HYPERLINK("https://klasma.github.io/Logging_2313/klagomålsmail/A 10696-2022 FSC-klagomål mail.docx", "A 10696-2022")</f>
        <v/>
      </c>
      <c r="X391">
        <f>HYPERLINK("https://klasma.github.io/Logging_2313/tillsyn/A 10696-2022 tillsynsbegäran.docx", "A 10696-2022")</f>
        <v/>
      </c>
      <c r="Y391">
        <f>HYPERLINK("https://klasma.github.io/Logging_2313/tillsynsmail/A 10696-2022 tillsynsbegäran mail.docx", "A 10696-2022")</f>
        <v/>
      </c>
    </row>
    <row r="392" ht="15" customHeight="1">
      <c r="A392" t="inlineStr">
        <is>
          <t>A 12386-2022</t>
        </is>
      </c>
      <c r="B392" s="1" t="n">
        <v>44637</v>
      </c>
      <c r="C392" s="1" t="n">
        <v>45740</v>
      </c>
      <c r="D392" t="inlineStr">
        <is>
          <t>JÄMTLANDS LÄN</t>
        </is>
      </c>
      <c r="E392" t="inlineStr">
        <is>
          <t>STRÖMSUND</t>
        </is>
      </c>
      <c r="G392" t="n">
        <v>2.1</v>
      </c>
      <c r="H392" t="n">
        <v>0</v>
      </c>
      <c r="I392" t="n">
        <v>0</v>
      </c>
      <c r="J392" t="n">
        <v>1</v>
      </c>
      <c r="K392" t="n">
        <v>0</v>
      </c>
      <c r="L392" t="n">
        <v>0</v>
      </c>
      <c r="M392" t="n">
        <v>0</v>
      </c>
      <c r="N392" t="n">
        <v>0</v>
      </c>
      <c r="O392" t="n">
        <v>1</v>
      </c>
      <c r="P392" t="n">
        <v>0</v>
      </c>
      <c r="Q392" t="n">
        <v>1</v>
      </c>
      <c r="R392" s="2" t="inlineStr">
        <is>
          <t>Lunglav</t>
        </is>
      </c>
      <c r="S392">
        <f>HYPERLINK("https://klasma.github.io/Logging_2313/artfynd/A 12386-2022 artfynd.xlsx", "A 12386-2022")</f>
        <v/>
      </c>
      <c r="T392">
        <f>HYPERLINK("https://klasma.github.io/Logging_2313/kartor/A 12386-2022 karta.png", "A 12386-2022")</f>
        <v/>
      </c>
      <c r="V392">
        <f>HYPERLINK("https://klasma.github.io/Logging_2313/klagomål/A 12386-2022 FSC-klagomål.docx", "A 12386-2022")</f>
        <v/>
      </c>
      <c r="W392">
        <f>HYPERLINK("https://klasma.github.io/Logging_2313/klagomålsmail/A 12386-2022 FSC-klagomål mail.docx", "A 12386-2022")</f>
        <v/>
      </c>
      <c r="X392">
        <f>HYPERLINK("https://klasma.github.io/Logging_2313/tillsyn/A 12386-2022 tillsynsbegäran.docx", "A 12386-2022")</f>
        <v/>
      </c>
      <c r="Y392">
        <f>HYPERLINK("https://klasma.github.io/Logging_2313/tillsynsmail/A 12386-2022 tillsynsbegäran mail.docx", "A 12386-2022")</f>
        <v/>
      </c>
    </row>
    <row r="393" ht="15" customHeight="1">
      <c r="A393" t="inlineStr">
        <is>
          <t>A 12950-2022</t>
        </is>
      </c>
      <c r="B393" s="1" t="n">
        <v>44642</v>
      </c>
      <c r="C393" s="1" t="n">
        <v>45740</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12950-2022 artfynd.xlsx", "A 12950-2022")</f>
        <v/>
      </c>
      <c r="T393">
        <f>HYPERLINK("https://klasma.github.io/Logging_2313/kartor/A 12950-2022 karta.png", "A 12950-2022")</f>
        <v/>
      </c>
      <c r="V393">
        <f>HYPERLINK("https://klasma.github.io/Logging_2313/klagomål/A 12950-2022 FSC-klagomål.docx", "A 12950-2022")</f>
        <v/>
      </c>
      <c r="W393">
        <f>HYPERLINK("https://klasma.github.io/Logging_2313/klagomålsmail/A 12950-2022 FSC-klagomål mail.docx", "A 12950-2022")</f>
        <v/>
      </c>
      <c r="X393">
        <f>HYPERLINK("https://klasma.github.io/Logging_2313/tillsyn/A 12950-2022 tillsynsbegäran.docx", "A 12950-2022")</f>
        <v/>
      </c>
      <c r="Y393">
        <f>HYPERLINK("https://klasma.github.io/Logging_2313/tillsynsmail/A 12950-2022 tillsynsbegäran mail.docx", "A 12950-2022")</f>
        <v/>
      </c>
    </row>
    <row r="394" ht="15" customHeight="1">
      <c r="A394" t="inlineStr">
        <is>
          <t>A 14290-2022</t>
        </is>
      </c>
      <c r="B394" s="1" t="n">
        <v>44651</v>
      </c>
      <c r="C394" s="1" t="n">
        <v>45740</v>
      </c>
      <c r="D394" t="inlineStr">
        <is>
          <t>JÄMTLANDS LÄN</t>
        </is>
      </c>
      <c r="E394" t="inlineStr">
        <is>
          <t>STRÖMSUND</t>
        </is>
      </c>
      <c r="F394" t="inlineStr">
        <is>
          <t>SCA</t>
        </is>
      </c>
      <c r="G394" t="n">
        <v>0.3</v>
      </c>
      <c r="H394" t="n">
        <v>0</v>
      </c>
      <c r="I394" t="n">
        <v>0</v>
      </c>
      <c r="J394" t="n">
        <v>1</v>
      </c>
      <c r="K394" t="n">
        <v>0</v>
      </c>
      <c r="L394" t="n">
        <v>0</v>
      </c>
      <c r="M394" t="n">
        <v>0</v>
      </c>
      <c r="N394" t="n">
        <v>0</v>
      </c>
      <c r="O394" t="n">
        <v>1</v>
      </c>
      <c r="P394" t="n">
        <v>0</v>
      </c>
      <c r="Q394" t="n">
        <v>1</v>
      </c>
      <c r="R394" s="2" t="inlineStr">
        <is>
          <t>Garnlav</t>
        </is>
      </c>
      <c r="S394">
        <f>HYPERLINK("https://klasma.github.io/Logging_2313/artfynd/A 14290-2022 artfynd.xlsx", "A 14290-2022")</f>
        <v/>
      </c>
      <c r="T394">
        <f>HYPERLINK("https://klasma.github.io/Logging_2313/kartor/A 14290-2022 karta.png", "A 14290-2022")</f>
        <v/>
      </c>
      <c r="U394">
        <f>HYPERLINK("https://klasma.github.io/Logging_2313/knärot/A 14290-2022 karta knärot.png", "A 14290-2022")</f>
        <v/>
      </c>
      <c r="V394">
        <f>HYPERLINK("https://klasma.github.io/Logging_2313/klagomål/A 14290-2022 FSC-klagomål.docx", "A 14290-2022")</f>
        <v/>
      </c>
      <c r="W394">
        <f>HYPERLINK("https://klasma.github.io/Logging_2313/klagomålsmail/A 14290-2022 FSC-klagomål mail.docx", "A 14290-2022")</f>
        <v/>
      </c>
      <c r="X394">
        <f>HYPERLINK("https://klasma.github.io/Logging_2313/tillsyn/A 14290-2022 tillsynsbegäran.docx", "A 14290-2022")</f>
        <v/>
      </c>
      <c r="Y394">
        <f>HYPERLINK("https://klasma.github.io/Logging_2313/tillsynsmail/A 14290-2022 tillsynsbegäran mail.docx", "A 14290-2022")</f>
        <v/>
      </c>
    </row>
    <row r="395" ht="15" customHeight="1">
      <c r="A395" t="inlineStr">
        <is>
          <t>A 14291-2022</t>
        </is>
      </c>
      <c r="B395" s="1" t="n">
        <v>44651</v>
      </c>
      <c r="C395" s="1" t="n">
        <v>45740</v>
      </c>
      <c r="D395" t="inlineStr">
        <is>
          <t>JÄMTLANDS LÄN</t>
        </is>
      </c>
      <c r="E395" t="inlineStr">
        <is>
          <t>STRÖMSUND</t>
        </is>
      </c>
      <c r="F395" t="inlineStr">
        <is>
          <t>SCA</t>
        </is>
      </c>
      <c r="G395" t="n">
        <v>0.5</v>
      </c>
      <c r="H395" t="n">
        <v>0</v>
      </c>
      <c r="I395" t="n">
        <v>0</v>
      </c>
      <c r="J395" t="n">
        <v>1</v>
      </c>
      <c r="K395" t="n">
        <v>0</v>
      </c>
      <c r="L395" t="n">
        <v>0</v>
      </c>
      <c r="M395" t="n">
        <v>0</v>
      </c>
      <c r="N395" t="n">
        <v>0</v>
      </c>
      <c r="O395" t="n">
        <v>1</v>
      </c>
      <c r="P395" t="n">
        <v>0</v>
      </c>
      <c r="Q395" t="n">
        <v>1</v>
      </c>
      <c r="R395" s="2" t="inlineStr">
        <is>
          <t>Skrovellav</t>
        </is>
      </c>
      <c r="S395">
        <f>HYPERLINK("https://klasma.github.io/Logging_2313/artfynd/A 14291-2022 artfynd.xlsx", "A 14291-2022")</f>
        <v/>
      </c>
      <c r="T395">
        <f>HYPERLINK("https://klasma.github.io/Logging_2313/kartor/A 14291-2022 karta.png", "A 14291-2022")</f>
        <v/>
      </c>
      <c r="V395">
        <f>HYPERLINK("https://klasma.github.io/Logging_2313/klagomål/A 14291-2022 FSC-klagomål.docx", "A 14291-2022")</f>
        <v/>
      </c>
      <c r="W395">
        <f>HYPERLINK("https://klasma.github.io/Logging_2313/klagomålsmail/A 14291-2022 FSC-klagomål mail.docx", "A 14291-2022")</f>
        <v/>
      </c>
      <c r="X395">
        <f>HYPERLINK("https://klasma.github.io/Logging_2313/tillsyn/A 14291-2022 tillsynsbegäran.docx", "A 14291-2022")</f>
        <v/>
      </c>
      <c r="Y395">
        <f>HYPERLINK("https://klasma.github.io/Logging_2313/tillsynsmail/A 14291-2022 tillsynsbegäran mail.docx", "A 14291-2022")</f>
        <v/>
      </c>
    </row>
    <row r="396" ht="15" customHeight="1">
      <c r="A396" t="inlineStr">
        <is>
          <t>A 14895-2022</t>
        </is>
      </c>
      <c r="B396" s="1" t="n">
        <v>44656</v>
      </c>
      <c r="C396" s="1" t="n">
        <v>45740</v>
      </c>
      <c r="D396" t="inlineStr">
        <is>
          <t>JÄMTLANDS LÄN</t>
        </is>
      </c>
      <c r="E396" t="inlineStr">
        <is>
          <t>STRÖMSUND</t>
        </is>
      </c>
      <c r="G396" t="n">
        <v>43.5</v>
      </c>
      <c r="H396" t="n">
        <v>0</v>
      </c>
      <c r="I396" t="n">
        <v>0</v>
      </c>
      <c r="J396" t="n">
        <v>1</v>
      </c>
      <c r="K396" t="n">
        <v>0</v>
      </c>
      <c r="L396" t="n">
        <v>0</v>
      </c>
      <c r="M396" t="n">
        <v>0</v>
      </c>
      <c r="N396" t="n">
        <v>0</v>
      </c>
      <c r="O396" t="n">
        <v>1</v>
      </c>
      <c r="P396" t="n">
        <v>0</v>
      </c>
      <c r="Q396" t="n">
        <v>1</v>
      </c>
      <c r="R396" s="2" t="inlineStr">
        <is>
          <t>Lunglav</t>
        </is>
      </c>
      <c r="S396">
        <f>HYPERLINK("https://klasma.github.io/Logging_2313/artfynd/A 14895-2022 artfynd.xlsx", "A 14895-2022")</f>
        <v/>
      </c>
      <c r="T396">
        <f>HYPERLINK("https://klasma.github.io/Logging_2313/kartor/A 14895-2022 karta.png", "A 14895-2022")</f>
        <v/>
      </c>
      <c r="V396">
        <f>HYPERLINK("https://klasma.github.io/Logging_2313/klagomål/A 14895-2022 FSC-klagomål.docx", "A 14895-2022")</f>
        <v/>
      </c>
      <c r="W396">
        <f>HYPERLINK("https://klasma.github.io/Logging_2313/klagomålsmail/A 14895-2022 FSC-klagomål mail.docx", "A 14895-2022")</f>
        <v/>
      </c>
      <c r="X396">
        <f>HYPERLINK("https://klasma.github.io/Logging_2313/tillsyn/A 14895-2022 tillsynsbegäran.docx", "A 14895-2022")</f>
        <v/>
      </c>
      <c r="Y396">
        <f>HYPERLINK("https://klasma.github.io/Logging_2313/tillsynsmail/A 14895-2022 tillsynsbegäran mail.docx", "A 14895-2022")</f>
        <v/>
      </c>
    </row>
    <row r="397" ht="15" customHeight="1">
      <c r="A397" t="inlineStr">
        <is>
          <t>A 15149-2022</t>
        </is>
      </c>
      <c r="B397" s="1" t="n">
        <v>44658</v>
      </c>
      <c r="C397" s="1" t="n">
        <v>45740</v>
      </c>
      <c r="D397" t="inlineStr">
        <is>
          <t>JÄMTLANDS LÄN</t>
        </is>
      </c>
      <c r="E397" t="inlineStr">
        <is>
          <t>STRÖMSUND</t>
        </is>
      </c>
      <c r="G397" t="n">
        <v>10.6</v>
      </c>
      <c r="H397" t="n">
        <v>1</v>
      </c>
      <c r="I397" t="n">
        <v>0</v>
      </c>
      <c r="J397" t="n">
        <v>0</v>
      </c>
      <c r="K397" t="n">
        <v>0</v>
      </c>
      <c r="L397" t="n">
        <v>0</v>
      </c>
      <c r="M397" t="n">
        <v>0</v>
      </c>
      <c r="N397" t="n">
        <v>0</v>
      </c>
      <c r="O397" t="n">
        <v>0</v>
      </c>
      <c r="P397" t="n">
        <v>0</v>
      </c>
      <c r="Q397" t="n">
        <v>1</v>
      </c>
      <c r="R397" s="2" t="inlineStr">
        <is>
          <t>Lavskrika</t>
        </is>
      </c>
      <c r="S397">
        <f>HYPERLINK("https://klasma.github.io/Logging_2313/artfynd/A 15149-2022 artfynd.xlsx", "A 15149-2022")</f>
        <v/>
      </c>
      <c r="T397">
        <f>HYPERLINK("https://klasma.github.io/Logging_2313/kartor/A 15149-2022 karta.png", "A 15149-2022")</f>
        <v/>
      </c>
      <c r="V397">
        <f>HYPERLINK("https://klasma.github.io/Logging_2313/klagomål/A 15149-2022 FSC-klagomål.docx", "A 15149-2022")</f>
        <v/>
      </c>
      <c r="W397">
        <f>HYPERLINK("https://klasma.github.io/Logging_2313/klagomålsmail/A 15149-2022 FSC-klagomål mail.docx", "A 15149-2022")</f>
        <v/>
      </c>
      <c r="X397">
        <f>HYPERLINK("https://klasma.github.io/Logging_2313/tillsyn/A 15149-2022 tillsynsbegäran.docx", "A 15149-2022")</f>
        <v/>
      </c>
      <c r="Y397">
        <f>HYPERLINK("https://klasma.github.io/Logging_2313/tillsynsmail/A 15149-2022 tillsynsbegäran mail.docx", "A 15149-2022")</f>
        <v/>
      </c>
      <c r="Z397">
        <f>HYPERLINK("https://klasma.github.io/Logging_2313/fåglar/A 15149-2022 prioriterade fågelarter.docx", "A 15149-2022")</f>
        <v/>
      </c>
    </row>
    <row r="398" ht="15" customHeight="1">
      <c r="A398" t="inlineStr">
        <is>
          <t>A 19600-2022</t>
        </is>
      </c>
      <c r="B398" s="1" t="n">
        <v>44693</v>
      </c>
      <c r="C398" s="1" t="n">
        <v>45740</v>
      </c>
      <c r="D398" t="inlineStr">
        <is>
          <t>JÄMTLANDS LÄN</t>
        </is>
      </c>
      <c r="E398" t="inlineStr">
        <is>
          <t>STRÖMSUND</t>
        </is>
      </c>
      <c r="F398" t="inlineStr">
        <is>
          <t>SCA</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HYPERLINK("https://klasma.github.io/Logging_2313/artfynd/A 19600-2022 artfynd.xlsx", "A 19600-2022")</f>
        <v/>
      </c>
      <c r="T398">
        <f>HYPERLINK("https://klasma.github.io/Logging_2313/kartor/A 19600-2022 karta.png", "A 19600-2022")</f>
        <v/>
      </c>
      <c r="V398">
        <f>HYPERLINK("https://klasma.github.io/Logging_2313/klagomål/A 19600-2022 FSC-klagomål.docx", "A 19600-2022")</f>
        <v/>
      </c>
      <c r="W398">
        <f>HYPERLINK("https://klasma.github.io/Logging_2313/klagomålsmail/A 19600-2022 FSC-klagomål mail.docx", "A 19600-2022")</f>
        <v/>
      </c>
      <c r="X398">
        <f>HYPERLINK("https://klasma.github.io/Logging_2313/tillsyn/A 19600-2022 tillsynsbegäran.docx", "A 19600-2022")</f>
        <v/>
      </c>
      <c r="Y398">
        <f>HYPERLINK("https://klasma.github.io/Logging_2313/tillsynsmail/A 19600-2022 tillsynsbegäran mail.docx", "A 19600-2022")</f>
        <v/>
      </c>
    </row>
    <row r="399" ht="15" customHeight="1">
      <c r="A399" t="inlineStr">
        <is>
          <t>A 20316-2022</t>
        </is>
      </c>
      <c r="B399" s="1" t="n">
        <v>44698</v>
      </c>
      <c r="C399" s="1" t="n">
        <v>45740</v>
      </c>
      <c r="D399" t="inlineStr">
        <is>
          <t>JÄMTLANDS LÄN</t>
        </is>
      </c>
      <c r="E399" t="inlineStr">
        <is>
          <t>STRÖMSUND</t>
        </is>
      </c>
      <c r="F399" t="inlineStr">
        <is>
          <t>SCA</t>
        </is>
      </c>
      <c r="G399" t="n">
        <v>6.4</v>
      </c>
      <c r="H399" t="n">
        <v>1</v>
      </c>
      <c r="I399" t="n">
        <v>0</v>
      </c>
      <c r="J399" t="n">
        <v>0</v>
      </c>
      <c r="K399" t="n">
        <v>0</v>
      </c>
      <c r="L399" t="n">
        <v>0</v>
      </c>
      <c r="M399" t="n">
        <v>0</v>
      </c>
      <c r="N399" t="n">
        <v>0</v>
      </c>
      <c r="O399" t="n">
        <v>0</v>
      </c>
      <c r="P399" t="n">
        <v>0</v>
      </c>
      <c r="Q399" t="n">
        <v>1</v>
      </c>
      <c r="R399" s="2" t="inlineStr">
        <is>
          <t>Fläcknycklar</t>
        </is>
      </c>
      <c r="S399">
        <f>HYPERLINK("https://klasma.github.io/Logging_2313/artfynd/A 20316-2022 artfynd.xlsx", "A 20316-2022")</f>
        <v/>
      </c>
      <c r="T399">
        <f>HYPERLINK("https://klasma.github.io/Logging_2313/kartor/A 20316-2022 karta.png", "A 20316-2022")</f>
        <v/>
      </c>
      <c r="V399">
        <f>HYPERLINK("https://klasma.github.io/Logging_2313/klagomål/A 20316-2022 FSC-klagomål.docx", "A 20316-2022")</f>
        <v/>
      </c>
      <c r="W399">
        <f>HYPERLINK("https://klasma.github.io/Logging_2313/klagomålsmail/A 20316-2022 FSC-klagomål mail.docx", "A 20316-2022")</f>
        <v/>
      </c>
      <c r="X399">
        <f>HYPERLINK("https://klasma.github.io/Logging_2313/tillsyn/A 20316-2022 tillsynsbegäran.docx", "A 20316-2022")</f>
        <v/>
      </c>
      <c r="Y399">
        <f>HYPERLINK("https://klasma.github.io/Logging_2313/tillsynsmail/A 20316-2022 tillsynsbegäran mail.docx", "A 20316-2022")</f>
        <v/>
      </c>
    </row>
    <row r="400" ht="15" customHeight="1">
      <c r="A400" t="inlineStr">
        <is>
          <t>A 21208-2022</t>
        </is>
      </c>
      <c r="B400" s="1" t="n">
        <v>44704</v>
      </c>
      <c r="C400" s="1" t="n">
        <v>45740</v>
      </c>
      <c r="D400" t="inlineStr">
        <is>
          <t>JÄMTLANDS LÄN</t>
        </is>
      </c>
      <c r="E400" t="inlineStr">
        <is>
          <t>STRÖMSUND</t>
        </is>
      </c>
      <c r="F400" t="inlineStr">
        <is>
          <t>SCA</t>
        </is>
      </c>
      <c r="G400" t="n">
        <v>1.5</v>
      </c>
      <c r="H400" t="n">
        <v>0</v>
      </c>
      <c r="I400" t="n">
        <v>0</v>
      </c>
      <c r="J400" t="n">
        <v>1</v>
      </c>
      <c r="K400" t="n">
        <v>0</v>
      </c>
      <c r="L400" t="n">
        <v>0</v>
      </c>
      <c r="M400" t="n">
        <v>0</v>
      </c>
      <c r="N400" t="n">
        <v>0</v>
      </c>
      <c r="O400" t="n">
        <v>1</v>
      </c>
      <c r="P400" t="n">
        <v>0</v>
      </c>
      <c r="Q400" t="n">
        <v>1</v>
      </c>
      <c r="R400" s="2" t="inlineStr">
        <is>
          <t>Harticka</t>
        </is>
      </c>
      <c r="S400">
        <f>HYPERLINK("https://klasma.github.io/Logging_2313/artfynd/A 21208-2022 artfynd.xlsx", "A 21208-2022")</f>
        <v/>
      </c>
      <c r="T400">
        <f>HYPERLINK("https://klasma.github.io/Logging_2313/kartor/A 21208-2022 karta.png", "A 21208-2022")</f>
        <v/>
      </c>
      <c r="V400">
        <f>HYPERLINK("https://klasma.github.io/Logging_2313/klagomål/A 21208-2022 FSC-klagomål.docx", "A 21208-2022")</f>
        <v/>
      </c>
      <c r="W400">
        <f>HYPERLINK("https://klasma.github.io/Logging_2313/klagomålsmail/A 21208-2022 FSC-klagomål mail.docx", "A 21208-2022")</f>
        <v/>
      </c>
      <c r="X400">
        <f>HYPERLINK("https://klasma.github.io/Logging_2313/tillsyn/A 21208-2022 tillsynsbegäran.docx", "A 21208-2022")</f>
        <v/>
      </c>
      <c r="Y400">
        <f>HYPERLINK("https://klasma.github.io/Logging_2313/tillsynsmail/A 21208-2022 tillsynsbegäran mail.docx", "A 21208-2022")</f>
        <v/>
      </c>
    </row>
    <row r="401" ht="15" customHeight="1">
      <c r="A401" t="inlineStr">
        <is>
          <t>A 23186-2022</t>
        </is>
      </c>
      <c r="B401" s="1" t="n">
        <v>44719</v>
      </c>
      <c r="C401" s="1" t="n">
        <v>45740</v>
      </c>
      <c r="D401" t="inlineStr">
        <is>
          <t>JÄMTLANDS LÄN</t>
        </is>
      </c>
      <c r="E401" t="inlineStr">
        <is>
          <t>STRÖMSUND</t>
        </is>
      </c>
      <c r="G401" t="n">
        <v>14.3</v>
      </c>
      <c r="H401" t="n">
        <v>0</v>
      </c>
      <c r="I401" t="n">
        <v>0</v>
      </c>
      <c r="J401" t="n">
        <v>1</v>
      </c>
      <c r="K401" t="n">
        <v>0</v>
      </c>
      <c r="L401" t="n">
        <v>0</v>
      </c>
      <c r="M401" t="n">
        <v>0</v>
      </c>
      <c r="N401" t="n">
        <v>0</v>
      </c>
      <c r="O401" t="n">
        <v>1</v>
      </c>
      <c r="P401" t="n">
        <v>0</v>
      </c>
      <c r="Q401" t="n">
        <v>1</v>
      </c>
      <c r="R401" s="2" t="inlineStr">
        <is>
          <t>Lunglav</t>
        </is>
      </c>
      <c r="S401">
        <f>HYPERLINK("https://klasma.github.io/Logging_2313/artfynd/A 23186-2022 artfynd.xlsx", "A 23186-2022")</f>
        <v/>
      </c>
      <c r="T401">
        <f>HYPERLINK("https://klasma.github.io/Logging_2313/kartor/A 23186-2022 karta.png", "A 23186-2022")</f>
        <v/>
      </c>
      <c r="V401">
        <f>HYPERLINK("https://klasma.github.io/Logging_2313/klagomål/A 23186-2022 FSC-klagomål.docx", "A 23186-2022")</f>
        <v/>
      </c>
      <c r="W401">
        <f>HYPERLINK("https://klasma.github.io/Logging_2313/klagomålsmail/A 23186-2022 FSC-klagomål mail.docx", "A 23186-2022")</f>
        <v/>
      </c>
      <c r="X401">
        <f>HYPERLINK("https://klasma.github.io/Logging_2313/tillsyn/A 23186-2022 tillsynsbegäran.docx", "A 23186-2022")</f>
        <v/>
      </c>
      <c r="Y401">
        <f>HYPERLINK("https://klasma.github.io/Logging_2313/tillsynsmail/A 23186-2022 tillsynsbegäran mail.docx", "A 23186-2022")</f>
        <v/>
      </c>
    </row>
    <row r="402" ht="15" customHeight="1">
      <c r="A402" t="inlineStr">
        <is>
          <t>A 24729-2022</t>
        </is>
      </c>
      <c r="B402" s="1" t="n">
        <v>44727</v>
      </c>
      <c r="C402" s="1" t="n">
        <v>45740</v>
      </c>
      <c r="D402" t="inlineStr">
        <is>
          <t>JÄMTLANDS LÄN</t>
        </is>
      </c>
      <c r="E402" t="inlineStr">
        <is>
          <t>STRÖMSUND</t>
        </is>
      </c>
      <c r="F402" t="inlineStr">
        <is>
          <t>SCA</t>
        </is>
      </c>
      <c r="G402" t="n">
        <v>1.3</v>
      </c>
      <c r="H402" t="n">
        <v>0</v>
      </c>
      <c r="I402" t="n">
        <v>0</v>
      </c>
      <c r="J402" t="n">
        <v>1</v>
      </c>
      <c r="K402" t="n">
        <v>0</v>
      </c>
      <c r="L402" t="n">
        <v>0</v>
      </c>
      <c r="M402" t="n">
        <v>0</v>
      </c>
      <c r="N402" t="n">
        <v>0</v>
      </c>
      <c r="O402" t="n">
        <v>1</v>
      </c>
      <c r="P402" t="n">
        <v>0</v>
      </c>
      <c r="Q402" t="n">
        <v>1</v>
      </c>
      <c r="R402" s="2" t="inlineStr">
        <is>
          <t>Granticka</t>
        </is>
      </c>
      <c r="S402">
        <f>HYPERLINK("https://klasma.github.io/Logging_2313/artfynd/A 24729-2022 artfynd.xlsx", "A 24729-2022")</f>
        <v/>
      </c>
      <c r="T402">
        <f>HYPERLINK("https://klasma.github.io/Logging_2313/kartor/A 24729-2022 karta.png", "A 24729-2022")</f>
        <v/>
      </c>
      <c r="U402">
        <f>HYPERLINK("https://klasma.github.io/Logging_2313/knärot/A 24729-2022 karta knärot.png", "A 24729-2022")</f>
        <v/>
      </c>
      <c r="V402">
        <f>HYPERLINK("https://klasma.github.io/Logging_2313/klagomål/A 24729-2022 FSC-klagomål.docx", "A 24729-2022")</f>
        <v/>
      </c>
      <c r="W402">
        <f>HYPERLINK("https://klasma.github.io/Logging_2313/klagomålsmail/A 24729-2022 FSC-klagomål mail.docx", "A 24729-2022")</f>
        <v/>
      </c>
      <c r="X402">
        <f>HYPERLINK("https://klasma.github.io/Logging_2313/tillsyn/A 24729-2022 tillsynsbegäran.docx", "A 24729-2022")</f>
        <v/>
      </c>
      <c r="Y402">
        <f>HYPERLINK("https://klasma.github.io/Logging_2313/tillsynsmail/A 24729-2022 tillsynsbegäran mail.docx", "A 24729-2022")</f>
        <v/>
      </c>
    </row>
    <row r="403" ht="15" customHeight="1">
      <c r="A403" t="inlineStr">
        <is>
          <t>A 25015-2022</t>
        </is>
      </c>
      <c r="B403" s="1" t="n">
        <v>44728</v>
      </c>
      <c r="C403" s="1" t="n">
        <v>45740</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Ullticka</t>
        </is>
      </c>
      <c r="S403">
        <f>HYPERLINK("https://klasma.github.io/Logging_2313/artfynd/A 25015-2022 artfynd.xlsx", "A 25015-2022")</f>
        <v/>
      </c>
      <c r="T403">
        <f>HYPERLINK("https://klasma.github.io/Logging_2313/kartor/A 25015-2022 karta.png", "A 25015-2022")</f>
        <v/>
      </c>
      <c r="V403">
        <f>HYPERLINK("https://klasma.github.io/Logging_2313/klagomål/A 25015-2022 FSC-klagomål.docx", "A 25015-2022")</f>
        <v/>
      </c>
      <c r="W403">
        <f>HYPERLINK("https://klasma.github.io/Logging_2313/klagomålsmail/A 25015-2022 FSC-klagomål mail.docx", "A 25015-2022")</f>
        <v/>
      </c>
      <c r="X403">
        <f>HYPERLINK("https://klasma.github.io/Logging_2313/tillsyn/A 25015-2022 tillsynsbegäran.docx", "A 25015-2022")</f>
        <v/>
      </c>
      <c r="Y403">
        <f>HYPERLINK("https://klasma.github.io/Logging_2313/tillsynsmail/A 25015-2022 tillsynsbegäran mail.docx", "A 25015-2022")</f>
        <v/>
      </c>
    </row>
    <row r="404" ht="15" customHeight="1">
      <c r="A404" t="inlineStr">
        <is>
          <t>A 27602-2022</t>
        </is>
      </c>
      <c r="B404" s="1" t="n">
        <v>44742</v>
      </c>
      <c r="C404" s="1" t="n">
        <v>45740</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Brunklöver</t>
        </is>
      </c>
      <c r="S404">
        <f>HYPERLINK("https://klasma.github.io/Logging_2313/artfynd/A 27602-2022 artfynd.xlsx", "A 27602-2022")</f>
        <v/>
      </c>
      <c r="T404">
        <f>HYPERLINK("https://klasma.github.io/Logging_2313/kartor/A 27602-2022 karta.png", "A 27602-2022")</f>
        <v/>
      </c>
      <c r="V404">
        <f>HYPERLINK("https://klasma.github.io/Logging_2313/klagomål/A 27602-2022 FSC-klagomål.docx", "A 27602-2022")</f>
        <v/>
      </c>
      <c r="W404">
        <f>HYPERLINK("https://klasma.github.io/Logging_2313/klagomålsmail/A 27602-2022 FSC-klagomål mail.docx", "A 27602-2022")</f>
        <v/>
      </c>
      <c r="X404">
        <f>HYPERLINK("https://klasma.github.io/Logging_2313/tillsyn/A 27602-2022 tillsynsbegäran.docx", "A 27602-2022")</f>
        <v/>
      </c>
      <c r="Y404">
        <f>HYPERLINK("https://klasma.github.io/Logging_2313/tillsynsmail/A 27602-2022 tillsynsbegäran mail.docx", "A 27602-2022")</f>
        <v/>
      </c>
    </row>
    <row r="405" ht="15" customHeight="1">
      <c r="A405" t="inlineStr">
        <is>
          <t>A 28732-2022</t>
        </is>
      </c>
      <c r="B405" s="1" t="n">
        <v>44749</v>
      </c>
      <c r="C405" s="1" t="n">
        <v>45740</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Guckusko</t>
        </is>
      </c>
      <c r="S405">
        <f>HYPERLINK("https://klasma.github.io/Logging_2313/artfynd/A 28732-2022 artfynd.xlsx", "A 28732-2022")</f>
        <v/>
      </c>
      <c r="T405">
        <f>HYPERLINK("https://klasma.github.io/Logging_2313/kartor/A 28732-2022 karta.png", "A 28732-2022")</f>
        <v/>
      </c>
      <c r="V405">
        <f>HYPERLINK("https://klasma.github.io/Logging_2313/klagomål/A 28732-2022 FSC-klagomål.docx", "A 28732-2022")</f>
        <v/>
      </c>
      <c r="W405">
        <f>HYPERLINK("https://klasma.github.io/Logging_2313/klagomålsmail/A 28732-2022 FSC-klagomål mail.docx", "A 28732-2022")</f>
        <v/>
      </c>
      <c r="X405">
        <f>HYPERLINK("https://klasma.github.io/Logging_2313/tillsyn/A 28732-2022 tillsynsbegäran.docx", "A 28732-2022")</f>
        <v/>
      </c>
      <c r="Y405">
        <f>HYPERLINK("https://klasma.github.io/Logging_2313/tillsynsmail/A 28732-2022 tillsynsbegäran mail.docx", "A 28732-2022")</f>
        <v/>
      </c>
    </row>
    <row r="406" ht="15" customHeight="1">
      <c r="A406" t="inlineStr">
        <is>
          <t>A 32351-2022</t>
        </is>
      </c>
      <c r="B406" s="1" t="n">
        <v>44781</v>
      </c>
      <c r="C406" s="1" t="n">
        <v>45740</v>
      </c>
      <c r="D406" t="inlineStr">
        <is>
          <t>JÄMTLANDS LÄN</t>
        </is>
      </c>
      <c r="E406" t="inlineStr">
        <is>
          <t>STRÖMSUND</t>
        </is>
      </c>
      <c r="F406" t="inlineStr">
        <is>
          <t>SCA</t>
        </is>
      </c>
      <c r="G406" t="n">
        <v>13.2</v>
      </c>
      <c r="H406" t="n">
        <v>0</v>
      </c>
      <c r="I406" t="n">
        <v>0</v>
      </c>
      <c r="J406" t="n">
        <v>1</v>
      </c>
      <c r="K406" t="n">
        <v>0</v>
      </c>
      <c r="L406" t="n">
        <v>0</v>
      </c>
      <c r="M406" t="n">
        <v>0</v>
      </c>
      <c r="N406" t="n">
        <v>0</v>
      </c>
      <c r="O406" t="n">
        <v>1</v>
      </c>
      <c r="P406" t="n">
        <v>0</v>
      </c>
      <c r="Q406" t="n">
        <v>1</v>
      </c>
      <c r="R406" s="2" t="inlineStr">
        <is>
          <t>Harticka</t>
        </is>
      </c>
      <c r="S406">
        <f>HYPERLINK("https://klasma.github.io/Logging_2313/artfynd/A 32351-2022 artfynd.xlsx", "A 32351-2022")</f>
        <v/>
      </c>
      <c r="T406">
        <f>HYPERLINK("https://klasma.github.io/Logging_2313/kartor/A 32351-2022 karta.png", "A 32351-2022")</f>
        <v/>
      </c>
      <c r="V406">
        <f>HYPERLINK("https://klasma.github.io/Logging_2313/klagomål/A 32351-2022 FSC-klagomål.docx", "A 32351-2022")</f>
        <v/>
      </c>
      <c r="W406">
        <f>HYPERLINK("https://klasma.github.io/Logging_2313/klagomålsmail/A 32351-2022 FSC-klagomål mail.docx", "A 32351-2022")</f>
        <v/>
      </c>
      <c r="X406">
        <f>HYPERLINK("https://klasma.github.io/Logging_2313/tillsyn/A 32351-2022 tillsynsbegäran.docx", "A 32351-2022")</f>
        <v/>
      </c>
      <c r="Y406">
        <f>HYPERLINK("https://klasma.github.io/Logging_2313/tillsynsmail/A 32351-2022 tillsynsbegäran mail.docx", "A 32351-2022")</f>
        <v/>
      </c>
    </row>
    <row r="407" ht="15" customHeight="1">
      <c r="A407" t="inlineStr">
        <is>
          <t>A 32965-2022</t>
        </is>
      </c>
      <c r="B407" s="1" t="n">
        <v>44784</v>
      </c>
      <c r="C407" s="1" t="n">
        <v>45740</v>
      </c>
      <c r="D407" t="inlineStr">
        <is>
          <t>JÄMTLANDS LÄN</t>
        </is>
      </c>
      <c r="E407" t="inlineStr">
        <is>
          <t>STRÖMSUND</t>
        </is>
      </c>
      <c r="G407" t="n">
        <v>5.8</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32965-2022 artfynd.xlsx", "A 32965-2022")</f>
        <v/>
      </c>
      <c r="T407">
        <f>HYPERLINK("https://klasma.github.io/Logging_2313/kartor/A 32965-2022 karta.png", "A 32965-2022")</f>
        <v/>
      </c>
      <c r="V407">
        <f>HYPERLINK("https://klasma.github.io/Logging_2313/klagomål/A 32965-2022 FSC-klagomål.docx", "A 32965-2022")</f>
        <v/>
      </c>
      <c r="W407">
        <f>HYPERLINK("https://klasma.github.io/Logging_2313/klagomålsmail/A 32965-2022 FSC-klagomål mail.docx", "A 32965-2022")</f>
        <v/>
      </c>
      <c r="X407">
        <f>HYPERLINK("https://klasma.github.io/Logging_2313/tillsyn/A 32965-2022 tillsynsbegäran.docx", "A 32965-2022")</f>
        <v/>
      </c>
      <c r="Y407">
        <f>HYPERLINK("https://klasma.github.io/Logging_2313/tillsynsmail/A 32965-2022 tillsynsbegäran mail.docx", "A 32965-2022")</f>
        <v/>
      </c>
    </row>
    <row r="408" ht="15" customHeight="1">
      <c r="A408" t="inlineStr">
        <is>
          <t>A 34009-2022</t>
        </is>
      </c>
      <c r="B408" s="1" t="n">
        <v>44790</v>
      </c>
      <c r="C408" s="1" t="n">
        <v>45740</v>
      </c>
      <c r="D408" t="inlineStr">
        <is>
          <t>JÄMTLANDS LÄN</t>
        </is>
      </c>
      <c r="E408" t="inlineStr">
        <is>
          <t>STRÖMSUND</t>
        </is>
      </c>
      <c r="F408" t="inlineStr">
        <is>
          <t>SCA</t>
        </is>
      </c>
      <c r="G408" t="n">
        <v>8.5</v>
      </c>
      <c r="H408" t="n">
        <v>0</v>
      </c>
      <c r="I408" t="n">
        <v>0</v>
      </c>
      <c r="J408" t="n">
        <v>0</v>
      </c>
      <c r="K408" t="n">
        <v>1</v>
      </c>
      <c r="L408" t="n">
        <v>0</v>
      </c>
      <c r="M408" t="n">
        <v>0</v>
      </c>
      <c r="N408" t="n">
        <v>0</v>
      </c>
      <c r="O408" t="n">
        <v>1</v>
      </c>
      <c r="P408" t="n">
        <v>1</v>
      </c>
      <c r="Q408" t="n">
        <v>1</v>
      </c>
      <c r="R408" s="2" t="inlineStr">
        <is>
          <t>Rynkskinn</t>
        </is>
      </c>
      <c r="S408">
        <f>HYPERLINK("https://klasma.github.io/Logging_2313/artfynd/A 34009-2022 artfynd.xlsx", "A 34009-2022")</f>
        <v/>
      </c>
      <c r="T408">
        <f>HYPERLINK("https://klasma.github.io/Logging_2313/kartor/A 34009-2022 karta.png", "A 34009-2022")</f>
        <v/>
      </c>
      <c r="V408">
        <f>HYPERLINK("https://klasma.github.io/Logging_2313/klagomål/A 34009-2022 FSC-klagomål.docx", "A 34009-2022")</f>
        <v/>
      </c>
      <c r="W408">
        <f>HYPERLINK("https://klasma.github.io/Logging_2313/klagomålsmail/A 34009-2022 FSC-klagomål mail.docx", "A 34009-2022")</f>
        <v/>
      </c>
      <c r="X408">
        <f>HYPERLINK("https://klasma.github.io/Logging_2313/tillsyn/A 34009-2022 tillsynsbegäran.docx", "A 34009-2022")</f>
        <v/>
      </c>
      <c r="Y408">
        <f>HYPERLINK("https://klasma.github.io/Logging_2313/tillsynsmail/A 34009-2022 tillsynsbegäran mail.docx", "A 34009-2022")</f>
        <v/>
      </c>
    </row>
    <row r="409" ht="15" customHeight="1">
      <c r="A409" t="inlineStr">
        <is>
          <t>A 39696-2022</t>
        </is>
      </c>
      <c r="B409" s="1" t="n">
        <v>44818</v>
      </c>
      <c r="C409" s="1" t="n">
        <v>45740</v>
      </c>
      <c r="D409" t="inlineStr">
        <is>
          <t>JÄMTLANDS LÄN</t>
        </is>
      </c>
      <c r="E409" t="inlineStr">
        <is>
          <t>STRÖMSUND</t>
        </is>
      </c>
      <c r="F409" t="inlineStr">
        <is>
          <t>SCA</t>
        </is>
      </c>
      <c r="G409" t="n">
        <v>4.6</v>
      </c>
      <c r="H409" t="n">
        <v>0</v>
      </c>
      <c r="I409" t="n">
        <v>0</v>
      </c>
      <c r="J409" t="n">
        <v>0</v>
      </c>
      <c r="K409" t="n">
        <v>1</v>
      </c>
      <c r="L409" t="n">
        <v>0</v>
      </c>
      <c r="M409" t="n">
        <v>0</v>
      </c>
      <c r="N409" t="n">
        <v>0</v>
      </c>
      <c r="O409" t="n">
        <v>1</v>
      </c>
      <c r="P409" t="n">
        <v>1</v>
      </c>
      <c r="Q409" t="n">
        <v>1</v>
      </c>
      <c r="R409" s="2" t="inlineStr">
        <is>
          <t>Gräddporing</t>
        </is>
      </c>
      <c r="S409">
        <f>HYPERLINK("https://klasma.github.io/Logging_2313/artfynd/A 39696-2022 artfynd.xlsx", "A 39696-2022")</f>
        <v/>
      </c>
      <c r="T409">
        <f>HYPERLINK("https://klasma.github.io/Logging_2313/kartor/A 39696-2022 karta.png", "A 39696-2022")</f>
        <v/>
      </c>
      <c r="V409">
        <f>HYPERLINK("https://klasma.github.io/Logging_2313/klagomål/A 39696-2022 FSC-klagomål.docx", "A 39696-2022")</f>
        <v/>
      </c>
      <c r="W409">
        <f>HYPERLINK("https://klasma.github.io/Logging_2313/klagomålsmail/A 39696-2022 FSC-klagomål mail.docx", "A 39696-2022")</f>
        <v/>
      </c>
      <c r="X409">
        <f>HYPERLINK("https://klasma.github.io/Logging_2313/tillsyn/A 39696-2022 tillsynsbegäran.docx", "A 39696-2022")</f>
        <v/>
      </c>
      <c r="Y409">
        <f>HYPERLINK("https://klasma.github.io/Logging_2313/tillsynsmail/A 39696-2022 tillsynsbegäran mail.docx", "A 39696-2022")</f>
        <v/>
      </c>
    </row>
    <row r="410" ht="15" customHeight="1">
      <c r="A410" t="inlineStr">
        <is>
          <t>A 41193-2022</t>
        </is>
      </c>
      <c r="B410" s="1" t="n">
        <v>44826</v>
      </c>
      <c r="C410" s="1" t="n">
        <v>45740</v>
      </c>
      <c r="D410" t="inlineStr">
        <is>
          <t>JÄMTLANDS LÄN</t>
        </is>
      </c>
      <c r="E410" t="inlineStr">
        <is>
          <t>STRÖMSUND</t>
        </is>
      </c>
      <c r="F410" t="inlineStr">
        <is>
          <t>SCA</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41193-2022 artfynd.xlsx", "A 41193-2022")</f>
        <v/>
      </c>
      <c r="T410">
        <f>HYPERLINK("https://klasma.github.io/Logging_2313/kartor/A 41193-2022 karta.png", "A 41193-2022")</f>
        <v/>
      </c>
      <c r="V410">
        <f>HYPERLINK("https://klasma.github.io/Logging_2313/klagomål/A 41193-2022 FSC-klagomål.docx", "A 41193-2022")</f>
        <v/>
      </c>
      <c r="W410">
        <f>HYPERLINK("https://klasma.github.io/Logging_2313/klagomålsmail/A 41193-2022 FSC-klagomål mail.docx", "A 41193-2022")</f>
        <v/>
      </c>
      <c r="X410">
        <f>HYPERLINK("https://klasma.github.io/Logging_2313/tillsyn/A 41193-2022 tillsynsbegäran.docx", "A 41193-2022")</f>
        <v/>
      </c>
      <c r="Y410">
        <f>HYPERLINK("https://klasma.github.io/Logging_2313/tillsynsmail/A 41193-2022 tillsynsbegäran mail.docx", "A 41193-2022")</f>
        <v/>
      </c>
      <c r="Z410">
        <f>HYPERLINK("https://klasma.github.io/Logging_2313/fåglar/A 41193-2022 prioriterade fågelarter.docx", "A 41193-2022")</f>
        <v/>
      </c>
    </row>
    <row r="411" ht="15" customHeight="1">
      <c r="A411" t="inlineStr">
        <is>
          <t>A 41811-2022</t>
        </is>
      </c>
      <c r="B411" s="1" t="n">
        <v>44827</v>
      </c>
      <c r="C411" s="1" t="n">
        <v>45740</v>
      </c>
      <c r="D411" t="inlineStr">
        <is>
          <t>JÄMTLANDS LÄN</t>
        </is>
      </c>
      <c r="E411" t="inlineStr">
        <is>
          <t>STRÖMSUND</t>
        </is>
      </c>
      <c r="F411" t="inlineStr">
        <is>
          <t>SCA</t>
        </is>
      </c>
      <c r="G411" t="n">
        <v>7.6</v>
      </c>
      <c r="H411" t="n">
        <v>1</v>
      </c>
      <c r="I411" t="n">
        <v>0</v>
      </c>
      <c r="J411" t="n">
        <v>0</v>
      </c>
      <c r="K411" t="n">
        <v>1</v>
      </c>
      <c r="L411" t="n">
        <v>0</v>
      </c>
      <c r="M411" t="n">
        <v>0</v>
      </c>
      <c r="N411" t="n">
        <v>0</v>
      </c>
      <c r="O411" t="n">
        <v>1</v>
      </c>
      <c r="P411" t="n">
        <v>1</v>
      </c>
      <c r="Q411" t="n">
        <v>1</v>
      </c>
      <c r="R411" s="2" t="inlineStr">
        <is>
          <t>Knärot</t>
        </is>
      </c>
      <c r="S411">
        <f>HYPERLINK("https://klasma.github.io/Logging_2313/artfynd/A 41811-2022 artfynd.xlsx", "A 41811-2022")</f>
        <v/>
      </c>
      <c r="T411">
        <f>HYPERLINK("https://klasma.github.io/Logging_2313/kartor/A 41811-2022 karta.png", "A 41811-2022")</f>
        <v/>
      </c>
      <c r="U411">
        <f>HYPERLINK("https://klasma.github.io/Logging_2313/knärot/A 41811-2022 karta knärot.png", "A 41811-2022")</f>
        <v/>
      </c>
      <c r="V411">
        <f>HYPERLINK("https://klasma.github.io/Logging_2313/klagomål/A 41811-2022 FSC-klagomål.docx", "A 41811-2022")</f>
        <v/>
      </c>
      <c r="W411">
        <f>HYPERLINK("https://klasma.github.io/Logging_2313/klagomålsmail/A 41811-2022 FSC-klagomål mail.docx", "A 41811-2022")</f>
        <v/>
      </c>
      <c r="X411">
        <f>HYPERLINK("https://klasma.github.io/Logging_2313/tillsyn/A 41811-2022 tillsynsbegäran.docx", "A 41811-2022")</f>
        <v/>
      </c>
      <c r="Y411">
        <f>HYPERLINK("https://klasma.github.io/Logging_2313/tillsynsmail/A 41811-2022 tillsynsbegäran mail.docx", "A 41811-2022")</f>
        <v/>
      </c>
    </row>
    <row r="412" ht="15" customHeight="1">
      <c r="A412" t="inlineStr">
        <is>
          <t>A 46343-2022</t>
        </is>
      </c>
      <c r="B412" s="1" t="n">
        <v>44847</v>
      </c>
      <c r="C412" s="1" t="n">
        <v>45740</v>
      </c>
      <c r="D412" t="inlineStr">
        <is>
          <t>JÄMTLANDS LÄN</t>
        </is>
      </c>
      <c r="E412" t="inlineStr">
        <is>
          <t>STRÖMSUND</t>
        </is>
      </c>
      <c r="F412" t="inlineStr">
        <is>
          <t>SCA</t>
        </is>
      </c>
      <c r="G412" t="n">
        <v>0.8</v>
      </c>
      <c r="H412" t="n">
        <v>0</v>
      </c>
      <c r="I412" t="n">
        <v>0</v>
      </c>
      <c r="J412" t="n">
        <v>1</v>
      </c>
      <c r="K412" t="n">
        <v>0</v>
      </c>
      <c r="L412" t="n">
        <v>0</v>
      </c>
      <c r="M412" t="n">
        <v>0</v>
      </c>
      <c r="N412" t="n">
        <v>0</v>
      </c>
      <c r="O412" t="n">
        <v>1</v>
      </c>
      <c r="P412" t="n">
        <v>0</v>
      </c>
      <c r="Q412" t="n">
        <v>1</v>
      </c>
      <c r="R412" s="2" t="inlineStr">
        <is>
          <t>Lunglav</t>
        </is>
      </c>
      <c r="S412">
        <f>HYPERLINK("https://klasma.github.io/Logging_2313/artfynd/A 46343-2022 artfynd.xlsx", "A 46343-2022")</f>
        <v/>
      </c>
      <c r="T412">
        <f>HYPERLINK("https://klasma.github.io/Logging_2313/kartor/A 46343-2022 karta.png", "A 46343-2022")</f>
        <v/>
      </c>
      <c r="V412">
        <f>HYPERLINK("https://klasma.github.io/Logging_2313/klagomål/A 46343-2022 FSC-klagomål.docx", "A 46343-2022")</f>
        <v/>
      </c>
      <c r="W412">
        <f>HYPERLINK("https://klasma.github.io/Logging_2313/klagomålsmail/A 46343-2022 FSC-klagomål mail.docx", "A 46343-2022")</f>
        <v/>
      </c>
      <c r="X412">
        <f>HYPERLINK("https://klasma.github.io/Logging_2313/tillsyn/A 46343-2022 tillsynsbegäran.docx", "A 46343-2022")</f>
        <v/>
      </c>
      <c r="Y412">
        <f>HYPERLINK("https://klasma.github.io/Logging_2313/tillsynsmail/A 46343-2022 tillsynsbegäran mail.docx", "A 46343-2022")</f>
        <v/>
      </c>
    </row>
    <row r="413" ht="15" customHeight="1">
      <c r="A413" t="inlineStr">
        <is>
          <t>A 48544-2022</t>
        </is>
      </c>
      <c r="B413" s="1" t="n">
        <v>44858</v>
      </c>
      <c r="C413" s="1" t="n">
        <v>45740</v>
      </c>
      <c r="D413" t="inlineStr">
        <is>
          <t>JÄMTLANDS LÄN</t>
        </is>
      </c>
      <c r="E413" t="inlineStr">
        <is>
          <t>STRÖMSUND</t>
        </is>
      </c>
      <c r="F413" t="inlineStr">
        <is>
          <t>SCA</t>
        </is>
      </c>
      <c r="G413" t="n">
        <v>2.6</v>
      </c>
      <c r="H413" t="n">
        <v>1</v>
      </c>
      <c r="I413" t="n">
        <v>0</v>
      </c>
      <c r="J413" t="n">
        <v>0</v>
      </c>
      <c r="K413" t="n">
        <v>1</v>
      </c>
      <c r="L413" t="n">
        <v>0</v>
      </c>
      <c r="M413" t="n">
        <v>0</v>
      </c>
      <c r="N413" t="n">
        <v>0</v>
      </c>
      <c r="O413" t="n">
        <v>1</v>
      </c>
      <c r="P413" t="n">
        <v>1</v>
      </c>
      <c r="Q413" t="n">
        <v>1</v>
      </c>
      <c r="R413" s="2" t="inlineStr">
        <is>
          <t>Doftticka</t>
        </is>
      </c>
      <c r="S413">
        <f>HYPERLINK("https://klasma.github.io/Logging_2313/artfynd/A 48544-2022 artfynd.xlsx", "A 48544-2022")</f>
        <v/>
      </c>
      <c r="T413">
        <f>HYPERLINK("https://klasma.github.io/Logging_2313/kartor/A 48544-2022 karta.png", "A 48544-2022")</f>
        <v/>
      </c>
      <c r="V413">
        <f>HYPERLINK("https://klasma.github.io/Logging_2313/klagomål/A 48544-2022 FSC-klagomål.docx", "A 48544-2022")</f>
        <v/>
      </c>
      <c r="W413">
        <f>HYPERLINK("https://klasma.github.io/Logging_2313/klagomålsmail/A 48544-2022 FSC-klagomål mail.docx", "A 48544-2022")</f>
        <v/>
      </c>
      <c r="X413">
        <f>HYPERLINK("https://klasma.github.io/Logging_2313/tillsyn/A 48544-2022 tillsynsbegäran.docx", "A 48544-2022")</f>
        <v/>
      </c>
      <c r="Y413">
        <f>HYPERLINK("https://klasma.github.io/Logging_2313/tillsynsmail/A 48544-2022 tillsynsbegäran mail.docx", "A 48544-2022")</f>
        <v/>
      </c>
    </row>
    <row r="414" ht="15" customHeight="1">
      <c r="A414" t="inlineStr">
        <is>
          <t>A 48896-2022</t>
        </is>
      </c>
      <c r="B414" s="1" t="n">
        <v>44859</v>
      </c>
      <c r="C414" s="1" t="n">
        <v>45740</v>
      </c>
      <c r="D414" t="inlineStr">
        <is>
          <t>JÄMTLANDS LÄN</t>
        </is>
      </c>
      <c r="E414" t="inlineStr">
        <is>
          <t>STRÖMSUND</t>
        </is>
      </c>
      <c r="F414" t="inlineStr">
        <is>
          <t>SCA</t>
        </is>
      </c>
      <c r="G414" t="n">
        <v>3.3</v>
      </c>
      <c r="H414" t="n">
        <v>1</v>
      </c>
      <c r="I414" t="n">
        <v>1</v>
      </c>
      <c r="J414" t="n">
        <v>0</v>
      </c>
      <c r="K414" t="n">
        <v>0</v>
      </c>
      <c r="L414" t="n">
        <v>0</v>
      </c>
      <c r="M414" t="n">
        <v>0</v>
      </c>
      <c r="N414" t="n">
        <v>0</v>
      </c>
      <c r="O414" t="n">
        <v>0</v>
      </c>
      <c r="P414" t="n">
        <v>0</v>
      </c>
      <c r="Q414" t="n">
        <v>1</v>
      </c>
      <c r="R414" s="2" t="inlineStr">
        <is>
          <t>Guckusko</t>
        </is>
      </c>
      <c r="S414">
        <f>HYPERLINK("https://klasma.github.io/Logging_2313/artfynd/A 48896-2022 artfynd.xlsx", "A 48896-2022")</f>
        <v/>
      </c>
      <c r="T414">
        <f>HYPERLINK("https://klasma.github.io/Logging_2313/kartor/A 48896-2022 karta.png", "A 48896-2022")</f>
        <v/>
      </c>
      <c r="V414">
        <f>HYPERLINK("https://klasma.github.io/Logging_2313/klagomål/A 48896-2022 FSC-klagomål.docx", "A 48896-2022")</f>
        <v/>
      </c>
      <c r="W414">
        <f>HYPERLINK("https://klasma.github.io/Logging_2313/klagomålsmail/A 48896-2022 FSC-klagomål mail.docx", "A 48896-2022")</f>
        <v/>
      </c>
      <c r="X414">
        <f>HYPERLINK("https://klasma.github.io/Logging_2313/tillsyn/A 48896-2022 tillsynsbegäran.docx", "A 48896-2022")</f>
        <v/>
      </c>
      <c r="Y414">
        <f>HYPERLINK("https://klasma.github.io/Logging_2313/tillsynsmail/A 48896-2022 tillsynsbegäran mail.docx", "A 48896-2022")</f>
        <v/>
      </c>
    </row>
    <row r="415" ht="15" customHeight="1">
      <c r="A415" t="inlineStr">
        <is>
          <t>A 50688-2022</t>
        </is>
      </c>
      <c r="B415" s="1" t="n">
        <v>44866</v>
      </c>
      <c r="C415" s="1" t="n">
        <v>45740</v>
      </c>
      <c r="D415" t="inlineStr">
        <is>
          <t>JÄMTLANDS LÄN</t>
        </is>
      </c>
      <c r="E415" t="inlineStr">
        <is>
          <t>STRÖMSUND</t>
        </is>
      </c>
      <c r="F415" t="inlineStr">
        <is>
          <t>SCA</t>
        </is>
      </c>
      <c r="G415" t="n">
        <v>8.699999999999999</v>
      </c>
      <c r="H415" t="n">
        <v>1</v>
      </c>
      <c r="I415" t="n">
        <v>0</v>
      </c>
      <c r="J415" t="n">
        <v>1</v>
      </c>
      <c r="K415" t="n">
        <v>0</v>
      </c>
      <c r="L415" t="n">
        <v>0</v>
      </c>
      <c r="M415" t="n">
        <v>0</v>
      </c>
      <c r="N415" t="n">
        <v>0</v>
      </c>
      <c r="O415" t="n">
        <v>1</v>
      </c>
      <c r="P415" t="n">
        <v>0</v>
      </c>
      <c r="Q415" t="n">
        <v>1</v>
      </c>
      <c r="R415" s="2" t="inlineStr">
        <is>
          <t>Skogsfru</t>
        </is>
      </c>
      <c r="S415">
        <f>HYPERLINK("https://klasma.github.io/Logging_2313/artfynd/A 50688-2022 artfynd.xlsx", "A 50688-2022")</f>
        <v/>
      </c>
      <c r="T415">
        <f>HYPERLINK("https://klasma.github.io/Logging_2313/kartor/A 50688-2022 karta.png", "A 50688-2022")</f>
        <v/>
      </c>
      <c r="V415">
        <f>HYPERLINK("https://klasma.github.io/Logging_2313/klagomål/A 50688-2022 FSC-klagomål.docx", "A 50688-2022")</f>
        <v/>
      </c>
      <c r="W415">
        <f>HYPERLINK("https://klasma.github.io/Logging_2313/klagomålsmail/A 50688-2022 FSC-klagomål mail.docx", "A 50688-2022")</f>
        <v/>
      </c>
      <c r="X415">
        <f>HYPERLINK("https://klasma.github.io/Logging_2313/tillsyn/A 50688-2022 tillsynsbegäran.docx", "A 50688-2022")</f>
        <v/>
      </c>
      <c r="Y415">
        <f>HYPERLINK("https://klasma.github.io/Logging_2313/tillsynsmail/A 50688-2022 tillsynsbegäran mail.docx", "A 50688-2022")</f>
        <v/>
      </c>
    </row>
    <row r="416" ht="15" customHeight="1">
      <c r="A416" t="inlineStr">
        <is>
          <t>A 50683-2022</t>
        </is>
      </c>
      <c r="B416" s="1" t="n">
        <v>44866</v>
      </c>
      <c r="C416" s="1" t="n">
        <v>45740</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Gammelgransskål</t>
        </is>
      </c>
      <c r="S416">
        <f>HYPERLINK("https://klasma.github.io/Logging_2313/artfynd/A 50683-2022 artfynd.xlsx", "A 50683-2022")</f>
        <v/>
      </c>
      <c r="T416">
        <f>HYPERLINK("https://klasma.github.io/Logging_2313/kartor/A 50683-2022 karta.png", "A 50683-2022")</f>
        <v/>
      </c>
      <c r="V416">
        <f>HYPERLINK("https://klasma.github.io/Logging_2313/klagomål/A 50683-2022 FSC-klagomål.docx", "A 50683-2022")</f>
        <v/>
      </c>
      <c r="W416">
        <f>HYPERLINK("https://klasma.github.io/Logging_2313/klagomålsmail/A 50683-2022 FSC-klagomål mail.docx", "A 50683-2022")</f>
        <v/>
      </c>
      <c r="X416">
        <f>HYPERLINK("https://klasma.github.io/Logging_2313/tillsyn/A 50683-2022 tillsynsbegäran.docx", "A 50683-2022")</f>
        <v/>
      </c>
      <c r="Y416">
        <f>HYPERLINK("https://klasma.github.io/Logging_2313/tillsynsmail/A 50683-2022 tillsynsbegäran mail.docx", "A 50683-2022")</f>
        <v/>
      </c>
    </row>
    <row r="417" ht="15" customHeight="1">
      <c r="A417" t="inlineStr">
        <is>
          <t>A 51309-2022</t>
        </is>
      </c>
      <c r="B417" s="1" t="n">
        <v>44868</v>
      </c>
      <c r="C417" s="1" t="n">
        <v>45740</v>
      </c>
      <c r="D417" t="inlineStr">
        <is>
          <t>JÄMTLANDS LÄN</t>
        </is>
      </c>
      <c r="E417" t="inlineStr">
        <is>
          <t>STRÖMSUND</t>
        </is>
      </c>
      <c r="F417" t="inlineStr">
        <is>
          <t>SCA</t>
        </is>
      </c>
      <c r="G417" t="n">
        <v>5.1</v>
      </c>
      <c r="H417" t="n">
        <v>0</v>
      </c>
      <c r="I417" t="n">
        <v>0</v>
      </c>
      <c r="J417" t="n">
        <v>1</v>
      </c>
      <c r="K417" t="n">
        <v>0</v>
      </c>
      <c r="L417" t="n">
        <v>0</v>
      </c>
      <c r="M417" t="n">
        <v>0</v>
      </c>
      <c r="N417" t="n">
        <v>0</v>
      </c>
      <c r="O417" t="n">
        <v>1</v>
      </c>
      <c r="P417" t="n">
        <v>0</v>
      </c>
      <c r="Q417" t="n">
        <v>1</v>
      </c>
      <c r="R417" s="2" t="inlineStr">
        <is>
          <t>Skrovellav</t>
        </is>
      </c>
      <c r="S417">
        <f>HYPERLINK("https://klasma.github.io/Logging_2313/artfynd/A 51309-2022 artfynd.xlsx", "A 51309-2022")</f>
        <v/>
      </c>
      <c r="T417">
        <f>HYPERLINK("https://klasma.github.io/Logging_2313/kartor/A 51309-2022 karta.png", "A 51309-2022")</f>
        <v/>
      </c>
      <c r="V417">
        <f>HYPERLINK("https://klasma.github.io/Logging_2313/klagomål/A 51309-2022 FSC-klagomål.docx", "A 51309-2022")</f>
        <v/>
      </c>
      <c r="W417">
        <f>HYPERLINK("https://klasma.github.io/Logging_2313/klagomålsmail/A 51309-2022 FSC-klagomål mail.docx", "A 51309-2022")</f>
        <v/>
      </c>
      <c r="X417">
        <f>HYPERLINK("https://klasma.github.io/Logging_2313/tillsyn/A 51309-2022 tillsynsbegäran.docx", "A 51309-2022")</f>
        <v/>
      </c>
      <c r="Y417">
        <f>HYPERLINK("https://klasma.github.io/Logging_2313/tillsynsmail/A 51309-2022 tillsynsbegäran mail.docx", "A 51309-2022")</f>
        <v/>
      </c>
    </row>
    <row r="418" ht="15" customHeight="1">
      <c r="A418" t="inlineStr">
        <is>
          <t>A 55530-2022</t>
        </is>
      </c>
      <c r="B418" s="1" t="n">
        <v>44887</v>
      </c>
      <c r="C418" s="1" t="n">
        <v>45740</v>
      </c>
      <c r="D418" t="inlineStr">
        <is>
          <t>JÄMTLANDS LÄN</t>
        </is>
      </c>
      <c r="E418" t="inlineStr">
        <is>
          <t>STRÖMSUND</t>
        </is>
      </c>
      <c r="F418" t="inlineStr">
        <is>
          <t>SCA</t>
        </is>
      </c>
      <c r="G418" t="n">
        <v>5.5</v>
      </c>
      <c r="H418" t="n">
        <v>0</v>
      </c>
      <c r="I418" t="n">
        <v>0</v>
      </c>
      <c r="J418" t="n">
        <v>1</v>
      </c>
      <c r="K418" t="n">
        <v>0</v>
      </c>
      <c r="L418" t="n">
        <v>0</v>
      </c>
      <c r="M418" t="n">
        <v>0</v>
      </c>
      <c r="N418" t="n">
        <v>0</v>
      </c>
      <c r="O418" t="n">
        <v>1</v>
      </c>
      <c r="P418" t="n">
        <v>0</v>
      </c>
      <c r="Q418" t="n">
        <v>1</v>
      </c>
      <c r="R418" s="2" t="inlineStr">
        <is>
          <t>Lunglav</t>
        </is>
      </c>
      <c r="S418">
        <f>HYPERLINK("https://klasma.github.io/Logging_2313/artfynd/A 55530-2022 artfynd.xlsx", "A 55530-2022")</f>
        <v/>
      </c>
      <c r="T418">
        <f>HYPERLINK("https://klasma.github.io/Logging_2313/kartor/A 55530-2022 karta.png", "A 55530-2022")</f>
        <v/>
      </c>
      <c r="V418">
        <f>HYPERLINK("https://klasma.github.io/Logging_2313/klagomål/A 55530-2022 FSC-klagomål.docx", "A 55530-2022")</f>
        <v/>
      </c>
      <c r="W418">
        <f>HYPERLINK("https://klasma.github.io/Logging_2313/klagomålsmail/A 55530-2022 FSC-klagomål mail.docx", "A 55530-2022")</f>
        <v/>
      </c>
      <c r="X418">
        <f>HYPERLINK("https://klasma.github.io/Logging_2313/tillsyn/A 55530-2022 tillsynsbegäran.docx", "A 55530-2022")</f>
        <v/>
      </c>
      <c r="Y418">
        <f>HYPERLINK("https://klasma.github.io/Logging_2313/tillsynsmail/A 55530-2022 tillsynsbegäran mail.docx", "A 55530-2022")</f>
        <v/>
      </c>
    </row>
    <row r="419" ht="15" customHeight="1">
      <c r="A419" t="inlineStr">
        <is>
          <t>A 56735-2022</t>
        </is>
      </c>
      <c r="B419" s="1" t="n">
        <v>44893</v>
      </c>
      <c r="C419" s="1" t="n">
        <v>45740</v>
      </c>
      <c r="D419" t="inlineStr">
        <is>
          <t>JÄMTLANDS LÄN</t>
        </is>
      </c>
      <c r="E419" t="inlineStr">
        <is>
          <t>STRÖMSUND</t>
        </is>
      </c>
      <c r="F419" t="inlineStr">
        <is>
          <t>SCA</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HYPERLINK("https://klasma.github.io/Logging_2313/artfynd/A 56735-2022 artfynd.xlsx", "A 56735-2022")</f>
        <v/>
      </c>
      <c r="T419">
        <f>HYPERLINK("https://klasma.github.io/Logging_2313/kartor/A 56735-2022 karta.png", "A 56735-2022")</f>
        <v/>
      </c>
      <c r="V419">
        <f>HYPERLINK("https://klasma.github.io/Logging_2313/klagomål/A 56735-2022 FSC-klagomål.docx", "A 56735-2022")</f>
        <v/>
      </c>
      <c r="W419">
        <f>HYPERLINK("https://klasma.github.io/Logging_2313/klagomålsmail/A 56735-2022 FSC-klagomål mail.docx", "A 56735-2022")</f>
        <v/>
      </c>
      <c r="X419">
        <f>HYPERLINK("https://klasma.github.io/Logging_2313/tillsyn/A 56735-2022 tillsynsbegäran.docx", "A 56735-2022")</f>
        <v/>
      </c>
      <c r="Y419">
        <f>HYPERLINK("https://klasma.github.io/Logging_2313/tillsynsmail/A 56735-2022 tillsynsbegäran mail.docx", "A 56735-2022")</f>
        <v/>
      </c>
    </row>
    <row r="420" ht="15" customHeight="1">
      <c r="A420" t="inlineStr">
        <is>
          <t>A 61381-2022</t>
        </is>
      </c>
      <c r="B420" s="1" t="n">
        <v>44915</v>
      </c>
      <c r="C420" s="1" t="n">
        <v>45740</v>
      </c>
      <c r="D420" t="inlineStr">
        <is>
          <t>JÄMTLANDS LÄN</t>
        </is>
      </c>
      <c r="E420" t="inlineStr">
        <is>
          <t>STRÖMSUND</t>
        </is>
      </c>
      <c r="G420" t="n">
        <v>8.1</v>
      </c>
      <c r="H420" t="n">
        <v>0</v>
      </c>
      <c r="I420" t="n">
        <v>0</v>
      </c>
      <c r="J420" t="n">
        <v>1</v>
      </c>
      <c r="K420" t="n">
        <v>0</v>
      </c>
      <c r="L420" t="n">
        <v>0</v>
      </c>
      <c r="M420" t="n">
        <v>0</v>
      </c>
      <c r="N420" t="n">
        <v>0</v>
      </c>
      <c r="O420" t="n">
        <v>1</v>
      </c>
      <c r="P420" t="n">
        <v>0</v>
      </c>
      <c r="Q420" t="n">
        <v>1</v>
      </c>
      <c r="R420" s="2" t="inlineStr">
        <is>
          <t>Granticka</t>
        </is>
      </c>
      <c r="S420">
        <f>HYPERLINK("https://klasma.github.io/Logging_2313/artfynd/A 61381-2022 artfynd.xlsx", "A 61381-2022")</f>
        <v/>
      </c>
      <c r="T420">
        <f>HYPERLINK("https://klasma.github.io/Logging_2313/kartor/A 61381-2022 karta.png", "A 61381-2022")</f>
        <v/>
      </c>
      <c r="V420">
        <f>HYPERLINK("https://klasma.github.io/Logging_2313/klagomål/A 61381-2022 FSC-klagomål.docx", "A 61381-2022")</f>
        <v/>
      </c>
      <c r="W420">
        <f>HYPERLINK("https://klasma.github.io/Logging_2313/klagomålsmail/A 61381-2022 FSC-klagomål mail.docx", "A 61381-2022")</f>
        <v/>
      </c>
      <c r="X420">
        <f>HYPERLINK("https://klasma.github.io/Logging_2313/tillsyn/A 61381-2022 tillsynsbegäran.docx", "A 61381-2022")</f>
        <v/>
      </c>
      <c r="Y420">
        <f>HYPERLINK("https://klasma.github.io/Logging_2313/tillsynsmail/A 61381-2022 tillsynsbegäran mail.docx", "A 61381-2022")</f>
        <v/>
      </c>
    </row>
    <row r="421" ht="15" customHeight="1">
      <c r="A421" t="inlineStr">
        <is>
          <t>A 27-2023</t>
        </is>
      </c>
      <c r="B421" s="1" t="n">
        <v>44928</v>
      </c>
      <c r="C421" s="1" t="n">
        <v>45740</v>
      </c>
      <c r="D421" t="inlineStr">
        <is>
          <t>JÄMTLANDS LÄN</t>
        </is>
      </c>
      <c r="E421" t="inlineStr">
        <is>
          <t>STRÖMSUND</t>
        </is>
      </c>
      <c r="F421" t="inlineStr">
        <is>
          <t>Sveaskog</t>
        </is>
      </c>
      <c r="G421" t="n">
        <v>4.3</v>
      </c>
      <c r="H421" t="n">
        <v>0</v>
      </c>
      <c r="I421" t="n">
        <v>0</v>
      </c>
      <c r="J421" t="n">
        <v>1</v>
      </c>
      <c r="K421" t="n">
        <v>0</v>
      </c>
      <c r="L421" t="n">
        <v>0</v>
      </c>
      <c r="M421" t="n">
        <v>0</v>
      </c>
      <c r="N421" t="n">
        <v>0</v>
      </c>
      <c r="O421" t="n">
        <v>1</v>
      </c>
      <c r="P421" t="n">
        <v>0</v>
      </c>
      <c r="Q421" t="n">
        <v>1</v>
      </c>
      <c r="R421" s="2" t="inlineStr">
        <is>
          <t>Gränsticka</t>
        </is>
      </c>
      <c r="S421">
        <f>HYPERLINK("https://klasma.github.io/Logging_2313/artfynd/A 27-2023 artfynd.xlsx", "A 27-2023")</f>
        <v/>
      </c>
      <c r="T421">
        <f>HYPERLINK("https://klasma.github.io/Logging_2313/kartor/A 27-2023 karta.png", "A 27-2023")</f>
        <v/>
      </c>
      <c r="V421">
        <f>HYPERLINK("https://klasma.github.io/Logging_2313/klagomål/A 27-2023 FSC-klagomål.docx", "A 27-2023")</f>
        <v/>
      </c>
      <c r="W421">
        <f>HYPERLINK("https://klasma.github.io/Logging_2313/klagomålsmail/A 27-2023 FSC-klagomål mail.docx", "A 27-2023")</f>
        <v/>
      </c>
      <c r="X421">
        <f>HYPERLINK("https://klasma.github.io/Logging_2313/tillsyn/A 27-2023 tillsynsbegäran.docx", "A 27-2023")</f>
        <v/>
      </c>
      <c r="Y421">
        <f>HYPERLINK("https://klasma.github.io/Logging_2313/tillsynsmail/A 27-2023 tillsynsbegäran mail.docx", "A 27-2023")</f>
        <v/>
      </c>
    </row>
    <row r="422" ht="15" customHeight="1">
      <c r="A422" t="inlineStr">
        <is>
          <t>A 7929-2023</t>
        </is>
      </c>
      <c r="B422" s="1" t="n">
        <v>44970</v>
      </c>
      <c r="C422" s="1" t="n">
        <v>45740</v>
      </c>
      <c r="D422" t="inlineStr">
        <is>
          <t>JÄMTLANDS LÄN</t>
        </is>
      </c>
      <c r="E422" t="inlineStr">
        <is>
          <t>STRÖMSUND</t>
        </is>
      </c>
      <c r="F422" t="inlineStr">
        <is>
          <t>Kommuner</t>
        </is>
      </c>
      <c r="G422" t="n">
        <v>2.2</v>
      </c>
      <c r="H422" t="n">
        <v>0</v>
      </c>
      <c r="I422" t="n">
        <v>1</v>
      </c>
      <c r="J422" t="n">
        <v>0</v>
      </c>
      <c r="K422" t="n">
        <v>0</v>
      </c>
      <c r="L422" t="n">
        <v>0</v>
      </c>
      <c r="M422" t="n">
        <v>0</v>
      </c>
      <c r="N422" t="n">
        <v>0</v>
      </c>
      <c r="O422" t="n">
        <v>0</v>
      </c>
      <c r="P422" t="n">
        <v>0</v>
      </c>
      <c r="Q422" t="n">
        <v>1</v>
      </c>
      <c r="R422" s="2" t="inlineStr">
        <is>
          <t>Norrlandslav</t>
        </is>
      </c>
      <c r="S422">
        <f>HYPERLINK("https://klasma.github.io/Logging_2313/artfynd/A 7929-2023 artfynd.xlsx", "A 7929-2023")</f>
        <v/>
      </c>
      <c r="T422">
        <f>HYPERLINK("https://klasma.github.io/Logging_2313/kartor/A 7929-2023 karta.png", "A 7929-2023")</f>
        <v/>
      </c>
      <c r="V422">
        <f>HYPERLINK("https://klasma.github.io/Logging_2313/klagomål/A 7929-2023 FSC-klagomål.docx", "A 7929-2023")</f>
        <v/>
      </c>
      <c r="W422">
        <f>HYPERLINK("https://klasma.github.io/Logging_2313/klagomålsmail/A 7929-2023 FSC-klagomål mail.docx", "A 7929-2023")</f>
        <v/>
      </c>
      <c r="X422">
        <f>HYPERLINK("https://klasma.github.io/Logging_2313/tillsyn/A 7929-2023 tillsynsbegäran.docx", "A 7929-2023")</f>
        <v/>
      </c>
      <c r="Y422">
        <f>HYPERLINK("https://klasma.github.io/Logging_2313/tillsynsmail/A 7929-2023 tillsynsbegäran mail.docx", "A 7929-2023")</f>
        <v/>
      </c>
    </row>
    <row r="423" ht="15" customHeight="1">
      <c r="A423" t="inlineStr">
        <is>
          <t>A 10075-2023</t>
        </is>
      </c>
      <c r="B423" s="1" t="n">
        <v>44985</v>
      </c>
      <c r="C423" s="1" t="n">
        <v>45740</v>
      </c>
      <c r="D423" t="inlineStr">
        <is>
          <t>JÄMTLANDS LÄN</t>
        </is>
      </c>
      <c r="E423" t="inlineStr">
        <is>
          <t>STRÖMSUND</t>
        </is>
      </c>
      <c r="F423" t="inlineStr">
        <is>
          <t>SCA</t>
        </is>
      </c>
      <c r="G423" t="n">
        <v>13.4</v>
      </c>
      <c r="H423" t="n">
        <v>0</v>
      </c>
      <c r="I423" t="n">
        <v>0</v>
      </c>
      <c r="J423" t="n">
        <v>1</v>
      </c>
      <c r="K423" t="n">
        <v>0</v>
      </c>
      <c r="L423" t="n">
        <v>0</v>
      </c>
      <c r="M423" t="n">
        <v>0</v>
      </c>
      <c r="N423" t="n">
        <v>0</v>
      </c>
      <c r="O423" t="n">
        <v>1</v>
      </c>
      <c r="P423" t="n">
        <v>0</v>
      </c>
      <c r="Q423" t="n">
        <v>1</v>
      </c>
      <c r="R423" s="2" t="inlineStr">
        <is>
          <t>Brunklöver</t>
        </is>
      </c>
      <c r="S423">
        <f>HYPERLINK("https://klasma.github.io/Logging_2313/artfynd/A 10075-2023 artfynd.xlsx", "A 10075-2023")</f>
        <v/>
      </c>
      <c r="T423">
        <f>HYPERLINK("https://klasma.github.io/Logging_2313/kartor/A 10075-2023 karta.png", "A 10075-2023")</f>
        <v/>
      </c>
      <c r="V423">
        <f>HYPERLINK("https://klasma.github.io/Logging_2313/klagomål/A 10075-2023 FSC-klagomål.docx", "A 10075-2023")</f>
        <v/>
      </c>
      <c r="W423">
        <f>HYPERLINK("https://klasma.github.io/Logging_2313/klagomålsmail/A 10075-2023 FSC-klagomål mail.docx", "A 10075-2023")</f>
        <v/>
      </c>
      <c r="X423">
        <f>HYPERLINK("https://klasma.github.io/Logging_2313/tillsyn/A 10075-2023 tillsynsbegäran.docx", "A 10075-2023")</f>
        <v/>
      </c>
      <c r="Y423">
        <f>HYPERLINK("https://klasma.github.io/Logging_2313/tillsynsmail/A 10075-2023 tillsynsbegäran mail.docx", "A 10075-2023")</f>
        <v/>
      </c>
    </row>
    <row r="424" ht="15" customHeight="1">
      <c r="A424" t="inlineStr">
        <is>
          <t>A 13897-2023</t>
        </is>
      </c>
      <c r="B424" s="1" t="n">
        <v>45008</v>
      </c>
      <c r="C424" s="1" t="n">
        <v>45740</v>
      </c>
      <c r="D424" t="inlineStr">
        <is>
          <t>JÄMTLANDS LÄN</t>
        </is>
      </c>
      <c r="E424" t="inlineStr">
        <is>
          <t>STRÖMSUND</t>
        </is>
      </c>
      <c r="F424" t="inlineStr">
        <is>
          <t>Holmen skog AB</t>
        </is>
      </c>
      <c r="G424" t="n">
        <v>2.6</v>
      </c>
      <c r="H424" t="n">
        <v>0</v>
      </c>
      <c r="I424" t="n">
        <v>0</v>
      </c>
      <c r="J424" t="n">
        <v>1</v>
      </c>
      <c r="K424" t="n">
        <v>0</v>
      </c>
      <c r="L424" t="n">
        <v>0</v>
      </c>
      <c r="M424" t="n">
        <v>0</v>
      </c>
      <c r="N424" t="n">
        <v>0</v>
      </c>
      <c r="O424" t="n">
        <v>1</v>
      </c>
      <c r="P424" t="n">
        <v>0</v>
      </c>
      <c r="Q424" t="n">
        <v>1</v>
      </c>
      <c r="R424" s="2" t="inlineStr">
        <is>
          <t>Kolflarnlav</t>
        </is>
      </c>
      <c r="S424">
        <f>HYPERLINK("https://klasma.github.io/Logging_2313/artfynd/A 13897-2023 artfynd.xlsx", "A 13897-2023")</f>
        <v/>
      </c>
      <c r="T424">
        <f>HYPERLINK("https://klasma.github.io/Logging_2313/kartor/A 13897-2023 karta.png", "A 13897-2023")</f>
        <v/>
      </c>
      <c r="V424">
        <f>HYPERLINK("https://klasma.github.io/Logging_2313/klagomål/A 13897-2023 FSC-klagomål.docx", "A 13897-2023")</f>
        <v/>
      </c>
      <c r="W424">
        <f>HYPERLINK("https://klasma.github.io/Logging_2313/klagomålsmail/A 13897-2023 FSC-klagomål mail.docx", "A 13897-2023")</f>
        <v/>
      </c>
      <c r="X424">
        <f>HYPERLINK("https://klasma.github.io/Logging_2313/tillsyn/A 13897-2023 tillsynsbegäran.docx", "A 13897-2023")</f>
        <v/>
      </c>
      <c r="Y424">
        <f>HYPERLINK("https://klasma.github.io/Logging_2313/tillsynsmail/A 13897-2023 tillsynsbegäran mail.docx", "A 13897-2023")</f>
        <v/>
      </c>
    </row>
    <row r="425" ht="15" customHeight="1">
      <c r="A425" t="inlineStr">
        <is>
          <t>A 15457-2023</t>
        </is>
      </c>
      <c r="B425" s="1" t="n">
        <v>45019</v>
      </c>
      <c r="C425" s="1" t="n">
        <v>45740</v>
      </c>
      <c r="D425" t="inlineStr">
        <is>
          <t>JÄMTLANDS LÄN</t>
        </is>
      </c>
      <c r="E425" t="inlineStr">
        <is>
          <t>STRÖMSUND</t>
        </is>
      </c>
      <c r="G425" t="n">
        <v>17.2</v>
      </c>
      <c r="H425" t="n">
        <v>0</v>
      </c>
      <c r="I425" t="n">
        <v>1</v>
      </c>
      <c r="J425" t="n">
        <v>0</v>
      </c>
      <c r="K425" t="n">
        <v>0</v>
      </c>
      <c r="L425" t="n">
        <v>0</v>
      </c>
      <c r="M425" t="n">
        <v>0</v>
      </c>
      <c r="N425" t="n">
        <v>0</v>
      </c>
      <c r="O425" t="n">
        <v>0</v>
      </c>
      <c r="P425" t="n">
        <v>0</v>
      </c>
      <c r="Q425" t="n">
        <v>1</v>
      </c>
      <c r="R425" s="2" t="inlineStr">
        <is>
          <t>Taggbräken</t>
        </is>
      </c>
      <c r="S425">
        <f>HYPERLINK("https://klasma.github.io/Logging_2313/artfynd/A 15457-2023 artfynd.xlsx", "A 15457-2023")</f>
        <v/>
      </c>
      <c r="T425">
        <f>HYPERLINK("https://klasma.github.io/Logging_2313/kartor/A 15457-2023 karta.png", "A 15457-2023")</f>
        <v/>
      </c>
      <c r="V425">
        <f>HYPERLINK("https://klasma.github.io/Logging_2313/klagomål/A 15457-2023 FSC-klagomål.docx", "A 15457-2023")</f>
        <v/>
      </c>
      <c r="W425">
        <f>HYPERLINK("https://klasma.github.io/Logging_2313/klagomålsmail/A 15457-2023 FSC-klagomål mail.docx", "A 15457-2023")</f>
        <v/>
      </c>
      <c r="X425">
        <f>HYPERLINK("https://klasma.github.io/Logging_2313/tillsyn/A 15457-2023 tillsynsbegäran.docx", "A 15457-2023")</f>
        <v/>
      </c>
      <c r="Y425">
        <f>HYPERLINK("https://klasma.github.io/Logging_2313/tillsynsmail/A 15457-2023 tillsynsbegäran mail.docx", "A 15457-2023")</f>
        <v/>
      </c>
    </row>
    <row r="426" ht="15" customHeight="1">
      <c r="A426" t="inlineStr">
        <is>
          <t>A 18767-2023</t>
        </is>
      </c>
      <c r="B426" s="1" t="n">
        <v>45043</v>
      </c>
      <c r="C426" s="1" t="n">
        <v>45740</v>
      </c>
      <c r="D426" t="inlineStr">
        <is>
          <t>JÄMTLANDS LÄN</t>
        </is>
      </c>
      <c r="E426" t="inlineStr">
        <is>
          <t>STRÖMSUND</t>
        </is>
      </c>
      <c r="F426" t="inlineStr">
        <is>
          <t>SCA</t>
        </is>
      </c>
      <c r="G426" t="n">
        <v>7.5</v>
      </c>
      <c r="H426" t="n">
        <v>0</v>
      </c>
      <c r="I426" t="n">
        <v>0</v>
      </c>
      <c r="J426" t="n">
        <v>1</v>
      </c>
      <c r="K426" t="n">
        <v>0</v>
      </c>
      <c r="L426" t="n">
        <v>0</v>
      </c>
      <c r="M426" t="n">
        <v>0</v>
      </c>
      <c r="N426" t="n">
        <v>0</v>
      </c>
      <c r="O426" t="n">
        <v>1</v>
      </c>
      <c r="P426" t="n">
        <v>0</v>
      </c>
      <c r="Q426" t="n">
        <v>1</v>
      </c>
      <c r="R426" s="2" t="inlineStr">
        <is>
          <t>Vedtrappmossa</t>
        </is>
      </c>
      <c r="S426">
        <f>HYPERLINK("https://klasma.github.io/Logging_2313/artfynd/A 18767-2023 artfynd.xlsx", "A 18767-2023")</f>
        <v/>
      </c>
      <c r="T426">
        <f>HYPERLINK("https://klasma.github.io/Logging_2313/kartor/A 18767-2023 karta.png", "A 18767-2023")</f>
        <v/>
      </c>
      <c r="V426">
        <f>HYPERLINK("https://klasma.github.io/Logging_2313/klagomål/A 18767-2023 FSC-klagomål.docx", "A 18767-2023")</f>
        <v/>
      </c>
      <c r="W426">
        <f>HYPERLINK("https://klasma.github.io/Logging_2313/klagomålsmail/A 18767-2023 FSC-klagomål mail.docx", "A 18767-2023")</f>
        <v/>
      </c>
      <c r="X426">
        <f>HYPERLINK("https://klasma.github.io/Logging_2313/tillsyn/A 18767-2023 tillsynsbegäran.docx", "A 18767-2023")</f>
        <v/>
      </c>
      <c r="Y426">
        <f>HYPERLINK("https://klasma.github.io/Logging_2313/tillsynsmail/A 18767-2023 tillsynsbegäran mail.docx", "A 18767-2023")</f>
        <v/>
      </c>
    </row>
    <row r="427" ht="15" customHeight="1">
      <c r="A427" t="inlineStr">
        <is>
          <t>A 18853-2023</t>
        </is>
      </c>
      <c r="B427" s="1" t="n">
        <v>45043</v>
      </c>
      <c r="C427" s="1" t="n">
        <v>45740</v>
      </c>
      <c r="D427" t="inlineStr">
        <is>
          <t>JÄMTLANDS LÄN</t>
        </is>
      </c>
      <c r="E427" t="inlineStr">
        <is>
          <t>STRÖMSUND</t>
        </is>
      </c>
      <c r="G427" t="n">
        <v>11.9</v>
      </c>
      <c r="H427" t="n">
        <v>0</v>
      </c>
      <c r="I427" t="n">
        <v>0</v>
      </c>
      <c r="J427" t="n">
        <v>1</v>
      </c>
      <c r="K427" t="n">
        <v>0</v>
      </c>
      <c r="L427" t="n">
        <v>0</v>
      </c>
      <c r="M427" t="n">
        <v>0</v>
      </c>
      <c r="N427" t="n">
        <v>0</v>
      </c>
      <c r="O427" t="n">
        <v>1</v>
      </c>
      <c r="P427" t="n">
        <v>0</v>
      </c>
      <c r="Q427" t="n">
        <v>1</v>
      </c>
      <c r="R427" s="2" t="inlineStr">
        <is>
          <t>Granticka</t>
        </is>
      </c>
      <c r="S427">
        <f>HYPERLINK("https://klasma.github.io/Logging_2313/artfynd/A 18853-2023 artfynd.xlsx", "A 18853-2023")</f>
        <v/>
      </c>
      <c r="T427">
        <f>HYPERLINK("https://klasma.github.io/Logging_2313/kartor/A 18853-2023 karta.png", "A 18853-2023")</f>
        <v/>
      </c>
      <c r="V427">
        <f>HYPERLINK("https://klasma.github.io/Logging_2313/klagomål/A 18853-2023 FSC-klagomål.docx", "A 18853-2023")</f>
        <v/>
      </c>
      <c r="W427">
        <f>HYPERLINK("https://klasma.github.io/Logging_2313/klagomålsmail/A 18853-2023 FSC-klagomål mail.docx", "A 18853-2023")</f>
        <v/>
      </c>
      <c r="X427">
        <f>HYPERLINK("https://klasma.github.io/Logging_2313/tillsyn/A 18853-2023 tillsynsbegäran.docx", "A 18853-2023")</f>
        <v/>
      </c>
      <c r="Y427">
        <f>HYPERLINK("https://klasma.github.io/Logging_2313/tillsynsmail/A 18853-2023 tillsynsbegäran mail.docx", "A 18853-2023")</f>
        <v/>
      </c>
    </row>
    <row r="428" ht="15" customHeight="1">
      <c r="A428" t="inlineStr">
        <is>
          <t>A 20632-2023</t>
        </is>
      </c>
      <c r="B428" s="1" t="n">
        <v>45057</v>
      </c>
      <c r="C428" s="1" t="n">
        <v>45740</v>
      </c>
      <c r="D428" t="inlineStr">
        <is>
          <t>JÄMTLANDS LÄN</t>
        </is>
      </c>
      <c r="E428" t="inlineStr">
        <is>
          <t>STRÖMSUND</t>
        </is>
      </c>
      <c r="F428" t="inlineStr">
        <is>
          <t>SCA</t>
        </is>
      </c>
      <c r="G428" t="n">
        <v>6.3</v>
      </c>
      <c r="H428" t="n">
        <v>0</v>
      </c>
      <c r="I428" t="n">
        <v>0</v>
      </c>
      <c r="J428" t="n">
        <v>1</v>
      </c>
      <c r="K428" t="n">
        <v>0</v>
      </c>
      <c r="L428" t="n">
        <v>0</v>
      </c>
      <c r="M428" t="n">
        <v>0</v>
      </c>
      <c r="N428" t="n">
        <v>0</v>
      </c>
      <c r="O428" t="n">
        <v>1</v>
      </c>
      <c r="P428" t="n">
        <v>0</v>
      </c>
      <c r="Q428" t="n">
        <v>1</v>
      </c>
      <c r="R428" s="2" t="inlineStr">
        <is>
          <t>Granticka</t>
        </is>
      </c>
      <c r="S428">
        <f>HYPERLINK("https://klasma.github.io/Logging_2313/artfynd/A 20632-2023 artfynd.xlsx", "A 20632-2023")</f>
        <v/>
      </c>
      <c r="T428">
        <f>HYPERLINK("https://klasma.github.io/Logging_2313/kartor/A 20632-2023 karta.png", "A 20632-2023")</f>
        <v/>
      </c>
      <c r="V428">
        <f>HYPERLINK("https://klasma.github.io/Logging_2313/klagomål/A 20632-2023 FSC-klagomål.docx", "A 20632-2023")</f>
        <v/>
      </c>
      <c r="W428">
        <f>HYPERLINK("https://klasma.github.io/Logging_2313/klagomålsmail/A 20632-2023 FSC-klagomål mail.docx", "A 20632-2023")</f>
        <v/>
      </c>
      <c r="X428">
        <f>HYPERLINK("https://klasma.github.io/Logging_2313/tillsyn/A 20632-2023 tillsynsbegäran.docx", "A 20632-2023")</f>
        <v/>
      </c>
      <c r="Y428">
        <f>HYPERLINK("https://klasma.github.io/Logging_2313/tillsynsmail/A 20632-2023 tillsynsbegäran mail.docx", "A 20632-2023")</f>
        <v/>
      </c>
    </row>
    <row r="429" ht="15" customHeight="1">
      <c r="A429" t="inlineStr">
        <is>
          <t>A 24832-2023</t>
        </is>
      </c>
      <c r="B429" s="1" t="n">
        <v>45084</v>
      </c>
      <c r="C429" s="1" t="n">
        <v>45740</v>
      </c>
      <c r="D429" t="inlineStr">
        <is>
          <t>JÄMTLANDS LÄN</t>
        </is>
      </c>
      <c r="E429" t="inlineStr">
        <is>
          <t>STRÖMSUND</t>
        </is>
      </c>
      <c r="G429" t="n">
        <v>9.6</v>
      </c>
      <c r="H429" t="n">
        <v>0</v>
      </c>
      <c r="I429" t="n">
        <v>0</v>
      </c>
      <c r="J429" t="n">
        <v>1</v>
      </c>
      <c r="K429" t="n">
        <v>0</v>
      </c>
      <c r="L429" t="n">
        <v>0</v>
      </c>
      <c r="M429" t="n">
        <v>0</v>
      </c>
      <c r="N429" t="n">
        <v>0</v>
      </c>
      <c r="O429" t="n">
        <v>1</v>
      </c>
      <c r="P429" t="n">
        <v>0</v>
      </c>
      <c r="Q429" t="n">
        <v>1</v>
      </c>
      <c r="R429" s="2" t="inlineStr">
        <is>
          <t>Granticka</t>
        </is>
      </c>
      <c r="S429">
        <f>HYPERLINK("https://klasma.github.io/Logging_2313/artfynd/A 24832-2023 artfynd.xlsx", "A 24832-2023")</f>
        <v/>
      </c>
      <c r="T429">
        <f>HYPERLINK("https://klasma.github.io/Logging_2313/kartor/A 24832-2023 karta.png", "A 24832-2023")</f>
        <v/>
      </c>
      <c r="V429">
        <f>HYPERLINK("https://klasma.github.io/Logging_2313/klagomål/A 24832-2023 FSC-klagomål.docx", "A 24832-2023")</f>
        <v/>
      </c>
      <c r="W429">
        <f>HYPERLINK("https://klasma.github.io/Logging_2313/klagomålsmail/A 24832-2023 FSC-klagomål mail.docx", "A 24832-2023")</f>
        <v/>
      </c>
      <c r="X429">
        <f>HYPERLINK("https://klasma.github.io/Logging_2313/tillsyn/A 24832-2023 tillsynsbegäran.docx", "A 24832-2023")</f>
        <v/>
      </c>
      <c r="Y429">
        <f>HYPERLINK("https://klasma.github.io/Logging_2313/tillsynsmail/A 24832-2023 tillsynsbegäran mail.docx", "A 24832-2023")</f>
        <v/>
      </c>
    </row>
    <row r="430" ht="15" customHeight="1">
      <c r="A430" t="inlineStr">
        <is>
          <t>A 25672-2023</t>
        </is>
      </c>
      <c r="B430" s="1" t="n">
        <v>45089</v>
      </c>
      <c r="C430" s="1" t="n">
        <v>45740</v>
      </c>
      <c r="D430" t="inlineStr">
        <is>
          <t>JÄMTLANDS LÄN</t>
        </is>
      </c>
      <c r="E430" t="inlineStr">
        <is>
          <t>STRÖMSUND</t>
        </is>
      </c>
      <c r="F430" t="inlineStr">
        <is>
          <t>SCA</t>
        </is>
      </c>
      <c r="G430" t="n">
        <v>5.5</v>
      </c>
      <c r="H430" t="n">
        <v>0</v>
      </c>
      <c r="I430" t="n">
        <v>0</v>
      </c>
      <c r="J430" t="n">
        <v>1</v>
      </c>
      <c r="K430" t="n">
        <v>0</v>
      </c>
      <c r="L430" t="n">
        <v>0</v>
      </c>
      <c r="M430" t="n">
        <v>0</v>
      </c>
      <c r="N430" t="n">
        <v>0</v>
      </c>
      <c r="O430" t="n">
        <v>1</v>
      </c>
      <c r="P430" t="n">
        <v>0</v>
      </c>
      <c r="Q430" t="n">
        <v>1</v>
      </c>
      <c r="R430" s="2" t="inlineStr">
        <is>
          <t>Kolflarnlav</t>
        </is>
      </c>
      <c r="S430">
        <f>HYPERLINK("https://klasma.github.io/Logging_2313/artfynd/A 25672-2023 artfynd.xlsx", "A 25672-2023")</f>
        <v/>
      </c>
      <c r="T430">
        <f>HYPERLINK("https://klasma.github.io/Logging_2313/kartor/A 25672-2023 karta.png", "A 25672-2023")</f>
        <v/>
      </c>
      <c r="V430">
        <f>HYPERLINK("https://klasma.github.io/Logging_2313/klagomål/A 25672-2023 FSC-klagomål.docx", "A 25672-2023")</f>
        <v/>
      </c>
      <c r="W430">
        <f>HYPERLINK("https://klasma.github.io/Logging_2313/klagomålsmail/A 25672-2023 FSC-klagomål mail.docx", "A 25672-2023")</f>
        <v/>
      </c>
      <c r="X430">
        <f>HYPERLINK("https://klasma.github.io/Logging_2313/tillsyn/A 25672-2023 tillsynsbegäran.docx", "A 25672-2023")</f>
        <v/>
      </c>
      <c r="Y430">
        <f>HYPERLINK("https://klasma.github.io/Logging_2313/tillsynsmail/A 25672-2023 tillsynsbegäran mail.docx", "A 25672-2023")</f>
        <v/>
      </c>
    </row>
    <row r="431" ht="15" customHeight="1">
      <c r="A431" t="inlineStr">
        <is>
          <t>A 26372-2023</t>
        </is>
      </c>
      <c r="B431" s="1" t="n">
        <v>45091</v>
      </c>
      <c r="C431" s="1" t="n">
        <v>45740</v>
      </c>
      <c r="D431" t="inlineStr">
        <is>
          <t>JÄMTLANDS LÄN</t>
        </is>
      </c>
      <c r="E431" t="inlineStr">
        <is>
          <t>STRÖMSUND</t>
        </is>
      </c>
      <c r="F431" t="inlineStr">
        <is>
          <t>SCA</t>
        </is>
      </c>
      <c r="G431" t="n">
        <v>3.1</v>
      </c>
      <c r="H431" t="n">
        <v>0</v>
      </c>
      <c r="I431" t="n">
        <v>0</v>
      </c>
      <c r="J431" t="n">
        <v>1</v>
      </c>
      <c r="K431" t="n">
        <v>0</v>
      </c>
      <c r="L431" t="n">
        <v>0</v>
      </c>
      <c r="M431" t="n">
        <v>0</v>
      </c>
      <c r="N431" t="n">
        <v>0</v>
      </c>
      <c r="O431" t="n">
        <v>1</v>
      </c>
      <c r="P431" t="n">
        <v>0</v>
      </c>
      <c r="Q431" t="n">
        <v>1</v>
      </c>
      <c r="R431" s="2" t="inlineStr">
        <is>
          <t>Harticka</t>
        </is>
      </c>
      <c r="S431">
        <f>HYPERLINK("https://klasma.github.io/Logging_2313/artfynd/A 26372-2023 artfynd.xlsx", "A 26372-2023")</f>
        <v/>
      </c>
      <c r="T431">
        <f>HYPERLINK("https://klasma.github.io/Logging_2313/kartor/A 26372-2023 karta.png", "A 26372-2023")</f>
        <v/>
      </c>
      <c r="V431">
        <f>HYPERLINK("https://klasma.github.io/Logging_2313/klagomål/A 26372-2023 FSC-klagomål.docx", "A 26372-2023")</f>
        <v/>
      </c>
      <c r="W431">
        <f>HYPERLINK("https://klasma.github.io/Logging_2313/klagomålsmail/A 26372-2023 FSC-klagomål mail.docx", "A 26372-2023")</f>
        <v/>
      </c>
      <c r="X431">
        <f>HYPERLINK("https://klasma.github.io/Logging_2313/tillsyn/A 26372-2023 tillsynsbegäran.docx", "A 26372-2023")</f>
        <v/>
      </c>
      <c r="Y431">
        <f>HYPERLINK("https://klasma.github.io/Logging_2313/tillsynsmail/A 26372-2023 tillsynsbegäran mail.docx", "A 26372-2023")</f>
        <v/>
      </c>
    </row>
    <row r="432" ht="15" customHeight="1">
      <c r="A432" t="inlineStr">
        <is>
          <t>A 29604-2023</t>
        </is>
      </c>
      <c r="B432" s="1" t="n">
        <v>45106</v>
      </c>
      <c r="C432" s="1" t="n">
        <v>45740</v>
      </c>
      <c r="D432" t="inlineStr">
        <is>
          <t>JÄMTLANDS LÄN</t>
        </is>
      </c>
      <c r="E432" t="inlineStr">
        <is>
          <t>STRÖMSUND</t>
        </is>
      </c>
      <c r="F432" t="inlineStr">
        <is>
          <t>SCA</t>
        </is>
      </c>
      <c r="G432" t="n">
        <v>1.9</v>
      </c>
      <c r="H432" t="n">
        <v>0</v>
      </c>
      <c r="I432" t="n">
        <v>0</v>
      </c>
      <c r="J432" t="n">
        <v>1</v>
      </c>
      <c r="K432" t="n">
        <v>0</v>
      </c>
      <c r="L432" t="n">
        <v>0</v>
      </c>
      <c r="M432" t="n">
        <v>0</v>
      </c>
      <c r="N432" t="n">
        <v>0</v>
      </c>
      <c r="O432" t="n">
        <v>1</v>
      </c>
      <c r="P432" t="n">
        <v>0</v>
      </c>
      <c r="Q432" t="n">
        <v>1</v>
      </c>
      <c r="R432" s="2" t="inlineStr">
        <is>
          <t>Rosenticka</t>
        </is>
      </c>
      <c r="S432">
        <f>HYPERLINK("https://klasma.github.io/Logging_2313/artfynd/A 29604-2023 artfynd.xlsx", "A 29604-2023")</f>
        <v/>
      </c>
      <c r="T432">
        <f>HYPERLINK("https://klasma.github.io/Logging_2313/kartor/A 29604-2023 karta.png", "A 29604-2023")</f>
        <v/>
      </c>
      <c r="V432">
        <f>HYPERLINK("https://klasma.github.io/Logging_2313/klagomål/A 29604-2023 FSC-klagomål.docx", "A 29604-2023")</f>
        <v/>
      </c>
      <c r="W432">
        <f>HYPERLINK("https://klasma.github.io/Logging_2313/klagomålsmail/A 29604-2023 FSC-klagomål mail.docx", "A 29604-2023")</f>
        <v/>
      </c>
      <c r="X432">
        <f>HYPERLINK("https://klasma.github.io/Logging_2313/tillsyn/A 29604-2023 tillsynsbegäran.docx", "A 29604-2023")</f>
        <v/>
      </c>
      <c r="Y432">
        <f>HYPERLINK("https://klasma.github.io/Logging_2313/tillsynsmail/A 29604-2023 tillsynsbegäran mail.docx", "A 29604-2023")</f>
        <v/>
      </c>
    </row>
    <row r="433" ht="15" customHeight="1">
      <c r="A433" t="inlineStr">
        <is>
          <t>A 32551-2023</t>
        </is>
      </c>
      <c r="B433" s="1" t="n">
        <v>45111</v>
      </c>
      <c r="C433" s="1" t="n">
        <v>45740</v>
      </c>
      <c r="D433" t="inlineStr">
        <is>
          <t>JÄMTLANDS LÄN</t>
        </is>
      </c>
      <c r="E433" t="inlineStr">
        <is>
          <t>STRÖMSUND</t>
        </is>
      </c>
      <c r="F433" t="inlineStr">
        <is>
          <t>Kommuner</t>
        </is>
      </c>
      <c r="G433" t="n">
        <v>5.3</v>
      </c>
      <c r="H433" t="n">
        <v>0</v>
      </c>
      <c r="I433" t="n">
        <v>1</v>
      </c>
      <c r="J433" t="n">
        <v>0</v>
      </c>
      <c r="K433" t="n">
        <v>0</v>
      </c>
      <c r="L433" t="n">
        <v>0</v>
      </c>
      <c r="M433" t="n">
        <v>0</v>
      </c>
      <c r="N433" t="n">
        <v>0</v>
      </c>
      <c r="O433" t="n">
        <v>0</v>
      </c>
      <c r="P433" t="n">
        <v>0</v>
      </c>
      <c r="Q433" t="n">
        <v>1</v>
      </c>
      <c r="R433" s="2" t="inlineStr">
        <is>
          <t>Skinnlav</t>
        </is>
      </c>
      <c r="S433">
        <f>HYPERLINK("https://klasma.github.io/Logging_2313/artfynd/A 32551-2023 artfynd.xlsx", "A 32551-2023")</f>
        <v/>
      </c>
      <c r="T433">
        <f>HYPERLINK("https://klasma.github.io/Logging_2313/kartor/A 32551-2023 karta.png", "A 32551-2023")</f>
        <v/>
      </c>
      <c r="V433">
        <f>HYPERLINK("https://klasma.github.io/Logging_2313/klagomål/A 32551-2023 FSC-klagomål.docx", "A 32551-2023")</f>
        <v/>
      </c>
      <c r="W433">
        <f>HYPERLINK("https://klasma.github.io/Logging_2313/klagomålsmail/A 32551-2023 FSC-klagomål mail.docx", "A 32551-2023")</f>
        <v/>
      </c>
      <c r="X433">
        <f>HYPERLINK("https://klasma.github.io/Logging_2313/tillsyn/A 32551-2023 tillsynsbegäran.docx", "A 32551-2023")</f>
        <v/>
      </c>
      <c r="Y433">
        <f>HYPERLINK("https://klasma.github.io/Logging_2313/tillsynsmail/A 32551-2023 tillsynsbegäran mail.docx", "A 32551-2023")</f>
        <v/>
      </c>
    </row>
    <row r="434" ht="15" customHeight="1">
      <c r="A434" t="inlineStr">
        <is>
          <t>A 30821-2023</t>
        </is>
      </c>
      <c r="B434" s="1" t="n">
        <v>45112</v>
      </c>
      <c r="C434" s="1" t="n">
        <v>45740</v>
      </c>
      <c r="D434" t="inlineStr">
        <is>
          <t>JÄMTLANDS LÄN</t>
        </is>
      </c>
      <c r="E434" t="inlineStr">
        <is>
          <t>STRÖMSUND</t>
        </is>
      </c>
      <c r="F434" t="inlineStr">
        <is>
          <t>SCA</t>
        </is>
      </c>
      <c r="G434" t="n">
        <v>5</v>
      </c>
      <c r="H434" t="n">
        <v>0</v>
      </c>
      <c r="I434" t="n">
        <v>0</v>
      </c>
      <c r="J434" t="n">
        <v>1</v>
      </c>
      <c r="K434" t="n">
        <v>0</v>
      </c>
      <c r="L434" t="n">
        <v>0</v>
      </c>
      <c r="M434" t="n">
        <v>0</v>
      </c>
      <c r="N434" t="n">
        <v>0</v>
      </c>
      <c r="O434" t="n">
        <v>1</v>
      </c>
      <c r="P434" t="n">
        <v>0</v>
      </c>
      <c r="Q434" t="n">
        <v>1</v>
      </c>
      <c r="R434" s="2" t="inlineStr">
        <is>
          <t>Garnlav</t>
        </is>
      </c>
      <c r="S434">
        <f>HYPERLINK("https://klasma.github.io/Logging_2313/artfynd/A 30821-2023 artfynd.xlsx", "A 30821-2023")</f>
        <v/>
      </c>
      <c r="T434">
        <f>HYPERLINK("https://klasma.github.io/Logging_2313/kartor/A 30821-2023 karta.png", "A 30821-2023")</f>
        <v/>
      </c>
      <c r="V434">
        <f>HYPERLINK("https://klasma.github.io/Logging_2313/klagomål/A 30821-2023 FSC-klagomål.docx", "A 30821-2023")</f>
        <v/>
      </c>
      <c r="W434">
        <f>HYPERLINK("https://klasma.github.io/Logging_2313/klagomålsmail/A 30821-2023 FSC-klagomål mail.docx", "A 30821-2023")</f>
        <v/>
      </c>
      <c r="X434">
        <f>HYPERLINK("https://klasma.github.io/Logging_2313/tillsyn/A 30821-2023 tillsynsbegäran.docx", "A 30821-2023")</f>
        <v/>
      </c>
      <c r="Y434">
        <f>HYPERLINK("https://klasma.github.io/Logging_2313/tillsynsmail/A 30821-2023 tillsynsbegäran mail.docx", "A 30821-2023")</f>
        <v/>
      </c>
    </row>
    <row r="435" ht="15" customHeight="1">
      <c r="A435" t="inlineStr">
        <is>
          <t>A 30848-2023</t>
        </is>
      </c>
      <c r="B435" s="1" t="n">
        <v>45112</v>
      </c>
      <c r="C435" s="1" t="n">
        <v>45740</v>
      </c>
      <c r="D435" t="inlineStr">
        <is>
          <t>JÄMTLANDS LÄN</t>
        </is>
      </c>
      <c r="E435" t="inlineStr">
        <is>
          <t>STRÖMSUND</t>
        </is>
      </c>
      <c r="F435" t="inlineStr">
        <is>
          <t>SCA</t>
        </is>
      </c>
      <c r="G435" t="n">
        <v>12.3</v>
      </c>
      <c r="H435" t="n">
        <v>0</v>
      </c>
      <c r="I435" t="n">
        <v>0</v>
      </c>
      <c r="J435" t="n">
        <v>1</v>
      </c>
      <c r="K435" t="n">
        <v>0</v>
      </c>
      <c r="L435" t="n">
        <v>0</v>
      </c>
      <c r="M435" t="n">
        <v>0</v>
      </c>
      <c r="N435" t="n">
        <v>0</v>
      </c>
      <c r="O435" t="n">
        <v>1</v>
      </c>
      <c r="P435" t="n">
        <v>0</v>
      </c>
      <c r="Q435" t="n">
        <v>1</v>
      </c>
      <c r="R435" s="2" t="inlineStr">
        <is>
          <t>Skrovellav</t>
        </is>
      </c>
      <c r="S435">
        <f>HYPERLINK("https://klasma.github.io/Logging_2313/artfynd/A 30848-2023 artfynd.xlsx", "A 30848-2023")</f>
        <v/>
      </c>
      <c r="T435">
        <f>HYPERLINK("https://klasma.github.io/Logging_2313/kartor/A 30848-2023 karta.png", "A 30848-2023")</f>
        <v/>
      </c>
      <c r="V435">
        <f>HYPERLINK("https://klasma.github.io/Logging_2313/klagomål/A 30848-2023 FSC-klagomål.docx", "A 30848-2023")</f>
        <v/>
      </c>
      <c r="W435">
        <f>HYPERLINK("https://klasma.github.io/Logging_2313/klagomålsmail/A 30848-2023 FSC-klagomål mail.docx", "A 30848-2023")</f>
        <v/>
      </c>
      <c r="X435">
        <f>HYPERLINK("https://klasma.github.io/Logging_2313/tillsyn/A 30848-2023 tillsynsbegäran.docx", "A 30848-2023")</f>
        <v/>
      </c>
      <c r="Y435">
        <f>HYPERLINK("https://klasma.github.io/Logging_2313/tillsynsmail/A 30848-2023 tillsynsbegäran mail.docx", "A 30848-2023")</f>
        <v/>
      </c>
    </row>
    <row r="436" ht="15" customHeight="1">
      <c r="A436" t="inlineStr">
        <is>
          <t>A 34006-2023</t>
        </is>
      </c>
      <c r="B436" s="1" t="n">
        <v>45134</v>
      </c>
      <c r="C436" s="1" t="n">
        <v>45740</v>
      </c>
      <c r="D436" t="inlineStr">
        <is>
          <t>JÄMTLANDS LÄN</t>
        </is>
      </c>
      <c r="E436" t="inlineStr">
        <is>
          <t>STRÖMSUND</t>
        </is>
      </c>
      <c r="F436" t="inlineStr">
        <is>
          <t>SCA</t>
        </is>
      </c>
      <c r="G436" t="n">
        <v>4</v>
      </c>
      <c r="H436" t="n">
        <v>1</v>
      </c>
      <c r="I436" t="n">
        <v>0</v>
      </c>
      <c r="J436" t="n">
        <v>1</v>
      </c>
      <c r="K436" t="n">
        <v>0</v>
      </c>
      <c r="L436" t="n">
        <v>0</v>
      </c>
      <c r="M436" t="n">
        <v>0</v>
      </c>
      <c r="N436" t="n">
        <v>0</v>
      </c>
      <c r="O436" t="n">
        <v>1</v>
      </c>
      <c r="P436" t="n">
        <v>0</v>
      </c>
      <c r="Q436" t="n">
        <v>1</v>
      </c>
      <c r="R436" s="2" t="inlineStr">
        <is>
          <t>Talltita</t>
        </is>
      </c>
      <c r="S436">
        <f>HYPERLINK("https://klasma.github.io/Logging_2313/artfynd/A 34006-2023 artfynd.xlsx", "A 34006-2023")</f>
        <v/>
      </c>
      <c r="T436">
        <f>HYPERLINK("https://klasma.github.io/Logging_2313/kartor/A 34006-2023 karta.png", "A 34006-2023")</f>
        <v/>
      </c>
      <c r="V436">
        <f>HYPERLINK("https://klasma.github.io/Logging_2313/klagomål/A 34006-2023 FSC-klagomål.docx", "A 34006-2023")</f>
        <v/>
      </c>
      <c r="W436">
        <f>HYPERLINK("https://klasma.github.io/Logging_2313/klagomålsmail/A 34006-2023 FSC-klagomål mail.docx", "A 34006-2023")</f>
        <v/>
      </c>
      <c r="X436">
        <f>HYPERLINK("https://klasma.github.io/Logging_2313/tillsyn/A 34006-2023 tillsynsbegäran.docx", "A 34006-2023")</f>
        <v/>
      </c>
      <c r="Y436">
        <f>HYPERLINK("https://klasma.github.io/Logging_2313/tillsynsmail/A 34006-2023 tillsynsbegäran mail.docx", "A 34006-2023")</f>
        <v/>
      </c>
      <c r="Z436">
        <f>HYPERLINK("https://klasma.github.io/Logging_2313/fåglar/A 34006-2023 prioriterade fågelarter.docx", "A 34006-2023")</f>
        <v/>
      </c>
    </row>
    <row r="437" ht="15" customHeight="1">
      <c r="A437" t="inlineStr">
        <is>
          <t>A 36754-2023</t>
        </is>
      </c>
      <c r="B437" s="1" t="n">
        <v>45153</v>
      </c>
      <c r="C437" s="1" t="n">
        <v>45740</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Lappranunkel</t>
        </is>
      </c>
      <c r="S437">
        <f>HYPERLINK("https://klasma.github.io/Logging_2313/artfynd/A 36754-2023 artfynd.xlsx", "A 36754-2023")</f>
        <v/>
      </c>
      <c r="T437">
        <f>HYPERLINK("https://klasma.github.io/Logging_2313/kartor/A 36754-2023 karta.png", "A 36754-2023")</f>
        <v/>
      </c>
      <c r="V437">
        <f>HYPERLINK("https://klasma.github.io/Logging_2313/klagomål/A 36754-2023 FSC-klagomål.docx", "A 36754-2023")</f>
        <v/>
      </c>
      <c r="W437">
        <f>HYPERLINK("https://klasma.github.io/Logging_2313/klagomålsmail/A 36754-2023 FSC-klagomål mail.docx", "A 36754-2023")</f>
        <v/>
      </c>
      <c r="X437">
        <f>HYPERLINK("https://klasma.github.io/Logging_2313/tillsyn/A 36754-2023 tillsynsbegäran.docx", "A 36754-2023")</f>
        <v/>
      </c>
      <c r="Y437">
        <f>HYPERLINK("https://klasma.github.io/Logging_2313/tillsynsmail/A 36754-2023 tillsynsbegäran mail.docx", "A 36754-2023")</f>
        <v/>
      </c>
    </row>
    <row r="438" ht="15" customHeight="1">
      <c r="A438" t="inlineStr">
        <is>
          <t>A 39075-2023</t>
        </is>
      </c>
      <c r="B438" s="1" t="n">
        <v>45163</v>
      </c>
      <c r="C438" s="1" t="n">
        <v>45740</v>
      </c>
      <c r="D438" t="inlineStr">
        <is>
          <t>JÄMTLANDS LÄN</t>
        </is>
      </c>
      <c r="E438" t="inlineStr">
        <is>
          <t>STRÖMSUND</t>
        </is>
      </c>
      <c r="F438" t="inlineStr">
        <is>
          <t>SCA</t>
        </is>
      </c>
      <c r="G438" t="n">
        <v>2.1</v>
      </c>
      <c r="H438" t="n">
        <v>0</v>
      </c>
      <c r="I438" t="n">
        <v>0</v>
      </c>
      <c r="J438" t="n">
        <v>1</v>
      </c>
      <c r="K438" t="n">
        <v>0</v>
      </c>
      <c r="L438" t="n">
        <v>0</v>
      </c>
      <c r="M438" t="n">
        <v>0</v>
      </c>
      <c r="N438" t="n">
        <v>0</v>
      </c>
      <c r="O438" t="n">
        <v>1</v>
      </c>
      <c r="P438" t="n">
        <v>0</v>
      </c>
      <c r="Q438" t="n">
        <v>1</v>
      </c>
      <c r="R438" s="2" t="inlineStr">
        <is>
          <t>Brunpudrad nållav</t>
        </is>
      </c>
      <c r="S438">
        <f>HYPERLINK("https://klasma.github.io/Logging_2313/artfynd/A 39075-2023 artfynd.xlsx", "A 39075-2023")</f>
        <v/>
      </c>
      <c r="T438">
        <f>HYPERLINK("https://klasma.github.io/Logging_2313/kartor/A 39075-2023 karta.png", "A 39075-2023")</f>
        <v/>
      </c>
      <c r="V438">
        <f>HYPERLINK("https://klasma.github.io/Logging_2313/klagomål/A 39075-2023 FSC-klagomål.docx", "A 39075-2023")</f>
        <v/>
      </c>
      <c r="W438">
        <f>HYPERLINK("https://klasma.github.io/Logging_2313/klagomålsmail/A 39075-2023 FSC-klagomål mail.docx", "A 39075-2023")</f>
        <v/>
      </c>
      <c r="X438">
        <f>HYPERLINK("https://klasma.github.io/Logging_2313/tillsyn/A 39075-2023 tillsynsbegäran.docx", "A 39075-2023")</f>
        <v/>
      </c>
      <c r="Y438">
        <f>HYPERLINK("https://klasma.github.io/Logging_2313/tillsynsmail/A 39075-2023 tillsynsbegäran mail.docx", "A 39075-2023")</f>
        <v/>
      </c>
    </row>
    <row r="439" ht="15" customHeight="1">
      <c r="A439" t="inlineStr">
        <is>
          <t>A 39511-2023</t>
        </is>
      </c>
      <c r="B439" s="1" t="n">
        <v>45166</v>
      </c>
      <c r="C439" s="1" t="n">
        <v>45740</v>
      </c>
      <c r="D439" t="inlineStr">
        <is>
          <t>JÄMTLANDS LÄN</t>
        </is>
      </c>
      <c r="E439" t="inlineStr">
        <is>
          <t>STRÖMSUND</t>
        </is>
      </c>
      <c r="F439" t="inlineStr">
        <is>
          <t>SCA</t>
        </is>
      </c>
      <c r="G439" t="n">
        <v>3.7</v>
      </c>
      <c r="H439" t="n">
        <v>0</v>
      </c>
      <c r="I439" t="n">
        <v>0</v>
      </c>
      <c r="J439" t="n">
        <v>1</v>
      </c>
      <c r="K439" t="n">
        <v>0</v>
      </c>
      <c r="L439" t="n">
        <v>0</v>
      </c>
      <c r="M439" t="n">
        <v>0</v>
      </c>
      <c r="N439" t="n">
        <v>0</v>
      </c>
      <c r="O439" t="n">
        <v>1</v>
      </c>
      <c r="P439" t="n">
        <v>0</v>
      </c>
      <c r="Q439" t="n">
        <v>1</v>
      </c>
      <c r="R439" s="2" t="inlineStr">
        <is>
          <t>Rosenticka</t>
        </is>
      </c>
      <c r="S439">
        <f>HYPERLINK("https://klasma.github.io/Logging_2313/artfynd/A 39511-2023 artfynd.xlsx", "A 39511-2023")</f>
        <v/>
      </c>
      <c r="T439">
        <f>HYPERLINK("https://klasma.github.io/Logging_2313/kartor/A 39511-2023 karta.png", "A 39511-2023")</f>
        <v/>
      </c>
      <c r="V439">
        <f>HYPERLINK("https://klasma.github.io/Logging_2313/klagomål/A 39511-2023 FSC-klagomål.docx", "A 39511-2023")</f>
        <v/>
      </c>
      <c r="W439">
        <f>HYPERLINK("https://klasma.github.io/Logging_2313/klagomålsmail/A 39511-2023 FSC-klagomål mail.docx", "A 39511-2023")</f>
        <v/>
      </c>
      <c r="X439">
        <f>HYPERLINK("https://klasma.github.io/Logging_2313/tillsyn/A 39511-2023 tillsynsbegäran.docx", "A 39511-2023")</f>
        <v/>
      </c>
      <c r="Y439">
        <f>HYPERLINK("https://klasma.github.io/Logging_2313/tillsynsmail/A 39511-2023 tillsynsbegäran mail.docx", "A 39511-2023")</f>
        <v/>
      </c>
    </row>
    <row r="440" ht="15" customHeight="1">
      <c r="A440" t="inlineStr">
        <is>
          <t>A 43105-2023</t>
        </is>
      </c>
      <c r="B440" s="1" t="n">
        <v>45182</v>
      </c>
      <c r="C440" s="1" t="n">
        <v>45740</v>
      </c>
      <c r="D440" t="inlineStr">
        <is>
          <t>JÄMTLANDS LÄN</t>
        </is>
      </c>
      <c r="E440" t="inlineStr">
        <is>
          <t>STRÖMSUND</t>
        </is>
      </c>
      <c r="F440" t="inlineStr">
        <is>
          <t>SCA</t>
        </is>
      </c>
      <c r="G440" t="n">
        <v>6.3</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43105-2023 artfynd.xlsx", "A 43105-2023")</f>
        <v/>
      </c>
      <c r="T440">
        <f>HYPERLINK("https://klasma.github.io/Logging_2313/kartor/A 43105-2023 karta.png", "A 43105-2023")</f>
        <v/>
      </c>
      <c r="V440">
        <f>HYPERLINK("https://klasma.github.io/Logging_2313/klagomål/A 43105-2023 FSC-klagomål.docx", "A 43105-2023")</f>
        <v/>
      </c>
      <c r="W440">
        <f>HYPERLINK("https://klasma.github.io/Logging_2313/klagomålsmail/A 43105-2023 FSC-klagomål mail.docx", "A 43105-2023")</f>
        <v/>
      </c>
      <c r="X440">
        <f>HYPERLINK("https://klasma.github.io/Logging_2313/tillsyn/A 43105-2023 tillsynsbegäran.docx", "A 43105-2023")</f>
        <v/>
      </c>
      <c r="Y440">
        <f>HYPERLINK("https://klasma.github.io/Logging_2313/tillsynsmail/A 43105-2023 tillsynsbegäran mail.docx", "A 43105-2023")</f>
        <v/>
      </c>
    </row>
    <row r="441" ht="15" customHeight="1">
      <c r="A441" t="inlineStr">
        <is>
          <t>A 43406-2023</t>
        </is>
      </c>
      <c r="B441" s="1" t="n">
        <v>45183</v>
      </c>
      <c r="C441" s="1" t="n">
        <v>45740</v>
      </c>
      <c r="D441" t="inlineStr">
        <is>
          <t>JÄMTLANDS LÄN</t>
        </is>
      </c>
      <c r="E441" t="inlineStr">
        <is>
          <t>STRÖMSUND</t>
        </is>
      </c>
      <c r="F441" t="inlineStr">
        <is>
          <t>SCA</t>
        </is>
      </c>
      <c r="G441" t="n">
        <v>3.6</v>
      </c>
      <c r="H441" t="n">
        <v>0</v>
      </c>
      <c r="I441" t="n">
        <v>0</v>
      </c>
      <c r="J441" t="n">
        <v>1</v>
      </c>
      <c r="K441" t="n">
        <v>0</v>
      </c>
      <c r="L441" t="n">
        <v>0</v>
      </c>
      <c r="M441" t="n">
        <v>0</v>
      </c>
      <c r="N441" t="n">
        <v>0</v>
      </c>
      <c r="O441" t="n">
        <v>1</v>
      </c>
      <c r="P441" t="n">
        <v>0</v>
      </c>
      <c r="Q441" t="n">
        <v>1</v>
      </c>
      <c r="R441" s="2" t="inlineStr">
        <is>
          <t>Lunglav</t>
        </is>
      </c>
      <c r="S441">
        <f>HYPERLINK("https://klasma.github.io/Logging_2313/artfynd/A 43406-2023 artfynd.xlsx", "A 43406-2023")</f>
        <v/>
      </c>
      <c r="T441">
        <f>HYPERLINK("https://klasma.github.io/Logging_2313/kartor/A 43406-2023 karta.png", "A 43406-2023")</f>
        <v/>
      </c>
      <c r="V441">
        <f>HYPERLINK("https://klasma.github.io/Logging_2313/klagomål/A 43406-2023 FSC-klagomål.docx", "A 43406-2023")</f>
        <v/>
      </c>
      <c r="W441">
        <f>HYPERLINK("https://klasma.github.io/Logging_2313/klagomålsmail/A 43406-2023 FSC-klagomål mail.docx", "A 43406-2023")</f>
        <v/>
      </c>
      <c r="X441">
        <f>HYPERLINK("https://klasma.github.io/Logging_2313/tillsyn/A 43406-2023 tillsynsbegäran.docx", "A 43406-2023")</f>
        <v/>
      </c>
      <c r="Y441">
        <f>HYPERLINK("https://klasma.github.io/Logging_2313/tillsynsmail/A 43406-2023 tillsynsbegäran mail.docx", "A 43406-2023")</f>
        <v/>
      </c>
    </row>
    <row r="442" ht="15" customHeight="1">
      <c r="A442" t="inlineStr">
        <is>
          <t>A 44386-2023</t>
        </is>
      </c>
      <c r="B442" s="1" t="n">
        <v>45188</v>
      </c>
      <c r="C442" s="1" t="n">
        <v>45740</v>
      </c>
      <c r="D442" t="inlineStr">
        <is>
          <t>JÄMTLANDS LÄN</t>
        </is>
      </c>
      <c r="E442" t="inlineStr">
        <is>
          <t>STRÖMSUND</t>
        </is>
      </c>
      <c r="F442" t="inlineStr">
        <is>
          <t>SCA</t>
        </is>
      </c>
      <c r="G442" t="n">
        <v>2.5</v>
      </c>
      <c r="H442" t="n">
        <v>0</v>
      </c>
      <c r="I442" t="n">
        <v>0</v>
      </c>
      <c r="J442" t="n">
        <v>1</v>
      </c>
      <c r="K442" t="n">
        <v>0</v>
      </c>
      <c r="L442" t="n">
        <v>0</v>
      </c>
      <c r="M442" t="n">
        <v>0</v>
      </c>
      <c r="N442" t="n">
        <v>0</v>
      </c>
      <c r="O442" t="n">
        <v>1</v>
      </c>
      <c r="P442" t="n">
        <v>0</v>
      </c>
      <c r="Q442" t="n">
        <v>1</v>
      </c>
      <c r="R442" s="2" t="inlineStr">
        <is>
          <t>Stjärntagging</t>
        </is>
      </c>
      <c r="S442">
        <f>HYPERLINK("https://klasma.github.io/Logging_2313/artfynd/A 44386-2023 artfynd.xlsx", "A 44386-2023")</f>
        <v/>
      </c>
      <c r="T442">
        <f>HYPERLINK("https://klasma.github.io/Logging_2313/kartor/A 44386-2023 karta.png", "A 44386-2023")</f>
        <v/>
      </c>
      <c r="V442">
        <f>HYPERLINK("https://klasma.github.io/Logging_2313/klagomål/A 44386-2023 FSC-klagomål.docx", "A 44386-2023")</f>
        <v/>
      </c>
      <c r="W442">
        <f>HYPERLINK("https://klasma.github.io/Logging_2313/klagomålsmail/A 44386-2023 FSC-klagomål mail.docx", "A 44386-2023")</f>
        <v/>
      </c>
      <c r="X442">
        <f>HYPERLINK("https://klasma.github.io/Logging_2313/tillsyn/A 44386-2023 tillsynsbegäran.docx", "A 44386-2023")</f>
        <v/>
      </c>
      <c r="Y442">
        <f>HYPERLINK("https://klasma.github.io/Logging_2313/tillsynsmail/A 44386-2023 tillsynsbegäran mail.docx", "A 44386-2023")</f>
        <v/>
      </c>
    </row>
    <row r="443" ht="15" customHeight="1">
      <c r="A443" t="inlineStr">
        <is>
          <t>A 45485-2023</t>
        </is>
      </c>
      <c r="B443" s="1" t="n">
        <v>45194</v>
      </c>
      <c r="C443" s="1" t="n">
        <v>45740</v>
      </c>
      <c r="D443" t="inlineStr">
        <is>
          <t>JÄMTLANDS LÄN</t>
        </is>
      </c>
      <c r="E443" t="inlineStr">
        <is>
          <t>STRÖMSUND</t>
        </is>
      </c>
      <c r="G443" t="n">
        <v>3.9</v>
      </c>
      <c r="H443" t="n">
        <v>1</v>
      </c>
      <c r="I443" t="n">
        <v>0</v>
      </c>
      <c r="J443" t="n">
        <v>0</v>
      </c>
      <c r="K443" t="n">
        <v>1</v>
      </c>
      <c r="L443" t="n">
        <v>0</v>
      </c>
      <c r="M443" t="n">
        <v>0</v>
      </c>
      <c r="N443" t="n">
        <v>0</v>
      </c>
      <c r="O443" t="n">
        <v>1</v>
      </c>
      <c r="P443" t="n">
        <v>1</v>
      </c>
      <c r="Q443" t="n">
        <v>1</v>
      </c>
      <c r="R443" s="2" t="inlineStr">
        <is>
          <t>Lappuggla</t>
        </is>
      </c>
      <c r="S443">
        <f>HYPERLINK("https://klasma.github.io/Logging_2313/artfynd/A 45485-2023 artfynd.xlsx", "A 45485-2023")</f>
        <v/>
      </c>
      <c r="T443">
        <f>HYPERLINK("https://klasma.github.io/Logging_2313/kartor/A 45485-2023 karta.png", "A 45485-2023")</f>
        <v/>
      </c>
      <c r="V443">
        <f>HYPERLINK("https://klasma.github.io/Logging_2313/klagomål/A 45485-2023 FSC-klagomål.docx", "A 45485-2023")</f>
        <v/>
      </c>
      <c r="W443">
        <f>HYPERLINK("https://klasma.github.io/Logging_2313/klagomålsmail/A 45485-2023 FSC-klagomål mail.docx", "A 45485-2023")</f>
        <v/>
      </c>
      <c r="X443">
        <f>HYPERLINK("https://klasma.github.io/Logging_2313/tillsyn/A 45485-2023 tillsynsbegäran.docx", "A 45485-2023")</f>
        <v/>
      </c>
      <c r="Y443">
        <f>HYPERLINK("https://klasma.github.io/Logging_2313/tillsynsmail/A 45485-2023 tillsynsbegäran mail.docx", "A 45485-2023")</f>
        <v/>
      </c>
      <c r="Z443">
        <f>HYPERLINK("https://klasma.github.io/Logging_2313/fåglar/A 45485-2023 prioriterade fågelarter.docx", "A 45485-2023")</f>
        <v/>
      </c>
    </row>
    <row r="444" ht="15" customHeight="1">
      <c r="A444" t="inlineStr">
        <is>
          <t>A 46766-2023</t>
        </is>
      </c>
      <c r="B444" s="1" t="n">
        <v>45198</v>
      </c>
      <c r="C444" s="1" t="n">
        <v>45740</v>
      </c>
      <c r="D444" t="inlineStr">
        <is>
          <t>JÄMTLANDS LÄN</t>
        </is>
      </c>
      <c r="E444" t="inlineStr">
        <is>
          <t>STRÖMSUND</t>
        </is>
      </c>
      <c r="F444" t="inlineStr">
        <is>
          <t>Sveaskog</t>
        </is>
      </c>
      <c r="G444" t="n">
        <v>7.3</v>
      </c>
      <c r="H444" t="n">
        <v>0</v>
      </c>
      <c r="I444" t="n">
        <v>1</v>
      </c>
      <c r="J444" t="n">
        <v>0</v>
      </c>
      <c r="K444" t="n">
        <v>0</v>
      </c>
      <c r="L444" t="n">
        <v>0</v>
      </c>
      <c r="M444" t="n">
        <v>0</v>
      </c>
      <c r="N444" t="n">
        <v>0</v>
      </c>
      <c r="O444" t="n">
        <v>0</v>
      </c>
      <c r="P444" t="n">
        <v>0</v>
      </c>
      <c r="Q444" t="n">
        <v>1</v>
      </c>
      <c r="R444" s="2" t="inlineStr">
        <is>
          <t>Svavelriska</t>
        </is>
      </c>
      <c r="S444">
        <f>HYPERLINK("https://klasma.github.io/Logging_2313/artfynd/A 46766-2023 artfynd.xlsx", "A 46766-2023")</f>
        <v/>
      </c>
      <c r="T444">
        <f>HYPERLINK("https://klasma.github.io/Logging_2313/kartor/A 46766-2023 karta.png", "A 46766-2023")</f>
        <v/>
      </c>
      <c r="V444">
        <f>HYPERLINK("https://klasma.github.io/Logging_2313/klagomål/A 46766-2023 FSC-klagomål.docx", "A 46766-2023")</f>
        <v/>
      </c>
      <c r="W444">
        <f>HYPERLINK("https://klasma.github.io/Logging_2313/klagomålsmail/A 46766-2023 FSC-klagomål mail.docx", "A 46766-2023")</f>
        <v/>
      </c>
      <c r="X444">
        <f>HYPERLINK("https://klasma.github.io/Logging_2313/tillsyn/A 46766-2023 tillsynsbegäran.docx", "A 46766-2023")</f>
        <v/>
      </c>
      <c r="Y444">
        <f>HYPERLINK("https://klasma.github.io/Logging_2313/tillsynsmail/A 46766-2023 tillsynsbegäran mail.docx", "A 46766-2023")</f>
        <v/>
      </c>
    </row>
    <row r="445" ht="15" customHeight="1">
      <c r="A445" t="inlineStr">
        <is>
          <t>A 46814-2023</t>
        </is>
      </c>
      <c r="B445" s="1" t="n">
        <v>45198</v>
      </c>
      <c r="C445" s="1" t="n">
        <v>45740</v>
      </c>
      <c r="D445" t="inlineStr">
        <is>
          <t>JÄMTLANDS LÄN</t>
        </is>
      </c>
      <c r="E445" t="inlineStr">
        <is>
          <t>STRÖMSUND</t>
        </is>
      </c>
      <c r="F445" t="inlineStr">
        <is>
          <t>SCA</t>
        </is>
      </c>
      <c r="G445" t="n">
        <v>9.5</v>
      </c>
      <c r="H445" t="n">
        <v>0</v>
      </c>
      <c r="I445" t="n">
        <v>0</v>
      </c>
      <c r="J445" t="n">
        <v>0</v>
      </c>
      <c r="K445" t="n">
        <v>0</v>
      </c>
      <c r="L445" t="n">
        <v>0</v>
      </c>
      <c r="M445" t="n">
        <v>0</v>
      </c>
      <c r="N445" t="n">
        <v>0</v>
      </c>
      <c r="O445" t="n">
        <v>1</v>
      </c>
      <c r="P445" t="n">
        <v>0</v>
      </c>
      <c r="Q445" t="n">
        <v>1</v>
      </c>
      <c r="R445" s="2" t="inlineStr">
        <is>
          <t>Liten klubbdyna</t>
        </is>
      </c>
      <c r="S445">
        <f>HYPERLINK("https://klasma.github.io/Logging_2313/artfynd/A 46814-2023 artfynd.xlsx", "A 46814-2023")</f>
        <v/>
      </c>
      <c r="T445">
        <f>HYPERLINK("https://klasma.github.io/Logging_2313/kartor/A 46814-2023 karta.png", "A 46814-2023")</f>
        <v/>
      </c>
      <c r="V445">
        <f>HYPERLINK("https://klasma.github.io/Logging_2313/klagomål/A 46814-2023 FSC-klagomål.docx", "A 46814-2023")</f>
        <v/>
      </c>
      <c r="W445">
        <f>HYPERLINK("https://klasma.github.io/Logging_2313/klagomålsmail/A 46814-2023 FSC-klagomål mail.docx", "A 46814-2023")</f>
        <v/>
      </c>
      <c r="X445">
        <f>HYPERLINK("https://klasma.github.io/Logging_2313/tillsyn/A 46814-2023 tillsynsbegäran.docx", "A 46814-2023")</f>
        <v/>
      </c>
      <c r="Y445">
        <f>HYPERLINK("https://klasma.github.io/Logging_2313/tillsynsmail/A 46814-2023 tillsynsbegäran mail.docx", "A 46814-2023")</f>
        <v/>
      </c>
    </row>
    <row r="446" ht="15" customHeight="1">
      <c r="A446" t="inlineStr">
        <is>
          <t>A 49524-2023</t>
        </is>
      </c>
      <c r="B446" s="1" t="n">
        <v>45211</v>
      </c>
      <c r="C446" s="1" t="n">
        <v>45740</v>
      </c>
      <c r="D446" t="inlineStr">
        <is>
          <t>JÄMTLANDS LÄN</t>
        </is>
      </c>
      <c r="E446" t="inlineStr">
        <is>
          <t>STRÖMSUND</t>
        </is>
      </c>
      <c r="F446" t="inlineStr">
        <is>
          <t>Holmen skog AB</t>
        </is>
      </c>
      <c r="G446" t="n">
        <v>3.3</v>
      </c>
      <c r="H446" t="n">
        <v>0</v>
      </c>
      <c r="I446" t="n">
        <v>0</v>
      </c>
      <c r="J446" t="n">
        <v>1</v>
      </c>
      <c r="K446" t="n">
        <v>0</v>
      </c>
      <c r="L446" t="n">
        <v>0</v>
      </c>
      <c r="M446" t="n">
        <v>0</v>
      </c>
      <c r="N446" t="n">
        <v>0</v>
      </c>
      <c r="O446" t="n">
        <v>1</v>
      </c>
      <c r="P446" t="n">
        <v>0</v>
      </c>
      <c r="Q446" t="n">
        <v>1</v>
      </c>
      <c r="R446" s="2" t="inlineStr">
        <is>
          <t>Kolflarnlav</t>
        </is>
      </c>
      <c r="S446">
        <f>HYPERLINK("https://klasma.github.io/Logging_2313/artfynd/A 49524-2023 artfynd.xlsx", "A 49524-2023")</f>
        <v/>
      </c>
      <c r="T446">
        <f>HYPERLINK("https://klasma.github.io/Logging_2313/kartor/A 49524-2023 karta.png", "A 49524-2023")</f>
        <v/>
      </c>
      <c r="V446">
        <f>HYPERLINK("https://klasma.github.io/Logging_2313/klagomål/A 49524-2023 FSC-klagomål.docx", "A 49524-2023")</f>
        <v/>
      </c>
      <c r="W446">
        <f>HYPERLINK("https://klasma.github.io/Logging_2313/klagomålsmail/A 49524-2023 FSC-klagomål mail.docx", "A 49524-2023")</f>
        <v/>
      </c>
      <c r="X446">
        <f>HYPERLINK("https://klasma.github.io/Logging_2313/tillsyn/A 49524-2023 tillsynsbegäran.docx", "A 49524-2023")</f>
        <v/>
      </c>
      <c r="Y446">
        <f>HYPERLINK("https://klasma.github.io/Logging_2313/tillsynsmail/A 49524-2023 tillsynsbegäran mail.docx", "A 49524-2023")</f>
        <v/>
      </c>
    </row>
    <row r="447" ht="15" customHeight="1">
      <c r="A447" t="inlineStr">
        <is>
          <t>A 49651-2023</t>
        </is>
      </c>
      <c r="B447" s="1" t="n">
        <v>45211</v>
      </c>
      <c r="C447" s="1" t="n">
        <v>45740</v>
      </c>
      <c r="D447" t="inlineStr">
        <is>
          <t>JÄMTLANDS LÄN</t>
        </is>
      </c>
      <c r="E447" t="inlineStr">
        <is>
          <t>STRÖMSUND</t>
        </is>
      </c>
      <c r="F447" t="inlineStr">
        <is>
          <t>SCA</t>
        </is>
      </c>
      <c r="G447" t="n">
        <v>2.7</v>
      </c>
      <c r="H447" t="n">
        <v>1</v>
      </c>
      <c r="I447" t="n">
        <v>0</v>
      </c>
      <c r="J447" t="n">
        <v>1</v>
      </c>
      <c r="K447" t="n">
        <v>0</v>
      </c>
      <c r="L447" t="n">
        <v>0</v>
      </c>
      <c r="M447" t="n">
        <v>0</v>
      </c>
      <c r="N447" t="n">
        <v>0</v>
      </c>
      <c r="O447" t="n">
        <v>1</v>
      </c>
      <c r="P447" t="n">
        <v>0</v>
      </c>
      <c r="Q447" t="n">
        <v>1</v>
      </c>
      <c r="R447" s="2" t="inlineStr">
        <is>
          <t>Talltita</t>
        </is>
      </c>
      <c r="S447">
        <f>HYPERLINK("https://klasma.github.io/Logging_2313/artfynd/A 49651-2023 artfynd.xlsx", "A 49651-2023")</f>
        <v/>
      </c>
      <c r="T447">
        <f>HYPERLINK("https://klasma.github.io/Logging_2313/kartor/A 49651-2023 karta.png", "A 49651-2023")</f>
        <v/>
      </c>
      <c r="V447">
        <f>HYPERLINK("https://klasma.github.io/Logging_2313/klagomål/A 49651-2023 FSC-klagomål.docx", "A 49651-2023")</f>
        <v/>
      </c>
      <c r="W447">
        <f>HYPERLINK("https://klasma.github.io/Logging_2313/klagomålsmail/A 49651-2023 FSC-klagomål mail.docx", "A 49651-2023")</f>
        <v/>
      </c>
      <c r="X447">
        <f>HYPERLINK("https://klasma.github.io/Logging_2313/tillsyn/A 49651-2023 tillsynsbegäran.docx", "A 49651-2023")</f>
        <v/>
      </c>
      <c r="Y447">
        <f>HYPERLINK("https://klasma.github.io/Logging_2313/tillsynsmail/A 49651-2023 tillsynsbegäran mail.docx", "A 49651-2023")</f>
        <v/>
      </c>
      <c r="Z447">
        <f>HYPERLINK("https://klasma.github.io/Logging_2313/fåglar/A 49651-2023 prioriterade fågelarter.docx", "A 49651-2023")</f>
        <v/>
      </c>
    </row>
    <row r="448" ht="15" customHeight="1">
      <c r="A448" t="inlineStr">
        <is>
          <t>A 51024-2023</t>
        </is>
      </c>
      <c r="B448" s="1" t="n">
        <v>45218</v>
      </c>
      <c r="C448" s="1" t="n">
        <v>45740</v>
      </c>
      <c r="D448" t="inlineStr">
        <is>
          <t>JÄMTLANDS LÄN</t>
        </is>
      </c>
      <c r="E448" t="inlineStr">
        <is>
          <t>STRÖMSUND</t>
        </is>
      </c>
      <c r="G448" t="n">
        <v>5.6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51024-2023 artfynd.xlsx", "A 51024-2023")</f>
        <v/>
      </c>
      <c r="T448">
        <f>HYPERLINK("https://klasma.github.io/Logging_2313/kartor/A 51024-2023 karta.png", "A 51024-2023")</f>
        <v/>
      </c>
      <c r="V448">
        <f>HYPERLINK("https://klasma.github.io/Logging_2313/klagomål/A 51024-2023 FSC-klagomål.docx", "A 51024-2023")</f>
        <v/>
      </c>
      <c r="W448">
        <f>HYPERLINK("https://klasma.github.io/Logging_2313/klagomålsmail/A 51024-2023 FSC-klagomål mail.docx", "A 51024-2023")</f>
        <v/>
      </c>
      <c r="X448">
        <f>HYPERLINK("https://klasma.github.io/Logging_2313/tillsyn/A 51024-2023 tillsynsbegäran.docx", "A 51024-2023")</f>
        <v/>
      </c>
      <c r="Y448">
        <f>HYPERLINK("https://klasma.github.io/Logging_2313/tillsynsmail/A 51024-2023 tillsynsbegäran mail.docx", "A 51024-2023")</f>
        <v/>
      </c>
      <c r="Z448">
        <f>HYPERLINK("https://klasma.github.io/Logging_2313/fåglar/A 51024-2023 prioriterade fågelarter.docx", "A 51024-2023")</f>
        <v/>
      </c>
    </row>
    <row r="449" ht="15" customHeight="1">
      <c r="A449" t="inlineStr">
        <is>
          <t>A 53447-2023</t>
        </is>
      </c>
      <c r="B449" s="1" t="n">
        <v>45229</v>
      </c>
      <c r="C449" s="1" t="n">
        <v>45740</v>
      </c>
      <c r="D449" t="inlineStr">
        <is>
          <t>JÄMTLANDS LÄN</t>
        </is>
      </c>
      <c r="E449" t="inlineStr">
        <is>
          <t>STRÖMSUND</t>
        </is>
      </c>
      <c r="F449" t="inlineStr">
        <is>
          <t>SCA</t>
        </is>
      </c>
      <c r="G449" t="n">
        <v>3.4</v>
      </c>
      <c r="H449" t="n">
        <v>0</v>
      </c>
      <c r="I449" t="n">
        <v>0</v>
      </c>
      <c r="J449" t="n">
        <v>1</v>
      </c>
      <c r="K449" t="n">
        <v>0</v>
      </c>
      <c r="L449" t="n">
        <v>0</v>
      </c>
      <c r="M449" t="n">
        <v>0</v>
      </c>
      <c r="N449" t="n">
        <v>0</v>
      </c>
      <c r="O449" t="n">
        <v>1</v>
      </c>
      <c r="P449" t="n">
        <v>0</v>
      </c>
      <c r="Q449" t="n">
        <v>1</v>
      </c>
      <c r="R449" s="2" t="inlineStr">
        <is>
          <t>Harticka</t>
        </is>
      </c>
      <c r="S449">
        <f>HYPERLINK("https://klasma.github.io/Logging_2313/artfynd/A 53447-2023 artfynd.xlsx", "A 53447-2023")</f>
        <v/>
      </c>
      <c r="T449">
        <f>HYPERLINK("https://klasma.github.io/Logging_2313/kartor/A 53447-2023 karta.png", "A 53447-2023")</f>
        <v/>
      </c>
      <c r="V449">
        <f>HYPERLINK("https://klasma.github.io/Logging_2313/klagomål/A 53447-2023 FSC-klagomål.docx", "A 53447-2023")</f>
        <v/>
      </c>
      <c r="W449">
        <f>HYPERLINK("https://klasma.github.io/Logging_2313/klagomålsmail/A 53447-2023 FSC-klagomål mail.docx", "A 53447-2023")</f>
        <v/>
      </c>
      <c r="X449">
        <f>HYPERLINK("https://klasma.github.io/Logging_2313/tillsyn/A 53447-2023 tillsynsbegäran.docx", "A 53447-2023")</f>
        <v/>
      </c>
      <c r="Y449">
        <f>HYPERLINK("https://klasma.github.io/Logging_2313/tillsynsmail/A 53447-2023 tillsynsbegäran mail.docx", "A 53447-2023")</f>
        <v/>
      </c>
    </row>
    <row r="450" ht="15" customHeight="1">
      <c r="A450" t="inlineStr">
        <is>
          <t>A 54064-2023</t>
        </is>
      </c>
      <c r="B450" s="1" t="n">
        <v>45231</v>
      </c>
      <c r="C450" s="1" t="n">
        <v>45740</v>
      </c>
      <c r="D450" t="inlineStr">
        <is>
          <t>JÄMTLANDS LÄN</t>
        </is>
      </c>
      <c r="E450" t="inlineStr">
        <is>
          <t>STRÖMSUND</t>
        </is>
      </c>
      <c r="F450" t="inlineStr">
        <is>
          <t>SCA</t>
        </is>
      </c>
      <c r="G450" t="n">
        <v>14.1</v>
      </c>
      <c r="H450" t="n">
        <v>0</v>
      </c>
      <c r="I450" t="n">
        <v>0</v>
      </c>
      <c r="J450" t="n">
        <v>1</v>
      </c>
      <c r="K450" t="n">
        <v>0</v>
      </c>
      <c r="L450" t="n">
        <v>0</v>
      </c>
      <c r="M450" t="n">
        <v>0</v>
      </c>
      <c r="N450" t="n">
        <v>0</v>
      </c>
      <c r="O450" t="n">
        <v>1</v>
      </c>
      <c r="P450" t="n">
        <v>0</v>
      </c>
      <c r="Q450" t="n">
        <v>1</v>
      </c>
      <c r="R450" s="2" t="inlineStr">
        <is>
          <t>Skrovellav</t>
        </is>
      </c>
      <c r="S450">
        <f>HYPERLINK("https://klasma.github.io/Logging_2313/artfynd/A 54064-2023 artfynd.xlsx", "A 54064-2023")</f>
        <v/>
      </c>
      <c r="T450">
        <f>HYPERLINK("https://klasma.github.io/Logging_2313/kartor/A 54064-2023 karta.png", "A 54064-2023")</f>
        <v/>
      </c>
      <c r="V450">
        <f>HYPERLINK("https://klasma.github.io/Logging_2313/klagomål/A 54064-2023 FSC-klagomål.docx", "A 54064-2023")</f>
        <v/>
      </c>
      <c r="W450">
        <f>HYPERLINK("https://klasma.github.io/Logging_2313/klagomålsmail/A 54064-2023 FSC-klagomål mail.docx", "A 54064-2023")</f>
        <v/>
      </c>
      <c r="X450">
        <f>HYPERLINK("https://klasma.github.io/Logging_2313/tillsyn/A 54064-2023 tillsynsbegäran.docx", "A 54064-2023")</f>
        <v/>
      </c>
      <c r="Y450">
        <f>HYPERLINK("https://klasma.github.io/Logging_2313/tillsynsmail/A 54064-2023 tillsynsbegäran mail.docx", "A 54064-2023")</f>
        <v/>
      </c>
    </row>
    <row r="451" ht="15" customHeight="1">
      <c r="A451" t="inlineStr">
        <is>
          <t>A 56689-2023</t>
        </is>
      </c>
      <c r="B451" s="1" t="n">
        <v>45243</v>
      </c>
      <c r="C451" s="1" t="n">
        <v>45740</v>
      </c>
      <c r="D451" t="inlineStr">
        <is>
          <t>JÄMTLANDS LÄN</t>
        </is>
      </c>
      <c r="E451" t="inlineStr">
        <is>
          <t>STRÖMSUND</t>
        </is>
      </c>
      <c r="F451" t="inlineStr">
        <is>
          <t>SCA</t>
        </is>
      </c>
      <c r="G451" t="n">
        <v>1.3</v>
      </c>
      <c r="H451" t="n">
        <v>0</v>
      </c>
      <c r="I451" t="n">
        <v>0</v>
      </c>
      <c r="J451" t="n">
        <v>1</v>
      </c>
      <c r="K451" t="n">
        <v>0</v>
      </c>
      <c r="L451" t="n">
        <v>0</v>
      </c>
      <c r="M451" t="n">
        <v>0</v>
      </c>
      <c r="N451" t="n">
        <v>0</v>
      </c>
      <c r="O451" t="n">
        <v>1</v>
      </c>
      <c r="P451" t="n">
        <v>0</v>
      </c>
      <c r="Q451" t="n">
        <v>1</v>
      </c>
      <c r="R451" s="2" t="inlineStr">
        <is>
          <t>Garnlav</t>
        </is>
      </c>
      <c r="S451">
        <f>HYPERLINK("https://klasma.github.io/Logging_2313/artfynd/A 56689-2023 artfynd.xlsx", "A 56689-2023")</f>
        <v/>
      </c>
      <c r="T451">
        <f>HYPERLINK("https://klasma.github.io/Logging_2313/kartor/A 56689-2023 karta.png", "A 56689-2023")</f>
        <v/>
      </c>
      <c r="V451">
        <f>HYPERLINK("https://klasma.github.io/Logging_2313/klagomål/A 56689-2023 FSC-klagomål.docx", "A 56689-2023")</f>
        <v/>
      </c>
      <c r="W451">
        <f>HYPERLINK("https://klasma.github.io/Logging_2313/klagomålsmail/A 56689-2023 FSC-klagomål mail.docx", "A 56689-2023")</f>
        <v/>
      </c>
      <c r="X451">
        <f>HYPERLINK("https://klasma.github.io/Logging_2313/tillsyn/A 56689-2023 tillsynsbegäran.docx", "A 56689-2023")</f>
        <v/>
      </c>
      <c r="Y451">
        <f>HYPERLINK("https://klasma.github.io/Logging_2313/tillsynsmail/A 56689-2023 tillsynsbegäran mail.docx", "A 56689-2023")</f>
        <v/>
      </c>
    </row>
    <row r="452" ht="15" customHeight="1">
      <c r="A452" t="inlineStr">
        <is>
          <t>A 57619-2023</t>
        </is>
      </c>
      <c r="B452" s="1" t="n">
        <v>45243</v>
      </c>
      <c r="C452" s="1" t="n">
        <v>45740</v>
      </c>
      <c r="D452" t="inlineStr">
        <is>
          <t>JÄMTLANDS LÄN</t>
        </is>
      </c>
      <c r="E452" t="inlineStr">
        <is>
          <t>STRÖMSUND</t>
        </is>
      </c>
      <c r="F452" t="inlineStr">
        <is>
          <t>SCA</t>
        </is>
      </c>
      <c r="G452" t="n">
        <v>17</v>
      </c>
      <c r="H452" t="n">
        <v>0</v>
      </c>
      <c r="I452" t="n">
        <v>0</v>
      </c>
      <c r="J452" t="n">
        <v>1</v>
      </c>
      <c r="K452" t="n">
        <v>0</v>
      </c>
      <c r="L452" t="n">
        <v>0</v>
      </c>
      <c r="M452" t="n">
        <v>0</v>
      </c>
      <c r="N452" t="n">
        <v>0</v>
      </c>
      <c r="O452" t="n">
        <v>1</v>
      </c>
      <c r="P452" t="n">
        <v>0</v>
      </c>
      <c r="Q452" t="n">
        <v>1</v>
      </c>
      <c r="R452" s="2" t="inlineStr">
        <is>
          <t>Harticka</t>
        </is>
      </c>
      <c r="S452">
        <f>HYPERLINK("https://klasma.github.io/Logging_2313/artfynd/A 57619-2023 artfynd.xlsx", "A 57619-2023")</f>
        <v/>
      </c>
      <c r="T452">
        <f>HYPERLINK("https://klasma.github.io/Logging_2313/kartor/A 57619-2023 karta.png", "A 57619-2023")</f>
        <v/>
      </c>
      <c r="V452">
        <f>HYPERLINK("https://klasma.github.io/Logging_2313/klagomål/A 57619-2023 FSC-klagomål.docx", "A 57619-2023")</f>
        <v/>
      </c>
      <c r="W452">
        <f>HYPERLINK("https://klasma.github.io/Logging_2313/klagomålsmail/A 57619-2023 FSC-klagomål mail.docx", "A 57619-2023")</f>
        <v/>
      </c>
      <c r="X452">
        <f>HYPERLINK("https://klasma.github.io/Logging_2313/tillsyn/A 57619-2023 tillsynsbegäran.docx", "A 57619-2023")</f>
        <v/>
      </c>
      <c r="Y452">
        <f>HYPERLINK("https://klasma.github.io/Logging_2313/tillsynsmail/A 57619-2023 tillsynsbegäran mail.docx", "A 57619-2023")</f>
        <v/>
      </c>
    </row>
    <row r="453" ht="15" customHeight="1">
      <c r="A453" t="inlineStr">
        <is>
          <t>A 57664-2023</t>
        </is>
      </c>
      <c r="B453" s="1" t="n">
        <v>45243</v>
      </c>
      <c r="C453" s="1" t="n">
        <v>45740</v>
      </c>
      <c r="D453" t="inlineStr">
        <is>
          <t>JÄMTLANDS LÄN</t>
        </is>
      </c>
      <c r="E453" t="inlineStr">
        <is>
          <t>STRÖMSUND</t>
        </is>
      </c>
      <c r="F453" t="inlineStr">
        <is>
          <t>SCA</t>
        </is>
      </c>
      <c r="G453" t="n">
        <v>6.2</v>
      </c>
      <c r="H453" t="n">
        <v>0</v>
      </c>
      <c r="I453" t="n">
        <v>0</v>
      </c>
      <c r="J453" t="n">
        <v>0</v>
      </c>
      <c r="K453" t="n">
        <v>1</v>
      </c>
      <c r="L453" t="n">
        <v>0</v>
      </c>
      <c r="M453" t="n">
        <v>0</v>
      </c>
      <c r="N453" t="n">
        <v>0</v>
      </c>
      <c r="O453" t="n">
        <v>1</v>
      </c>
      <c r="P453" t="n">
        <v>1</v>
      </c>
      <c r="Q453" t="n">
        <v>1</v>
      </c>
      <c r="R453" s="2" t="inlineStr">
        <is>
          <t>Norsk näverlav</t>
        </is>
      </c>
      <c r="S453">
        <f>HYPERLINK("https://klasma.github.io/Logging_2313/artfynd/A 57664-2023 artfynd.xlsx", "A 57664-2023")</f>
        <v/>
      </c>
      <c r="T453">
        <f>HYPERLINK("https://klasma.github.io/Logging_2313/kartor/A 57664-2023 karta.png", "A 57664-2023")</f>
        <v/>
      </c>
      <c r="V453">
        <f>HYPERLINK("https://klasma.github.io/Logging_2313/klagomål/A 57664-2023 FSC-klagomål.docx", "A 57664-2023")</f>
        <v/>
      </c>
      <c r="W453">
        <f>HYPERLINK("https://klasma.github.io/Logging_2313/klagomålsmail/A 57664-2023 FSC-klagomål mail.docx", "A 57664-2023")</f>
        <v/>
      </c>
      <c r="X453">
        <f>HYPERLINK("https://klasma.github.io/Logging_2313/tillsyn/A 57664-2023 tillsynsbegäran.docx", "A 57664-2023")</f>
        <v/>
      </c>
      <c r="Y453">
        <f>HYPERLINK("https://klasma.github.io/Logging_2313/tillsynsmail/A 57664-2023 tillsynsbegäran mail.docx", "A 57664-2023")</f>
        <v/>
      </c>
    </row>
    <row r="454" ht="15" customHeight="1">
      <c r="A454" t="inlineStr">
        <is>
          <t>A 57390-2023</t>
        </is>
      </c>
      <c r="B454" s="1" t="n">
        <v>45245</v>
      </c>
      <c r="C454" s="1" t="n">
        <v>45740</v>
      </c>
      <c r="D454" t="inlineStr">
        <is>
          <t>JÄMTLANDS LÄN</t>
        </is>
      </c>
      <c r="E454" t="inlineStr">
        <is>
          <t>STRÖMSUND</t>
        </is>
      </c>
      <c r="G454" t="n">
        <v>4.8</v>
      </c>
      <c r="H454" t="n">
        <v>0</v>
      </c>
      <c r="I454" t="n">
        <v>1</v>
      </c>
      <c r="J454" t="n">
        <v>0</v>
      </c>
      <c r="K454" t="n">
        <v>0</v>
      </c>
      <c r="L454" t="n">
        <v>0</v>
      </c>
      <c r="M454" t="n">
        <v>0</v>
      </c>
      <c r="N454" t="n">
        <v>0</v>
      </c>
      <c r="O454" t="n">
        <v>0</v>
      </c>
      <c r="P454" t="n">
        <v>0</v>
      </c>
      <c r="Q454" t="n">
        <v>1</v>
      </c>
      <c r="R454" s="2" t="inlineStr">
        <is>
          <t>Svart trolldruva</t>
        </is>
      </c>
      <c r="S454">
        <f>HYPERLINK("https://klasma.github.io/Logging_2313/artfynd/A 57390-2023 artfynd.xlsx", "A 57390-2023")</f>
        <v/>
      </c>
      <c r="T454">
        <f>HYPERLINK("https://klasma.github.io/Logging_2313/kartor/A 57390-2023 karta.png", "A 57390-2023")</f>
        <v/>
      </c>
      <c r="V454">
        <f>HYPERLINK("https://klasma.github.io/Logging_2313/klagomål/A 57390-2023 FSC-klagomål.docx", "A 57390-2023")</f>
        <v/>
      </c>
      <c r="W454">
        <f>HYPERLINK("https://klasma.github.io/Logging_2313/klagomålsmail/A 57390-2023 FSC-klagomål mail.docx", "A 57390-2023")</f>
        <v/>
      </c>
      <c r="X454">
        <f>HYPERLINK("https://klasma.github.io/Logging_2313/tillsyn/A 57390-2023 tillsynsbegäran.docx", "A 57390-2023")</f>
        <v/>
      </c>
      <c r="Y454">
        <f>HYPERLINK("https://klasma.github.io/Logging_2313/tillsynsmail/A 57390-2023 tillsynsbegäran mail.docx", "A 57390-2023")</f>
        <v/>
      </c>
    </row>
    <row r="455" ht="15" customHeight="1">
      <c r="A455" t="inlineStr">
        <is>
          <t>A 57508-2023</t>
        </is>
      </c>
      <c r="B455" s="1" t="n">
        <v>45246</v>
      </c>
      <c r="C455" s="1" t="n">
        <v>45740</v>
      </c>
      <c r="D455" t="inlineStr">
        <is>
          <t>JÄMTLANDS LÄN</t>
        </is>
      </c>
      <c r="E455" t="inlineStr">
        <is>
          <t>STRÖMSUND</t>
        </is>
      </c>
      <c r="F455" t="inlineStr">
        <is>
          <t>Holmen skog AB</t>
        </is>
      </c>
      <c r="G455" t="n">
        <v>6.4</v>
      </c>
      <c r="H455" t="n">
        <v>0</v>
      </c>
      <c r="I455" t="n">
        <v>0</v>
      </c>
      <c r="J455" t="n">
        <v>1</v>
      </c>
      <c r="K455" t="n">
        <v>0</v>
      </c>
      <c r="L455" t="n">
        <v>0</v>
      </c>
      <c r="M455" t="n">
        <v>0</v>
      </c>
      <c r="N455" t="n">
        <v>0</v>
      </c>
      <c r="O455" t="n">
        <v>1</v>
      </c>
      <c r="P455" t="n">
        <v>0</v>
      </c>
      <c r="Q455" t="n">
        <v>1</v>
      </c>
      <c r="R455" s="2" t="inlineStr">
        <is>
          <t>Lunglav</t>
        </is>
      </c>
      <c r="S455">
        <f>HYPERLINK("https://klasma.github.io/Logging_2313/artfynd/A 57508-2023 artfynd.xlsx", "A 57508-2023")</f>
        <v/>
      </c>
      <c r="T455">
        <f>HYPERLINK("https://klasma.github.io/Logging_2313/kartor/A 57508-2023 karta.png", "A 57508-2023")</f>
        <v/>
      </c>
      <c r="V455">
        <f>HYPERLINK("https://klasma.github.io/Logging_2313/klagomål/A 57508-2023 FSC-klagomål.docx", "A 57508-2023")</f>
        <v/>
      </c>
      <c r="W455">
        <f>HYPERLINK("https://klasma.github.io/Logging_2313/klagomålsmail/A 57508-2023 FSC-klagomål mail.docx", "A 57508-2023")</f>
        <v/>
      </c>
      <c r="X455">
        <f>HYPERLINK("https://klasma.github.io/Logging_2313/tillsyn/A 57508-2023 tillsynsbegäran.docx", "A 57508-2023")</f>
        <v/>
      </c>
      <c r="Y455">
        <f>HYPERLINK("https://klasma.github.io/Logging_2313/tillsynsmail/A 57508-2023 tillsynsbegäran mail.docx", "A 57508-2023")</f>
        <v/>
      </c>
    </row>
    <row r="456" ht="15" customHeight="1">
      <c r="A456" t="inlineStr">
        <is>
          <t>A 59523-2023</t>
        </is>
      </c>
      <c r="B456" s="1" t="n">
        <v>45254</v>
      </c>
      <c r="C456" s="1" t="n">
        <v>45740</v>
      </c>
      <c r="D456" t="inlineStr">
        <is>
          <t>JÄMTLANDS LÄN</t>
        </is>
      </c>
      <c r="E456" t="inlineStr">
        <is>
          <t>STRÖMSUND</t>
        </is>
      </c>
      <c r="F456" t="inlineStr">
        <is>
          <t>Holmen skog AB</t>
        </is>
      </c>
      <c r="G456" t="n">
        <v>51.2</v>
      </c>
      <c r="H456" t="n">
        <v>0</v>
      </c>
      <c r="I456" t="n">
        <v>0</v>
      </c>
      <c r="J456" t="n">
        <v>1</v>
      </c>
      <c r="K456" t="n">
        <v>0</v>
      </c>
      <c r="L456" t="n">
        <v>0</v>
      </c>
      <c r="M456" t="n">
        <v>0</v>
      </c>
      <c r="N456" t="n">
        <v>0</v>
      </c>
      <c r="O456" t="n">
        <v>1</v>
      </c>
      <c r="P456" t="n">
        <v>0</v>
      </c>
      <c r="Q456" t="n">
        <v>1</v>
      </c>
      <c r="R456" s="2" t="inlineStr">
        <is>
          <t>Granticka</t>
        </is>
      </c>
      <c r="S456">
        <f>HYPERLINK("https://klasma.github.io/Logging_2313/artfynd/A 59523-2023 artfynd.xlsx", "A 59523-2023")</f>
        <v/>
      </c>
      <c r="T456">
        <f>HYPERLINK("https://klasma.github.io/Logging_2313/kartor/A 59523-2023 karta.png", "A 59523-2023")</f>
        <v/>
      </c>
      <c r="V456">
        <f>HYPERLINK("https://klasma.github.io/Logging_2313/klagomål/A 59523-2023 FSC-klagomål.docx", "A 59523-2023")</f>
        <v/>
      </c>
      <c r="W456">
        <f>HYPERLINK("https://klasma.github.io/Logging_2313/klagomålsmail/A 59523-2023 FSC-klagomål mail.docx", "A 59523-2023")</f>
        <v/>
      </c>
      <c r="X456">
        <f>HYPERLINK("https://klasma.github.io/Logging_2313/tillsyn/A 59523-2023 tillsynsbegäran.docx", "A 59523-2023")</f>
        <v/>
      </c>
      <c r="Y456">
        <f>HYPERLINK("https://klasma.github.io/Logging_2313/tillsynsmail/A 59523-2023 tillsynsbegäran mail.docx", "A 59523-2023")</f>
        <v/>
      </c>
    </row>
    <row r="457" ht="15" customHeight="1">
      <c r="A457" t="inlineStr">
        <is>
          <t>A 59726-2023</t>
        </is>
      </c>
      <c r="B457" s="1" t="n">
        <v>45257</v>
      </c>
      <c r="C457" s="1" t="n">
        <v>45740</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59726-2023 artfynd.xlsx", "A 59726-2023")</f>
        <v/>
      </c>
      <c r="T457">
        <f>HYPERLINK("https://klasma.github.io/Logging_2313/kartor/A 59726-2023 karta.png", "A 59726-2023")</f>
        <v/>
      </c>
      <c r="V457">
        <f>HYPERLINK("https://klasma.github.io/Logging_2313/klagomål/A 59726-2023 FSC-klagomål.docx", "A 59726-2023")</f>
        <v/>
      </c>
      <c r="W457">
        <f>HYPERLINK("https://klasma.github.io/Logging_2313/klagomålsmail/A 59726-2023 FSC-klagomål mail.docx", "A 59726-2023")</f>
        <v/>
      </c>
      <c r="X457">
        <f>HYPERLINK("https://klasma.github.io/Logging_2313/tillsyn/A 59726-2023 tillsynsbegäran.docx", "A 59726-2023")</f>
        <v/>
      </c>
      <c r="Y457">
        <f>HYPERLINK("https://klasma.github.io/Logging_2313/tillsynsmail/A 59726-2023 tillsynsbegäran mail.docx", "A 59726-2023")</f>
        <v/>
      </c>
    </row>
    <row r="458" ht="15" customHeight="1">
      <c r="A458" t="inlineStr">
        <is>
          <t>A 60828-2023</t>
        </is>
      </c>
      <c r="B458" s="1" t="n">
        <v>45258</v>
      </c>
      <c r="C458" s="1" t="n">
        <v>45740</v>
      </c>
      <c r="D458" t="inlineStr">
        <is>
          <t>JÄMTLANDS LÄN</t>
        </is>
      </c>
      <c r="E458" t="inlineStr">
        <is>
          <t>STRÖMSUND</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60828-2023 artfynd.xlsx", "A 60828-2023")</f>
        <v/>
      </c>
      <c r="T458">
        <f>HYPERLINK("https://klasma.github.io/Logging_2313/kartor/A 60828-2023 karta.png", "A 60828-2023")</f>
        <v/>
      </c>
      <c r="V458">
        <f>HYPERLINK("https://klasma.github.io/Logging_2313/klagomål/A 60828-2023 FSC-klagomål.docx", "A 60828-2023")</f>
        <v/>
      </c>
      <c r="W458">
        <f>HYPERLINK("https://klasma.github.io/Logging_2313/klagomålsmail/A 60828-2023 FSC-klagomål mail.docx", "A 60828-2023")</f>
        <v/>
      </c>
      <c r="X458">
        <f>HYPERLINK("https://klasma.github.io/Logging_2313/tillsyn/A 60828-2023 tillsynsbegäran.docx", "A 60828-2023")</f>
        <v/>
      </c>
      <c r="Y458">
        <f>HYPERLINK("https://klasma.github.io/Logging_2313/tillsynsmail/A 60828-2023 tillsynsbegäran mail.docx", "A 60828-2023")</f>
        <v/>
      </c>
      <c r="Z458">
        <f>HYPERLINK("https://klasma.github.io/Logging_2313/fåglar/A 60828-2023 prioriterade fågelarter.docx", "A 60828-2023")</f>
        <v/>
      </c>
    </row>
    <row r="459" ht="15" customHeight="1">
      <c r="A459" t="inlineStr">
        <is>
          <t>A 63860-2023</t>
        </is>
      </c>
      <c r="B459" s="1" t="n">
        <v>45278</v>
      </c>
      <c r="C459" s="1" t="n">
        <v>45740</v>
      </c>
      <c r="D459" t="inlineStr">
        <is>
          <t>JÄMTLANDS LÄN</t>
        </is>
      </c>
      <c r="E459" t="inlineStr">
        <is>
          <t>STRÖMSUND</t>
        </is>
      </c>
      <c r="G459" t="n">
        <v>2.9</v>
      </c>
      <c r="H459" t="n">
        <v>0</v>
      </c>
      <c r="I459" t="n">
        <v>1</v>
      </c>
      <c r="J459" t="n">
        <v>0</v>
      </c>
      <c r="K459" t="n">
        <v>0</v>
      </c>
      <c r="L459" t="n">
        <v>0</v>
      </c>
      <c r="M459" t="n">
        <v>0</v>
      </c>
      <c r="N459" t="n">
        <v>0</v>
      </c>
      <c r="O459" t="n">
        <v>0</v>
      </c>
      <c r="P459" t="n">
        <v>0</v>
      </c>
      <c r="Q459" t="n">
        <v>1</v>
      </c>
      <c r="R459" s="2" t="inlineStr">
        <is>
          <t>Kransrams</t>
        </is>
      </c>
      <c r="S459">
        <f>HYPERLINK("https://klasma.github.io/Logging_2313/artfynd/A 63860-2023 artfynd.xlsx", "A 63860-2023")</f>
        <v/>
      </c>
      <c r="T459">
        <f>HYPERLINK("https://klasma.github.io/Logging_2313/kartor/A 63860-2023 karta.png", "A 63860-2023")</f>
        <v/>
      </c>
      <c r="V459">
        <f>HYPERLINK("https://klasma.github.io/Logging_2313/klagomål/A 63860-2023 FSC-klagomål.docx", "A 63860-2023")</f>
        <v/>
      </c>
      <c r="W459">
        <f>HYPERLINK("https://klasma.github.io/Logging_2313/klagomålsmail/A 63860-2023 FSC-klagomål mail.docx", "A 63860-2023")</f>
        <v/>
      </c>
      <c r="X459">
        <f>HYPERLINK("https://klasma.github.io/Logging_2313/tillsyn/A 63860-2023 tillsynsbegäran.docx", "A 63860-2023")</f>
        <v/>
      </c>
      <c r="Y459">
        <f>HYPERLINK("https://klasma.github.io/Logging_2313/tillsynsmail/A 63860-2023 tillsynsbegäran mail.docx", "A 63860-2023")</f>
        <v/>
      </c>
    </row>
    <row r="460" ht="15" customHeight="1">
      <c r="A460" t="inlineStr">
        <is>
          <t>A 56-2024</t>
        </is>
      </c>
      <c r="B460" s="1" t="n">
        <v>45293</v>
      </c>
      <c r="C460" s="1" t="n">
        <v>45740</v>
      </c>
      <c r="D460" t="inlineStr">
        <is>
          <t>JÄMTLANDS LÄN</t>
        </is>
      </c>
      <c r="E460" t="inlineStr">
        <is>
          <t>STRÖMSUND</t>
        </is>
      </c>
      <c r="G460" t="n">
        <v>4.9</v>
      </c>
      <c r="H460" t="n">
        <v>0</v>
      </c>
      <c r="I460" t="n">
        <v>0</v>
      </c>
      <c r="J460" t="n">
        <v>0</v>
      </c>
      <c r="K460" t="n">
        <v>1</v>
      </c>
      <c r="L460" t="n">
        <v>0</v>
      </c>
      <c r="M460" t="n">
        <v>0</v>
      </c>
      <c r="N460" t="n">
        <v>0</v>
      </c>
      <c r="O460" t="n">
        <v>1</v>
      </c>
      <c r="P460" t="n">
        <v>1</v>
      </c>
      <c r="Q460" t="n">
        <v>1</v>
      </c>
      <c r="R460" s="2" t="inlineStr">
        <is>
          <t>Liten sotlav</t>
        </is>
      </c>
      <c r="S460">
        <f>HYPERLINK("https://klasma.github.io/Logging_2313/artfynd/A 56-2024 artfynd.xlsx", "A 56-2024")</f>
        <v/>
      </c>
      <c r="T460">
        <f>HYPERLINK("https://klasma.github.io/Logging_2313/kartor/A 56-2024 karta.png", "A 56-2024")</f>
        <v/>
      </c>
      <c r="V460">
        <f>HYPERLINK("https://klasma.github.io/Logging_2313/klagomål/A 56-2024 FSC-klagomål.docx", "A 56-2024")</f>
        <v/>
      </c>
      <c r="W460">
        <f>HYPERLINK("https://klasma.github.io/Logging_2313/klagomålsmail/A 56-2024 FSC-klagomål mail.docx", "A 56-2024")</f>
        <v/>
      </c>
      <c r="X460">
        <f>HYPERLINK("https://klasma.github.io/Logging_2313/tillsyn/A 56-2024 tillsynsbegäran.docx", "A 56-2024")</f>
        <v/>
      </c>
      <c r="Y460">
        <f>HYPERLINK("https://klasma.github.io/Logging_2313/tillsynsmail/A 56-2024 tillsynsbegäran mail.docx", "A 56-2024")</f>
        <v/>
      </c>
    </row>
    <row r="461" ht="15" customHeight="1">
      <c r="A461" t="inlineStr">
        <is>
          <t>A 3988-2024</t>
        </is>
      </c>
      <c r="B461" s="1" t="n">
        <v>45322</v>
      </c>
      <c r="C461" s="1" t="n">
        <v>45740</v>
      </c>
      <c r="D461" t="inlineStr">
        <is>
          <t>JÄMTLANDS LÄN</t>
        </is>
      </c>
      <c r="E461" t="inlineStr">
        <is>
          <t>STRÖMSUND</t>
        </is>
      </c>
      <c r="F461" t="inlineStr">
        <is>
          <t>SCA</t>
        </is>
      </c>
      <c r="G461" t="n">
        <v>16</v>
      </c>
      <c r="H461" t="n">
        <v>1</v>
      </c>
      <c r="I461" t="n">
        <v>0</v>
      </c>
      <c r="J461" t="n">
        <v>1</v>
      </c>
      <c r="K461" t="n">
        <v>0</v>
      </c>
      <c r="L461" t="n">
        <v>0</v>
      </c>
      <c r="M461" t="n">
        <v>0</v>
      </c>
      <c r="N461" t="n">
        <v>0</v>
      </c>
      <c r="O461" t="n">
        <v>1</v>
      </c>
      <c r="P461" t="n">
        <v>0</v>
      </c>
      <c r="Q461" t="n">
        <v>1</v>
      </c>
      <c r="R461" s="2" t="inlineStr">
        <is>
          <t>Järpe</t>
        </is>
      </c>
      <c r="S461">
        <f>HYPERLINK("https://klasma.github.io/Logging_2313/artfynd/A 3988-2024 artfynd.xlsx", "A 3988-2024")</f>
        <v/>
      </c>
      <c r="T461">
        <f>HYPERLINK("https://klasma.github.io/Logging_2313/kartor/A 3988-2024 karta.png", "A 3988-2024")</f>
        <v/>
      </c>
      <c r="V461">
        <f>HYPERLINK("https://klasma.github.io/Logging_2313/klagomål/A 3988-2024 FSC-klagomål.docx", "A 3988-2024")</f>
        <v/>
      </c>
      <c r="W461">
        <f>HYPERLINK("https://klasma.github.io/Logging_2313/klagomålsmail/A 3988-2024 FSC-klagomål mail.docx", "A 3988-2024")</f>
        <v/>
      </c>
      <c r="X461">
        <f>HYPERLINK("https://klasma.github.io/Logging_2313/tillsyn/A 3988-2024 tillsynsbegäran.docx", "A 3988-2024")</f>
        <v/>
      </c>
      <c r="Y461">
        <f>HYPERLINK("https://klasma.github.io/Logging_2313/tillsynsmail/A 3988-2024 tillsynsbegäran mail.docx", "A 3988-2024")</f>
        <v/>
      </c>
      <c r="Z461">
        <f>HYPERLINK("https://klasma.github.io/Logging_2313/fåglar/A 3988-2024 prioriterade fågelarter.docx", "A 3988-2024")</f>
        <v/>
      </c>
    </row>
    <row r="462" ht="15" customHeight="1">
      <c r="A462" t="inlineStr">
        <is>
          <t>A 4377-2024</t>
        </is>
      </c>
      <c r="B462" s="1" t="n">
        <v>45326</v>
      </c>
      <c r="C462" s="1" t="n">
        <v>45740</v>
      </c>
      <c r="D462" t="inlineStr">
        <is>
          <t>JÄMTLANDS LÄN</t>
        </is>
      </c>
      <c r="E462" t="inlineStr">
        <is>
          <t>STRÖMSUND</t>
        </is>
      </c>
      <c r="F462" t="inlineStr">
        <is>
          <t>SCA</t>
        </is>
      </c>
      <c r="G462" t="n">
        <v>21.4</v>
      </c>
      <c r="H462" t="n">
        <v>0</v>
      </c>
      <c r="I462" t="n">
        <v>0</v>
      </c>
      <c r="J462" t="n">
        <v>1</v>
      </c>
      <c r="K462" t="n">
        <v>0</v>
      </c>
      <c r="L462" t="n">
        <v>0</v>
      </c>
      <c r="M462" t="n">
        <v>0</v>
      </c>
      <c r="N462" t="n">
        <v>0</v>
      </c>
      <c r="O462" t="n">
        <v>1</v>
      </c>
      <c r="P462" t="n">
        <v>0</v>
      </c>
      <c r="Q462" t="n">
        <v>1</v>
      </c>
      <c r="R462" s="2" t="inlineStr">
        <is>
          <t>Lunglav</t>
        </is>
      </c>
      <c r="S462">
        <f>HYPERLINK("https://klasma.github.io/Logging_2313/artfynd/A 4377-2024 artfynd.xlsx", "A 4377-2024")</f>
        <v/>
      </c>
      <c r="T462">
        <f>HYPERLINK("https://klasma.github.io/Logging_2313/kartor/A 4377-2024 karta.png", "A 4377-2024")</f>
        <v/>
      </c>
      <c r="V462">
        <f>HYPERLINK("https://klasma.github.io/Logging_2313/klagomål/A 4377-2024 FSC-klagomål.docx", "A 4377-2024")</f>
        <v/>
      </c>
      <c r="W462">
        <f>HYPERLINK("https://klasma.github.io/Logging_2313/klagomålsmail/A 4377-2024 FSC-klagomål mail.docx", "A 4377-2024")</f>
        <v/>
      </c>
      <c r="X462">
        <f>HYPERLINK("https://klasma.github.io/Logging_2313/tillsyn/A 4377-2024 tillsynsbegäran.docx", "A 4377-2024")</f>
        <v/>
      </c>
      <c r="Y462">
        <f>HYPERLINK("https://klasma.github.io/Logging_2313/tillsynsmail/A 4377-2024 tillsynsbegäran mail.docx", "A 4377-2024")</f>
        <v/>
      </c>
    </row>
    <row r="463" ht="15" customHeight="1">
      <c r="A463" t="inlineStr">
        <is>
          <t>A 4824-2024</t>
        </is>
      </c>
      <c r="B463" s="1" t="n">
        <v>45328</v>
      </c>
      <c r="C463" s="1" t="n">
        <v>45740</v>
      </c>
      <c r="D463" t="inlineStr">
        <is>
          <t>JÄMTLANDS LÄN</t>
        </is>
      </c>
      <c r="E463" t="inlineStr">
        <is>
          <t>STRÖMSUND</t>
        </is>
      </c>
      <c r="F463" t="inlineStr">
        <is>
          <t>SCA</t>
        </is>
      </c>
      <c r="G463" t="n">
        <v>10.2</v>
      </c>
      <c r="H463" t="n">
        <v>0</v>
      </c>
      <c r="I463" t="n">
        <v>0</v>
      </c>
      <c r="J463" t="n">
        <v>1</v>
      </c>
      <c r="K463" t="n">
        <v>0</v>
      </c>
      <c r="L463" t="n">
        <v>0</v>
      </c>
      <c r="M463" t="n">
        <v>0</v>
      </c>
      <c r="N463" t="n">
        <v>0</v>
      </c>
      <c r="O463" t="n">
        <v>1</v>
      </c>
      <c r="P463" t="n">
        <v>0</v>
      </c>
      <c r="Q463" t="n">
        <v>1</v>
      </c>
      <c r="R463" s="2" t="inlineStr">
        <is>
          <t>Lunglav</t>
        </is>
      </c>
      <c r="S463">
        <f>HYPERLINK("https://klasma.github.io/Logging_2313/artfynd/A 4824-2024 artfynd.xlsx", "A 4824-2024")</f>
        <v/>
      </c>
      <c r="T463">
        <f>HYPERLINK("https://klasma.github.io/Logging_2313/kartor/A 4824-2024 karta.png", "A 4824-2024")</f>
        <v/>
      </c>
      <c r="V463">
        <f>HYPERLINK("https://klasma.github.io/Logging_2313/klagomål/A 4824-2024 FSC-klagomål.docx", "A 4824-2024")</f>
        <v/>
      </c>
      <c r="W463">
        <f>HYPERLINK("https://klasma.github.io/Logging_2313/klagomålsmail/A 4824-2024 FSC-klagomål mail.docx", "A 4824-2024")</f>
        <v/>
      </c>
      <c r="X463">
        <f>HYPERLINK("https://klasma.github.io/Logging_2313/tillsyn/A 4824-2024 tillsynsbegäran.docx", "A 4824-2024")</f>
        <v/>
      </c>
      <c r="Y463">
        <f>HYPERLINK("https://klasma.github.io/Logging_2313/tillsynsmail/A 4824-2024 tillsynsbegäran mail.docx", "A 4824-2024")</f>
        <v/>
      </c>
    </row>
    <row r="464" ht="15" customHeight="1">
      <c r="A464" t="inlineStr">
        <is>
          <t>A 8896-2024</t>
        </is>
      </c>
      <c r="B464" s="1" t="n">
        <v>45357</v>
      </c>
      <c r="C464" s="1" t="n">
        <v>45740</v>
      </c>
      <c r="D464" t="inlineStr">
        <is>
          <t>JÄMTLANDS LÄN</t>
        </is>
      </c>
      <c r="E464" t="inlineStr">
        <is>
          <t>STRÖMSUND</t>
        </is>
      </c>
      <c r="F464" t="inlineStr">
        <is>
          <t>Holmen skog AB</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8896-2024 artfynd.xlsx", "A 8896-2024")</f>
        <v/>
      </c>
      <c r="T464">
        <f>HYPERLINK("https://klasma.github.io/Logging_2313/kartor/A 8896-2024 karta.png", "A 8896-2024")</f>
        <v/>
      </c>
      <c r="V464">
        <f>HYPERLINK("https://klasma.github.io/Logging_2313/klagomål/A 8896-2024 FSC-klagomål.docx", "A 8896-2024")</f>
        <v/>
      </c>
      <c r="W464">
        <f>HYPERLINK("https://klasma.github.io/Logging_2313/klagomålsmail/A 8896-2024 FSC-klagomål mail.docx", "A 8896-2024")</f>
        <v/>
      </c>
      <c r="X464">
        <f>HYPERLINK("https://klasma.github.io/Logging_2313/tillsyn/A 8896-2024 tillsynsbegäran.docx", "A 8896-2024")</f>
        <v/>
      </c>
      <c r="Y464">
        <f>HYPERLINK("https://klasma.github.io/Logging_2313/tillsynsmail/A 8896-2024 tillsynsbegäran mail.docx", "A 8896-2024")</f>
        <v/>
      </c>
      <c r="Z464">
        <f>HYPERLINK("https://klasma.github.io/Logging_2313/fåglar/A 8896-2024 prioriterade fågelarter.docx", "A 8896-2024")</f>
        <v/>
      </c>
    </row>
    <row r="465" ht="15" customHeight="1">
      <c r="A465" t="inlineStr">
        <is>
          <t>A 14005-2024</t>
        </is>
      </c>
      <c r="B465" s="1" t="n">
        <v>45392</v>
      </c>
      <c r="C465" s="1" t="n">
        <v>45740</v>
      </c>
      <c r="D465" t="inlineStr">
        <is>
          <t>JÄMTLANDS LÄN</t>
        </is>
      </c>
      <c r="E465" t="inlineStr">
        <is>
          <t>STRÖMSUND</t>
        </is>
      </c>
      <c r="F465" t="inlineStr">
        <is>
          <t>Holmen skog AB</t>
        </is>
      </c>
      <c r="G465" t="n">
        <v>6.3</v>
      </c>
      <c r="H465" t="n">
        <v>0</v>
      </c>
      <c r="I465" t="n">
        <v>0</v>
      </c>
      <c r="J465" t="n">
        <v>1</v>
      </c>
      <c r="K465" t="n">
        <v>0</v>
      </c>
      <c r="L465" t="n">
        <v>0</v>
      </c>
      <c r="M465" t="n">
        <v>0</v>
      </c>
      <c r="N465" t="n">
        <v>0</v>
      </c>
      <c r="O465" t="n">
        <v>1</v>
      </c>
      <c r="P465" t="n">
        <v>0</v>
      </c>
      <c r="Q465" t="n">
        <v>1</v>
      </c>
      <c r="R465" s="2" t="inlineStr">
        <is>
          <t>Blå taggsvamp</t>
        </is>
      </c>
      <c r="S465">
        <f>HYPERLINK("https://klasma.github.io/Logging_2313/artfynd/A 14005-2024 artfynd.xlsx", "A 14005-2024")</f>
        <v/>
      </c>
      <c r="T465">
        <f>HYPERLINK("https://klasma.github.io/Logging_2313/kartor/A 14005-2024 karta.png", "A 14005-2024")</f>
        <v/>
      </c>
      <c r="V465">
        <f>HYPERLINK("https://klasma.github.io/Logging_2313/klagomål/A 14005-2024 FSC-klagomål.docx", "A 14005-2024")</f>
        <v/>
      </c>
      <c r="W465">
        <f>HYPERLINK("https://klasma.github.io/Logging_2313/klagomålsmail/A 14005-2024 FSC-klagomål mail.docx", "A 14005-2024")</f>
        <v/>
      </c>
      <c r="X465">
        <f>HYPERLINK("https://klasma.github.io/Logging_2313/tillsyn/A 14005-2024 tillsynsbegäran.docx", "A 14005-2024")</f>
        <v/>
      </c>
      <c r="Y465">
        <f>HYPERLINK("https://klasma.github.io/Logging_2313/tillsynsmail/A 14005-2024 tillsynsbegäran mail.docx", "A 14005-2024")</f>
        <v/>
      </c>
    </row>
    <row r="466" ht="15" customHeight="1">
      <c r="A466" t="inlineStr">
        <is>
          <t>A 14155-2024</t>
        </is>
      </c>
      <c r="B466" s="1" t="n">
        <v>45393</v>
      </c>
      <c r="C466" s="1" t="n">
        <v>45740</v>
      </c>
      <c r="D466" t="inlineStr">
        <is>
          <t>JÄMTLANDS LÄN</t>
        </is>
      </c>
      <c r="E466" t="inlineStr">
        <is>
          <t>STRÖMSUND</t>
        </is>
      </c>
      <c r="G466" t="n">
        <v>2.4</v>
      </c>
      <c r="H466" t="n">
        <v>0</v>
      </c>
      <c r="I466" t="n">
        <v>0</v>
      </c>
      <c r="J466" t="n">
        <v>1</v>
      </c>
      <c r="K466" t="n">
        <v>0</v>
      </c>
      <c r="L466" t="n">
        <v>0</v>
      </c>
      <c r="M466" t="n">
        <v>0</v>
      </c>
      <c r="N466" t="n">
        <v>0</v>
      </c>
      <c r="O466" t="n">
        <v>1</v>
      </c>
      <c r="P466" t="n">
        <v>0</v>
      </c>
      <c r="Q466" t="n">
        <v>1</v>
      </c>
      <c r="R466" s="2" t="inlineStr">
        <is>
          <t>Vitgrynig nållav</t>
        </is>
      </c>
      <c r="S466">
        <f>HYPERLINK("https://klasma.github.io/Logging_2313/artfynd/A 14155-2024 artfynd.xlsx", "A 14155-2024")</f>
        <v/>
      </c>
      <c r="T466">
        <f>HYPERLINK("https://klasma.github.io/Logging_2313/kartor/A 14155-2024 karta.png", "A 14155-2024")</f>
        <v/>
      </c>
      <c r="V466">
        <f>HYPERLINK("https://klasma.github.io/Logging_2313/klagomål/A 14155-2024 FSC-klagomål.docx", "A 14155-2024")</f>
        <v/>
      </c>
      <c r="W466">
        <f>HYPERLINK("https://klasma.github.io/Logging_2313/klagomålsmail/A 14155-2024 FSC-klagomål mail.docx", "A 14155-2024")</f>
        <v/>
      </c>
      <c r="X466">
        <f>HYPERLINK("https://klasma.github.io/Logging_2313/tillsyn/A 14155-2024 tillsynsbegäran.docx", "A 14155-2024")</f>
        <v/>
      </c>
      <c r="Y466">
        <f>HYPERLINK("https://klasma.github.io/Logging_2313/tillsynsmail/A 14155-2024 tillsynsbegäran mail.docx", "A 14155-2024")</f>
        <v/>
      </c>
    </row>
    <row r="467" ht="15" customHeight="1">
      <c r="A467" t="inlineStr">
        <is>
          <t>A 15258-2024</t>
        </is>
      </c>
      <c r="B467" s="1" t="n">
        <v>45400</v>
      </c>
      <c r="C467" s="1" t="n">
        <v>45740</v>
      </c>
      <c r="D467" t="inlineStr">
        <is>
          <t>JÄMTLANDS LÄN</t>
        </is>
      </c>
      <c r="E467" t="inlineStr">
        <is>
          <t>STRÖMSUND</t>
        </is>
      </c>
      <c r="G467" t="n">
        <v>40.8</v>
      </c>
      <c r="H467" t="n">
        <v>0</v>
      </c>
      <c r="I467" t="n">
        <v>1</v>
      </c>
      <c r="J467" t="n">
        <v>0</v>
      </c>
      <c r="K467" t="n">
        <v>0</v>
      </c>
      <c r="L467" t="n">
        <v>0</v>
      </c>
      <c r="M467" t="n">
        <v>0</v>
      </c>
      <c r="N467" t="n">
        <v>0</v>
      </c>
      <c r="O467" t="n">
        <v>0</v>
      </c>
      <c r="P467" t="n">
        <v>0</v>
      </c>
      <c r="Q467" t="n">
        <v>1</v>
      </c>
      <c r="R467" s="2" t="inlineStr">
        <is>
          <t>Finbräken</t>
        </is>
      </c>
      <c r="S467">
        <f>HYPERLINK("https://klasma.github.io/Logging_2313/artfynd/A 15258-2024 artfynd.xlsx", "A 15258-2024")</f>
        <v/>
      </c>
      <c r="T467">
        <f>HYPERLINK("https://klasma.github.io/Logging_2313/kartor/A 15258-2024 karta.png", "A 15258-2024")</f>
        <v/>
      </c>
      <c r="V467">
        <f>HYPERLINK("https://klasma.github.io/Logging_2313/klagomål/A 15258-2024 FSC-klagomål.docx", "A 15258-2024")</f>
        <v/>
      </c>
      <c r="W467">
        <f>HYPERLINK("https://klasma.github.io/Logging_2313/klagomålsmail/A 15258-2024 FSC-klagomål mail.docx", "A 15258-2024")</f>
        <v/>
      </c>
      <c r="X467">
        <f>HYPERLINK("https://klasma.github.io/Logging_2313/tillsyn/A 15258-2024 tillsynsbegäran.docx", "A 15258-2024")</f>
        <v/>
      </c>
      <c r="Y467">
        <f>HYPERLINK("https://klasma.github.io/Logging_2313/tillsynsmail/A 15258-2024 tillsynsbegäran mail.docx", "A 15258-2024")</f>
        <v/>
      </c>
    </row>
    <row r="468" ht="15" customHeight="1">
      <c r="A468" t="inlineStr">
        <is>
          <t>A 24807-2024</t>
        </is>
      </c>
      <c r="B468" s="1" t="n">
        <v>45461</v>
      </c>
      <c r="C468" s="1" t="n">
        <v>45740</v>
      </c>
      <c r="D468" t="inlineStr">
        <is>
          <t>JÄMTLANDS LÄN</t>
        </is>
      </c>
      <c r="E468" t="inlineStr">
        <is>
          <t>STRÖMSUND</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HYPERLINK("https://klasma.github.io/Logging_2313/artfynd/A 24807-2024 artfynd.xlsx", "A 24807-2024")</f>
        <v/>
      </c>
      <c r="T468">
        <f>HYPERLINK("https://klasma.github.io/Logging_2313/kartor/A 24807-2024 karta.png", "A 24807-2024")</f>
        <v/>
      </c>
      <c r="V468">
        <f>HYPERLINK("https://klasma.github.io/Logging_2313/klagomål/A 24807-2024 FSC-klagomål.docx", "A 24807-2024")</f>
        <v/>
      </c>
      <c r="W468">
        <f>HYPERLINK("https://klasma.github.io/Logging_2313/klagomålsmail/A 24807-2024 FSC-klagomål mail.docx", "A 24807-2024")</f>
        <v/>
      </c>
      <c r="X468">
        <f>HYPERLINK("https://klasma.github.io/Logging_2313/tillsyn/A 24807-2024 tillsynsbegäran.docx", "A 24807-2024")</f>
        <v/>
      </c>
      <c r="Y468">
        <f>HYPERLINK("https://klasma.github.io/Logging_2313/tillsynsmail/A 24807-2024 tillsynsbegäran mail.docx", "A 24807-2024")</f>
        <v/>
      </c>
    </row>
    <row r="469" ht="15" customHeight="1">
      <c r="A469" t="inlineStr">
        <is>
          <t>A 28509-2024</t>
        </is>
      </c>
      <c r="B469" s="1" t="n">
        <v>45478</v>
      </c>
      <c r="C469" s="1" t="n">
        <v>45740</v>
      </c>
      <c r="D469" t="inlineStr">
        <is>
          <t>JÄMTLANDS LÄN</t>
        </is>
      </c>
      <c r="E469" t="inlineStr">
        <is>
          <t>STRÖMSUND</t>
        </is>
      </c>
      <c r="F469" t="inlineStr">
        <is>
          <t>SCA</t>
        </is>
      </c>
      <c r="G469" t="n">
        <v>2.6</v>
      </c>
      <c r="H469" t="n">
        <v>0</v>
      </c>
      <c r="I469" t="n">
        <v>0</v>
      </c>
      <c r="J469" t="n">
        <v>0</v>
      </c>
      <c r="K469" t="n">
        <v>1</v>
      </c>
      <c r="L469" t="n">
        <v>0</v>
      </c>
      <c r="M469" t="n">
        <v>0</v>
      </c>
      <c r="N469" t="n">
        <v>0</v>
      </c>
      <c r="O469" t="n">
        <v>1</v>
      </c>
      <c r="P469" t="n">
        <v>1</v>
      </c>
      <c r="Q469" t="n">
        <v>1</v>
      </c>
      <c r="R469" s="2" t="inlineStr">
        <is>
          <t>Rynkskinn</t>
        </is>
      </c>
      <c r="S469">
        <f>HYPERLINK("https://klasma.github.io/Logging_2313/artfynd/A 28509-2024 artfynd.xlsx", "A 28509-2024")</f>
        <v/>
      </c>
      <c r="T469">
        <f>HYPERLINK("https://klasma.github.io/Logging_2313/kartor/A 28509-2024 karta.png", "A 28509-2024")</f>
        <v/>
      </c>
      <c r="V469">
        <f>HYPERLINK("https://klasma.github.io/Logging_2313/klagomål/A 28509-2024 FSC-klagomål.docx", "A 28509-2024")</f>
        <v/>
      </c>
      <c r="W469">
        <f>HYPERLINK("https://klasma.github.io/Logging_2313/klagomålsmail/A 28509-2024 FSC-klagomål mail.docx", "A 28509-2024")</f>
        <v/>
      </c>
      <c r="X469">
        <f>HYPERLINK("https://klasma.github.io/Logging_2313/tillsyn/A 28509-2024 tillsynsbegäran.docx", "A 28509-2024")</f>
        <v/>
      </c>
      <c r="Y469">
        <f>HYPERLINK("https://klasma.github.io/Logging_2313/tillsynsmail/A 28509-2024 tillsynsbegäran mail.docx", "A 28509-2024")</f>
        <v/>
      </c>
    </row>
    <row r="470" ht="15" customHeight="1">
      <c r="A470" t="inlineStr">
        <is>
          <t>A 30067-2024</t>
        </is>
      </c>
      <c r="B470" s="1" t="n">
        <v>45489</v>
      </c>
      <c r="C470" s="1" t="n">
        <v>45740</v>
      </c>
      <c r="D470" t="inlineStr">
        <is>
          <t>JÄMTLANDS LÄN</t>
        </is>
      </c>
      <c r="E470" t="inlineStr">
        <is>
          <t>STRÖMSUND</t>
        </is>
      </c>
      <c r="F470" t="inlineStr">
        <is>
          <t>SCA</t>
        </is>
      </c>
      <c r="G470" t="n">
        <v>4.8</v>
      </c>
      <c r="H470" t="n">
        <v>0</v>
      </c>
      <c r="I470" t="n">
        <v>0</v>
      </c>
      <c r="J470" t="n">
        <v>1</v>
      </c>
      <c r="K470" t="n">
        <v>0</v>
      </c>
      <c r="L470" t="n">
        <v>0</v>
      </c>
      <c r="M470" t="n">
        <v>0</v>
      </c>
      <c r="N470" t="n">
        <v>0</v>
      </c>
      <c r="O470" t="n">
        <v>1</v>
      </c>
      <c r="P470" t="n">
        <v>0</v>
      </c>
      <c r="Q470" t="n">
        <v>1</v>
      </c>
      <c r="R470" s="2" t="inlineStr">
        <is>
          <t>Doftskinn</t>
        </is>
      </c>
      <c r="S470">
        <f>HYPERLINK("https://klasma.github.io/Logging_2313/artfynd/A 30067-2024 artfynd.xlsx", "A 30067-2024")</f>
        <v/>
      </c>
      <c r="T470">
        <f>HYPERLINK("https://klasma.github.io/Logging_2313/kartor/A 30067-2024 karta.png", "A 30067-2024")</f>
        <v/>
      </c>
      <c r="V470">
        <f>HYPERLINK("https://klasma.github.io/Logging_2313/klagomål/A 30067-2024 FSC-klagomål.docx", "A 30067-2024")</f>
        <v/>
      </c>
      <c r="W470">
        <f>HYPERLINK("https://klasma.github.io/Logging_2313/klagomålsmail/A 30067-2024 FSC-klagomål mail.docx", "A 30067-2024")</f>
        <v/>
      </c>
      <c r="X470">
        <f>HYPERLINK("https://klasma.github.io/Logging_2313/tillsyn/A 30067-2024 tillsynsbegäran.docx", "A 30067-2024")</f>
        <v/>
      </c>
      <c r="Y470">
        <f>HYPERLINK("https://klasma.github.io/Logging_2313/tillsynsmail/A 30067-2024 tillsynsbegäran mail.docx", "A 30067-2024")</f>
        <v/>
      </c>
    </row>
    <row r="471" ht="15" customHeight="1">
      <c r="A471" t="inlineStr">
        <is>
          <t>A 31684-2024</t>
        </is>
      </c>
      <c r="B471" s="1" t="n">
        <v>45507</v>
      </c>
      <c r="C471" s="1" t="n">
        <v>45740</v>
      </c>
      <c r="D471" t="inlineStr">
        <is>
          <t>JÄMTLANDS LÄN</t>
        </is>
      </c>
      <c r="E471" t="inlineStr">
        <is>
          <t>STRÖMSUND</t>
        </is>
      </c>
      <c r="F471" t="inlineStr">
        <is>
          <t>SCA</t>
        </is>
      </c>
      <c r="G471" t="n">
        <v>5.4</v>
      </c>
      <c r="H471" t="n">
        <v>0</v>
      </c>
      <c r="I471" t="n">
        <v>0</v>
      </c>
      <c r="J471" t="n">
        <v>1</v>
      </c>
      <c r="K471" t="n">
        <v>0</v>
      </c>
      <c r="L471" t="n">
        <v>0</v>
      </c>
      <c r="M471" t="n">
        <v>0</v>
      </c>
      <c r="N471" t="n">
        <v>0</v>
      </c>
      <c r="O471" t="n">
        <v>1</v>
      </c>
      <c r="P471" t="n">
        <v>0</v>
      </c>
      <c r="Q471" t="n">
        <v>1</v>
      </c>
      <c r="R471" s="2" t="inlineStr">
        <is>
          <t>Skrovellav</t>
        </is>
      </c>
      <c r="S471">
        <f>HYPERLINK("https://klasma.github.io/Logging_2313/artfynd/A 31684-2024 artfynd.xlsx", "A 31684-2024")</f>
        <v/>
      </c>
      <c r="T471">
        <f>HYPERLINK("https://klasma.github.io/Logging_2313/kartor/A 31684-2024 karta.png", "A 31684-2024")</f>
        <v/>
      </c>
      <c r="V471">
        <f>HYPERLINK("https://klasma.github.io/Logging_2313/klagomål/A 31684-2024 FSC-klagomål.docx", "A 31684-2024")</f>
        <v/>
      </c>
      <c r="W471">
        <f>HYPERLINK("https://klasma.github.io/Logging_2313/klagomålsmail/A 31684-2024 FSC-klagomål mail.docx", "A 31684-2024")</f>
        <v/>
      </c>
      <c r="X471">
        <f>HYPERLINK("https://klasma.github.io/Logging_2313/tillsyn/A 31684-2024 tillsynsbegäran.docx", "A 31684-2024")</f>
        <v/>
      </c>
      <c r="Y471">
        <f>HYPERLINK("https://klasma.github.io/Logging_2313/tillsynsmail/A 31684-2024 tillsynsbegäran mail.docx", "A 31684-2024")</f>
        <v/>
      </c>
    </row>
    <row r="472" ht="15" customHeight="1">
      <c r="A472" t="inlineStr">
        <is>
          <t>A 32649-2024</t>
        </is>
      </c>
      <c r="B472" s="1" t="n">
        <v>45514</v>
      </c>
      <c r="C472" s="1" t="n">
        <v>45740</v>
      </c>
      <c r="D472" t="inlineStr">
        <is>
          <t>JÄMTLANDS LÄN</t>
        </is>
      </c>
      <c r="E472" t="inlineStr">
        <is>
          <t>STRÖMSUND</t>
        </is>
      </c>
      <c r="F472" t="inlineStr">
        <is>
          <t>SCA</t>
        </is>
      </c>
      <c r="G472" t="n">
        <v>3.2</v>
      </c>
      <c r="H472" t="n">
        <v>0</v>
      </c>
      <c r="I472" t="n">
        <v>0</v>
      </c>
      <c r="J472" t="n">
        <v>1</v>
      </c>
      <c r="K472" t="n">
        <v>0</v>
      </c>
      <c r="L472" t="n">
        <v>0</v>
      </c>
      <c r="M472" t="n">
        <v>0</v>
      </c>
      <c r="N472" t="n">
        <v>0</v>
      </c>
      <c r="O472" t="n">
        <v>1</v>
      </c>
      <c r="P472" t="n">
        <v>0</v>
      </c>
      <c r="Q472" t="n">
        <v>1</v>
      </c>
      <c r="R472" s="2" t="inlineStr">
        <is>
          <t>Stjärntagging</t>
        </is>
      </c>
      <c r="S472">
        <f>HYPERLINK("https://klasma.github.io/Logging_2313/artfynd/A 32649-2024 artfynd.xlsx", "A 32649-2024")</f>
        <v/>
      </c>
      <c r="T472">
        <f>HYPERLINK("https://klasma.github.io/Logging_2313/kartor/A 32649-2024 karta.png", "A 32649-2024")</f>
        <v/>
      </c>
      <c r="V472">
        <f>HYPERLINK("https://klasma.github.io/Logging_2313/klagomål/A 32649-2024 FSC-klagomål.docx", "A 32649-2024")</f>
        <v/>
      </c>
      <c r="W472">
        <f>HYPERLINK("https://klasma.github.io/Logging_2313/klagomålsmail/A 32649-2024 FSC-klagomål mail.docx", "A 32649-2024")</f>
        <v/>
      </c>
      <c r="X472">
        <f>HYPERLINK("https://klasma.github.io/Logging_2313/tillsyn/A 32649-2024 tillsynsbegäran.docx", "A 32649-2024")</f>
        <v/>
      </c>
      <c r="Y472">
        <f>HYPERLINK("https://klasma.github.io/Logging_2313/tillsynsmail/A 32649-2024 tillsynsbegäran mail.docx", "A 32649-2024")</f>
        <v/>
      </c>
    </row>
    <row r="473" ht="15" customHeight="1">
      <c r="A473" t="inlineStr">
        <is>
          <t>A 36334-2024</t>
        </is>
      </c>
      <c r="B473" s="1" t="n">
        <v>45534</v>
      </c>
      <c r="C473" s="1" t="n">
        <v>45740</v>
      </c>
      <c r="D473" t="inlineStr">
        <is>
          <t>JÄMTLANDS LÄN</t>
        </is>
      </c>
      <c r="E473" t="inlineStr">
        <is>
          <t>STRÖMSUND</t>
        </is>
      </c>
      <c r="F473" t="inlineStr">
        <is>
          <t>SCA</t>
        </is>
      </c>
      <c r="G473" t="n">
        <v>9.699999999999999</v>
      </c>
      <c r="H473" t="n">
        <v>1</v>
      </c>
      <c r="I473" t="n">
        <v>0</v>
      </c>
      <c r="J473" t="n">
        <v>0</v>
      </c>
      <c r="K473" t="n">
        <v>1</v>
      </c>
      <c r="L473" t="n">
        <v>0</v>
      </c>
      <c r="M473" t="n">
        <v>0</v>
      </c>
      <c r="N473" t="n">
        <v>0</v>
      </c>
      <c r="O473" t="n">
        <v>1</v>
      </c>
      <c r="P473" t="n">
        <v>1</v>
      </c>
      <c r="Q473" t="n">
        <v>1</v>
      </c>
      <c r="R473" s="2" t="inlineStr">
        <is>
          <t>Doftticka</t>
        </is>
      </c>
      <c r="S473">
        <f>HYPERLINK("https://klasma.github.io/Logging_2313/artfynd/A 36334-2024 artfynd.xlsx", "A 36334-2024")</f>
        <v/>
      </c>
      <c r="T473">
        <f>HYPERLINK("https://klasma.github.io/Logging_2313/kartor/A 36334-2024 karta.png", "A 36334-2024")</f>
        <v/>
      </c>
      <c r="V473">
        <f>HYPERLINK("https://klasma.github.io/Logging_2313/klagomål/A 36334-2024 FSC-klagomål.docx", "A 36334-2024")</f>
        <v/>
      </c>
      <c r="W473">
        <f>HYPERLINK("https://klasma.github.io/Logging_2313/klagomålsmail/A 36334-2024 FSC-klagomål mail.docx", "A 36334-2024")</f>
        <v/>
      </c>
      <c r="X473">
        <f>HYPERLINK("https://klasma.github.io/Logging_2313/tillsyn/A 36334-2024 tillsynsbegäran.docx", "A 36334-2024")</f>
        <v/>
      </c>
      <c r="Y473">
        <f>HYPERLINK("https://klasma.github.io/Logging_2313/tillsynsmail/A 36334-2024 tillsynsbegäran mail.docx", "A 36334-2024")</f>
        <v/>
      </c>
    </row>
    <row r="474" ht="15" customHeight="1">
      <c r="A474" t="inlineStr">
        <is>
          <t>A 40186-2024</t>
        </is>
      </c>
      <c r="B474" s="1" t="n">
        <v>45554</v>
      </c>
      <c r="C474" s="1" t="n">
        <v>45740</v>
      </c>
      <c r="D474" t="inlineStr">
        <is>
          <t>JÄMTLANDS LÄN</t>
        </is>
      </c>
      <c r="E474" t="inlineStr">
        <is>
          <t>STRÖMSUND</t>
        </is>
      </c>
      <c r="G474" t="n">
        <v>7.4</v>
      </c>
      <c r="H474" t="n">
        <v>0</v>
      </c>
      <c r="I474" t="n">
        <v>1</v>
      </c>
      <c r="J474" t="n">
        <v>0</v>
      </c>
      <c r="K474" t="n">
        <v>0</v>
      </c>
      <c r="L474" t="n">
        <v>0</v>
      </c>
      <c r="M474" t="n">
        <v>0</v>
      </c>
      <c r="N474" t="n">
        <v>0</v>
      </c>
      <c r="O474" t="n">
        <v>0</v>
      </c>
      <c r="P474" t="n">
        <v>0</v>
      </c>
      <c r="Q474" t="n">
        <v>1</v>
      </c>
      <c r="R474" s="2" t="inlineStr">
        <is>
          <t>Kransrams</t>
        </is>
      </c>
      <c r="S474">
        <f>HYPERLINK("https://klasma.github.io/Logging_2313/artfynd/A 40186-2024 artfynd.xlsx", "A 40186-2024")</f>
        <v/>
      </c>
      <c r="T474">
        <f>HYPERLINK("https://klasma.github.io/Logging_2313/kartor/A 40186-2024 karta.png", "A 40186-2024")</f>
        <v/>
      </c>
      <c r="V474">
        <f>HYPERLINK("https://klasma.github.io/Logging_2313/klagomål/A 40186-2024 FSC-klagomål.docx", "A 40186-2024")</f>
        <v/>
      </c>
      <c r="W474">
        <f>HYPERLINK("https://klasma.github.io/Logging_2313/klagomålsmail/A 40186-2024 FSC-klagomål mail.docx", "A 40186-2024")</f>
        <v/>
      </c>
      <c r="X474">
        <f>HYPERLINK("https://klasma.github.io/Logging_2313/tillsyn/A 40186-2024 tillsynsbegäran.docx", "A 40186-2024")</f>
        <v/>
      </c>
      <c r="Y474">
        <f>HYPERLINK("https://klasma.github.io/Logging_2313/tillsynsmail/A 40186-2024 tillsynsbegäran mail.docx", "A 40186-2024")</f>
        <v/>
      </c>
    </row>
    <row r="475" ht="15" customHeight="1">
      <c r="A475" t="inlineStr">
        <is>
          <t>A 41938-2024</t>
        </is>
      </c>
      <c r="B475" s="1" t="n">
        <v>45561</v>
      </c>
      <c r="C475" s="1" t="n">
        <v>45740</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Lunglav</t>
        </is>
      </c>
      <c r="S475">
        <f>HYPERLINK("https://klasma.github.io/Logging_2313/artfynd/A 41938-2024 artfynd.xlsx", "A 41938-2024")</f>
        <v/>
      </c>
      <c r="T475">
        <f>HYPERLINK("https://klasma.github.io/Logging_2313/kartor/A 41938-2024 karta.png", "A 41938-2024")</f>
        <v/>
      </c>
      <c r="V475">
        <f>HYPERLINK("https://klasma.github.io/Logging_2313/klagomål/A 41938-2024 FSC-klagomål.docx", "A 41938-2024")</f>
        <v/>
      </c>
      <c r="W475">
        <f>HYPERLINK("https://klasma.github.io/Logging_2313/klagomålsmail/A 41938-2024 FSC-klagomål mail.docx", "A 41938-2024")</f>
        <v/>
      </c>
      <c r="X475">
        <f>HYPERLINK("https://klasma.github.io/Logging_2313/tillsyn/A 41938-2024 tillsynsbegäran.docx", "A 41938-2024")</f>
        <v/>
      </c>
      <c r="Y475">
        <f>HYPERLINK("https://klasma.github.io/Logging_2313/tillsynsmail/A 41938-2024 tillsynsbegäran mail.docx", "A 41938-2024")</f>
        <v/>
      </c>
    </row>
    <row r="476" ht="15" customHeight="1">
      <c r="A476" t="inlineStr">
        <is>
          <t>A 43888-2024</t>
        </is>
      </c>
      <c r="B476" s="1" t="n">
        <v>45572</v>
      </c>
      <c r="C476" s="1" t="n">
        <v>45740</v>
      </c>
      <c r="D476" t="inlineStr">
        <is>
          <t>JÄMTLANDS LÄN</t>
        </is>
      </c>
      <c r="E476" t="inlineStr">
        <is>
          <t>STRÖMSUND</t>
        </is>
      </c>
      <c r="G476" t="n">
        <v>16.1</v>
      </c>
      <c r="H476" t="n">
        <v>1</v>
      </c>
      <c r="I476" t="n">
        <v>0</v>
      </c>
      <c r="J476" t="n">
        <v>1</v>
      </c>
      <c r="K476" t="n">
        <v>0</v>
      </c>
      <c r="L476" t="n">
        <v>0</v>
      </c>
      <c r="M476" t="n">
        <v>0</v>
      </c>
      <c r="N476" t="n">
        <v>0</v>
      </c>
      <c r="O476" t="n">
        <v>1</v>
      </c>
      <c r="P476" t="n">
        <v>0</v>
      </c>
      <c r="Q476" t="n">
        <v>1</v>
      </c>
      <c r="R476" s="2" t="inlineStr">
        <is>
          <t>Talltita</t>
        </is>
      </c>
      <c r="S476">
        <f>HYPERLINK("https://klasma.github.io/Logging_2313/artfynd/A 43888-2024 artfynd.xlsx", "A 43888-2024")</f>
        <v/>
      </c>
      <c r="T476">
        <f>HYPERLINK("https://klasma.github.io/Logging_2313/kartor/A 43888-2024 karta.png", "A 43888-2024")</f>
        <v/>
      </c>
      <c r="V476">
        <f>HYPERLINK("https://klasma.github.io/Logging_2313/klagomål/A 43888-2024 FSC-klagomål.docx", "A 43888-2024")</f>
        <v/>
      </c>
      <c r="W476">
        <f>HYPERLINK("https://klasma.github.io/Logging_2313/klagomålsmail/A 43888-2024 FSC-klagomål mail.docx", "A 43888-2024")</f>
        <v/>
      </c>
      <c r="X476">
        <f>HYPERLINK("https://klasma.github.io/Logging_2313/tillsyn/A 43888-2024 tillsynsbegäran.docx", "A 43888-2024")</f>
        <v/>
      </c>
      <c r="Y476">
        <f>HYPERLINK("https://klasma.github.io/Logging_2313/tillsynsmail/A 43888-2024 tillsynsbegäran mail.docx", "A 43888-2024")</f>
        <v/>
      </c>
      <c r="Z476">
        <f>HYPERLINK("https://klasma.github.io/Logging_2313/fåglar/A 43888-2024 prioriterade fågelarter.docx", "A 43888-2024")</f>
        <v/>
      </c>
    </row>
    <row r="477" ht="15" customHeight="1">
      <c r="A477" t="inlineStr">
        <is>
          <t>A 44603-2024</t>
        </is>
      </c>
      <c r="B477" s="1" t="n">
        <v>45574</v>
      </c>
      <c r="C477" s="1" t="n">
        <v>45740</v>
      </c>
      <c r="D477" t="inlineStr">
        <is>
          <t>JÄMTLANDS LÄN</t>
        </is>
      </c>
      <c r="E477" t="inlineStr">
        <is>
          <t>STRÖMSUND</t>
        </is>
      </c>
      <c r="F477" t="inlineStr">
        <is>
          <t>SCA</t>
        </is>
      </c>
      <c r="G477" t="n">
        <v>4.6</v>
      </c>
      <c r="H477" t="n">
        <v>0</v>
      </c>
      <c r="I477" t="n">
        <v>0</v>
      </c>
      <c r="J477" t="n">
        <v>0</v>
      </c>
      <c r="K477" t="n">
        <v>1</v>
      </c>
      <c r="L477" t="n">
        <v>0</v>
      </c>
      <c r="M477" t="n">
        <v>0</v>
      </c>
      <c r="N477" t="n">
        <v>0</v>
      </c>
      <c r="O477" t="n">
        <v>1</v>
      </c>
      <c r="P477" t="n">
        <v>1</v>
      </c>
      <c r="Q477" t="n">
        <v>1</v>
      </c>
      <c r="R477" s="2" t="inlineStr">
        <is>
          <t>Norsk näverlav</t>
        </is>
      </c>
      <c r="S477">
        <f>HYPERLINK("https://klasma.github.io/Logging_2313/artfynd/A 44603-2024 artfynd.xlsx", "A 44603-2024")</f>
        <v/>
      </c>
      <c r="T477">
        <f>HYPERLINK("https://klasma.github.io/Logging_2313/kartor/A 44603-2024 karta.png", "A 44603-2024")</f>
        <v/>
      </c>
      <c r="V477">
        <f>HYPERLINK("https://klasma.github.io/Logging_2313/klagomål/A 44603-2024 FSC-klagomål.docx", "A 44603-2024")</f>
        <v/>
      </c>
      <c r="W477">
        <f>HYPERLINK("https://klasma.github.io/Logging_2313/klagomålsmail/A 44603-2024 FSC-klagomål mail.docx", "A 44603-2024")</f>
        <v/>
      </c>
      <c r="X477">
        <f>HYPERLINK("https://klasma.github.io/Logging_2313/tillsyn/A 44603-2024 tillsynsbegäran.docx", "A 44603-2024")</f>
        <v/>
      </c>
      <c r="Y477">
        <f>HYPERLINK("https://klasma.github.io/Logging_2313/tillsynsmail/A 44603-2024 tillsynsbegäran mail.docx", "A 44603-2024")</f>
        <v/>
      </c>
    </row>
    <row r="478" ht="15" customHeight="1">
      <c r="A478" t="inlineStr">
        <is>
          <t>A 44617-2024</t>
        </is>
      </c>
      <c r="B478" s="1" t="n">
        <v>45574</v>
      </c>
      <c r="C478" s="1" t="n">
        <v>45740</v>
      </c>
      <c r="D478" t="inlineStr">
        <is>
          <t>JÄMTLANDS LÄN</t>
        </is>
      </c>
      <c r="E478" t="inlineStr">
        <is>
          <t>STRÖMSUND</t>
        </is>
      </c>
      <c r="F478" t="inlineStr">
        <is>
          <t>SCA</t>
        </is>
      </c>
      <c r="G478" t="n">
        <v>6.1</v>
      </c>
      <c r="H478" t="n">
        <v>0</v>
      </c>
      <c r="I478" t="n">
        <v>0</v>
      </c>
      <c r="J478" t="n">
        <v>1</v>
      </c>
      <c r="K478" t="n">
        <v>0</v>
      </c>
      <c r="L478" t="n">
        <v>0</v>
      </c>
      <c r="M478" t="n">
        <v>0</v>
      </c>
      <c r="N478" t="n">
        <v>0</v>
      </c>
      <c r="O478" t="n">
        <v>1</v>
      </c>
      <c r="P478" t="n">
        <v>0</v>
      </c>
      <c r="Q478" t="n">
        <v>1</v>
      </c>
      <c r="R478" s="2" t="inlineStr">
        <is>
          <t>Granticka</t>
        </is>
      </c>
      <c r="S478">
        <f>HYPERLINK("https://klasma.github.io/Logging_2313/artfynd/A 44617-2024 artfynd.xlsx", "A 44617-2024")</f>
        <v/>
      </c>
      <c r="T478">
        <f>HYPERLINK("https://klasma.github.io/Logging_2313/kartor/A 44617-2024 karta.png", "A 44617-2024")</f>
        <v/>
      </c>
      <c r="V478">
        <f>HYPERLINK("https://klasma.github.io/Logging_2313/klagomål/A 44617-2024 FSC-klagomål.docx", "A 44617-2024")</f>
        <v/>
      </c>
      <c r="W478">
        <f>HYPERLINK("https://klasma.github.io/Logging_2313/klagomålsmail/A 44617-2024 FSC-klagomål mail.docx", "A 44617-2024")</f>
        <v/>
      </c>
      <c r="X478">
        <f>HYPERLINK("https://klasma.github.io/Logging_2313/tillsyn/A 44617-2024 tillsynsbegäran.docx", "A 44617-2024")</f>
        <v/>
      </c>
      <c r="Y478">
        <f>HYPERLINK("https://klasma.github.io/Logging_2313/tillsynsmail/A 44617-2024 tillsynsbegäran mail.docx", "A 44617-2024")</f>
        <v/>
      </c>
    </row>
    <row r="479" ht="15" customHeight="1">
      <c r="A479" t="inlineStr">
        <is>
          <t>A 48213-2024</t>
        </is>
      </c>
      <c r="B479" s="1" t="n">
        <v>45590</v>
      </c>
      <c r="C479" s="1" t="n">
        <v>45740</v>
      </c>
      <c r="D479" t="inlineStr">
        <is>
          <t>JÄMTLANDS LÄN</t>
        </is>
      </c>
      <c r="E479" t="inlineStr">
        <is>
          <t>STRÖMSUND</t>
        </is>
      </c>
      <c r="G479" t="n">
        <v>3.9</v>
      </c>
      <c r="H479" t="n">
        <v>0</v>
      </c>
      <c r="I479" t="n">
        <v>0</v>
      </c>
      <c r="J479" t="n">
        <v>1</v>
      </c>
      <c r="K479" t="n">
        <v>0</v>
      </c>
      <c r="L479" t="n">
        <v>0</v>
      </c>
      <c r="M479" t="n">
        <v>0</v>
      </c>
      <c r="N479" t="n">
        <v>0</v>
      </c>
      <c r="O479" t="n">
        <v>1</v>
      </c>
      <c r="P479" t="n">
        <v>0</v>
      </c>
      <c r="Q479" t="n">
        <v>1</v>
      </c>
      <c r="R479" s="2" t="inlineStr">
        <is>
          <t>Äggvaxskivling</t>
        </is>
      </c>
      <c r="S479">
        <f>HYPERLINK("https://klasma.github.io/Logging_2313/artfynd/A 48213-2024 artfynd.xlsx", "A 48213-2024")</f>
        <v/>
      </c>
      <c r="T479">
        <f>HYPERLINK("https://klasma.github.io/Logging_2313/kartor/A 48213-2024 karta.png", "A 48213-2024")</f>
        <v/>
      </c>
      <c r="V479">
        <f>HYPERLINK("https://klasma.github.io/Logging_2313/klagomål/A 48213-2024 FSC-klagomål.docx", "A 48213-2024")</f>
        <v/>
      </c>
      <c r="W479">
        <f>HYPERLINK("https://klasma.github.io/Logging_2313/klagomålsmail/A 48213-2024 FSC-klagomål mail.docx", "A 48213-2024")</f>
        <v/>
      </c>
      <c r="X479">
        <f>HYPERLINK("https://klasma.github.io/Logging_2313/tillsyn/A 48213-2024 tillsynsbegäran.docx", "A 48213-2024")</f>
        <v/>
      </c>
      <c r="Y479">
        <f>HYPERLINK("https://klasma.github.io/Logging_2313/tillsynsmail/A 48213-2024 tillsynsbegäran mail.docx", "A 48213-2024")</f>
        <v/>
      </c>
    </row>
    <row r="480" ht="15" customHeight="1">
      <c r="A480" t="inlineStr">
        <is>
          <t>A 48918-2024</t>
        </is>
      </c>
      <c r="B480" s="1" t="n">
        <v>45594</v>
      </c>
      <c r="C480" s="1" t="n">
        <v>45740</v>
      </c>
      <c r="D480" t="inlineStr">
        <is>
          <t>JÄMTLANDS LÄN</t>
        </is>
      </c>
      <c r="E480" t="inlineStr">
        <is>
          <t>STRÖMSUND</t>
        </is>
      </c>
      <c r="F480" t="inlineStr">
        <is>
          <t>SCA</t>
        </is>
      </c>
      <c r="G480" t="n">
        <v>5.2</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48918-2024 artfynd.xlsx", "A 48918-2024")</f>
        <v/>
      </c>
      <c r="T480">
        <f>HYPERLINK("https://klasma.github.io/Logging_2313/kartor/A 48918-2024 karta.png", "A 48918-2024")</f>
        <v/>
      </c>
      <c r="V480">
        <f>HYPERLINK("https://klasma.github.io/Logging_2313/klagomål/A 48918-2024 FSC-klagomål.docx", "A 48918-2024")</f>
        <v/>
      </c>
      <c r="W480">
        <f>HYPERLINK("https://klasma.github.io/Logging_2313/klagomålsmail/A 48918-2024 FSC-klagomål mail.docx", "A 48918-2024")</f>
        <v/>
      </c>
      <c r="X480">
        <f>HYPERLINK("https://klasma.github.io/Logging_2313/tillsyn/A 48918-2024 tillsynsbegäran.docx", "A 48918-2024")</f>
        <v/>
      </c>
      <c r="Y480">
        <f>HYPERLINK("https://klasma.github.io/Logging_2313/tillsynsmail/A 48918-2024 tillsynsbegäran mail.docx", "A 48918-2024")</f>
        <v/>
      </c>
      <c r="Z480">
        <f>HYPERLINK("https://klasma.github.io/Logging_2313/fåglar/A 48918-2024 prioriterade fågelarter.docx", "A 48918-2024")</f>
        <v/>
      </c>
    </row>
    <row r="481" ht="15" customHeight="1">
      <c r="A481" t="inlineStr">
        <is>
          <t>A 49374-2024</t>
        </is>
      </c>
      <c r="B481" s="1" t="n">
        <v>45595</v>
      </c>
      <c r="C481" s="1" t="n">
        <v>45740</v>
      </c>
      <c r="D481" t="inlineStr">
        <is>
          <t>JÄMTLANDS LÄN</t>
        </is>
      </c>
      <c r="E481" t="inlineStr">
        <is>
          <t>STRÖMSUND</t>
        </is>
      </c>
      <c r="F481" t="inlineStr">
        <is>
          <t>SCA</t>
        </is>
      </c>
      <c r="G481" t="n">
        <v>1.5</v>
      </c>
      <c r="H481" t="n">
        <v>0</v>
      </c>
      <c r="I481" t="n">
        <v>0</v>
      </c>
      <c r="J481" t="n">
        <v>1</v>
      </c>
      <c r="K481" t="n">
        <v>0</v>
      </c>
      <c r="L481" t="n">
        <v>0</v>
      </c>
      <c r="M481" t="n">
        <v>0</v>
      </c>
      <c r="N481" t="n">
        <v>0</v>
      </c>
      <c r="O481" t="n">
        <v>1</v>
      </c>
      <c r="P481" t="n">
        <v>0</v>
      </c>
      <c r="Q481" t="n">
        <v>1</v>
      </c>
      <c r="R481" s="2" t="inlineStr">
        <is>
          <t>Veckticka</t>
        </is>
      </c>
      <c r="S481">
        <f>HYPERLINK("https://klasma.github.io/Logging_2313/artfynd/A 49374-2024 artfynd.xlsx", "A 49374-2024")</f>
        <v/>
      </c>
      <c r="T481">
        <f>HYPERLINK("https://klasma.github.io/Logging_2313/kartor/A 49374-2024 karta.png", "A 49374-2024")</f>
        <v/>
      </c>
      <c r="V481">
        <f>HYPERLINK("https://klasma.github.io/Logging_2313/klagomål/A 49374-2024 FSC-klagomål.docx", "A 49374-2024")</f>
        <v/>
      </c>
      <c r="W481">
        <f>HYPERLINK("https://klasma.github.io/Logging_2313/klagomålsmail/A 49374-2024 FSC-klagomål mail.docx", "A 49374-2024")</f>
        <v/>
      </c>
      <c r="X481">
        <f>HYPERLINK("https://klasma.github.io/Logging_2313/tillsyn/A 49374-2024 tillsynsbegäran.docx", "A 49374-2024")</f>
        <v/>
      </c>
      <c r="Y481">
        <f>HYPERLINK("https://klasma.github.io/Logging_2313/tillsynsmail/A 49374-2024 tillsynsbegäran mail.docx", "A 49374-2024")</f>
        <v/>
      </c>
    </row>
    <row r="482" ht="15" customHeight="1">
      <c r="A482" t="inlineStr">
        <is>
          <t>A 51487-2024</t>
        </is>
      </c>
      <c r="B482" s="1" t="n">
        <v>45604</v>
      </c>
      <c r="C482" s="1" t="n">
        <v>45740</v>
      </c>
      <c r="D482" t="inlineStr">
        <is>
          <t>JÄMTLANDS LÄN</t>
        </is>
      </c>
      <c r="E482" t="inlineStr">
        <is>
          <t>STRÖMSUND</t>
        </is>
      </c>
      <c r="F482" t="inlineStr">
        <is>
          <t>Kommuner</t>
        </is>
      </c>
      <c r="G482" t="n">
        <v>6.8</v>
      </c>
      <c r="H482" t="n">
        <v>1</v>
      </c>
      <c r="I482" t="n">
        <v>0</v>
      </c>
      <c r="J482" t="n">
        <v>1</v>
      </c>
      <c r="K482" t="n">
        <v>0</v>
      </c>
      <c r="L482" t="n">
        <v>0</v>
      </c>
      <c r="M482" t="n">
        <v>0</v>
      </c>
      <c r="N482" t="n">
        <v>0</v>
      </c>
      <c r="O482" t="n">
        <v>1</v>
      </c>
      <c r="P482" t="n">
        <v>0</v>
      </c>
      <c r="Q482" t="n">
        <v>1</v>
      </c>
      <c r="R482" s="2" t="inlineStr">
        <is>
          <t>Spillkråka</t>
        </is>
      </c>
      <c r="S482">
        <f>HYPERLINK("https://klasma.github.io/Logging_2313/artfynd/A 51487-2024 artfynd.xlsx", "A 51487-2024")</f>
        <v/>
      </c>
      <c r="T482">
        <f>HYPERLINK("https://klasma.github.io/Logging_2313/kartor/A 51487-2024 karta.png", "A 51487-2024")</f>
        <v/>
      </c>
      <c r="V482">
        <f>HYPERLINK("https://klasma.github.io/Logging_2313/klagomål/A 51487-2024 FSC-klagomål.docx", "A 51487-2024")</f>
        <v/>
      </c>
      <c r="W482">
        <f>HYPERLINK("https://klasma.github.io/Logging_2313/klagomålsmail/A 51487-2024 FSC-klagomål mail.docx", "A 51487-2024")</f>
        <v/>
      </c>
      <c r="X482">
        <f>HYPERLINK("https://klasma.github.io/Logging_2313/tillsyn/A 51487-2024 tillsynsbegäran.docx", "A 51487-2024")</f>
        <v/>
      </c>
      <c r="Y482">
        <f>HYPERLINK("https://klasma.github.io/Logging_2313/tillsynsmail/A 51487-2024 tillsynsbegäran mail.docx", "A 51487-2024")</f>
        <v/>
      </c>
      <c r="Z482">
        <f>HYPERLINK("https://klasma.github.io/Logging_2313/fåglar/A 51487-2024 prioriterade fågelarter.docx", "A 51487-2024")</f>
        <v/>
      </c>
    </row>
    <row r="483" ht="15" customHeight="1">
      <c r="A483" t="inlineStr">
        <is>
          <t>A 53170-2024</t>
        </is>
      </c>
      <c r="B483" s="1" t="n">
        <v>45611</v>
      </c>
      <c r="C483" s="1" t="n">
        <v>45740</v>
      </c>
      <c r="D483" t="inlineStr">
        <is>
          <t>JÄMTLANDS LÄN</t>
        </is>
      </c>
      <c r="E483" t="inlineStr">
        <is>
          <t>STRÖMSUND</t>
        </is>
      </c>
      <c r="G483" t="n">
        <v>21.1</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53170-2024 artfynd.xlsx", "A 53170-2024")</f>
        <v/>
      </c>
      <c r="T483">
        <f>HYPERLINK("https://klasma.github.io/Logging_2313/kartor/A 53170-2024 karta.png", "A 53170-2024")</f>
        <v/>
      </c>
      <c r="V483">
        <f>HYPERLINK("https://klasma.github.io/Logging_2313/klagomål/A 53170-2024 FSC-klagomål.docx", "A 53170-2024")</f>
        <v/>
      </c>
      <c r="W483">
        <f>HYPERLINK("https://klasma.github.io/Logging_2313/klagomålsmail/A 53170-2024 FSC-klagomål mail.docx", "A 53170-2024")</f>
        <v/>
      </c>
      <c r="X483">
        <f>HYPERLINK("https://klasma.github.io/Logging_2313/tillsyn/A 53170-2024 tillsynsbegäran.docx", "A 53170-2024")</f>
        <v/>
      </c>
      <c r="Y483">
        <f>HYPERLINK("https://klasma.github.io/Logging_2313/tillsynsmail/A 53170-2024 tillsynsbegäran mail.docx", "A 53170-2024")</f>
        <v/>
      </c>
      <c r="Z483">
        <f>HYPERLINK("https://klasma.github.io/Logging_2313/fåglar/A 53170-2024 prioriterade fågelarter.docx", "A 53170-2024")</f>
        <v/>
      </c>
    </row>
    <row r="484" ht="15" customHeight="1">
      <c r="A484" t="inlineStr">
        <is>
          <t>A 53680-2024</t>
        </is>
      </c>
      <c r="B484" s="1" t="n">
        <v>45615</v>
      </c>
      <c r="C484" s="1" t="n">
        <v>45740</v>
      </c>
      <c r="D484" t="inlineStr">
        <is>
          <t>JÄMTLANDS LÄN</t>
        </is>
      </c>
      <c r="E484" t="inlineStr">
        <is>
          <t>STRÖMSUND</t>
        </is>
      </c>
      <c r="F484" t="inlineStr">
        <is>
          <t>SCA</t>
        </is>
      </c>
      <c r="G484" t="n">
        <v>5.6</v>
      </c>
      <c r="H484" t="n">
        <v>1</v>
      </c>
      <c r="I484" t="n">
        <v>0</v>
      </c>
      <c r="J484" t="n">
        <v>0</v>
      </c>
      <c r="K484" t="n">
        <v>0</v>
      </c>
      <c r="L484" t="n">
        <v>0</v>
      </c>
      <c r="M484" t="n">
        <v>0</v>
      </c>
      <c r="N484" t="n">
        <v>0</v>
      </c>
      <c r="O484" t="n">
        <v>0</v>
      </c>
      <c r="P484" t="n">
        <v>0</v>
      </c>
      <c r="Q484" t="n">
        <v>1</v>
      </c>
      <c r="R484" s="2" t="inlineStr">
        <is>
          <t>Fläcknycklar</t>
        </is>
      </c>
      <c r="S484">
        <f>HYPERLINK("https://klasma.github.io/Logging_2313/artfynd/A 53680-2024 artfynd.xlsx", "A 53680-2024")</f>
        <v/>
      </c>
      <c r="T484">
        <f>HYPERLINK("https://klasma.github.io/Logging_2313/kartor/A 53680-2024 karta.png", "A 53680-2024")</f>
        <v/>
      </c>
      <c r="V484">
        <f>HYPERLINK("https://klasma.github.io/Logging_2313/klagomål/A 53680-2024 FSC-klagomål.docx", "A 53680-2024")</f>
        <v/>
      </c>
      <c r="W484">
        <f>HYPERLINK("https://klasma.github.io/Logging_2313/klagomålsmail/A 53680-2024 FSC-klagomål mail.docx", "A 53680-2024")</f>
        <v/>
      </c>
      <c r="X484">
        <f>HYPERLINK("https://klasma.github.io/Logging_2313/tillsyn/A 53680-2024 tillsynsbegäran.docx", "A 53680-2024")</f>
        <v/>
      </c>
      <c r="Y484">
        <f>HYPERLINK("https://klasma.github.io/Logging_2313/tillsynsmail/A 53680-2024 tillsynsbegäran mail.docx", "A 53680-2024")</f>
        <v/>
      </c>
    </row>
    <row r="485" ht="15" customHeight="1">
      <c r="A485" t="inlineStr">
        <is>
          <t>A 54583-2024</t>
        </is>
      </c>
      <c r="B485" s="1" t="n">
        <v>45617</v>
      </c>
      <c r="C485" s="1" t="n">
        <v>45740</v>
      </c>
      <c r="D485" t="inlineStr">
        <is>
          <t>JÄMTLANDS LÄN</t>
        </is>
      </c>
      <c r="E485" t="inlineStr">
        <is>
          <t>STRÖMSUND</t>
        </is>
      </c>
      <c r="F485" t="inlineStr">
        <is>
          <t>SCA</t>
        </is>
      </c>
      <c r="G485" t="n">
        <v>8.5</v>
      </c>
      <c r="H485" t="n">
        <v>0</v>
      </c>
      <c r="I485" t="n">
        <v>0</v>
      </c>
      <c r="J485" t="n">
        <v>1</v>
      </c>
      <c r="K485" t="n">
        <v>0</v>
      </c>
      <c r="L485" t="n">
        <v>0</v>
      </c>
      <c r="M485" t="n">
        <v>0</v>
      </c>
      <c r="N485" t="n">
        <v>0</v>
      </c>
      <c r="O485" t="n">
        <v>1</v>
      </c>
      <c r="P485" t="n">
        <v>0</v>
      </c>
      <c r="Q485" t="n">
        <v>1</v>
      </c>
      <c r="R485" s="2" t="inlineStr">
        <is>
          <t>Gammelgransskål</t>
        </is>
      </c>
      <c r="S485">
        <f>HYPERLINK("https://klasma.github.io/Logging_2313/artfynd/A 54583-2024 artfynd.xlsx", "A 54583-2024")</f>
        <v/>
      </c>
      <c r="T485">
        <f>HYPERLINK("https://klasma.github.io/Logging_2313/kartor/A 54583-2024 karta.png", "A 54583-2024")</f>
        <v/>
      </c>
      <c r="V485">
        <f>HYPERLINK("https://klasma.github.io/Logging_2313/klagomål/A 54583-2024 FSC-klagomål.docx", "A 54583-2024")</f>
        <v/>
      </c>
      <c r="W485">
        <f>HYPERLINK("https://klasma.github.io/Logging_2313/klagomålsmail/A 54583-2024 FSC-klagomål mail.docx", "A 54583-2024")</f>
        <v/>
      </c>
      <c r="X485">
        <f>HYPERLINK("https://klasma.github.io/Logging_2313/tillsyn/A 54583-2024 tillsynsbegäran.docx", "A 54583-2024")</f>
        <v/>
      </c>
      <c r="Y485">
        <f>HYPERLINK("https://klasma.github.io/Logging_2313/tillsynsmail/A 54583-2024 tillsynsbegäran mail.docx", "A 54583-2024")</f>
        <v/>
      </c>
    </row>
    <row r="486" ht="15" customHeight="1">
      <c r="A486" t="inlineStr">
        <is>
          <t>A 54944-2024</t>
        </is>
      </c>
      <c r="B486" s="1" t="n">
        <v>45619</v>
      </c>
      <c r="C486" s="1" t="n">
        <v>45740</v>
      </c>
      <c r="D486" t="inlineStr">
        <is>
          <t>JÄMTLANDS LÄN</t>
        </is>
      </c>
      <c r="E486" t="inlineStr">
        <is>
          <t>STRÖMSUND</t>
        </is>
      </c>
      <c r="F486" t="inlineStr">
        <is>
          <t>SCA</t>
        </is>
      </c>
      <c r="G486" t="n">
        <v>3.6</v>
      </c>
      <c r="H486" t="n">
        <v>0</v>
      </c>
      <c r="I486" t="n">
        <v>0</v>
      </c>
      <c r="J486" t="n">
        <v>1</v>
      </c>
      <c r="K486" t="n">
        <v>0</v>
      </c>
      <c r="L486" t="n">
        <v>0</v>
      </c>
      <c r="M486" t="n">
        <v>0</v>
      </c>
      <c r="N486" t="n">
        <v>0</v>
      </c>
      <c r="O486" t="n">
        <v>1</v>
      </c>
      <c r="P486" t="n">
        <v>0</v>
      </c>
      <c r="Q486" t="n">
        <v>1</v>
      </c>
      <c r="R486" s="2" t="inlineStr">
        <is>
          <t>Skogshare</t>
        </is>
      </c>
      <c r="S486">
        <f>HYPERLINK("https://klasma.github.io/Logging_2313/artfynd/A 54944-2024 artfynd.xlsx", "A 54944-2024")</f>
        <v/>
      </c>
      <c r="T486">
        <f>HYPERLINK("https://klasma.github.io/Logging_2313/kartor/A 54944-2024 karta.png", "A 54944-2024")</f>
        <v/>
      </c>
      <c r="V486">
        <f>HYPERLINK("https://klasma.github.io/Logging_2313/klagomål/A 54944-2024 FSC-klagomål.docx", "A 54944-2024")</f>
        <v/>
      </c>
      <c r="W486">
        <f>HYPERLINK("https://klasma.github.io/Logging_2313/klagomålsmail/A 54944-2024 FSC-klagomål mail.docx", "A 54944-2024")</f>
        <v/>
      </c>
      <c r="X486">
        <f>HYPERLINK("https://klasma.github.io/Logging_2313/tillsyn/A 54944-2024 tillsynsbegäran.docx", "A 54944-2024")</f>
        <v/>
      </c>
      <c r="Y486">
        <f>HYPERLINK("https://klasma.github.io/Logging_2313/tillsynsmail/A 54944-2024 tillsynsbegäran mail.docx", "A 54944-2024")</f>
        <v/>
      </c>
    </row>
    <row r="487" ht="15" customHeight="1">
      <c r="A487" t="inlineStr">
        <is>
          <t>A 55383-2024</t>
        </is>
      </c>
      <c r="B487" s="1" t="n">
        <v>45622</v>
      </c>
      <c r="C487" s="1" t="n">
        <v>45740</v>
      </c>
      <c r="D487" t="inlineStr">
        <is>
          <t>JÄMTLANDS LÄN</t>
        </is>
      </c>
      <c r="E487" t="inlineStr">
        <is>
          <t>STRÖMSUND</t>
        </is>
      </c>
      <c r="G487" t="n">
        <v>4.8</v>
      </c>
      <c r="H487" t="n">
        <v>1</v>
      </c>
      <c r="I487" t="n">
        <v>0</v>
      </c>
      <c r="J487" t="n">
        <v>1</v>
      </c>
      <c r="K487" t="n">
        <v>0</v>
      </c>
      <c r="L487" t="n">
        <v>0</v>
      </c>
      <c r="M487" t="n">
        <v>0</v>
      </c>
      <c r="N487" t="n">
        <v>0</v>
      </c>
      <c r="O487" t="n">
        <v>1</v>
      </c>
      <c r="P487" t="n">
        <v>0</v>
      </c>
      <c r="Q487" t="n">
        <v>1</v>
      </c>
      <c r="R487" s="2" t="inlineStr">
        <is>
          <t>Utter</t>
        </is>
      </c>
      <c r="S487">
        <f>HYPERLINK("https://klasma.github.io/Logging_2313/artfynd/A 55383-2024 artfynd.xlsx", "A 55383-2024")</f>
        <v/>
      </c>
      <c r="T487">
        <f>HYPERLINK("https://klasma.github.io/Logging_2313/kartor/A 55383-2024 karta.png", "A 55383-2024")</f>
        <v/>
      </c>
      <c r="V487">
        <f>HYPERLINK("https://klasma.github.io/Logging_2313/klagomål/A 55383-2024 FSC-klagomål.docx", "A 55383-2024")</f>
        <v/>
      </c>
      <c r="W487">
        <f>HYPERLINK("https://klasma.github.io/Logging_2313/klagomålsmail/A 55383-2024 FSC-klagomål mail.docx", "A 55383-2024")</f>
        <v/>
      </c>
      <c r="X487">
        <f>HYPERLINK("https://klasma.github.io/Logging_2313/tillsyn/A 55383-2024 tillsynsbegäran.docx", "A 55383-2024")</f>
        <v/>
      </c>
      <c r="Y487">
        <f>HYPERLINK("https://klasma.github.io/Logging_2313/tillsynsmail/A 55383-2024 tillsynsbegäran mail.docx", "A 55383-2024")</f>
        <v/>
      </c>
    </row>
    <row r="488" ht="15" customHeight="1">
      <c r="A488" t="inlineStr">
        <is>
          <t>A 57068-2024</t>
        </is>
      </c>
      <c r="B488" s="1" t="n">
        <v>45629</v>
      </c>
      <c r="C488" s="1" t="n">
        <v>45740</v>
      </c>
      <c r="D488" t="inlineStr">
        <is>
          <t>JÄMTLANDS LÄN</t>
        </is>
      </c>
      <c r="E488" t="inlineStr">
        <is>
          <t>STRÖMSUND</t>
        </is>
      </c>
      <c r="F488" t="inlineStr">
        <is>
          <t>SCA</t>
        </is>
      </c>
      <c r="G488" t="n">
        <v>3.5</v>
      </c>
      <c r="H488" t="n">
        <v>0</v>
      </c>
      <c r="I488" t="n">
        <v>0</v>
      </c>
      <c r="J488" t="n">
        <v>1</v>
      </c>
      <c r="K488" t="n">
        <v>0</v>
      </c>
      <c r="L488" t="n">
        <v>0</v>
      </c>
      <c r="M488" t="n">
        <v>0</v>
      </c>
      <c r="N488" t="n">
        <v>0</v>
      </c>
      <c r="O488" t="n">
        <v>1</v>
      </c>
      <c r="P488" t="n">
        <v>0</v>
      </c>
      <c r="Q488" t="n">
        <v>1</v>
      </c>
      <c r="R488" s="2" t="inlineStr">
        <is>
          <t>Lunglav</t>
        </is>
      </c>
      <c r="S488">
        <f>HYPERLINK("https://klasma.github.io/Logging_2313/artfynd/A 57068-2024 artfynd.xlsx", "A 57068-2024")</f>
        <v/>
      </c>
      <c r="T488">
        <f>HYPERLINK("https://klasma.github.io/Logging_2313/kartor/A 57068-2024 karta.png", "A 57068-2024")</f>
        <v/>
      </c>
      <c r="V488">
        <f>HYPERLINK("https://klasma.github.io/Logging_2313/klagomål/A 57068-2024 FSC-klagomål.docx", "A 57068-2024")</f>
        <v/>
      </c>
      <c r="W488">
        <f>HYPERLINK("https://klasma.github.io/Logging_2313/klagomålsmail/A 57068-2024 FSC-klagomål mail.docx", "A 57068-2024")</f>
        <v/>
      </c>
      <c r="X488">
        <f>HYPERLINK("https://klasma.github.io/Logging_2313/tillsyn/A 57068-2024 tillsynsbegäran.docx", "A 57068-2024")</f>
        <v/>
      </c>
      <c r="Y488">
        <f>HYPERLINK("https://klasma.github.io/Logging_2313/tillsynsmail/A 57068-2024 tillsynsbegäran mail.docx", "A 57068-2024")</f>
        <v/>
      </c>
    </row>
    <row r="489" ht="15" customHeight="1">
      <c r="A489" t="inlineStr">
        <is>
          <t>A 59845-2024</t>
        </is>
      </c>
      <c r="B489" s="1" t="n">
        <v>45639</v>
      </c>
      <c r="C489" s="1" t="n">
        <v>45740</v>
      </c>
      <c r="D489" t="inlineStr">
        <is>
          <t>JÄMTLANDS LÄN</t>
        </is>
      </c>
      <c r="E489" t="inlineStr">
        <is>
          <t>STRÖMSUND</t>
        </is>
      </c>
      <c r="F489" t="inlineStr">
        <is>
          <t>SCA</t>
        </is>
      </c>
      <c r="G489" t="n">
        <v>4.2</v>
      </c>
      <c r="H489" t="n">
        <v>0</v>
      </c>
      <c r="I489" t="n">
        <v>0</v>
      </c>
      <c r="J489" t="n">
        <v>1</v>
      </c>
      <c r="K489" t="n">
        <v>0</v>
      </c>
      <c r="L489" t="n">
        <v>0</v>
      </c>
      <c r="M489" t="n">
        <v>0</v>
      </c>
      <c r="N489" t="n">
        <v>0</v>
      </c>
      <c r="O489" t="n">
        <v>1</v>
      </c>
      <c r="P489" t="n">
        <v>0</v>
      </c>
      <c r="Q489" t="n">
        <v>1</v>
      </c>
      <c r="R489" s="2" t="inlineStr">
        <is>
          <t>Lunglav</t>
        </is>
      </c>
      <c r="S489">
        <f>HYPERLINK("https://klasma.github.io/Logging_2313/artfynd/A 59845-2024 artfynd.xlsx", "A 59845-2024")</f>
        <v/>
      </c>
      <c r="T489">
        <f>HYPERLINK("https://klasma.github.io/Logging_2313/kartor/A 59845-2024 karta.png", "A 59845-2024")</f>
        <v/>
      </c>
      <c r="V489">
        <f>HYPERLINK("https://klasma.github.io/Logging_2313/klagomål/A 59845-2024 FSC-klagomål.docx", "A 59845-2024")</f>
        <v/>
      </c>
      <c r="W489">
        <f>HYPERLINK("https://klasma.github.io/Logging_2313/klagomålsmail/A 59845-2024 FSC-klagomål mail.docx", "A 59845-2024")</f>
        <v/>
      </c>
      <c r="X489">
        <f>HYPERLINK("https://klasma.github.io/Logging_2313/tillsyn/A 59845-2024 tillsynsbegäran.docx", "A 59845-2024")</f>
        <v/>
      </c>
      <c r="Y489">
        <f>HYPERLINK("https://klasma.github.io/Logging_2313/tillsynsmail/A 59845-2024 tillsynsbegäran mail.docx", "A 59845-2024")</f>
        <v/>
      </c>
    </row>
    <row r="490" ht="15" customHeight="1">
      <c r="A490" t="inlineStr">
        <is>
          <t>A 60152-2024</t>
        </is>
      </c>
      <c r="B490" s="1" t="n">
        <v>45642</v>
      </c>
      <c r="C490" s="1" t="n">
        <v>45740</v>
      </c>
      <c r="D490" t="inlineStr">
        <is>
          <t>JÄMTLANDS LÄN</t>
        </is>
      </c>
      <c r="E490" t="inlineStr">
        <is>
          <t>STRÖMSUND</t>
        </is>
      </c>
      <c r="G490" t="n">
        <v>14.5</v>
      </c>
      <c r="H490" t="n">
        <v>1</v>
      </c>
      <c r="I490" t="n">
        <v>0</v>
      </c>
      <c r="J490" t="n">
        <v>0</v>
      </c>
      <c r="K490" t="n">
        <v>1</v>
      </c>
      <c r="L490" t="n">
        <v>0</v>
      </c>
      <c r="M490" t="n">
        <v>0</v>
      </c>
      <c r="N490" t="n">
        <v>0</v>
      </c>
      <c r="O490" t="n">
        <v>1</v>
      </c>
      <c r="P490" t="n">
        <v>1</v>
      </c>
      <c r="Q490" t="n">
        <v>1</v>
      </c>
      <c r="R490" s="2" t="inlineStr">
        <is>
          <t>Doftticka</t>
        </is>
      </c>
      <c r="S490">
        <f>HYPERLINK("https://klasma.github.io/Logging_2313/artfynd/A 60152-2024 artfynd.xlsx", "A 60152-2024")</f>
        <v/>
      </c>
      <c r="T490">
        <f>HYPERLINK("https://klasma.github.io/Logging_2313/kartor/A 60152-2024 karta.png", "A 60152-2024")</f>
        <v/>
      </c>
      <c r="V490">
        <f>HYPERLINK("https://klasma.github.io/Logging_2313/klagomål/A 60152-2024 FSC-klagomål.docx", "A 60152-2024")</f>
        <v/>
      </c>
      <c r="W490">
        <f>HYPERLINK("https://klasma.github.io/Logging_2313/klagomålsmail/A 60152-2024 FSC-klagomål mail.docx", "A 60152-2024")</f>
        <v/>
      </c>
      <c r="X490">
        <f>HYPERLINK("https://klasma.github.io/Logging_2313/tillsyn/A 60152-2024 tillsynsbegäran.docx", "A 60152-2024")</f>
        <v/>
      </c>
      <c r="Y490">
        <f>HYPERLINK("https://klasma.github.io/Logging_2313/tillsynsmail/A 60152-2024 tillsynsbegäran mail.docx", "A 60152-2024")</f>
        <v/>
      </c>
    </row>
    <row r="491" ht="15" customHeight="1">
      <c r="A491" t="inlineStr">
        <is>
          <t>A 61159-2024</t>
        </is>
      </c>
      <c r="B491" s="1" t="n">
        <v>45645</v>
      </c>
      <c r="C491" s="1" t="n">
        <v>45740</v>
      </c>
      <c r="D491" t="inlineStr">
        <is>
          <t>JÄMTLANDS LÄN</t>
        </is>
      </c>
      <c r="E491" t="inlineStr">
        <is>
          <t>STRÖMSUND</t>
        </is>
      </c>
      <c r="F491" t="inlineStr">
        <is>
          <t>SCA</t>
        </is>
      </c>
      <c r="G491" t="n">
        <v>5.3</v>
      </c>
      <c r="H491" t="n">
        <v>0</v>
      </c>
      <c r="I491" t="n">
        <v>1</v>
      </c>
      <c r="J491" t="n">
        <v>0</v>
      </c>
      <c r="K491" t="n">
        <v>0</v>
      </c>
      <c r="L491" t="n">
        <v>0</v>
      </c>
      <c r="M491" t="n">
        <v>0</v>
      </c>
      <c r="N491" t="n">
        <v>0</v>
      </c>
      <c r="O491" t="n">
        <v>0</v>
      </c>
      <c r="P491" t="n">
        <v>0</v>
      </c>
      <c r="Q491" t="n">
        <v>1</v>
      </c>
      <c r="R491" s="2" t="inlineStr">
        <is>
          <t>Bårdlav</t>
        </is>
      </c>
      <c r="S491">
        <f>HYPERLINK("https://klasma.github.io/Logging_2313/artfynd/A 61159-2024 artfynd.xlsx", "A 61159-2024")</f>
        <v/>
      </c>
      <c r="T491">
        <f>HYPERLINK("https://klasma.github.io/Logging_2313/kartor/A 61159-2024 karta.png", "A 61159-2024")</f>
        <v/>
      </c>
      <c r="V491">
        <f>HYPERLINK("https://klasma.github.io/Logging_2313/klagomål/A 61159-2024 FSC-klagomål.docx", "A 61159-2024")</f>
        <v/>
      </c>
      <c r="W491">
        <f>HYPERLINK("https://klasma.github.io/Logging_2313/klagomålsmail/A 61159-2024 FSC-klagomål mail.docx", "A 61159-2024")</f>
        <v/>
      </c>
      <c r="X491">
        <f>HYPERLINK("https://klasma.github.io/Logging_2313/tillsyn/A 61159-2024 tillsynsbegäran.docx", "A 61159-2024")</f>
        <v/>
      </c>
      <c r="Y491">
        <f>HYPERLINK("https://klasma.github.io/Logging_2313/tillsynsmail/A 61159-2024 tillsynsbegäran mail.docx", "A 61159-2024")</f>
        <v/>
      </c>
    </row>
    <row r="492" ht="15" customHeight="1">
      <c r="A492" t="inlineStr">
        <is>
          <t>A 3832-2025</t>
        </is>
      </c>
      <c r="B492" s="1" t="n">
        <v>45682</v>
      </c>
      <c r="C492" s="1" t="n">
        <v>45740</v>
      </c>
      <c r="D492" t="inlineStr">
        <is>
          <t>JÄMTLANDS LÄN</t>
        </is>
      </c>
      <c r="E492" t="inlineStr">
        <is>
          <t>STRÖMSUND</t>
        </is>
      </c>
      <c r="F492" t="inlineStr">
        <is>
          <t>SCA</t>
        </is>
      </c>
      <c r="G492" t="n">
        <v>11.8</v>
      </c>
      <c r="H492" t="n">
        <v>0</v>
      </c>
      <c r="I492" t="n">
        <v>0</v>
      </c>
      <c r="J492" t="n">
        <v>1</v>
      </c>
      <c r="K492" t="n">
        <v>0</v>
      </c>
      <c r="L492" t="n">
        <v>0</v>
      </c>
      <c r="M492" t="n">
        <v>0</v>
      </c>
      <c r="N492" t="n">
        <v>0</v>
      </c>
      <c r="O492" t="n">
        <v>1</v>
      </c>
      <c r="P492" t="n">
        <v>0</v>
      </c>
      <c r="Q492" t="n">
        <v>1</v>
      </c>
      <c r="R492" s="2" t="inlineStr">
        <is>
          <t>Garnlav</t>
        </is>
      </c>
      <c r="S492">
        <f>HYPERLINK("https://klasma.github.io/Logging_2313/artfynd/A 3832-2025 artfynd.xlsx", "A 3832-2025")</f>
        <v/>
      </c>
      <c r="T492">
        <f>HYPERLINK("https://klasma.github.io/Logging_2313/kartor/A 3832-2025 karta.png", "A 3832-2025")</f>
        <v/>
      </c>
      <c r="V492">
        <f>HYPERLINK("https://klasma.github.io/Logging_2313/klagomål/A 3832-2025 FSC-klagomål.docx", "A 3832-2025")</f>
        <v/>
      </c>
      <c r="W492">
        <f>HYPERLINK("https://klasma.github.io/Logging_2313/klagomålsmail/A 3832-2025 FSC-klagomål mail.docx", "A 3832-2025")</f>
        <v/>
      </c>
      <c r="X492">
        <f>HYPERLINK("https://klasma.github.io/Logging_2313/tillsyn/A 3832-2025 tillsynsbegäran.docx", "A 3832-2025")</f>
        <v/>
      </c>
      <c r="Y492">
        <f>HYPERLINK("https://klasma.github.io/Logging_2313/tillsynsmail/A 3832-2025 tillsynsbegäran mail.docx", "A 3832-2025")</f>
        <v/>
      </c>
    </row>
    <row r="493" ht="15" customHeight="1">
      <c r="A493" t="inlineStr">
        <is>
          <t>A 6742-2025</t>
        </is>
      </c>
      <c r="B493" s="1" t="n">
        <v>45700</v>
      </c>
      <c r="C493" s="1" t="n">
        <v>45740</v>
      </c>
      <c r="D493" t="inlineStr">
        <is>
          <t>JÄMTLANDS LÄN</t>
        </is>
      </c>
      <c r="E493" t="inlineStr">
        <is>
          <t>STRÖMSUND</t>
        </is>
      </c>
      <c r="F493" t="inlineStr">
        <is>
          <t>Kyrkan</t>
        </is>
      </c>
      <c r="G493" t="n">
        <v>23.6</v>
      </c>
      <c r="H493" t="n">
        <v>0</v>
      </c>
      <c r="I493" t="n">
        <v>0</v>
      </c>
      <c r="J493" t="n">
        <v>1</v>
      </c>
      <c r="K493" t="n">
        <v>0</v>
      </c>
      <c r="L493" t="n">
        <v>0</v>
      </c>
      <c r="M493" t="n">
        <v>0</v>
      </c>
      <c r="N493" t="n">
        <v>0</v>
      </c>
      <c r="O493" t="n">
        <v>1</v>
      </c>
      <c r="P493" t="n">
        <v>0</v>
      </c>
      <c r="Q493" t="n">
        <v>1</v>
      </c>
      <c r="R493" s="2" t="inlineStr">
        <is>
          <t>Månlåsbräken</t>
        </is>
      </c>
      <c r="S493">
        <f>HYPERLINK("https://klasma.github.io/Logging_2313/artfynd/A 6742-2025 artfynd.xlsx", "A 6742-2025")</f>
        <v/>
      </c>
      <c r="T493">
        <f>HYPERLINK("https://klasma.github.io/Logging_2313/kartor/A 6742-2025 karta.png", "A 6742-2025")</f>
        <v/>
      </c>
      <c r="V493">
        <f>HYPERLINK("https://klasma.github.io/Logging_2313/klagomål/A 6742-2025 FSC-klagomål.docx", "A 6742-2025")</f>
        <v/>
      </c>
      <c r="W493">
        <f>HYPERLINK("https://klasma.github.io/Logging_2313/klagomålsmail/A 6742-2025 FSC-klagomål mail.docx", "A 6742-2025")</f>
        <v/>
      </c>
      <c r="X493">
        <f>HYPERLINK("https://klasma.github.io/Logging_2313/tillsyn/A 6742-2025 tillsynsbegäran.docx", "A 6742-2025")</f>
        <v/>
      </c>
      <c r="Y493">
        <f>HYPERLINK("https://klasma.github.io/Logging_2313/tillsynsmail/A 6742-2025 tillsynsbegäran mail.docx", "A 6742-2025")</f>
        <v/>
      </c>
    </row>
    <row r="494" ht="15" customHeight="1">
      <c r="A494" t="inlineStr">
        <is>
          <t>A 7548-2025</t>
        </is>
      </c>
      <c r="B494" s="1" t="n">
        <v>45705</v>
      </c>
      <c r="C494" s="1" t="n">
        <v>45740</v>
      </c>
      <c r="D494" t="inlineStr">
        <is>
          <t>JÄMTLANDS LÄN</t>
        </is>
      </c>
      <c r="E494" t="inlineStr">
        <is>
          <t>STRÖMSUND</t>
        </is>
      </c>
      <c r="F494" t="inlineStr">
        <is>
          <t>SCA</t>
        </is>
      </c>
      <c r="G494" t="n">
        <v>2.4</v>
      </c>
      <c r="H494" t="n">
        <v>0</v>
      </c>
      <c r="I494" t="n">
        <v>0</v>
      </c>
      <c r="J494" t="n">
        <v>1</v>
      </c>
      <c r="K494" t="n">
        <v>0</v>
      </c>
      <c r="L494" t="n">
        <v>0</v>
      </c>
      <c r="M494" t="n">
        <v>0</v>
      </c>
      <c r="N494" t="n">
        <v>0</v>
      </c>
      <c r="O494" t="n">
        <v>1</v>
      </c>
      <c r="P494" t="n">
        <v>0</v>
      </c>
      <c r="Q494" t="n">
        <v>1</v>
      </c>
      <c r="R494" s="2" t="inlineStr">
        <is>
          <t>Garnlav</t>
        </is>
      </c>
      <c r="S494">
        <f>HYPERLINK("https://klasma.github.io/Logging_2313/artfynd/A 7548-2025 artfynd.xlsx", "A 7548-2025")</f>
        <v/>
      </c>
      <c r="T494">
        <f>HYPERLINK("https://klasma.github.io/Logging_2313/kartor/A 7548-2025 karta.png", "A 7548-2025")</f>
        <v/>
      </c>
      <c r="V494">
        <f>HYPERLINK("https://klasma.github.io/Logging_2313/klagomål/A 7548-2025 FSC-klagomål.docx", "A 7548-2025")</f>
        <v/>
      </c>
      <c r="W494">
        <f>HYPERLINK("https://klasma.github.io/Logging_2313/klagomålsmail/A 7548-2025 FSC-klagomål mail.docx", "A 7548-2025")</f>
        <v/>
      </c>
      <c r="X494">
        <f>HYPERLINK("https://klasma.github.io/Logging_2313/tillsyn/A 7548-2025 tillsynsbegäran.docx", "A 7548-2025")</f>
        <v/>
      </c>
      <c r="Y494">
        <f>HYPERLINK("https://klasma.github.io/Logging_2313/tillsynsmail/A 7548-2025 tillsynsbegäran mail.docx", "A 7548-2025")</f>
        <v/>
      </c>
    </row>
    <row r="495" ht="15" customHeight="1">
      <c r="A495" t="inlineStr">
        <is>
          <t>A 10401-2025</t>
        </is>
      </c>
      <c r="B495" s="1" t="n">
        <v>45720</v>
      </c>
      <c r="C495" s="1" t="n">
        <v>45740</v>
      </c>
      <c r="D495" t="inlineStr">
        <is>
          <t>JÄMTLANDS LÄN</t>
        </is>
      </c>
      <c r="E495" t="inlineStr">
        <is>
          <t>STRÖMSUND</t>
        </is>
      </c>
      <c r="F495" t="inlineStr">
        <is>
          <t>SCA</t>
        </is>
      </c>
      <c r="G495" t="n">
        <v>9.800000000000001</v>
      </c>
      <c r="H495" t="n">
        <v>0</v>
      </c>
      <c r="I495" t="n">
        <v>0</v>
      </c>
      <c r="J495" t="n">
        <v>1</v>
      </c>
      <c r="K495" t="n">
        <v>0</v>
      </c>
      <c r="L495" t="n">
        <v>0</v>
      </c>
      <c r="M495" t="n">
        <v>0</v>
      </c>
      <c r="N495" t="n">
        <v>0</v>
      </c>
      <c r="O495" t="n">
        <v>1</v>
      </c>
      <c r="P495" t="n">
        <v>0</v>
      </c>
      <c r="Q495" t="n">
        <v>1</v>
      </c>
      <c r="R495" s="2" t="inlineStr">
        <is>
          <t>Gammelgransskål</t>
        </is>
      </c>
      <c r="S495">
        <f>HYPERLINK("https://klasma.github.io/Logging_2313/artfynd/A 10401-2025 artfynd.xlsx", "A 10401-2025")</f>
        <v/>
      </c>
      <c r="T495">
        <f>HYPERLINK("https://klasma.github.io/Logging_2313/kartor/A 10401-2025 karta.png", "A 10401-2025")</f>
        <v/>
      </c>
      <c r="V495">
        <f>HYPERLINK("https://klasma.github.io/Logging_2313/klagomål/A 10401-2025 FSC-klagomål.docx", "A 10401-2025")</f>
        <v/>
      </c>
      <c r="W495">
        <f>HYPERLINK("https://klasma.github.io/Logging_2313/klagomålsmail/A 10401-2025 FSC-klagomål mail.docx", "A 10401-2025")</f>
        <v/>
      </c>
      <c r="X495">
        <f>HYPERLINK("https://klasma.github.io/Logging_2313/tillsyn/A 10401-2025 tillsynsbegäran.docx", "A 10401-2025")</f>
        <v/>
      </c>
      <c r="Y495">
        <f>HYPERLINK("https://klasma.github.io/Logging_2313/tillsynsmail/A 10401-2025 tillsynsbegäran mail.docx", "A 10401-2025")</f>
        <v/>
      </c>
    </row>
    <row r="496" ht="15" customHeight="1">
      <c r="A496" t="inlineStr">
        <is>
          <t>A 18058-2019</t>
        </is>
      </c>
      <c r="B496" s="1" t="n">
        <v>43557</v>
      </c>
      <c r="C496" s="1" t="n">
        <v>45740</v>
      </c>
      <c r="D496" t="inlineStr">
        <is>
          <t>JÄMTLANDS LÄN</t>
        </is>
      </c>
      <c r="E496" t="inlineStr">
        <is>
          <t>STRÖMSUND</t>
        </is>
      </c>
      <c r="G496" t="n">
        <v>0.7</v>
      </c>
      <c r="H496" t="n">
        <v>0</v>
      </c>
      <c r="I496" t="n">
        <v>0</v>
      </c>
      <c r="J496" t="n">
        <v>0</v>
      </c>
      <c r="K496" t="n">
        <v>0</v>
      </c>
      <c r="L496" t="n">
        <v>0</v>
      </c>
      <c r="M496" t="n">
        <v>0</v>
      </c>
      <c r="N496" t="n">
        <v>0</v>
      </c>
      <c r="O496" t="n">
        <v>0</v>
      </c>
      <c r="P496" t="n">
        <v>0</v>
      </c>
      <c r="Q496" t="n">
        <v>0</v>
      </c>
      <c r="R496" s="2" t="inlineStr"/>
    </row>
    <row r="497" ht="15" customHeight="1">
      <c r="A497" t="inlineStr">
        <is>
          <t>A 18057-2019</t>
        </is>
      </c>
      <c r="B497" s="1" t="n">
        <v>43557</v>
      </c>
      <c r="C497" s="1" t="n">
        <v>45740</v>
      </c>
      <c r="D497" t="inlineStr">
        <is>
          <t>JÄMTLANDS LÄN</t>
        </is>
      </c>
      <c r="E497" t="inlineStr">
        <is>
          <t>STRÖMSUND</t>
        </is>
      </c>
      <c r="G497" t="n">
        <v>1.3</v>
      </c>
      <c r="H497" t="n">
        <v>0</v>
      </c>
      <c r="I497" t="n">
        <v>0</v>
      </c>
      <c r="J497" t="n">
        <v>0</v>
      </c>
      <c r="K497" t="n">
        <v>0</v>
      </c>
      <c r="L497" t="n">
        <v>0</v>
      </c>
      <c r="M497" t="n">
        <v>0</v>
      </c>
      <c r="N497" t="n">
        <v>0</v>
      </c>
      <c r="O497" t="n">
        <v>0</v>
      </c>
      <c r="P497" t="n">
        <v>0</v>
      </c>
      <c r="Q497" t="n">
        <v>0</v>
      </c>
      <c r="R497" s="2" t="inlineStr"/>
    </row>
    <row r="498" ht="15" customHeight="1">
      <c r="A498" t="inlineStr">
        <is>
          <t>A 20569-2019</t>
        </is>
      </c>
      <c r="B498" s="1" t="n">
        <v>43572</v>
      </c>
      <c r="C498" s="1" t="n">
        <v>45740</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21702-2019</t>
        </is>
      </c>
      <c r="B499" s="1" t="n">
        <v>43581</v>
      </c>
      <c r="C499" s="1" t="n">
        <v>45740</v>
      </c>
      <c r="D499" t="inlineStr">
        <is>
          <t>JÄMTLANDS LÄN</t>
        </is>
      </c>
      <c r="E499" t="inlineStr">
        <is>
          <t>STRÖMSUND</t>
        </is>
      </c>
      <c r="G499" t="n">
        <v>1.6</v>
      </c>
      <c r="H499" t="n">
        <v>0</v>
      </c>
      <c r="I499" t="n">
        <v>0</v>
      </c>
      <c r="J499" t="n">
        <v>0</v>
      </c>
      <c r="K499" t="n">
        <v>0</v>
      </c>
      <c r="L499" t="n">
        <v>0</v>
      </c>
      <c r="M499" t="n">
        <v>0</v>
      </c>
      <c r="N499" t="n">
        <v>0</v>
      </c>
      <c r="O499" t="n">
        <v>0</v>
      </c>
      <c r="P499" t="n">
        <v>0</v>
      </c>
      <c r="Q499" t="n">
        <v>0</v>
      </c>
      <c r="R499" s="2" t="inlineStr"/>
    </row>
    <row r="500" ht="15" customHeight="1">
      <c r="A500" t="inlineStr">
        <is>
          <t>A 21676-2019</t>
        </is>
      </c>
      <c r="B500" s="1" t="n">
        <v>43581</v>
      </c>
      <c r="C500" s="1" t="n">
        <v>45740</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21696-2019</t>
        </is>
      </c>
      <c r="B501" s="1" t="n">
        <v>43581</v>
      </c>
      <c r="C501" s="1" t="n">
        <v>45740</v>
      </c>
      <c r="D501" t="inlineStr">
        <is>
          <t>JÄMTLANDS LÄN</t>
        </is>
      </c>
      <c r="E501" t="inlineStr">
        <is>
          <t>STRÖMSUND</t>
        </is>
      </c>
      <c r="G501" t="n">
        <v>1.5</v>
      </c>
      <c r="H501" t="n">
        <v>0</v>
      </c>
      <c r="I501" t="n">
        <v>0</v>
      </c>
      <c r="J501" t="n">
        <v>0</v>
      </c>
      <c r="K501" t="n">
        <v>0</v>
      </c>
      <c r="L501" t="n">
        <v>0</v>
      </c>
      <c r="M501" t="n">
        <v>0</v>
      </c>
      <c r="N501" t="n">
        <v>0</v>
      </c>
      <c r="O501" t="n">
        <v>0</v>
      </c>
      <c r="P501" t="n">
        <v>0</v>
      </c>
      <c r="Q501" t="n">
        <v>0</v>
      </c>
      <c r="R501" s="2" t="inlineStr"/>
    </row>
    <row r="502" ht="15" customHeight="1">
      <c r="A502" t="inlineStr">
        <is>
          <t>A 21763-2019</t>
        </is>
      </c>
      <c r="B502" s="1" t="n">
        <v>43581</v>
      </c>
      <c r="C502" s="1" t="n">
        <v>45740</v>
      </c>
      <c r="D502" t="inlineStr">
        <is>
          <t>JÄMTLANDS LÄN</t>
        </is>
      </c>
      <c r="E502" t="inlineStr">
        <is>
          <t>STRÖMSUND</t>
        </is>
      </c>
      <c r="G502" t="n">
        <v>12.7</v>
      </c>
      <c r="H502" t="n">
        <v>0</v>
      </c>
      <c r="I502" t="n">
        <v>0</v>
      </c>
      <c r="J502" t="n">
        <v>0</v>
      </c>
      <c r="K502" t="n">
        <v>0</v>
      </c>
      <c r="L502" t="n">
        <v>0</v>
      </c>
      <c r="M502" t="n">
        <v>0</v>
      </c>
      <c r="N502" t="n">
        <v>0</v>
      </c>
      <c r="O502" t="n">
        <v>0</v>
      </c>
      <c r="P502" t="n">
        <v>0</v>
      </c>
      <c r="Q502" t="n">
        <v>0</v>
      </c>
      <c r="R502" s="2" t="inlineStr"/>
    </row>
    <row r="503" ht="15" customHeight="1">
      <c r="A503" t="inlineStr">
        <is>
          <t>A 22113-2019</t>
        </is>
      </c>
      <c r="B503" s="1" t="n">
        <v>43584</v>
      </c>
      <c r="C503" s="1" t="n">
        <v>45740</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c r="U503">
        <f>HYPERLINK("https://klasma.github.io/Logging_2313/knärot/A 22113-2019 karta knärot.png", "A 22113-2019")</f>
        <v/>
      </c>
      <c r="V503">
        <f>HYPERLINK("https://klasma.github.io/Logging_2313/klagomål/A 22113-2019 FSC-klagomål.docx", "A 22113-2019")</f>
        <v/>
      </c>
      <c r="W503">
        <f>HYPERLINK("https://klasma.github.io/Logging_2313/klagomålsmail/A 22113-2019 FSC-klagomål mail.docx", "A 22113-2019")</f>
        <v/>
      </c>
      <c r="X503">
        <f>HYPERLINK("https://klasma.github.io/Logging_2313/tillsyn/A 22113-2019 tillsynsbegäran.docx", "A 22113-2019")</f>
        <v/>
      </c>
      <c r="Y503">
        <f>HYPERLINK("https://klasma.github.io/Logging_2313/tillsynsmail/A 22113-2019 tillsynsbegäran mail.docx", "A 22113-2019")</f>
        <v/>
      </c>
    </row>
    <row r="504" ht="15" customHeight="1">
      <c r="A504" t="inlineStr">
        <is>
          <t>A 22293-2019</t>
        </is>
      </c>
      <c r="B504" s="1" t="n">
        <v>43585</v>
      </c>
      <c r="C504" s="1" t="n">
        <v>45740</v>
      </c>
      <c r="D504" t="inlineStr">
        <is>
          <t>JÄMTLANDS LÄN</t>
        </is>
      </c>
      <c r="E504" t="inlineStr">
        <is>
          <t>STRÖMSUND</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22305-2019</t>
        </is>
      </c>
      <c r="B505" s="1" t="n">
        <v>43585</v>
      </c>
      <c r="C505" s="1" t="n">
        <v>45740</v>
      </c>
      <c r="D505" t="inlineStr">
        <is>
          <t>JÄMTLANDS LÄN</t>
        </is>
      </c>
      <c r="E505" t="inlineStr">
        <is>
          <t>STRÖMSUND</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22291-2019</t>
        </is>
      </c>
      <c r="B506" s="1" t="n">
        <v>43585</v>
      </c>
      <c r="C506" s="1" t="n">
        <v>45740</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22777-2019</t>
        </is>
      </c>
      <c r="B507" s="1" t="n">
        <v>43589</v>
      </c>
      <c r="C507" s="1" t="n">
        <v>45740</v>
      </c>
      <c r="D507" t="inlineStr">
        <is>
          <t>JÄMTLANDS LÄN</t>
        </is>
      </c>
      <c r="E507" t="inlineStr">
        <is>
          <t>STRÖMSUND</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23040-2019</t>
        </is>
      </c>
      <c r="B508" s="1" t="n">
        <v>43591</v>
      </c>
      <c r="C508" s="1" t="n">
        <v>45740</v>
      </c>
      <c r="D508" t="inlineStr">
        <is>
          <t>JÄMTLANDS LÄN</t>
        </is>
      </c>
      <c r="E508" t="inlineStr">
        <is>
          <t>STRÖMSUND</t>
        </is>
      </c>
      <c r="G508" t="n">
        <v>30.4</v>
      </c>
      <c r="H508" t="n">
        <v>0</v>
      </c>
      <c r="I508" t="n">
        <v>0</v>
      </c>
      <c r="J508" t="n">
        <v>0</v>
      </c>
      <c r="K508" t="n">
        <v>0</v>
      </c>
      <c r="L508" t="n">
        <v>0</v>
      </c>
      <c r="M508" t="n">
        <v>0</v>
      </c>
      <c r="N508" t="n">
        <v>0</v>
      </c>
      <c r="O508" t="n">
        <v>0</v>
      </c>
      <c r="P508" t="n">
        <v>0</v>
      </c>
      <c r="Q508" t="n">
        <v>0</v>
      </c>
      <c r="R508" s="2" t="inlineStr"/>
    </row>
    <row r="509" ht="15" customHeight="1">
      <c r="A509" t="inlineStr">
        <is>
          <t>A 23481-2019</t>
        </is>
      </c>
      <c r="B509" s="1" t="n">
        <v>43593</v>
      </c>
      <c r="C509" s="1" t="n">
        <v>45740</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23941-2019</t>
        </is>
      </c>
      <c r="B510" s="1" t="n">
        <v>43595</v>
      </c>
      <c r="C510" s="1" t="n">
        <v>45740</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23945-2019</t>
        </is>
      </c>
      <c r="B511" s="1" t="n">
        <v>43596</v>
      </c>
      <c r="C511" s="1" t="n">
        <v>45740</v>
      </c>
      <c r="D511" t="inlineStr">
        <is>
          <t>JÄMTLANDS LÄN</t>
        </is>
      </c>
      <c r="E511" t="inlineStr">
        <is>
          <t>STRÖMSUND</t>
        </is>
      </c>
      <c r="G511" t="n">
        <v>0.4</v>
      </c>
      <c r="H511" t="n">
        <v>0</v>
      </c>
      <c r="I511" t="n">
        <v>0</v>
      </c>
      <c r="J511" t="n">
        <v>0</v>
      </c>
      <c r="K511" t="n">
        <v>0</v>
      </c>
      <c r="L511" t="n">
        <v>0</v>
      </c>
      <c r="M511" t="n">
        <v>0</v>
      </c>
      <c r="N511" t="n">
        <v>0</v>
      </c>
      <c r="O511" t="n">
        <v>0</v>
      </c>
      <c r="P511" t="n">
        <v>0</v>
      </c>
      <c r="Q511" t="n">
        <v>0</v>
      </c>
      <c r="R511" s="2" t="inlineStr"/>
    </row>
    <row r="512" ht="15" customHeight="1">
      <c r="A512" t="inlineStr">
        <is>
          <t>A 23958-2019</t>
        </is>
      </c>
      <c r="B512" s="1" t="n">
        <v>43597</v>
      </c>
      <c r="C512" s="1" t="n">
        <v>45740</v>
      </c>
      <c r="D512" t="inlineStr">
        <is>
          <t>JÄMTLANDS LÄN</t>
        </is>
      </c>
      <c r="E512" t="inlineStr">
        <is>
          <t>STRÖMSUND</t>
        </is>
      </c>
      <c r="G512" t="n">
        <v>20.7</v>
      </c>
      <c r="H512" t="n">
        <v>0</v>
      </c>
      <c r="I512" t="n">
        <v>0</v>
      </c>
      <c r="J512" t="n">
        <v>0</v>
      </c>
      <c r="K512" t="n">
        <v>0</v>
      </c>
      <c r="L512" t="n">
        <v>0</v>
      </c>
      <c r="M512" t="n">
        <v>0</v>
      </c>
      <c r="N512" t="n">
        <v>0</v>
      </c>
      <c r="O512" t="n">
        <v>0</v>
      </c>
      <c r="P512" t="n">
        <v>0</v>
      </c>
      <c r="Q512" t="n">
        <v>0</v>
      </c>
      <c r="R512" s="2" t="inlineStr"/>
    </row>
    <row r="513" ht="15" customHeight="1">
      <c r="A513" t="inlineStr">
        <is>
          <t>A 24525-2019</t>
        </is>
      </c>
      <c r="B513" s="1" t="n">
        <v>43598</v>
      </c>
      <c r="C513" s="1" t="n">
        <v>45740</v>
      </c>
      <c r="D513" t="inlineStr">
        <is>
          <t>JÄMTLANDS LÄN</t>
        </is>
      </c>
      <c r="E513" t="inlineStr">
        <is>
          <t>STRÖMSUND</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24162-2019</t>
        </is>
      </c>
      <c r="B514" s="1" t="n">
        <v>43598</v>
      </c>
      <c r="C514" s="1" t="n">
        <v>45740</v>
      </c>
      <c r="D514" t="inlineStr">
        <is>
          <t>JÄMTLANDS LÄN</t>
        </is>
      </c>
      <c r="E514" t="inlineStr">
        <is>
          <t>STRÖMSUND</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24787-2019</t>
        </is>
      </c>
      <c r="B515" s="1" t="n">
        <v>43601</v>
      </c>
      <c r="C515" s="1" t="n">
        <v>45740</v>
      </c>
      <c r="D515" t="inlineStr">
        <is>
          <t>JÄMTLANDS LÄN</t>
        </is>
      </c>
      <c r="E515" t="inlineStr">
        <is>
          <t>STRÖMSUND</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25923-2019</t>
        </is>
      </c>
      <c r="B516" s="1" t="n">
        <v>43608</v>
      </c>
      <c r="C516" s="1" t="n">
        <v>45740</v>
      </c>
      <c r="D516" t="inlineStr">
        <is>
          <t>JÄMTLANDS LÄN</t>
        </is>
      </c>
      <c r="E516" t="inlineStr">
        <is>
          <t>STRÖMSUND</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25915-2019</t>
        </is>
      </c>
      <c r="B517" s="1" t="n">
        <v>43608</v>
      </c>
      <c r="C517" s="1" t="n">
        <v>45740</v>
      </c>
      <c r="D517" t="inlineStr">
        <is>
          <t>JÄMTLANDS LÄN</t>
        </is>
      </c>
      <c r="E517" t="inlineStr">
        <is>
          <t>STRÖMSUND</t>
        </is>
      </c>
      <c r="F517" t="inlineStr">
        <is>
          <t>Kommuner</t>
        </is>
      </c>
      <c r="G517" t="n">
        <v>5.7</v>
      </c>
      <c r="H517" t="n">
        <v>0</v>
      </c>
      <c r="I517" t="n">
        <v>0</v>
      </c>
      <c r="J517" t="n">
        <v>0</v>
      </c>
      <c r="K517" t="n">
        <v>0</v>
      </c>
      <c r="L517" t="n">
        <v>0</v>
      </c>
      <c r="M517" t="n">
        <v>0</v>
      </c>
      <c r="N517" t="n">
        <v>0</v>
      </c>
      <c r="O517" t="n">
        <v>0</v>
      </c>
      <c r="P517" t="n">
        <v>0</v>
      </c>
      <c r="Q517" t="n">
        <v>0</v>
      </c>
      <c r="R517" s="2" t="inlineStr"/>
    </row>
    <row r="518" ht="15" customHeight="1">
      <c r="A518" t="inlineStr">
        <is>
          <t>A 25925-2019</t>
        </is>
      </c>
      <c r="B518" s="1" t="n">
        <v>43608</v>
      </c>
      <c r="C518" s="1" t="n">
        <v>45740</v>
      </c>
      <c r="D518" t="inlineStr">
        <is>
          <t>JÄMTLANDS LÄN</t>
        </is>
      </c>
      <c r="E518" t="inlineStr">
        <is>
          <t>STRÖMSUND</t>
        </is>
      </c>
      <c r="F518" t="inlineStr">
        <is>
          <t>Kommuner</t>
        </is>
      </c>
      <c r="G518" t="n">
        <v>12.6</v>
      </c>
      <c r="H518" t="n">
        <v>0</v>
      </c>
      <c r="I518" t="n">
        <v>0</v>
      </c>
      <c r="J518" t="n">
        <v>0</v>
      </c>
      <c r="K518" t="n">
        <v>0</v>
      </c>
      <c r="L518" t="n">
        <v>0</v>
      </c>
      <c r="M518" t="n">
        <v>0</v>
      </c>
      <c r="N518" t="n">
        <v>0</v>
      </c>
      <c r="O518" t="n">
        <v>0</v>
      </c>
      <c r="P518" t="n">
        <v>0</v>
      </c>
      <c r="Q518" t="n">
        <v>0</v>
      </c>
      <c r="R518" s="2" t="inlineStr"/>
    </row>
    <row r="519" ht="15" customHeight="1">
      <c r="A519" t="inlineStr">
        <is>
          <t>A 25910-2019</t>
        </is>
      </c>
      <c r="B519" s="1" t="n">
        <v>43608</v>
      </c>
      <c r="C519" s="1" t="n">
        <v>45740</v>
      </c>
      <c r="D519" t="inlineStr">
        <is>
          <t>JÄMTLANDS LÄN</t>
        </is>
      </c>
      <c r="E519" t="inlineStr">
        <is>
          <t>STRÖMSUND</t>
        </is>
      </c>
      <c r="F519" t="inlineStr">
        <is>
          <t>Kommuner</t>
        </is>
      </c>
      <c r="G519" t="n">
        <v>7</v>
      </c>
      <c r="H519" t="n">
        <v>0</v>
      </c>
      <c r="I519" t="n">
        <v>0</v>
      </c>
      <c r="J519" t="n">
        <v>0</v>
      </c>
      <c r="K519" t="n">
        <v>0</v>
      </c>
      <c r="L519" t="n">
        <v>0</v>
      </c>
      <c r="M519" t="n">
        <v>0</v>
      </c>
      <c r="N519" t="n">
        <v>0</v>
      </c>
      <c r="O519" t="n">
        <v>0</v>
      </c>
      <c r="P519" t="n">
        <v>0</v>
      </c>
      <c r="Q519" t="n">
        <v>0</v>
      </c>
      <c r="R519" s="2" t="inlineStr"/>
    </row>
    <row r="520" ht="15" customHeight="1">
      <c r="A520" t="inlineStr">
        <is>
          <t>A 25918-2019</t>
        </is>
      </c>
      <c r="B520" s="1" t="n">
        <v>43608</v>
      </c>
      <c r="C520" s="1" t="n">
        <v>45740</v>
      </c>
      <c r="D520" t="inlineStr">
        <is>
          <t>JÄMTLANDS LÄN</t>
        </is>
      </c>
      <c r="E520" t="inlineStr">
        <is>
          <t>STRÖMSUND</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25950-2019</t>
        </is>
      </c>
      <c r="B521" s="1" t="n">
        <v>43608</v>
      </c>
      <c r="C521" s="1" t="n">
        <v>45740</v>
      </c>
      <c r="D521" t="inlineStr">
        <is>
          <t>JÄMTLANDS LÄN</t>
        </is>
      </c>
      <c r="E521" t="inlineStr">
        <is>
          <t>STRÖMSUND</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26012-2019</t>
        </is>
      </c>
      <c r="B522" s="1" t="n">
        <v>43608</v>
      </c>
      <c r="C522" s="1" t="n">
        <v>45740</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25921-2019</t>
        </is>
      </c>
      <c r="B523" s="1" t="n">
        <v>43608</v>
      </c>
      <c r="C523" s="1" t="n">
        <v>45740</v>
      </c>
      <c r="D523" t="inlineStr">
        <is>
          <t>JÄMTLANDS LÄN</t>
        </is>
      </c>
      <c r="E523" t="inlineStr">
        <is>
          <t>STRÖMSUND</t>
        </is>
      </c>
      <c r="F523" t="inlineStr">
        <is>
          <t>Kommuner</t>
        </is>
      </c>
      <c r="G523" t="n">
        <v>23.9</v>
      </c>
      <c r="H523" t="n">
        <v>0</v>
      </c>
      <c r="I523" t="n">
        <v>0</v>
      </c>
      <c r="J523" t="n">
        <v>0</v>
      </c>
      <c r="K523" t="n">
        <v>0</v>
      </c>
      <c r="L523" t="n">
        <v>0</v>
      </c>
      <c r="M523" t="n">
        <v>0</v>
      </c>
      <c r="N523" t="n">
        <v>0</v>
      </c>
      <c r="O523" t="n">
        <v>0</v>
      </c>
      <c r="P523" t="n">
        <v>0</v>
      </c>
      <c r="Q523" t="n">
        <v>0</v>
      </c>
      <c r="R523" s="2" t="inlineStr"/>
    </row>
    <row r="524" ht="15" customHeight="1">
      <c r="A524" t="inlineStr">
        <is>
          <t>A 25984-2019</t>
        </is>
      </c>
      <c r="B524" s="1" t="n">
        <v>43608</v>
      </c>
      <c r="C524" s="1" t="n">
        <v>45740</v>
      </c>
      <c r="D524" t="inlineStr">
        <is>
          <t>JÄMTLANDS LÄN</t>
        </is>
      </c>
      <c r="E524" t="inlineStr">
        <is>
          <t>STRÖMSUND</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26252-2019</t>
        </is>
      </c>
      <c r="B525" s="1" t="n">
        <v>43609</v>
      </c>
      <c r="C525" s="1" t="n">
        <v>45740</v>
      </c>
      <c r="D525" t="inlineStr">
        <is>
          <t>JÄMTLANDS LÄN</t>
        </is>
      </c>
      <c r="E525" t="inlineStr">
        <is>
          <t>STRÖMSUND</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26251-2019</t>
        </is>
      </c>
      <c r="B526" s="1" t="n">
        <v>43609</v>
      </c>
      <c r="C526" s="1" t="n">
        <v>45740</v>
      </c>
      <c r="D526" t="inlineStr">
        <is>
          <t>JÄMTLANDS LÄN</t>
        </is>
      </c>
      <c r="E526" t="inlineStr">
        <is>
          <t>STRÖMSUND</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27536-2019</t>
        </is>
      </c>
      <c r="B527" s="1" t="n">
        <v>43612</v>
      </c>
      <c r="C527" s="1" t="n">
        <v>45740</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26937-2019</t>
        </is>
      </c>
      <c r="B528" s="1" t="n">
        <v>43613</v>
      </c>
      <c r="C528" s="1" t="n">
        <v>45740</v>
      </c>
      <c r="D528" t="inlineStr">
        <is>
          <t>JÄMTLANDS LÄN</t>
        </is>
      </c>
      <c r="E528" t="inlineStr">
        <is>
          <t>STRÖMSUND</t>
        </is>
      </c>
      <c r="G528" t="n">
        <v>0.8</v>
      </c>
      <c r="H528" t="n">
        <v>0</v>
      </c>
      <c r="I528" t="n">
        <v>0</v>
      </c>
      <c r="J528" t="n">
        <v>0</v>
      </c>
      <c r="K528" t="n">
        <v>0</v>
      </c>
      <c r="L528" t="n">
        <v>0</v>
      </c>
      <c r="M528" t="n">
        <v>0</v>
      </c>
      <c r="N528" t="n">
        <v>0</v>
      </c>
      <c r="O528" t="n">
        <v>0</v>
      </c>
      <c r="P528" t="n">
        <v>0</v>
      </c>
      <c r="Q528" t="n">
        <v>0</v>
      </c>
      <c r="R528" s="2" t="inlineStr"/>
    </row>
    <row r="529" ht="15" customHeight="1">
      <c r="A529" t="inlineStr">
        <is>
          <t>A 27249-2019</t>
        </is>
      </c>
      <c r="B529" s="1" t="n">
        <v>43614</v>
      </c>
      <c r="C529" s="1" t="n">
        <v>45740</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27367-2019</t>
        </is>
      </c>
      <c r="B530" s="1" t="n">
        <v>43616</v>
      </c>
      <c r="C530" s="1" t="n">
        <v>45740</v>
      </c>
      <c r="D530" t="inlineStr">
        <is>
          <t>JÄMTLANDS LÄN</t>
        </is>
      </c>
      <c r="E530" t="inlineStr">
        <is>
          <t>STRÖMSUND</t>
        </is>
      </c>
      <c r="G530" t="n">
        <v>0.2</v>
      </c>
      <c r="H530" t="n">
        <v>0</v>
      </c>
      <c r="I530" t="n">
        <v>0</v>
      </c>
      <c r="J530" t="n">
        <v>0</v>
      </c>
      <c r="K530" t="n">
        <v>0</v>
      </c>
      <c r="L530" t="n">
        <v>0</v>
      </c>
      <c r="M530" t="n">
        <v>0</v>
      </c>
      <c r="N530" t="n">
        <v>0</v>
      </c>
      <c r="O530" t="n">
        <v>0</v>
      </c>
      <c r="P530" t="n">
        <v>0</v>
      </c>
      <c r="Q530" t="n">
        <v>0</v>
      </c>
      <c r="R530" s="2" t="inlineStr"/>
    </row>
    <row r="531" ht="15" customHeight="1">
      <c r="A531" t="inlineStr">
        <is>
          <t>A 27514-2019</t>
        </is>
      </c>
      <c r="B531" s="1" t="n">
        <v>43619</v>
      </c>
      <c r="C531" s="1" t="n">
        <v>45740</v>
      </c>
      <c r="D531" t="inlineStr">
        <is>
          <t>JÄMTLANDS LÄN</t>
        </is>
      </c>
      <c r="E531" t="inlineStr">
        <is>
          <t>STRÖMSUND</t>
        </is>
      </c>
      <c r="G531" t="n">
        <v>3.6</v>
      </c>
      <c r="H531" t="n">
        <v>0</v>
      </c>
      <c r="I531" t="n">
        <v>0</v>
      </c>
      <c r="J531" t="n">
        <v>0</v>
      </c>
      <c r="K531" t="n">
        <v>0</v>
      </c>
      <c r="L531" t="n">
        <v>0</v>
      </c>
      <c r="M531" t="n">
        <v>0</v>
      </c>
      <c r="N531" t="n">
        <v>0</v>
      </c>
      <c r="O531" t="n">
        <v>0</v>
      </c>
      <c r="P531" t="n">
        <v>0</v>
      </c>
      <c r="Q531" t="n">
        <v>0</v>
      </c>
      <c r="R531" s="2" t="inlineStr"/>
    </row>
    <row r="532" ht="15" customHeight="1">
      <c r="A532" t="inlineStr">
        <is>
          <t>A 27817-2019</t>
        </is>
      </c>
      <c r="B532" s="1" t="n">
        <v>43620</v>
      </c>
      <c r="C532" s="1" t="n">
        <v>45740</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28215-2019</t>
        </is>
      </c>
      <c r="B533" s="1" t="n">
        <v>43622</v>
      </c>
      <c r="C533" s="1" t="n">
        <v>45740</v>
      </c>
      <c r="D533" t="inlineStr">
        <is>
          <t>JÄMTLANDS LÄN</t>
        </is>
      </c>
      <c r="E533" t="inlineStr">
        <is>
          <t>STRÖMSUND</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28766-2019</t>
        </is>
      </c>
      <c r="B534" s="1" t="n">
        <v>43627</v>
      </c>
      <c r="C534" s="1" t="n">
        <v>45740</v>
      </c>
      <c r="D534" t="inlineStr">
        <is>
          <t>JÄMTLANDS LÄN</t>
        </is>
      </c>
      <c r="E534" t="inlineStr">
        <is>
          <t>STRÖMSUND</t>
        </is>
      </c>
      <c r="G534" t="n">
        <v>19.8</v>
      </c>
      <c r="H534" t="n">
        <v>0</v>
      </c>
      <c r="I534" t="n">
        <v>0</v>
      </c>
      <c r="J534" t="n">
        <v>0</v>
      </c>
      <c r="K534" t="n">
        <v>0</v>
      </c>
      <c r="L534" t="n">
        <v>0</v>
      </c>
      <c r="M534" t="n">
        <v>0</v>
      </c>
      <c r="N534" t="n">
        <v>0</v>
      </c>
      <c r="O534" t="n">
        <v>0</v>
      </c>
      <c r="P534" t="n">
        <v>0</v>
      </c>
      <c r="Q534" t="n">
        <v>0</v>
      </c>
      <c r="R534" s="2" t="inlineStr"/>
    </row>
    <row r="535" ht="15" customHeight="1">
      <c r="A535" t="inlineStr">
        <is>
          <t>A 28671-2019</t>
        </is>
      </c>
      <c r="B535" s="1" t="n">
        <v>43627</v>
      </c>
      <c r="C535" s="1" t="n">
        <v>45740</v>
      </c>
      <c r="D535" t="inlineStr">
        <is>
          <t>JÄMTLANDS LÄN</t>
        </is>
      </c>
      <c r="E535" t="inlineStr">
        <is>
          <t>STRÖMSUND</t>
        </is>
      </c>
      <c r="G535" t="n">
        <v>21.3</v>
      </c>
      <c r="H535" t="n">
        <v>0</v>
      </c>
      <c r="I535" t="n">
        <v>0</v>
      </c>
      <c r="J535" t="n">
        <v>0</v>
      </c>
      <c r="K535" t="n">
        <v>0</v>
      </c>
      <c r="L535" t="n">
        <v>0</v>
      </c>
      <c r="M535" t="n">
        <v>0</v>
      </c>
      <c r="N535" t="n">
        <v>0</v>
      </c>
      <c r="O535" t="n">
        <v>0</v>
      </c>
      <c r="P535" t="n">
        <v>0</v>
      </c>
      <c r="Q535" t="n">
        <v>0</v>
      </c>
      <c r="R535" s="2" t="inlineStr"/>
    </row>
    <row r="536" ht="15" customHeight="1">
      <c r="A536" t="inlineStr">
        <is>
          <t>A 29166-2019</t>
        </is>
      </c>
      <c r="B536" s="1" t="n">
        <v>43628</v>
      </c>
      <c r="C536" s="1" t="n">
        <v>45740</v>
      </c>
      <c r="D536" t="inlineStr">
        <is>
          <t>JÄMTLANDS LÄN</t>
        </is>
      </c>
      <c r="E536" t="inlineStr">
        <is>
          <t>STRÖMSUND</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29359-2019</t>
        </is>
      </c>
      <c r="B537" s="1" t="n">
        <v>43629</v>
      </c>
      <c r="C537" s="1" t="n">
        <v>45740</v>
      </c>
      <c r="D537" t="inlineStr">
        <is>
          <t>JÄMTLANDS LÄN</t>
        </is>
      </c>
      <c r="E537" t="inlineStr">
        <is>
          <t>STRÖMSUND</t>
        </is>
      </c>
      <c r="G537" t="n">
        <v>3</v>
      </c>
      <c r="H537" t="n">
        <v>0</v>
      </c>
      <c r="I537" t="n">
        <v>0</v>
      </c>
      <c r="J537" t="n">
        <v>0</v>
      </c>
      <c r="K537" t="n">
        <v>0</v>
      </c>
      <c r="L537" t="n">
        <v>0</v>
      </c>
      <c r="M537" t="n">
        <v>0</v>
      </c>
      <c r="N537" t="n">
        <v>0</v>
      </c>
      <c r="O537" t="n">
        <v>0</v>
      </c>
      <c r="P537" t="n">
        <v>0</v>
      </c>
      <c r="Q537" t="n">
        <v>0</v>
      </c>
      <c r="R537" s="2" t="inlineStr"/>
    </row>
    <row r="538" ht="15" customHeight="1">
      <c r="A538" t="inlineStr">
        <is>
          <t>A 29378-2019</t>
        </is>
      </c>
      <c r="B538" s="1" t="n">
        <v>43629</v>
      </c>
      <c r="C538" s="1" t="n">
        <v>45740</v>
      </c>
      <c r="D538" t="inlineStr">
        <is>
          <t>JÄMTLANDS LÄN</t>
        </is>
      </c>
      <c r="E538" t="inlineStr">
        <is>
          <t>STRÖMSUND</t>
        </is>
      </c>
      <c r="G538" t="n">
        <v>33.5</v>
      </c>
      <c r="H538" t="n">
        <v>0</v>
      </c>
      <c r="I538" t="n">
        <v>0</v>
      </c>
      <c r="J538" t="n">
        <v>0</v>
      </c>
      <c r="K538" t="n">
        <v>0</v>
      </c>
      <c r="L538" t="n">
        <v>0</v>
      </c>
      <c r="M538" t="n">
        <v>0</v>
      </c>
      <c r="N538" t="n">
        <v>0</v>
      </c>
      <c r="O538" t="n">
        <v>0</v>
      </c>
      <c r="P538" t="n">
        <v>0</v>
      </c>
      <c r="Q538" t="n">
        <v>0</v>
      </c>
      <c r="R538" s="2" t="inlineStr"/>
    </row>
    <row r="539" ht="15" customHeight="1">
      <c r="A539" t="inlineStr">
        <is>
          <t>A 29740-2019</t>
        </is>
      </c>
      <c r="B539" s="1" t="n">
        <v>43630</v>
      </c>
      <c r="C539" s="1" t="n">
        <v>45740</v>
      </c>
      <c r="D539" t="inlineStr">
        <is>
          <t>JÄMTLANDS LÄN</t>
        </is>
      </c>
      <c r="E539" t="inlineStr">
        <is>
          <t>STRÖMSUND</t>
        </is>
      </c>
      <c r="F539" t="inlineStr">
        <is>
          <t>SCA</t>
        </is>
      </c>
      <c r="G539" t="n">
        <v>62.8</v>
      </c>
      <c r="H539" t="n">
        <v>0</v>
      </c>
      <c r="I539" t="n">
        <v>0</v>
      </c>
      <c r="J539" t="n">
        <v>0</v>
      </c>
      <c r="K539" t="n">
        <v>0</v>
      </c>
      <c r="L539" t="n">
        <v>0</v>
      </c>
      <c r="M539" t="n">
        <v>0</v>
      </c>
      <c r="N539" t="n">
        <v>0</v>
      </c>
      <c r="O539" t="n">
        <v>0</v>
      </c>
      <c r="P539" t="n">
        <v>0</v>
      </c>
      <c r="Q539" t="n">
        <v>0</v>
      </c>
      <c r="R539" s="2" t="inlineStr"/>
    </row>
    <row r="540" ht="15" customHeight="1">
      <c r="A540" t="inlineStr">
        <is>
          <t>A 30136-2019</t>
        </is>
      </c>
      <c r="B540" s="1" t="n">
        <v>43634</v>
      </c>
      <c r="C540" s="1" t="n">
        <v>45740</v>
      </c>
      <c r="D540" t="inlineStr">
        <is>
          <t>JÄMTLANDS LÄN</t>
        </is>
      </c>
      <c r="E540" t="inlineStr">
        <is>
          <t>STRÖMSUND</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30378-2019</t>
        </is>
      </c>
      <c r="B541" s="1" t="n">
        <v>43634</v>
      </c>
      <c r="C541" s="1" t="n">
        <v>45740</v>
      </c>
      <c r="D541" t="inlineStr">
        <is>
          <t>JÄMTLANDS LÄN</t>
        </is>
      </c>
      <c r="E541" t="inlineStr">
        <is>
          <t>STRÖMSUND</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30139-2019</t>
        </is>
      </c>
      <c r="B542" s="1" t="n">
        <v>43634</v>
      </c>
      <c r="C542" s="1" t="n">
        <v>45740</v>
      </c>
      <c r="D542" t="inlineStr">
        <is>
          <t>JÄMTLANDS LÄN</t>
        </is>
      </c>
      <c r="E542" t="inlineStr">
        <is>
          <t>STRÖMSUND</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30915-2019</t>
        </is>
      </c>
      <c r="B543" s="1" t="n">
        <v>43636</v>
      </c>
      <c r="C543" s="1" t="n">
        <v>45740</v>
      </c>
      <c r="D543" t="inlineStr">
        <is>
          <t>JÄMTLANDS LÄN</t>
        </is>
      </c>
      <c r="E543" t="inlineStr">
        <is>
          <t>STRÖMSUND</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32482-2019</t>
        </is>
      </c>
      <c r="B544" s="1" t="n">
        <v>43644</v>
      </c>
      <c r="C544" s="1" t="n">
        <v>45740</v>
      </c>
      <c r="D544" t="inlineStr">
        <is>
          <t>JÄMTLANDS LÄN</t>
        </is>
      </c>
      <c r="E544" t="inlineStr">
        <is>
          <t>STRÖMSUND</t>
        </is>
      </c>
      <c r="F544" t="inlineStr">
        <is>
          <t>SCA</t>
        </is>
      </c>
      <c r="G544" t="n">
        <v>8.4</v>
      </c>
      <c r="H544" t="n">
        <v>0</v>
      </c>
      <c r="I544" t="n">
        <v>0</v>
      </c>
      <c r="J544" t="n">
        <v>0</v>
      </c>
      <c r="K544" t="n">
        <v>0</v>
      </c>
      <c r="L544" t="n">
        <v>0</v>
      </c>
      <c r="M544" t="n">
        <v>0</v>
      </c>
      <c r="N544" t="n">
        <v>0</v>
      </c>
      <c r="O544" t="n">
        <v>0</v>
      </c>
      <c r="P544" t="n">
        <v>0</v>
      </c>
      <c r="Q544" t="n">
        <v>0</v>
      </c>
      <c r="R544" s="2" t="inlineStr"/>
    </row>
    <row r="545" ht="15" customHeight="1">
      <c r="A545" t="inlineStr">
        <is>
          <t>A 32739-2019</t>
        </is>
      </c>
      <c r="B545" s="1" t="n">
        <v>43647</v>
      </c>
      <c r="C545" s="1" t="n">
        <v>45740</v>
      </c>
      <c r="D545" t="inlineStr">
        <is>
          <t>JÄMTLANDS LÄN</t>
        </is>
      </c>
      <c r="E545" t="inlineStr">
        <is>
          <t>STRÖMSUND</t>
        </is>
      </c>
      <c r="F545" t="inlineStr">
        <is>
          <t>SCA</t>
        </is>
      </c>
      <c r="G545" t="n">
        <v>174.6</v>
      </c>
      <c r="H545" t="n">
        <v>0</v>
      </c>
      <c r="I545" t="n">
        <v>0</v>
      </c>
      <c r="J545" t="n">
        <v>0</v>
      </c>
      <c r="K545" t="n">
        <v>0</v>
      </c>
      <c r="L545" t="n">
        <v>0</v>
      </c>
      <c r="M545" t="n">
        <v>0</v>
      </c>
      <c r="N545" t="n">
        <v>0</v>
      </c>
      <c r="O545" t="n">
        <v>0</v>
      </c>
      <c r="P545" t="n">
        <v>0</v>
      </c>
      <c r="Q545" t="n">
        <v>0</v>
      </c>
      <c r="R545" s="2" t="inlineStr"/>
    </row>
    <row r="546" ht="15" customHeight="1">
      <c r="A546" t="inlineStr">
        <is>
          <t>A 32748-2019</t>
        </is>
      </c>
      <c r="B546" s="1" t="n">
        <v>43647</v>
      </c>
      <c r="C546" s="1" t="n">
        <v>45740</v>
      </c>
      <c r="D546" t="inlineStr">
        <is>
          <t>JÄMTLANDS LÄN</t>
        </is>
      </c>
      <c r="E546" t="inlineStr">
        <is>
          <t>STRÖMSUND</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32974-2019</t>
        </is>
      </c>
      <c r="B547" s="1" t="n">
        <v>43648</v>
      </c>
      <c r="C547" s="1" t="n">
        <v>45740</v>
      </c>
      <c r="D547" t="inlineStr">
        <is>
          <t>JÄMTLANDS LÄN</t>
        </is>
      </c>
      <c r="E547" t="inlineStr">
        <is>
          <t>STRÖMSUND</t>
        </is>
      </c>
      <c r="G547" t="n">
        <v>2.8</v>
      </c>
      <c r="H547" t="n">
        <v>0</v>
      </c>
      <c r="I547" t="n">
        <v>0</v>
      </c>
      <c r="J547" t="n">
        <v>0</v>
      </c>
      <c r="K547" t="n">
        <v>0</v>
      </c>
      <c r="L547" t="n">
        <v>0</v>
      </c>
      <c r="M547" t="n">
        <v>0</v>
      </c>
      <c r="N547" t="n">
        <v>0</v>
      </c>
      <c r="O547" t="n">
        <v>0</v>
      </c>
      <c r="P547" t="n">
        <v>0</v>
      </c>
      <c r="Q547" t="n">
        <v>0</v>
      </c>
      <c r="R547" s="2" t="inlineStr"/>
    </row>
    <row r="548" ht="15" customHeight="1">
      <c r="A548" t="inlineStr">
        <is>
          <t>A 32973-2019</t>
        </is>
      </c>
      <c r="B548" s="1" t="n">
        <v>43648</v>
      </c>
      <c r="C548" s="1" t="n">
        <v>45740</v>
      </c>
      <c r="D548" t="inlineStr">
        <is>
          <t>JÄMTLANDS LÄN</t>
        </is>
      </c>
      <c r="E548" t="inlineStr">
        <is>
          <t>STRÖMSUND</t>
        </is>
      </c>
      <c r="G548" t="n">
        <v>3.5</v>
      </c>
      <c r="H548" t="n">
        <v>0</v>
      </c>
      <c r="I548" t="n">
        <v>0</v>
      </c>
      <c r="J548" t="n">
        <v>0</v>
      </c>
      <c r="K548" t="n">
        <v>0</v>
      </c>
      <c r="L548" t="n">
        <v>0</v>
      </c>
      <c r="M548" t="n">
        <v>0</v>
      </c>
      <c r="N548" t="n">
        <v>0</v>
      </c>
      <c r="O548" t="n">
        <v>0</v>
      </c>
      <c r="P548" t="n">
        <v>0</v>
      </c>
      <c r="Q548" t="n">
        <v>0</v>
      </c>
      <c r="R548" s="2" t="inlineStr"/>
    </row>
    <row r="549" ht="15" customHeight="1">
      <c r="A549" t="inlineStr">
        <is>
          <t>A 32971-2019</t>
        </is>
      </c>
      <c r="B549" s="1" t="n">
        <v>43648</v>
      </c>
      <c r="C549" s="1" t="n">
        <v>45740</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32975-2019</t>
        </is>
      </c>
      <c r="B550" s="1" t="n">
        <v>43648</v>
      </c>
      <c r="C550" s="1" t="n">
        <v>45740</v>
      </c>
      <c r="D550" t="inlineStr">
        <is>
          <t>JÄMTLANDS LÄN</t>
        </is>
      </c>
      <c r="E550" t="inlineStr">
        <is>
          <t>STRÖMSUND</t>
        </is>
      </c>
      <c r="G550" t="n">
        <v>2.3</v>
      </c>
      <c r="H550" t="n">
        <v>0</v>
      </c>
      <c r="I550" t="n">
        <v>0</v>
      </c>
      <c r="J550" t="n">
        <v>0</v>
      </c>
      <c r="K550" t="n">
        <v>0</v>
      </c>
      <c r="L550" t="n">
        <v>0</v>
      </c>
      <c r="M550" t="n">
        <v>0</v>
      </c>
      <c r="N550" t="n">
        <v>0</v>
      </c>
      <c r="O550" t="n">
        <v>0</v>
      </c>
      <c r="P550" t="n">
        <v>0</v>
      </c>
      <c r="Q550" t="n">
        <v>0</v>
      </c>
      <c r="R550" s="2" t="inlineStr"/>
    </row>
    <row r="551" ht="15" customHeight="1">
      <c r="A551" t="inlineStr">
        <is>
          <t>A 34758-2019</t>
        </is>
      </c>
      <c r="B551" s="1" t="n">
        <v>43649</v>
      </c>
      <c r="C551" s="1" t="n">
        <v>45740</v>
      </c>
      <c r="D551" t="inlineStr">
        <is>
          <t>JÄMTLANDS LÄN</t>
        </is>
      </c>
      <c r="E551" t="inlineStr">
        <is>
          <t>STRÖMSUND</t>
        </is>
      </c>
      <c r="G551" t="n">
        <v>2.2</v>
      </c>
      <c r="H551" t="n">
        <v>0</v>
      </c>
      <c r="I551" t="n">
        <v>0</v>
      </c>
      <c r="J551" t="n">
        <v>0</v>
      </c>
      <c r="K551" t="n">
        <v>0</v>
      </c>
      <c r="L551" t="n">
        <v>0</v>
      </c>
      <c r="M551" t="n">
        <v>0</v>
      </c>
      <c r="N551" t="n">
        <v>0</v>
      </c>
      <c r="O551" t="n">
        <v>0</v>
      </c>
      <c r="P551" t="n">
        <v>0</v>
      </c>
      <c r="Q551" t="n">
        <v>0</v>
      </c>
      <c r="R551" s="2" t="inlineStr"/>
    </row>
    <row r="552" ht="15" customHeight="1">
      <c r="A552" t="inlineStr">
        <is>
          <t>A 33538-2019</t>
        </is>
      </c>
      <c r="B552" s="1" t="n">
        <v>43651</v>
      </c>
      <c r="C552" s="1" t="n">
        <v>45740</v>
      </c>
      <c r="D552" t="inlineStr">
        <is>
          <t>JÄMTLANDS LÄN</t>
        </is>
      </c>
      <c r="E552" t="inlineStr">
        <is>
          <t>STRÖMSUND</t>
        </is>
      </c>
      <c r="F552" t="inlineStr">
        <is>
          <t>Holmen skog AB</t>
        </is>
      </c>
      <c r="G552" t="n">
        <v>15.6</v>
      </c>
      <c r="H552" t="n">
        <v>0</v>
      </c>
      <c r="I552" t="n">
        <v>0</v>
      </c>
      <c r="J552" t="n">
        <v>0</v>
      </c>
      <c r="K552" t="n">
        <v>0</v>
      </c>
      <c r="L552" t="n">
        <v>0</v>
      </c>
      <c r="M552" t="n">
        <v>0</v>
      </c>
      <c r="N552" t="n">
        <v>0</v>
      </c>
      <c r="O552" t="n">
        <v>0</v>
      </c>
      <c r="P552" t="n">
        <v>0</v>
      </c>
      <c r="Q552" t="n">
        <v>0</v>
      </c>
      <c r="R552" s="2" t="inlineStr"/>
    </row>
    <row r="553" ht="15" customHeight="1">
      <c r="A553" t="inlineStr">
        <is>
          <t>A 33701-2019</t>
        </is>
      </c>
      <c r="B553" s="1" t="n">
        <v>43651</v>
      </c>
      <c r="C553" s="1" t="n">
        <v>45740</v>
      </c>
      <c r="D553" t="inlineStr">
        <is>
          <t>JÄMTLANDS LÄN</t>
        </is>
      </c>
      <c r="E553" t="inlineStr">
        <is>
          <t>STRÖMSUND</t>
        </is>
      </c>
      <c r="F553" t="inlineStr">
        <is>
          <t>Holmen skog AB</t>
        </is>
      </c>
      <c r="G553" t="n">
        <v>21.7</v>
      </c>
      <c r="H553" t="n">
        <v>0</v>
      </c>
      <c r="I553" t="n">
        <v>0</v>
      </c>
      <c r="J553" t="n">
        <v>0</v>
      </c>
      <c r="K553" t="n">
        <v>0</v>
      </c>
      <c r="L553" t="n">
        <v>0</v>
      </c>
      <c r="M553" t="n">
        <v>0</v>
      </c>
      <c r="N553" t="n">
        <v>0</v>
      </c>
      <c r="O553" t="n">
        <v>0</v>
      </c>
      <c r="P553" t="n">
        <v>0</v>
      </c>
      <c r="Q553" t="n">
        <v>0</v>
      </c>
      <c r="R553" s="2" t="inlineStr"/>
    </row>
    <row r="554" ht="15" customHeight="1">
      <c r="A554" t="inlineStr">
        <is>
          <t>A 33825-2019</t>
        </is>
      </c>
      <c r="B554" s="1" t="n">
        <v>43651</v>
      </c>
      <c r="C554" s="1" t="n">
        <v>45740</v>
      </c>
      <c r="D554" t="inlineStr">
        <is>
          <t>JÄMTLANDS LÄN</t>
        </is>
      </c>
      <c r="E554" t="inlineStr">
        <is>
          <t>STRÖMSUND</t>
        </is>
      </c>
      <c r="F554" t="inlineStr">
        <is>
          <t>SCA</t>
        </is>
      </c>
      <c r="G554" t="n">
        <v>15.6</v>
      </c>
      <c r="H554" t="n">
        <v>0</v>
      </c>
      <c r="I554" t="n">
        <v>0</v>
      </c>
      <c r="J554" t="n">
        <v>0</v>
      </c>
      <c r="K554" t="n">
        <v>0</v>
      </c>
      <c r="L554" t="n">
        <v>0</v>
      </c>
      <c r="M554" t="n">
        <v>0</v>
      </c>
      <c r="N554" t="n">
        <v>0</v>
      </c>
      <c r="O554" t="n">
        <v>0</v>
      </c>
      <c r="P554" t="n">
        <v>0</v>
      </c>
      <c r="Q554" t="n">
        <v>0</v>
      </c>
      <c r="R554" s="2" t="inlineStr"/>
    </row>
    <row r="555" ht="15" customHeight="1">
      <c r="A555" t="inlineStr">
        <is>
          <t>A 33552-2019</t>
        </is>
      </c>
      <c r="B555" s="1" t="n">
        <v>43651</v>
      </c>
      <c r="C555" s="1" t="n">
        <v>45740</v>
      </c>
      <c r="D555" t="inlineStr">
        <is>
          <t>JÄMTLANDS LÄN</t>
        </is>
      </c>
      <c r="E555" t="inlineStr">
        <is>
          <t>STRÖMSUND</t>
        </is>
      </c>
      <c r="F555" t="inlineStr">
        <is>
          <t>Holmen skog AB</t>
        </is>
      </c>
      <c r="G555" t="n">
        <v>15.9</v>
      </c>
      <c r="H555" t="n">
        <v>0</v>
      </c>
      <c r="I555" t="n">
        <v>0</v>
      </c>
      <c r="J555" t="n">
        <v>0</v>
      </c>
      <c r="K555" t="n">
        <v>0</v>
      </c>
      <c r="L555" t="n">
        <v>0</v>
      </c>
      <c r="M555" t="n">
        <v>0</v>
      </c>
      <c r="N555" t="n">
        <v>0</v>
      </c>
      <c r="O555" t="n">
        <v>0</v>
      </c>
      <c r="P555" t="n">
        <v>0</v>
      </c>
      <c r="Q555" t="n">
        <v>0</v>
      </c>
      <c r="R555" s="2" t="inlineStr"/>
    </row>
    <row r="556" ht="15" customHeight="1">
      <c r="A556" t="inlineStr">
        <is>
          <t>A 34125-2019</t>
        </is>
      </c>
      <c r="B556" s="1" t="n">
        <v>43654</v>
      </c>
      <c r="C556" s="1" t="n">
        <v>45740</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34144-2019</t>
        </is>
      </c>
      <c r="B557" s="1" t="n">
        <v>43655</v>
      </c>
      <c r="C557" s="1" t="n">
        <v>45740</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34156-2019</t>
        </is>
      </c>
      <c r="B558" s="1" t="n">
        <v>43655</v>
      </c>
      <c r="C558" s="1" t="n">
        <v>45740</v>
      </c>
      <c r="D558" t="inlineStr">
        <is>
          <t>JÄMTLANDS LÄN</t>
        </is>
      </c>
      <c r="E558" t="inlineStr">
        <is>
          <t>STRÖMSUND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34152-2019</t>
        </is>
      </c>
      <c r="B559" s="1" t="n">
        <v>43655</v>
      </c>
      <c r="C559" s="1" t="n">
        <v>45740</v>
      </c>
      <c r="D559" t="inlineStr">
        <is>
          <t>JÄMTLANDS LÄN</t>
        </is>
      </c>
      <c r="E559" t="inlineStr">
        <is>
          <t>STRÖMSUND</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34233-2019</t>
        </is>
      </c>
      <c r="B560" s="1" t="n">
        <v>43655</v>
      </c>
      <c r="C560" s="1" t="n">
        <v>45740</v>
      </c>
      <c r="D560" t="inlineStr">
        <is>
          <t>JÄMTLANDS LÄN</t>
        </is>
      </c>
      <c r="E560" t="inlineStr">
        <is>
          <t>STRÖMSUND</t>
        </is>
      </c>
      <c r="G560" t="n">
        <v>3.1</v>
      </c>
      <c r="H560" t="n">
        <v>0</v>
      </c>
      <c r="I560" t="n">
        <v>0</v>
      </c>
      <c r="J560" t="n">
        <v>0</v>
      </c>
      <c r="K560" t="n">
        <v>0</v>
      </c>
      <c r="L560" t="n">
        <v>0</v>
      </c>
      <c r="M560" t="n">
        <v>0</v>
      </c>
      <c r="N560" t="n">
        <v>0</v>
      </c>
      <c r="O560" t="n">
        <v>0</v>
      </c>
      <c r="P560" t="n">
        <v>0</v>
      </c>
      <c r="Q560" t="n">
        <v>0</v>
      </c>
      <c r="R560" s="2" t="inlineStr"/>
    </row>
    <row r="561" ht="15" customHeight="1">
      <c r="A561" t="inlineStr">
        <is>
          <t>A 34146-2019</t>
        </is>
      </c>
      <c r="B561" s="1" t="n">
        <v>43655</v>
      </c>
      <c r="C561" s="1" t="n">
        <v>45740</v>
      </c>
      <c r="D561" t="inlineStr">
        <is>
          <t>JÄMTLANDS LÄN</t>
        </is>
      </c>
      <c r="E561" t="inlineStr">
        <is>
          <t>STRÖMSUND</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35674-2019</t>
        </is>
      </c>
      <c r="B562" s="1" t="n">
        <v>43655</v>
      </c>
      <c r="C562" s="1" t="n">
        <v>45740</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34219-2019</t>
        </is>
      </c>
      <c r="B563" s="1" t="n">
        <v>43655</v>
      </c>
      <c r="C563" s="1" t="n">
        <v>45740</v>
      </c>
      <c r="D563" t="inlineStr">
        <is>
          <t>JÄMTLANDS LÄN</t>
        </is>
      </c>
      <c r="E563" t="inlineStr">
        <is>
          <t>STRÖMSUND</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34741-2019</t>
        </is>
      </c>
      <c r="B564" s="1" t="n">
        <v>43657</v>
      </c>
      <c r="C564" s="1" t="n">
        <v>45740</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36193-2019</t>
        </is>
      </c>
      <c r="B565" s="1" t="n">
        <v>43657</v>
      </c>
      <c r="C565" s="1" t="n">
        <v>45740</v>
      </c>
      <c r="D565" t="inlineStr">
        <is>
          <t>JÄMTLANDS LÄN</t>
        </is>
      </c>
      <c r="E565" t="inlineStr">
        <is>
          <t>STRÖMSUND</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34794-2019</t>
        </is>
      </c>
      <c r="B566" s="1" t="n">
        <v>43658</v>
      </c>
      <c r="C566" s="1" t="n">
        <v>45740</v>
      </c>
      <c r="D566" t="inlineStr">
        <is>
          <t>JÄMTLANDS LÄN</t>
        </is>
      </c>
      <c r="E566" t="inlineStr">
        <is>
          <t>STRÖMSUND</t>
        </is>
      </c>
      <c r="F566" t="inlineStr">
        <is>
          <t>Sveaskog</t>
        </is>
      </c>
      <c r="G566" t="n">
        <v>9.5</v>
      </c>
      <c r="H566" t="n">
        <v>0</v>
      </c>
      <c r="I566" t="n">
        <v>0</v>
      </c>
      <c r="J566" t="n">
        <v>0</v>
      </c>
      <c r="K566" t="n">
        <v>0</v>
      </c>
      <c r="L566" t="n">
        <v>0</v>
      </c>
      <c r="M566" t="n">
        <v>0</v>
      </c>
      <c r="N566" t="n">
        <v>0</v>
      </c>
      <c r="O566" t="n">
        <v>0</v>
      </c>
      <c r="P566" t="n">
        <v>0</v>
      </c>
      <c r="Q566" t="n">
        <v>0</v>
      </c>
      <c r="R566" s="2" t="inlineStr"/>
    </row>
    <row r="567" ht="15" customHeight="1">
      <c r="A567" t="inlineStr">
        <is>
          <t>A 35323-2019</t>
        </is>
      </c>
      <c r="B567" s="1" t="n">
        <v>43662</v>
      </c>
      <c r="C567" s="1" t="n">
        <v>45740</v>
      </c>
      <c r="D567" t="inlineStr">
        <is>
          <t>JÄMTLANDS LÄN</t>
        </is>
      </c>
      <c r="E567" t="inlineStr">
        <is>
          <t>STRÖMSUND</t>
        </is>
      </c>
      <c r="F567" t="inlineStr">
        <is>
          <t>SCA</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35472-2019</t>
        </is>
      </c>
      <c r="B568" s="1" t="n">
        <v>43663</v>
      </c>
      <c r="C568" s="1" t="n">
        <v>45740</v>
      </c>
      <c r="D568" t="inlineStr">
        <is>
          <t>JÄMTLANDS LÄN</t>
        </is>
      </c>
      <c r="E568" t="inlineStr">
        <is>
          <t>STRÖMSUND</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35442-2019</t>
        </is>
      </c>
      <c r="B569" s="1" t="n">
        <v>43663</v>
      </c>
      <c r="C569" s="1" t="n">
        <v>45740</v>
      </c>
      <c r="D569" t="inlineStr">
        <is>
          <t>JÄMTLANDS LÄN</t>
        </is>
      </c>
      <c r="E569" t="inlineStr">
        <is>
          <t>STRÖMSUND</t>
        </is>
      </c>
      <c r="F569" t="inlineStr">
        <is>
          <t>Holmen skog AB</t>
        </is>
      </c>
      <c r="G569" t="n">
        <v>5</v>
      </c>
      <c r="H569" t="n">
        <v>0</v>
      </c>
      <c r="I569" t="n">
        <v>0</v>
      </c>
      <c r="J569" t="n">
        <v>0</v>
      </c>
      <c r="K569" t="n">
        <v>0</v>
      </c>
      <c r="L569" t="n">
        <v>0</v>
      </c>
      <c r="M569" t="n">
        <v>0</v>
      </c>
      <c r="N569" t="n">
        <v>0</v>
      </c>
      <c r="O569" t="n">
        <v>0</v>
      </c>
      <c r="P569" t="n">
        <v>0</v>
      </c>
      <c r="Q569" t="n">
        <v>0</v>
      </c>
      <c r="R569" s="2" t="inlineStr"/>
    </row>
    <row r="570" ht="15" customHeight="1">
      <c r="A570" t="inlineStr">
        <is>
          <t>A 35621-2019</t>
        </is>
      </c>
      <c r="B570" s="1" t="n">
        <v>43664</v>
      </c>
      <c r="C570" s="1" t="n">
        <v>45740</v>
      </c>
      <c r="D570" t="inlineStr">
        <is>
          <t>JÄMTLANDS LÄN</t>
        </is>
      </c>
      <c r="E570" t="inlineStr">
        <is>
          <t>STRÖMSUND</t>
        </is>
      </c>
      <c r="G570" t="n">
        <v>35.5</v>
      </c>
      <c r="H570" t="n">
        <v>0</v>
      </c>
      <c r="I570" t="n">
        <v>0</v>
      </c>
      <c r="J570" t="n">
        <v>0</v>
      </c>
      <c r="K570" t="n">
        <v>0</v>
      </c>
      <c r="L570" t="n">
        <v>0</v>
      </c>
      <c r="M570" t="n">
        <v>0</v>
      </c>
      <c r="N570" t="n">
        <v>0</v>
      </c>
      <c r="O570" t="n">
        <v>0</v>
      </c>
      <c r="P570" t="n">
        <v>0</v>
      </c>
      <c r="Q570" t="n">
        <v>0</v>
      </c>
      <c r="R570" s="2" t="inlineStr"/>
    </row>
    <row r="571" ht="15" customHeight="1">
      <c r="A571" t="inlineStr">
        <is>
          <t>A 37879-2019</t>
        </is>
      </c>
      <c r="B571" s="1" t="n">
        <v>43682</v>
      </c>
      <c r="C571" s="1" t="n">
        <v>45740</v>
      </c>
      <c r="D571" t="inlineStr">
        <is>
          <t>JÄMTLANDS LÄN</t>
        </is>
      </c>
      <c r="E571" t="inlineStr">
        <is>
          <t>STRÖMSUND</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37880-2019</t>
        </is>
      </c>
      <c r="B572" s="1" t="n">
        <v>43682</v>
      </c>
      <c r="C572" s="1" t="n">
        <v>45740</v>
      </c>
      <c r="D572" t="inlineStr">
        <is>
          <t>JÄMTLANDS LÄN</t>
        </is>
      </c>
      <c r="E572" t="inlineStr">
        <is>
          <t>STRÖMSUND</t>
        </is>
      </c>
      <c r="G572" t="n">
        <v>3.9</v>
      </c>
      <c r="H572" t="n">
        <v>0</v>
      </c>
      <c r="I572" t="n">
        <v>0</v>
      </c>
      <c r="J572" t="n">
        <v>0</v>
      </c>
      <c r="K572" t="n">
        <v>0</v>
      </c>
      <c r="L572" t="n">
        <v>0</v>
      </c>
      <c r="M572" t="n">
        <v>0</v>
      </c>
      <c r="N572" t="n">
        <v>0</v>
      </c>
      <c r="O572" t="n">
        <v>0</v>
      </c>
      <c r="P572" t="n">
        <v>0</v>
      </c>
      <c r="Q572" t="n">
        <v>0</v>
      </c>
      <c r="R572" s="2" t="inlineStr"/>
    </row>
    <row r="573" ht="15" customHeight="1">
      <c r="A573" t="inlineStr">
        <is>
          <t>A 38122-2019</t>
        </is>
      </c>
      <c r="B573" s="1" t="n">
        <v>43683</v>
      </c>
      <c r="C573" s="1" t="n">
        <v>45740</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38312-2019</t>
        </is>
      </c>
      <c r="B574" s="1" t="n">
        <v>43684</v>
      </c>
      <c r="C574" s="1" t="n">
        <v>45740</v>
      </c>
      <c r="D574" t="inlineStr">
        <is>
          <t>JÄMTLANDS LÄN</t>
        </is>
      </c>
      <c r="E574" t="inlineStr">
        <is>
          <t>STRÖMSUND</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38578-2019</t>
        </is>
      </c>
      <c r="B575" s="1" t="n">
        <v>43685</v>
      </c>
      <c r="C575" s="1" t="n">
        <v>45740</v>
      </c>
      <c r="D575" t="inlineStr">
        <is>
          <t>JÄMTLANDS LÄN</t>
        </is>
      </c>
      <c r="E575" t="inlineStr">
        <is>
          <t>STRÖMSUND</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38577-2019</t>
        </is>
      </c>
      <c r="B576" s="1" t="n">
        <v>43685</v>
      </c>
      <c r="C576" s="1" t="n">
        <v>45740</v>
      </c>
      <c r="D576" t="inlineStr">
        <is>
          <t>JÄMTLANDS LÄN</t>
        </is>
      </c>
      <c r="E576" t="inlineStr">
        <is>
          <t>STRÖMSUND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39129-2019</t>
        </is>
      </c>
      <c r="B577" s="1" t="n">
        <v>43689</v>
      </c>
      <c r="C577" s="1" t="n">
        <v>45740</v>
      </c>
      <c r="D577" t="inlineStr">
        <is>
          <t>JÄMTLANDS LÄN</t>
        </is>
      </c>
      <c r="E577" t="inlineStr">
        <is>
          <t>STRÖMSUND</t>
        </is>
      </c>
      <c r="F577" t="inlineStr">
        <is>
          <t>SCA</t>
        </is>
      </c>
      <c r="G577" t="n">
        <v>67.2</v>
      </c>
      <c r="H577" t="n">
        <v>0</v>
      </c>
      <c r="I577" t="n">
        <v>0</v>
      </c>
      <c r="J577" t="n">
        <v>0</v>
      </c>
      <c r="K577" t="n">
        <v>0</v>
      </c>
      <c r="L577" t="n">
        <v>0</v>
      </c>
      <c r="M577" t="n">
        <v>0</v>
      </c>
      <c r="N577" t="n">
        <v>0</v>
      </c>
      <c r="O577" t="n">
        <v>0</v>
      </c>
      <c r="P577" t="n">
        <v>0</v>
      </c>
      <c r="Q577" t="n">
        <v>0</v>
      </c>
      <c r="R577" s="2" t="inlineStr"/>
    </row>
    <row r="578" ht="15" customHeight="1">
      <c r="A578" t="inlineStr">
        <is>
          <t>A 39226-2019</t>
        </is>
      </c>
      <c r="B578" s="1" t="n">
        <v>43690</v>
      </c>
      <c r="C578" s="1" t="n">
        <v>45740</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39282-2019</t>
        </is>
      </c>
      <c r="B579" s="1" t="n">
        <v>43690</v>
      </c>
      <c r="C579" s="1" t="n">
        <v>45740</v>
      </c>
      <c r="D579" t="inlineStr">
        <is>
          <t>JÄMTLANDS LÄN</t>
        </is>
      </c>
      <c r="E579" t="inlineStr">
        <is>
          <t>STRÖMSUND</t>
        </is>
      </c>
      <c r="F579" t="inlineStr">
        <is>
          <t>Holmen skog AB</t>
        </is>
      </c>
      <c r="G579" t="n">
        <v>21.2</v>
      </c>
      <c r="H579" t="n">
        <v>0</v>
      </c>
      <c r="I579" t="n">
        <v>0</v>
      </c>
      <c r="J579" t="n">
        <v>0</v>
      </c>
      <c r="K579" t="n">
        <v>0</v>
      </c>
      <c r="L579" t="n">
        <v>0</v>
      </c>
      <c r="M579" t="n">
        <v>0</v>
      </c>
      <c r="N579" t="n">
        <v>0</v>
      </c>
      <c r="O579" t="n">
        <v>0</v>
      </c>
      <c r="P579" t="n">
        <v>0</v>
      </c>
      <c r="Q579" t="n">
        <v>0</v>
      </c>
      <c r="R579" s="2" t="inlineStr"/>
    </row>
    <row r="580" ht="15" customHeight="1">
      <c r="A580" t="inlineStr">
        <is>
          <t>A 40509-2019</t>
        </is>
      </c>
      <c r="B580" s="1" t="n">
        <v>43696</v>
      </c>
      <c r="C580" s="1" t="n">
        <v>45740</v>
      </c>
      <c r="D580" t="inlineStr">
        <is>
          <t>JÄMTLANDS LÄN</t>
        </is>
      </c>
      <c r="E580" t="inlineStr">
        <is>
          <t>STRÖMSUND</t>
        </is>
      </c>
      <c r="G580" t="n">
        <v>16.4</v>
      </c>
      <c r="H580" t="n">
        <v>0</v>
      </c>
      <c r="I580" t="n">
        <v>0</v>
      </c>
      <c r="J580" t="n">
        <v>0</v>
      </c>
      <c r="K580" t="n">
        <v>0</v>
      </c>
      <c r="L580" t="n">
        <v>0</v>
      </c>
      <c r="M580" t="n">
        <v>0</v>
      </c>
      <c r="N580" t="n">
        <v>0</v>
      </c>
      <c r="O580" t="n">
        <v>0</v>
      </c>
      <c r="P580" t="n">
        <v>0</v>
      </c>
      <c r="Q580" t="n">
        <v>0</v>
      </c>
      <c r="R580" s="2" t="inlineStr"/>
    </row>
    <row r="581" ht="15" customHeight="1">
      <c r="A581" t="inlineStr">
        <is>
          <t>A 40661-2019</t>
        </is>
      </c>
      <c r="B581" s="1" t="n">
        <v>43696</v>
      </c>
      <c r="C581" s="1" t="n">
        <v>45740</v>
      </c>
      <c r="D581" t="inlineStr">
        <is>
          <t>JÄMTLANDS LÄN</t>
        </is>
      </c>
      <c r="E581" t="inlineStr">
        <is>
          <t>STRÖMSUND</t>
        </is>
      </c>
      <c r="G581" t="n">
        <v>2.9</v>
      </c>
      <c r="H581" t="n">
        <v>0</v>
      </c>
      <c r="I581" t="n">
        <v>0</v>
      </c>
      <c r="J581" t="n">
        <v>0</v>
      </c>
      <c r="K581" t="n">
        <v>0</v>
      </c>
      <c r="L581" t="n">
        <v>0</v>
      </c>
      <c r="M581" t="n">
        <v>0</v>
      </c>
      <c r="N581" t="n">
        <v>0</v>
      </c>
      <c r="O581" t="n">
        <v>0</v>
      </c>
      <c r="P581" t="n">
        <v>0</v>
      </c>
      <c r="Q581" t="n">
        <v>0</v>
      </c>
      <c r="R581" s="2" t="inlineStr"/>
    </row>
    <row r="582" ht="15" customHeight="1">
      <c r="A582" t="inlineStr">
        <is>
          <t>A 40670-2019</t>
        </is>
      </c>
      <c r="B582" s="1" t="n">
        <v>43696</v>
      </c>
      <c r="C582" s="1" t="n">
        <v>45740</v>
      </c>
      <c r="D582" t="inlineStr">
        <is>
          <t>JÄMTLANDS LÄN</t>
        </is>
      </c>
      <c r="E582" t="inlineStr">
        <is>
          <t>STRÖMSUND</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40508-2019</t>
        </is>
      </c>
      <c r="B583" s="1" t="n">
        <v>43696</v>
      </c>
      <c r="C583" s="1" t="n">
        <v>45740</v>
      </c>
      <c r="D583" t="inlineStr">
        <is>
          <t>JÄMTLANDS LÄN</t>
        </is>
      </c>
      <c r="E583" t="inlineStr">
        <is>
          <t>STRÖMSUND</t>
        </is>
      </c>
      <c r="G583" t="n">
        <v>3.3</v>
      </c>
      <c r="H583" t="n">
        <v>0</v>
      </c>
      <c r="I583" t="n">
        <v>0</v>
      </c>
      <c r="J583" t="n">
        <v>0</v>
      </c>
      <c r="K583" t="n">
        <v>0</v>
      </c>
      <c r="L583" t="n">
        <v>0</v>
      </c>
      <c r="M583" t="n">
        <v>0</v>
      </c>
      <c r="N583" t="n">
        <v>0</v>
      </c>
      <c r="O583" t="n">
        <v>0</v>
      </c>
      <c r="P583" t="n">
        <v>0</v>
      </c>
      <c r="Q583" t="n">
        <v>0</v>
      </c>
      <c r="R583" s="2" t="inlineStr"/>
    </row>
    <row r="584" ht="15" customHeight="1">
      <c r="A584" t="inlineStr">
        <is>
          <t>A 41007-2019</t>
        </is>
      </c>
      <c r="B584" s="1" t="n">
        <v>43697</v>
      </c>
      <c r="C584" s="1" t="n">
        <v>45740</v>
      </c>
      <c r="D584" t="inlineStr">
        <is>
          <t>JÄMTLANDS LÄN</t>
        </is>
      </c>
      <c r="E584" t="inlineStr">
        <is>
          <t>STRÖMSUND</t>
        </is>
      </c>
      <c r="G584" t="n">
        <v>7.2</v>
      </c>
      <c r="H584" t="n">
        <v>0</v>
      </c>
      <c r="I584" t="n">
        <v>0</v>
      </c>
      <c r="J584" t="n">
        <v>0</v>
      </c>
      <c r="K584" t="n">
        <v>0</v>
      </c>
      <c r="L584" t="n">
        <v>0</v>
      </c>
      <c r="M584" t="n">
        <v>0</v>
      </c>
      <c r="N584" t="n">
        <v>0</v>
      </c>
      <c r="O584" t="n">
        <v>0</v>
      </c>
      <c r="P584" t="n">
        <v>0</v>
      </c>
      <c r="Q584" t="n">
        <v>0</v>
      </c>
      <c r="R584" s="2" t="inlineStr"/>
    </row>
    <row r="585" ht="15" customHeight="1">
      <c r="A585" t="inlineStr">
        <is>
          <t>A 41042-2019</t>
        </is>
      </c>
      <c r="B585" s="1" t="n">
        <v>43697</v>
      </c>
      <c r="C585" s="1" t="n">
        <v>45740</v>
      </c>
      <c r="D585" t="inlineStr">
        <is>
          <t>JÄMTLANDS LÄN</t>
        </is>
      </c>
      <c r="E585" t="inlineStr">
        <is>
          <t>STRÖMSUND</t>
        </is>
      </c>
      <c r="F585" t="inlineStr">
        <is>
          <t>SCA</t>
        </is>
      </c>
      <c r="G585" t="n">
        <v>58.2</v>
      </c>
      <c r="H585" t="n">
        <v>0</v>
      </c>
      <c r="I585" t="n">
        <v>0</v>
      </c>
      <c r="J585" t="n">
        <v>0</v>
      </c>
      <c r="K585" t="n">
        <v>0</v>
      </c>
      <c r="L585" t="n">
        <v>0</v>
      </c>
      <c r="M585" t="n">
        <v>0</v>
      </c>
      <c r="N585" t="n">
        <v>0</v>
      </c>
      <c r="O585" t="n">
        <v>0</v>
      </c>
      <c r="P585" t="n">
        <v>0</v>
      </c>
      <c r="Q585" t="n">
        <v>0</v>
      </c>
      <c r="R585" s="2" t="inlineStr"/>
    </row>
    <row r="586" ht="15" customHeight="1">
      <c r="A586" t="inlineStr">
        <is>
          <t>A 42420-2019</t>
        </is>
      </c>
      <c r="B586" s="1" t="n">
        <v>43703</v>
      </c>
      <c r="C586" s="1" t="n">
        <v>45740</v>
      </c>
      <c r="D586" t="inlineStr">
        <is>
          <t>JÄMTLANDS LÄN</t>
        </is>
      </c>
      <c r="E586" t="inlineStr">
        <is>
          <t>STRÖMSUND</t>
        </is>
      </c>
      <c r="G586" t="n">
        <v>8.4</v>
      </c>
      <c r="H586" t="n">
        <v>0</v>
      </c>
      <c r="I586" t="n">
        <v>0</v>
      </c>
      <c r="J586" t="n">
        <v>0</v>
      </c>
      <c r="K586" t="n">
        <v>0</v>
      </c>
      <c r="L586" t="n">
        <v>0</v>
      </c>
      <c r="M586" t="n">
        <v>0</v>
      </c>
      <c r="N586" t="n">
        <v>0</v>
      </c>
      <c r="O586" t="n">
        <v>0</v>
      </c>
      <c r="P586" t="n">
        <v>0</v>
      </c>
      <c r="Q586" t="n">
        <v>0</v>
      </c>
      <c r="R586" s="2" t="inlineStr"/>
    </row>
    <row r="587" ht="15" customHeight="1">
      <c r="A587" t="inlineStr">
        <is>
          <t>A 43180-2019</t>
        </is>
      </c>
      <c r="B587" s="1" t="n">
        <v>43705</v>
      </c>
      <c r="C587" s="1" t="n">
        <v>45740</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43707-2019</t>
        </is>
      </c>
      <c r="B588" s="1" t="n">
        <v>43707</v>
      </c>
      <c r="C588" s="1" t="n">
        <v>45740</v>
      </c>
      <c r="D588" t="inlineStr">
        <is>
          <t>JÄMTLANDS LÄN</t>
        </is>
      </c>
      <c r="E588" t="inlineStr">
        <is>
          <t>STRÖMSUND</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43943-2019</t>
        </is>
      </c>
      <c r="B589" s="1" t="n">
        <v>43707</v>
      </c>
      <c r="C589" s="1" t="n">
        <v>45740</v>
      </c>
      <c r="D589" t="inlineStr">
        <is>
          <t>JÄMTLANDS LÄN</t>
        </is>
      </c>
      <c r="E589" t="inlineStr">
        <is>
          <t>STRÖMSUND</t>
        </is>
      </c>
      <c r="F589" t="inlineStr">
        <is>
          <t>SCA</t>
        </is>
      </c>
      <c r="G589" t="n">
        <v>11.9</v>
      </c>
      <c r="H589" t="n">
        <v>0</v>
      </c>
      <c r="I589" t="n">
        <v>0</v>
      </c>
      <c r="J589" t="n">
        <v>0</v>
      </c>
      <c r="K589" t="n">
        <v>0</v>
      </c>
      <c r="L589" t="n">
        <v>0</v>
      </c>
      <c r="M589" t="n">
        <v>0</v>
      </c>
      <c r="N589" t="n">
        <v>0</v>
      </c>
      <c r="O589" t="n">
        <v>0</v>
      </c>
      <c r="P589" t="n">
        <v>0</v>
      </c>
      <c r="Q589" t="n">
        <v>0</v>
      </c>
      <c r="R589" s="2" t="inlineStr"/>
    </row>
    <row r="590" ht="15" customHeight="1">
      <c r="A590" t="inlineStr">
        <is>
          <t>A 43793-2019</t>
        </is>
      </c>
      <c r="B590" s="1" t="n">
        <v>43707</v>
      </c>
      <c r="C590" s="1" t="n">
        <v>45740</v>
      </c>
      <c r="D590" t="inlineStr">
        <is>
          <t>JÄMTLANDS LÄN</t>
        </is>
      </c>
      <c r="E590" t="inlineStr">
        <is>
          <t>STRÖMSUND</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45171-2019</t>
        </is>
      </c>
      <c r="B591" s="1" t="n">
        <v>43707</v>
      </c>
      <c r="C591" s="1" t="n">
        <v>45740</v>
      </c>
      <c r="D591" t="inlineStr">
        <is>
          <t>JÄMTLANDS LÄN</t>
        </is>
      </c>
      <c r="E591" t="inlineStr">
        <is>
          <t>STRÖMSUND</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44010-2019</t>
        </is>
      </c>
      <c r="B592" s="1" t="n">
        <v>43709</v>
      </c>
      <c r="C592" s="1" t="n">
        <v>45740</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44535-2019</t>
        </is>
      </c>
      <c r="B593" s="1" t="n">
        <v>43711</v>
      </c>
      <c r="C593" s="1" t="n">
        <v>45740</v>
      </c>
      <c r="D593" t="inlineStr">
        <is>
          <t>JÄMTLANDS LÄN</t>
        </is>
      </c>
      <c r="E593" t="inlineStr">
        <is>
          <t>STRÖMSUND</t>
        </is>
      </c>
      <c r="G593" t="n">
        <v>23.8</v>
      </c>
      <c r="H593" t="n">
        <v>0</v>
      </c>
      <c r="I593" t="n">
        <v>0</v>
      </c>
      <c r="J593" t="n">
        <v>0</v>
      </c>
      <c r="K593" t="n">
        <v>0</v>
      </c>
      <c r="L593" t="n">
        <v>0</v>
      </c>
      <c r="M593" t="n">
        <v>0</v>
      </c>
      <c r="N593" t="n">
        <v>0</v>
      </c>
      <c r="O593" t="n">
        <v>0</v>
      </c>
      <c r="P593" t="n">
        <v>0</v>
      </c>
      <c r="Q593" t="n">
        <v>0</v>
      </c>
      <c r="R593" s="2" t="inlineStr"/>
    </row>
    <row r="594" ht="15" customHeight="1">
      <c r="A594" t="inlineStr">
        <is>
          <t>A 44604-2019</t>
        </is>
      </c>
      <c r="B594" s="1" t="n">
        <v>43711</v>
      </c>
      <c r="C594" s="1" t="n">
        <v>45740</v>
      </c>
      <c r="D594" t="inlineStr">
        <is>
          <t>JÄMTLANDS LÄN</t>
        </is>
      </c>
      <c r="E594" t="inlineStr">
        <is>
          <t>STRÖMSUND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45773-2019</t>
        </is>
      </c>
      <c r="B595" s="1" t="n">
        <v>43711</v>
      </c>
      <c r="C595" s="1" t="n">
        <v>45740</v>
      </c>
      <c r="D595" t="inlineStr">
        <is>
          <t>JÄMTLANDS LÄN</t>
        </is>
      </c>
      <c r="E595" t="inlineStr">
        <is>
          <t>STRÖMSUND</t>
        </is>
      </c>
      <c r="G595" t="n">
        <v>3.2</v>
      </c>
      <c r="H595" t="n">
        <v>0</v>
      </c>
      <c r="I595" t="n">
        <v>0</v>
      </c>
      <c r="J595" t="n">
        <v>0</v>
      </c>
      <c r="K595" t="n">
        <v>0</v>
      </c>
      <c r="L595" t="n">
        <v>0</v>
      </c>
      <c r="M595" t="n">
        <v>0</v>
      </c>
      <c r="N595" t="n">
        <v>0</v>
      </c>
      <c r="O595" t="n">
        <v>0</v>
      </c>
      <c r="P595" t="n">
        <v>0</v>
      </c>
      <c r="Q595" t="n">
        <v>0</v>
      </c>
      <c r="R595" s="2" t="inlineStr"/>
    </row>
    <row r="596" ht="15" customHeight="1">
      <c r="A596" t="inlineStr">
        <is>
          <t>A 44605-2019</t>
        </is>
      </c>
      <c r="B596" s="1" t="n">
        <v>43711</v>
      </c>
      <c r="C596" s="1" t="n">
        <v>45740</v>
      </c>
      <c r="D596" t="inlineStr">
        <is>
          <t>JÄMTLANDS LÄN</t>
        </is>
      </c>
      <c r="E596" t="inlineStr">
        <is>
          <t>STRÖMSUND</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45737-2019</t>
        </is>
      </c>
      <c r="B597" s="1" t="n">
        <v>43711</v>
      </c>
      <c r="C597" s="1" t="n">
        <v>45740</v>
      </c>
      <c r="D597" t="inlineStr">
        <is>
          <t>JÄMTLANDS LÄN</t>
        </is>
      </c>
      <c r="E597" t="inlineStr">
        <is>
          <t>STRÖMSUND</t>
        </is>
      </c>
      <c r="F597" t="inlineStr">
        <is>
          <t>Holmen skog AB</t>
        </is>
      </c>
      <c r="G597" t="n">
        <v>9.5</v>
      </c>
      <c r="H597" t="n">
        <v>0</v>
      </c>
      <c r="I597" t="n">
        <v>0</v>
      </c>
      <c r="J597" t="n">
        <v>0</v>
      </c>
      <c r="K597" t="n">
        <v>0</v>
      </c>
      <c r="L597" t="n">
        <v>0</v>
      </c>
      <c r="M597" t="n">
        <v>0</v>
      </c>
      <c r="N597" t="n">
        <v>0</v>
      </c>
      <c r="O597" t="n">
        <v>0</v>
      </c>
      <c r="P597" t="n">
        <v>0</v>
      </c>
      <c r="Q597" t="n">
        <v>0</v>
      </c>
      <c r="R597" s="2" t="inlineStr"/>
    </row>
    <row r="598" ht="15" customHeight="1">
      <c r="A598" t="inlineStr">
        <is>
          <t>A 45776-2019</t>
        </is>
      </c>
      <c r="B598" s="1" t="n">
        <v>43711</v>
      </c>
      <c r="C598" s="1" t="n">
        <v>45740</v>
      </c>
      <c r="D598" t="inlineStr">
        <is>
          <t>JÄMTLANDS LÄN</t>
        </is>
      </c>
      <c r="E598" t="inlineStr">
        <is>
          <t>STRÖMSUND</t>
        </is>
      </c>
      <c r="G598" t="n">
        <v>3.6</v>
      </c>
      <c r="H598" t="n">
        <v>0</v>
      </c>
      <c r="I598" t="n">
        <v>0</v>
      </c>
      <c r="J598" t="n">
        <v>0</v>
      </c>
      <c r="K598" t="n">
        <v>0</v>
      </c>
      <c r="L598" t="n">
        <v>0</v>
      </c>
      <c r="M598" t="n">
        <v>0</v>
      </c>
      <c r="N598" t="n">
        <v>0</v>
      </c>
      <c r="O598" t="n">
        <v>0</v>
      </c>
      <c r="P598" t="n">
        <v>0</v>
      </c>
      <c r="Q598" t="n">
        <v>0</v>
      </c>
      <c r="R598" s="2" t="inlineStr"/>
    </row>
    <row r="599" ht="15" customHeight="1">
      <c r="A599" t="inlineStr">
        <is>
          <t>A 44774-2019</t>
        </is>
      </c>
      <c r="B599" s="1" t="n">
        <v>43712</v>
      </c>
      <c r="C599" s="1" t="n">
        <v>45740</v>
      </c>
      <c r="D599" t="inlineStr">
        <is>
          <t>JÄMTLANDS LÄN</t>
        </is>
      </c>
      <c r="E599" t="inlineStr">
        <is>
          <t>STRÖMSUND</t>
        </is>
      </c>
      <c r="G599" t="n">
        <v>4.6</v>
      </c>
      <c r="H599" t="n">
        <v>0</v>
      </c>
      <c r="I599" t="n">
        <v>0</v>
      </c>
      <c r="J599" t="n">
        <v>0</v>
      </c>
      <c r="K599" t="n">
        <v>0</v>
      </c>
      <c r="L599" t="n">
        <v>0</v>
      </c>
      <c r="M599" t="n">
        <v>0</v>
      </c>
      <c r="N599" t="n">
        <v>0</v>
      </c>
      <c r="O599" t="n">
        <v>0</v>
      </c>
      <c r="P599" t="n">
        <v>0</v>
      </c>
      <c r="Q599" t="n">
        <v>0</v>
      </c>
      <c r="R599" s="2" t="inlineStr"/>
    </row>
    <row r="600" ht="15" customHeight="1">
      <c r="A600" t="inlineStr">
        <is>
          <t>A 44809-2019</t>
        </is>
      </c>
      <c r="B600" s="1" t="n">
        <v>43712</v>
      </c>
      <c r="C600" s="1" t="n">
        <v>45740</v>
      </c>
      <c r="D600" t="inlineStr">
        <is>
          <t>JÄMTLANDS LÄN</t>
        </is>
      </c>
      <c r="E600" t="inlineStr">
        <is>
          <t>STRÖMSUND</t>
        </is>
      </c>
      <c r="F600" t="inlineStr">
        <is>
          <t>Kommuner</t>
        </is>
      </c>
      <c r="G600" t="n">
        <v>13.4</v>
      </c>
      <c r="H600" t="n">
        <v>0</v>
      </c>
      <c r="I600" t="n">
        <v>0</v>
      </c>
      <c r="J600" t="n">
        <v>0</v>
      </c>
      <c r="K600" t="n">
        <v>0</v>
      </c>
      <c r="L600" t="n">
        <v>0</v>
      </c>
      <c r="M600" t="n">
        <v>0</v>
      </c>
      <c r="N600" t="n">
        <v>0</v>
      </c>
      <c r="O600" t="n">
        <v>0</v>
      </c>
      <c r="P600" t="n">
        <v>0</v>
      </c>
      <c r="Q600" t="n">
        <v>0</v>
      </c>
      <c r="R600" s="2" t="inlineStr"/>
    </row>
    <row r="601" ht="15" customHeight="1">
      <c r="A601" t="inlineStr">
        <is>
          <t>A 44882-2019</t>
        </is>
      </c>
      <c r="B601" s="1" t="n">
        <v>43712</v>
      </c>
      <c r="C601" s="1" t="n">
        <v>45740</v>
      </c>
      <c r="D601" t="inlineStr">
        <is>
          <t>JÄMTLANDS LÄN</t>
        </is>
      </c>
      <c r="E601" t="inlineStr">
        <is>
          <t>STRÖMSUND</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44956-2019</t>
        </is>
      </c>
      <c r="B602" s="1" t="n">
        <v>43713</v>
      </c>
      <c r="C602" s="1" t="n">
        <v>45740</v>
      </c>
      <c r="D602" t="inlineStr">
        <is>
          <t>JÄMTLANDS LÄN</t>
        </is>
      </c>
      <c r="E602" t="inlineStr">
        <is>
          <t>STRÖMSUND</t>
        </is>
      </c>
      <c r="G602" t="n">
        <v>2.4</v>
      </c>
      <c r="H602" t="n">
        <v>0</v>
      </c>
      <c r="I602" t="n">
        <v>0</v>
      </c>
      <c r="J602" t="n">
        <v>0</v>
      </c>
      <c r="K602" t="n">
        <v>0</v>
      </c>
      <c r="L602" t="n">
        <v>0</v>
      </c>
      <c r="M602" t="n">
        <v>0</v>
      </c>
      <c r="N602" t="n">
        <v>0</v>
      </c>
      <c r="O602" t="n">
        <v>0</v>
      </c>
      <c r="P602" t="n">
        <v>0</v>
      </c>
      <c r="Q602" t="n">
        <v>0</v>
      </c>
      <c r="R602" s="2" t="inlineStr"/>
    </row>
    <row r="603" ht="15" customHeight="1">
      <c r="A603" t="inlineStr">
        <is>
          <t>A 45165-2019</t>
        </is>
      </c>
      <c r="B603" s="1" t="n">
        <v>43713</v>
      </c>
      <c r="C603" s="1" t="n">
        <v>45740</v>
      </c>
      <c r="D603" t="inlineStr">
        <is>
          <t>JÄMTLANDS LÄN</t>
        </is>
      </c>
      <c r="E603" t="inlineStr">
        <is>
          <t>STRÖMSUND</t>
        </is>
      </c>
      <c r="F603" t="inlineStr">
        <is>
          <t>Holmen skog AB</t>
        </is>
      </c>
      <c r="G603" t="n">
        <v>25.4</v>
      </c>
      <c r="H603" t="n">
        <v>0</v>
      </c>
      <c r="I603" t="n">
        <v>0</v>
      </c>
      <c r="J603" t="n">
        <v>0</v>
      </c>
      <c r="K603" t="n">
        <v>0</v>
      </c>
      <c r="L603" t="n">
        <v>0</v>
      </c>
      <c r="M603" t="n">
        <v>0</v>
      </c>
      <c r="N603" t="n">
        <v>0</v>
      </c>
      <c r="O603" t="n">
        <v>0</v>
      </c>
      <c r="P603" t="n">
        <v>0</v>
      </c>
      <c r="Q603" t="n">
        <v>0</v>
      </c>
      <c r="R603" s="2" t="inlineStr"/>
    </row>
    <row r="604" ht="15" customHeight="1">
      <c r="A604" t="inlineStr">
        <is>
          <t>A 45362-2019</t>
        </is>
      </c>
      <c r="B604" s="1" t="n">
        <v>43714</v>
      </c>
      <c r="C604" s="1" t="n">
        <v>45740</v>
      </c>
      <c r="D604" t="inlineStr">
        <is>
          <t>JÄMTLANDS LÄN</t>
        </is>
      </c>
      <c r="E604" t="inlineStr">
        <is>
          <t>STRÖMSUND</t>
        </is>
      </c>
      <c r="G604" t="n">
        <v>4.2</v>
      </c>
      <c r="H604" t="n">
        <v>0</v>
      </c>
      <c r="I604" t="n">
        <v>0</v>
      </c>
      <c r="J604" t="n">
        <v>0</v>
      </c>
      <c r="K604" t="n">
        <v>0</v>
      </c>
      <c r="L604" t="n">
        <v>0</v>
      </c>
      <c r="M604" t="n">
        <v>0</v>
      </c>
      <c r="N604" t="n">
        <v>0</v>
      </c>
      <c r="O604" t="n">
        <v>0</v>
      </c>
      <c r="P604" t="n">
        <v>0</v>
      </c>
      <c r="Q604" t="n">
        <v>0</v>
      </c>
      <c r="R604" s="2" t="inlineStr"/>
    </row>
    <row r="605" ht="15" customHeight="1">
      <c r="A605" t="inlineStr">
        <is>
          <t>A 45649-2019</t>
        </is>
      </c>
      <c r="B605" s="1" t="n">
        <v>43717</v>
      </c>
      <c r="C605" s="1" t="n">
        <v>45740</v>
      </c>
      <c r="D605" t="inlineStr">
        <is>
          <t>JÄMTLANDS LÄN</t>
        </is>
      </c>
      <c r="E605" t="inlineStr">
        <is>
          <t>STRÖMSUND</t>
        </is>
      </c>
      <c r="F605" t="inlineStr">
        <is>
          <t>Holmen skog AB</t>
        </is>
      </c>
      <c r="G605" t="n">
        <v>24.2</v>
      </c>
      <c r="H605" t="n">
        <v>0</v>
      </c>
      <c r="I605" t="n">
        <v>0</v>
      </c>
      <c r="J605" t="n">
        <v>0</v>
      </c>
      <c r="K605" t="n">
        <v>0</v>
      </c>
      <c r="L605" t="n">
        <v>0</v>
      </c>
      <c r="M605" t="n">
        <v>0</v>
      </c>
      <c r="N605" t="n">
        <v>0</v>
      </c>
      <c r="O605" t="n">
        <v>0</v>
      </c>
      <c r="P605" t="n">
        <v>0</v>
      </c>
      <c r="Q605" t="n">
        <v>0</v>
      </c>
      <c r="R605" s="2" t="inlineStr"/>
    </row>
    <row r="606" ht="15" customHeight="1">
      <c r="A606" t="inlineStr">
        <is>
          <t>A 45918-2019</t>
        </is>
      </c>
      <c r="B606" s="1" t="n">
        <v>43717</v>
      </c>
      <c r="C606" s="1" t="n">
        <v>45740</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45917-2019</t>
        </is>
      </c>
      <c r="B607" s="1" t="n">
        <v>43717</v>
      </c>
      <c r="C607" s="1" t="n">
        <v>45740</v>
      </c>
      <c r="D607" t="inlineStr">
        <is>
          <t>JÄMTLANDS LÄN</t>
        </is>
      </c>
      <c r="E607" t="inlineStr">
        <is>
          <t>STRÖMSUND</t>
        </is>
      </c>
      <c r="G607" t="n">
        <v>1.5</v>
      </c>
      <c r="H607" t="n">
        <v>0</v>
      </c>
      <c r="I607" t="n">
        <v>0</v>
      </c>
      <c r="J607" t="n">
        <v>0</v>
      </c>
      <c r="K607" t="n">
        <v>0</v>
      </c>
      <c r="L607" t="n">
        <v>0</v>
      </c>
      <c r="M607" t="n">
        <v>0</v>
      </c>
      <c r="N607" t="n">
        <v>0</v>
      </c>
      <c r="O607" t="n">
        <v>0</v>
      </c>
      <c r="P607" t="n">
        <v>0</v>
      </c>
      <c r="Q607" t="n">
        <v>0</v>
      </c>
      <c r="R607" s="2" t="inlineStr"/>
    </row>
    <row r="608" ht="15" customHeight="1">
      <c r="A608" t="inlineStr">
        <is>
          <t>A 45835-2019</t>
        </is>
      </c>
      <c r="B608" s="1" t="n">
        <v>43717</v>
      </c>
      <c r="C608" s="1" t="n">
        <v>45740</v>
      </c>
      <c r="D608" t="inlineStr">
        <is>
          <t>JÄMTLANDS LÄN</t>
        </is>
      </c>
      <c r="E608" t="inlineStr">
        <is>
          <t>STRÖMSUND</t>
        </is>
      </c>
      <c r="F608" t="inlineStr">
        <is>
          <t>Holmen skog AB</t>
        </is>
      </c>
      <c r="G608" t="n">
        <v>5.9</v>
      </c>
      <c r="H608" t="n">
        <v>0</v>
      </c>
      <c r="I608" t="n">
        <v>0</v>
      </c>
      <c r="J608" t="n">
        <v>0</v>
      </c>
      <c r="K608" t="n">
        <v>0</v>
      </c>
      <c r="L608" t="n">
        <v>0</v>
      </c>
      <c r="M608" t="n">
        <v>0</v>
      </c>
      <c r="N608" t="n">
        <v>0</v>
      </c>
      <c r="O608" t="n">
        <v>0</v>
      </c>
      <c r="P608" t="n">
        <v>0</v>
      </c>
      <c r="Q608" t="n">
        <v>0</v>
      </c>
      <c r="R608" s="2" t="inlineStr"/>
    </row>
    <row r="609" ht="15" customHeight="1">
      <c r="A609" t="inlineStr">
        <is>
          <t>A 45963-2019</t>
        </is>
      </c>
      <c r="B609" s="1" t="n">
        <v>43718</v>
      </c>
      <c r="C609" s="1" t="n">
        <v>45740</v>
      </c>
      <c r="D609" t="inlineStr">
        <is>
          <t>JÄMTLANDS LÄN</t>
        </is>
      </c>
      <c r="E609" t="inlineStr">
        <is>
          <t>STRÖMSUND</t>
        </is>
      </c>
      <c r="F609" t="inlineStr">
        <is>
          <t>Holmen skog AB</t>
        </is>
      </c>
      <c r="G609" t="n">
        <v>11.8</v>
      </c>
      <c r="H609" t="n">
        <v>0</v>
      </c>
      <c r="I609" t="n">
        <v>0</v>
      </c>
      <c r="J609" t="n">
        <v>0</v>
      </c>
      <c r="K609" t="n">
        <v>0</v>
      </c>
      <c r="L609" t="n">
        <v>0</v>
      </c>
      <c r="M609" t="n">
        <v>0</v>
      </c>
      <c r="N609" t="n">
        <v>0</v>
      </c>
      <c r="O609" t="n">
        <v>0</v>
      </c>
      <c r="P609" t="n">
        <v>0</v>
      </c>
      <c r="Q609" t="n">
        <v>0</v>
      </c>
      <c r="R609" s="2" t="inlineStr"/>
    </row>
    <row r="610" ht="15" customHeight="1">
      <c r="A610" t="inlineStr">
        <is>
          <t>A 47082-2019</t>
        </is>
      </c>
      <c r="B610" s="1" t="n">
        <v>43720</v>
      </c>
      <c r="C610" s="1" t="n">
        <v>45740</v>
      </c>
      <c r="D610" t="inlineStr">
        <is>
          <t>JÄMTLANDS LÄN</t>
        </is>
      </c>
      <c r="E610" t="inlineStr">
        <is>
          <t>STRÖMSUND</t>
        </is>
      </c>
      <c r="F610" t="inlineStr">
        <is>
          <t>SCA</t>
        </is>
      </c>
      <c r="G610" t="n">
        <v>11.6</v>
      </c>
      <c r="H610" t="n">
        <v>0</v>
      </c>
      <c r="I610" t="n">
        <v>0</v>
      </c>
      <c r="J610" t="n">
        <v>0</v>
      </c>
      <c r="K610" t="n">
        <v>0</v>
      </c>
      <c r="L610" t="n">
        <v>0</v>
      </c>
      <c r="M610" t="n">
        <v>0</v>
      </c>
      <c r="N610" t="n">
        <v>0</v>
      </c>
      <c r="O610" t="n">
        <v>0</v>
      </c>
      <c r="P610" t="n">
        <v>0</v>
      </c>
      <c r="Q610" t="n">
        <v>0</v>
      </c>
      <c r="R610" s="2" t="inlineStr"/>
    </row>
    <row r="611" ht="15" customHeight="1">
      <c r="A611" t="inlineStr">
        <is>
          <t>A 47410-2019</t>
        </is>
      </c>
      <c r="B611" s="1" t="n">
        <v>43723</v>
      </c>
      <c r="C611" s="1" t="n">
        <v>45740</v>
      </c>
      <c r="D611" t="inlineStr">
        <is>
          <t>JÄMTLANDS LÄN</t>
        </is>
      </c>
      <c r="E611" t="inlineStr">
        <is>
          <t>STRÖMSUND</t>
        </is>
      </c>
      <c r="G611" t="n">
        <v>5.4</v>
      </c>
      <c r="H611" t="n">
        <v>0</v>
      </c>
      <c r="I611" t="n">
        <v>0</v>
      </c>
      <c r="J611" t="n">
        <v>0</v>
      </c>
      <c r="K611" t="n">
        <v>0</v>
      </c>
      <c r="L611" t="n">
        <v>0</v>
      </c>
      <c r="M611" t="n">
        <v>0</v>
      </c>
      <c r="N611" t="n">
        <v>0</v>
      </c>
      <c r="O611" t="n">
        <v>0</v>
      </c>
      <c r="P611" t="n">
        <v>0</v>
      </c>
      <c r="Q611" t="n">
        <v>0</v>
      </c>
      <c r="R611" s="2" t="inlineStr"/>
    </row>
    <row r="612" ht="15" customHeight="1">
      <c r="A612" t="inlineStr">
        <is>
          <t>A 47531-2019</t>
        </is>
      </c>
      <c r="B612" s="1" t="n">
        <v>43724</v>
      </c>
      <c r="C612" s="1" t="n">
        <v>45740</v>
      </c>
      <c r="D612" t="inlineStr">
        <is>
          <t>JÄMTLANDS LÄN</t>
        </is>
      </c>
      <c r="E612" t="inlineStr">
        <is>
          <t>STRÖMSUND</t>
        </is>
      </c>
      <c r="G612" t="n">
        <v>30.4</v>
      </c>
      <c r="H612" t="n">
        <v>0</v>
      </c>
      <c r="I612" t="n">
        <v>0</v>
      </c>
      <c r="J612" t="n">
        <v>0</v>
      </c>
      <c r="K612" t="n">
        <v>0</v>
      </c>
      <c r="L612" t="n">
        <v>0</v>
      </c>
      <c r="M612" t="n">
        <v>0</v>
      </c>
      <c r="N612" t="n">
        <v>0</v>
      </c>
      <c r="O612" t="n">
        <v>0</v>
      </c>
      <c r="P612" t="n">
        <v>0</v>
      </c>
      <c r="Q612" t="n">
        <v>0</v>
      </c>
      <c r="R612" s="2" t="inlineStr"/>
    </row>
    <row r="613" ht="15" customHeight="1">
      <c r="A613" t="inlineStr">
        <is>
          <t>A 47811-2019</t>
        </is>
      </c>
      <c r="B613" s="1" t="n">
        <v>43724</v>
      </c>
      <c r="C613" s="1" t="n">
        <v>45740</v>
      </c>
      <c r="D613" t="inlineStr">
        <is>
          <t>JÄMTLANDS LÄN</t>
        </is>
      </c>
      <c r="E613" t="inlineStr">
        <is>
          <t>STRÖMSUND</t>
        </is>
      </c>
      <c r="F613" t="inlineStr">
        <is>
          <t>SCA</t>
        </is>
      </c>
      <c r="G613" t="n">
        <v>14.6</v>
      </c>
      <c r="H613" t="n">
        <v>0</v>
      </c>
      <c r="I613" t="n">
        <v>0</v>
      </c>
      <c r="J613" t="n">
        <v>0</v>
      </c>
      <c r="K613" t="n">
        <v>0</v>
      </c>
      <c r="L613" t="n">
        <v>0</v>
      </c>
      <c r="M613" t="n">
        <v>0</v>
      </c>
      <c r="N613" t="n">
        <v>0</v>
      </c>
      <c r="O613" t="n">
        <v>0</v>
      </c>
      <c r="P613" t="n">
        <v>0</v>
      </c>
      <c r="Q613" t="n">
        <v>0</v>
      </c>
      <c r="R613" s="2" t="inlineStr"/>
    </row>
    <row r="614" ht="15" customHeight="1">
      <c r="A614" t="inlineStr">
        <is>
          <t>A 48052-2019</t>
        </is>
      </c>
      <c r="B614" s="1" t="n">
        <v>43725</v>
      </c>
      <c r="C614" s="1" t="n">
        <v>45740</v>
      </c>
      <c r="D614" t="inlineStr">
        <is>
          <t>JÄMTLANDS LÄN</t>
        </is>
      </c>
      <c r="E614" t="inlineStr">
        <is>
          <t>STRÖMSUND</t>
        </is>
      </c>
      <c r="G614" t="n">
        <v>4.8</v>
      </c>
      <c r="H614" t="n">
        <v>0</v>
      </c>
      <c r="I614" t="n">
        <v>0</v>
      </c>
      <c r="J614" t="n">
        <v>0</v>
      </c>
      <c r="K614" t="n">
        <v>0</v>
      </c>
      <c r="L614" t="n">
        <v>0</v>
      </c>
      <c r="M614" t="n">
        <v>0</v>
      </c>
      <c r="N614" t="n">
        <v>0</v>
      </c>
      <c r="O614" t="n">
        <v>0</v>
      </c>
      <c r="P614" t="n">
        <v>0</v>
      </c>
      <c r="Q614" t="n">
        <v>0</v>
      </c>
      <c r="R614" s="2" t="inlineStr"/>
    </row>
    <row r="615" ht="15" customHeight="1">
      <c r="A615" t="inlineStr">
        <is>
          <t>A 48578-2019</t>
        </is>
      </c>
      <c r="B615" s="1" t="n">
        <v>43727</v>
      </c>
      <c r="C615" s="1" t="n">
        <v>45740</v>
      </c>
      <c r="D615" t="inlineStr">
        <is>
          <t>JÄMTLANDS LÄN</t>
        </is>
      </c>
      <c r="E615" t="inlineStr">
        <is>
          <t>STRÖMSUND</t>
        </is>
      </c>
      <c r="G615" t="n">
        <v>20.8</v>
      </c>
      <c r="H615" t="n">
        <v>0</v>
      </c>
      <c r="I615" t="n">
        <v>0</v>
      </c>
      <c r="J615" t="n">
        <v>0</v>
      </c>
      <c r="K615" t="n">
        <v>0</v>
      </c>
      <c r="L615" t="n">
        <v>0</v>
      </c>
      <c r="M615" t="n">
        <v>0</v>
      </c>
      <c r="N615" t="n">
        <v>0</v>
      </c>
      <c r="O615" t="n">
        <v>0</v>
      </c>
      <c r="P615" t="n">
        <v>0</v>
      </c>
      <c r="Q615" t="n">
        <v>0</v>
      </c>
      <c r="R615" s="2" t="inlineStr"/>
    </row>
    <row r="616" ht="15" customHeight="1">
      <c r="A616" t="inlineStr">
        <is>
          <t>A 48565-2019</t>
        </is>
      </c>
      <c r="B616" s="1" t="n">
        <v>43727</v>
      </c>
      <c r="C616" s="1" t="n">
        <v>45740</v>
      </c>
      <c r="D616" t="inlineStr">
        <is>
          <t>JÄMTLANDS LÄN</t>
        </is>
      </c>
      <c r="E616" t="inlineStr">
        <is>
          <t>STRÖMSUND</t>
        </is>
      </c>
      <c r="G616" t="n">
        <v>2.8</v>
      </c>
      <c r="H616" t="n">
        <v>0</v>
      </c>
      <c r="I616" t="n">
        <v>0</v>
      </c>
      <c r="J616" t="n">
        <v>0</v>
      </c>
      <c r="K616" t="n">
        <v>0</v>
      </c>
      <c r="L616" t="n">
        <v>0</v>
      </c>
      <c r="M616" t="n">
        <v>0</v>
      </c>
      <c r="N616" t="n">
        <v>0</v>
      </c>
      <c r="O616" t="n">
        <v>0</v>
      </c>
      <c r="P616" t="n">
        <v>0</v>
      </c>
      <c r="Q616" t="n">
        <v>0</v>
      </c>
      <c r="R616" s="2" t="inlineStr"/>
    </row>
    <row r="617" ht="15" customHeight="1">
      <c r="A617" t="inlineStr">
        <is>
          <t>A 48620-2019</t>
        </is>
      </c>
      <c r="B617" s="1" t="n">
        <v>43727</v>
      </c>
      <c r="C617" s="1" t="n">
        <v>45740</v>
      </c>
      <c r="D617" t="inlineStr">
        <is>
          <t>JÄMTLANDS LÄN</t>
        </is>
      </c>
      <c r="E617" t="inlineStr">
        <is>
          <t>STRÖMSUND</t>
        </is>
      </c>
      <c r="G617" t="n">
        <v>2.4</v>
      </c>
      <c r="H617" t="n">
        <v>0</v>
      </c>
      <c r="I617" t="n">
        <v>0</v>
      </c>
      <c r="J617" t="n">
        <v>0</v>
      </c>
      <c r="K617" t="n">
        <v>0</v>
      </c>
      <c r="L617" t="n">
        <v>0</v>
      </c>
      <c r="M617" t="n">
        <v>0</v>
      </c>
      <c r="N617" t="n">
        <v>0</v>
      </c>
      <c r="O617" t="n">
        <v>0</v>
      </c>
      <c r="P617" t="n">
        <v>0</v>
      </c>
      <c r="Q617" t="n">
        <v>0</v>
      </c>
      <c r="R617" s="2" t="inlineStr"/>
    </row>
    <row r="618" ht="15" customHeight="1">
      <c r="A618" t="inlineStr">
        <is>
          <t>A 48573-2019</t>
        </is>
      </c>
      <c r="B618" s="1" t="n">
        <v>43727</v>
      </c>
      <c r="C618" s="1" t="n">
        <v>45740</v>
      </c>
      <c r="D618" t="inlineStr">
        <is>
          <t>JÄMTLANDS LÄN</t>
        </is>
      </c>
      <c r="E618" t="inlineStr">
        <is>
          <t>STRÖMSUND</t>
        </is>
      </c>
      <c r="G618" t="n">
        <v>7.5</v>
      </c>
      <c r="H618" t="n">
        <v>0</v>
      </c>
      <c r="I618" t="n">
        <v>0</v>
      </c>
      <c r="J618" t="n">
        <v>0</v>
      </c>
      <c r="K618" t="n">
        <v>0</v>
      </c>
      <c r="L618" t="n">
        <v>0</v>
      </c>
      <c r="M618" t="n">
        <v>0</v>
      </c>
      <c r="N618" t="n">
        <v>0</v>
      </c>
      <c r="O618" t="n">
        <v>0</v>
      </c>
      <c r="P618" t="n">
        <v>0</v>
      </c>
      <c r="Q618" t="n">
        <v>0</v>
      </c>
      <c r="R618" s="2" t="inlineStr"/>
    </row>
    <row r="619" ht="15" customHeight="1">
      <c r="A619" t="inlineStr">
        <is>
          <t>A 48951-2019</t>
        </is>
      </c>
      <c r="B619" s="1" t="n">
        <v>43728</v>
      </c>
      <c r="C619" s="1" t="n">
        <v>45740</v>
      </c>
      <c r="D619" t="inlineStr">
        <is>
          <t>JÄMTLANDS LÄN</t>
        </is>
      </c>
      <c r="E619" t="inlineStr">
        <is>
          <t>STRÖMSUND</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48965-2019</t>
        </is>
      </c>
      <c r="B620" s="1" t="n">
        <v>43728</v>
      </c>
      <c r="C620" s="1" t="n">
        <v>45740</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49291-2019</t>
        </is>
      </c>
      <c r="B621" s="1" t="n">
        <v>43731</v>
      </c>
      <c r="C621" s="1" t="n">
        <v>45740</v>
      </c>
      <c r="D621" t="inlineStr">
        <is>
          <t>JÄMTLANDS LÄN</t>
        </is>
      </c>
      <c r="E621" t="inlineStr">
        <is>
          <t>STRÖMSUND</t>
        </is>
      </c>
      <c r="G621" t="n">
        <v>20.7</v>
      </c>
      <c r="H621" t="n">
        <v>0</v>
      </c>
      <c r="I621" t="n">
        <v>0</v>
      </c>
      <c r="J621" t="n">
        <v>0</v>
      </c>
      <c r="K621" t="n">
        <v>0</v>
      </c>
      <c r="L621" t="n">
        <v>0</v>
      </c>
      <c r="M621" t="n">
        <v>0</v>
      </c>
      <c r="N621" t="n">
        <v>0</v>
      </c>
      <c r="O621" t="n">
        <v>0</v>
      </c>
      <c r="P621" t="n">
        <v>0</v>
      </c>
      <c r="Q621" t="n">
        <v>0</v>
      </c>
      <c r="R621" s="2" t="inlineStr"/>
    </row>
    <row r="622" ht="15" customHeight="1">
      <c r="A622" t="inlineStr">
        <is>
          <t>A 49316-2019</t>
        </is>
      </c>
      <c r="B622" s="1" t="n">
        <v>43731</v>
      </c>
      <c r="C622" s="1" t="n">
        <v>45740</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50001-2019</t>
        </is>
      </c>
      <c r="B623" s="1" t="n">
        <v>43733</v>
      </c>
      <c r="C623" s="1" t="n">
        <v>45740</v>
      </c>
      <c r="D623" t="inlineStr">
        <is>
          <t>JÄMTLANDS LÄN</t>
        </is>
      </c>
      <c r="E623" t="inlineStr">
        <is>
          <t>STRÖMSUND</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50305-2019</t>
        </is>
      </c>
      <c r="B624" s="1" t="n">
        <v>43734</v>
      </c>
      <c r="C624" s="1" t="n">
        <v>45740</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50302-2019</t>
        </is>
      </c>
      <c r="B625" s="1" t="n">
        <v>43734</v>
      </c>
      <c r="C625" s="1" t="n">
        <v>45740</v>
      </c>
      <c r="D625" t="inlineStr">
        <is>
          <t>JÄMTLANDS LÄN</t>
        </is>
      </c>
      <c r="E625" t="inlineStr">
        <is>
          <t>STRÖMSUND</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51008-2019</t>
        </is>
      </c>
      <c r="B626" s="1" t="n">
        <v>43738</v>
      </c>
      <c r="C626" s="1" t="n">
        <v>45740</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51183-2019</t>
        </is>
      </c>
      <c r="B627" s="1" t="n">
        <v>43739</v>
      </c>
      <c r="C627" s="1" t="n">
        <v>45740</v>
      </c>
      <c r="D627" t="inlineStr">
        <is>
          <t>JÄMTLANDS LÄN</t>
        </is>
      </c>
      <c r="E627" t="inlineStr">
        <is>
          <t>STRÖMSUND</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51015-2019</t>
        </is>
      </c>
      <c r="B628" s="1" t="n">
        <v>43739</v>
      </c>
      <c r="C628" s="1" t="n">
        <v>45740</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51951-2019</t>
        </is>
      </c>
      <c r="B629" s="1" t="n">
        <v>43741</v>
      </c>
      <c r="C629" s="1" t="n">
        <v>45740</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52258-2019</t>
        </is>
      </c>
      <c r="B630" s="1" t="n">
        <v>43742</v>
      </c>
      <c r="C630" s="1" t="n">
        <v>45740</v>
      </c>
      <c r="D630" t="inlineStr">
        <is>
          <t>JÄMTLANDS LÄN</t>
        </is>
      </c>
      <c r="E630" t="inlineStr">
        <is>
          <t>STRÖMSUND</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52384-2019</t>
        </is>
      </c>
      <c r="B631" s="1" t="n">
        <v>43745</v>
      </c>
      <c r="C631" s="1" t="n">
        <v>45740</v>
      </c>
      <c r="D631" t="inlineStr">
        <is>
          <t>JÄMTLANDS LÄN</t>
        </is>
      </c>
      <c r="E631" t="inlineStr">
        <is>
          <t>STRÖMSUND</t>
        </is>
      </c>
      <c r="G631" t="n">
        <v>3.7</v>
      </c>
      <c r="H631" t="n">
        <v>0</v>
      </c>
      <c r="I631" t="n">
        <v>0</v>
      </c>
      <c r="J631" t="n">
        <v>0</v>
      </c>
      <c r="K631" t="n">
        <v>0</v>
      </c>
      <c r="L631" t="n">
        <v>0</v>
      </c>
      <c r="M631" t="n">
        <v>0</v>
      </c>
      <c r="N631" t="n">
        <v>0</v>
      </c>
      <c r="O631" t="n">
        <v>0</v>
      </c>
      <c r="P631" t="n">
        <v>0</v>
      </c>
      <c r="Q631" t="n">
        <v>0</v>
      </c>
      <c r="R631" s="2" t="inlineStr"/>
    </row>
    <row r="632" ht="15" customHeight="1">
      <c r="A632" t="inlineStr">
        <is>
          <t>A 53874-2019</t>
        </is>
      </c>
      <c r="B632" s="1" t="n">
        <v>43745</v>
      </c>
      <c r="C632" s="1" t="n">
        <v>45740</v>
      </c>
      <c r="D632" t="inlineStr">
        <is>
          <t>JÄMTLANDS LÄN</t>
        </is>
      </c>
      <c r="E632" t="inlineStr">
        <is>
          <t>STRÖMSUND</t>
        </is>
      </c>
      <c r="G632" t="n">
        <v>10.1</v>
      </c>
      <c r="H632" t="n">
        <v>0</v>
      </c>
      <c r="I632" t="n">
        <v>0</v>
      </c>
      <c r="J632" t="n">
        <v>0</v>
      </c>
      <c r="K632" t="n">
        <v>0</v>
      </c>
      <c r="L632" t="n">
        <v>0</v>
      </c>
      <c r="M632" t="n">
        <v>0</v>
      </c>
      <c r="N632" t="n">
        <v>0</v>
      </c>
      <c r="O632" t="n">
        <v>0</v>
      </c>
      <c r="P632" t="n">
        <v>0</v>
      </c>
      <c r="Q632" t="n">
        <v>0</v>
      </c>
      <c r="R632" s="2" t="inlineStr"/>
    </row>
    <row r="633" ht="15" customHeight="1">
      <c r="A633" t="inlineStr">
        <is>
          <t>A 53886-2019</t>
        </is>
      </c>
      <c r="B633" s="1" t="n">
        <v>43745</v>
      </c>
      <c r="C633" s="1" t="n">
        <v>45740</v>
      </c>
      <c r="D633" t="inlineStr">
        <is>
          <t>JÄMTLANDS LÄN</t>
        </is>
      </c>
      <c r="E633" t="inlineStr">
        <is>
          <t>STRÖMSUND</t>
        </is>
      </c>
      <c r="G633" t="n">
        <v>15.2</v>
      </c>
      <c r="H633" t="n">
        <v>0</v>
      </c>
      <c r="I633" t="n">
        <v>0</v>
      </c>
      <c r="J633" t="n">
        <v>0</v>
      </c>
      <c r="K633" t="n">
        <v>0</v>
      </c>
      <c r="L633" t="n">
        <v>0</v>
      </c>
      <c r="M633" t="n">
        <v>0</v>
      </c>
      <c r="N633" t="n">
        <v>0</v>
      </c>
      <c r="O633" t="n">
        <v>0</v>
      </c>
      <c r="P633" t="n">
        <v>0</v>
      </c>
      <c r="Q633" t="n">
        <v>0</v>
      </c>
      <c r="R633" s="2" t="inlineStr"/>
    </row>
    <row r="634" ht="15" customHeight="1">
      <c r="A634" t="inlineStr">
        <is>
          <t>A 53483-2019</t>
        </is>
      </c>
      <c r="B634" s="1" t="n">
        <v>43748</v>
      </c>
      <c r="C634" s="1" t="n">
        <v>45740</v>
      </c>
      <c r="D634" t="inlineStr">
        <is>
          <t>JÄMTLANDS LÄN</t>
        </is>
      </c>
      <c r="E634" t="inlineStr">
        <is>
          <t>STRÖMSUND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54235-2019</t>
        </is>
      </c>
      <c r="B635" s="1" t="n">
        <v>43748</v>
      </c>
      <c r="C635" s="1" t="n">
        <v>45740</v>
      </c>
      <c r="D635" t="inlineStr">
        <is>
          <t>JÄMTLANDS LÄN</t>
        </is>
      </c>
      <c r="E635" t="inlineStr">
        <is>
          <t>STRÖMSUND</t>
        </is>
      </c>
      <c r="G635" t="n">
        <v>0.9</v>
      </c>
      <c r="H635" t="n">
        <v>0</v>
      </c>
      <c r="I635" t="n">
        <v>0</v>
      </c>
      <c r="J635" t="n">
        <v>0</v>
      </c>
      <c r="K635" t="n">
        <v>0</v>
      </c>
      <c r="L635" t="n">
        <v>0</v>
      </c>
      <c r="M635" t="n">
        <v>0</v>
      </c>
      <c r="N635" t="n">
        <v>0</v>
      </c>
      <c r="O635" t="n">
        <v>0</v>
      </c>
      <c r="P635" t="n">
        <v>0</v>
      </c>
      <c r="Q635" t="n">
        <v>0</v>
      </c>
      <c r="R635" s="2" t="inlineStr"/>
    </row>
    <row r="636" ht="15" customHeight="1">
      <c r="A636" t="inlineStr">
        <is>
          <t>A 57227-2019</t>
        </is>
      </c>
      <c r="B636" s="1" t="n">
        <v>43748</v>
      </c>
      <c r="C636" s="1" t="n">
        <v>45740</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53898-2019</t>
        </is>
      </c>
      <c r="B637" s="1" t="n">
        <v>43748</v>
      </c>
      <c r="C637" s="1" t="n">
        <v>45740</v>
      </c>
      <c r="D637" t="inlineStr">
        <is>
          <t>JÄMTLANDS LÄN</t>
        </is>
      </c>
      <c r="E637" t="inlineStr">
        <is>
          <t>STRÖMSUND</t>
        </is>
      </c>
      <c r="G637" t="n">
        <v>4.2</v>
      </c>
      <c r="H637" t="n">
        <v>0</v>
      </c>
      <c r="I637" t="n">
        <v>0</v>
      </c>
      <c r="J637" t="n">
        <v>0</v>
      </c>
      <c r="K637" t="n">
        <v>0</v>
      </c>
      <c r="L637" t="n">
        <v>0</v>
      </c>
      <c r="M637" t="n">
        <v>0</v>
      </c>
      <c r="N637" t="n">
        <v>0</v>
      </c>
      <c r="O637" t="n">
        <v>0</v>
      </c>
      <c r="P637" t="n">
        <v>0</v>
      </c>
      <c r="Q637" t="n">
        <v>0</v>
      </c>
      <c r="R637" s="2" t="inlineStr"/>
    </row>
    <row r="638" ht="15" customHeight="1">
      <c r="A638" t="inlineStr">
        <is>
          <t>A 53482-2019</t>
        </is>
      </c>
      <c r="B638" s="1" t="n">
        <v>43748</v>
      </c>
      <c r="C638" s="1" t="n">
        <v>45740</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53895-2019</t>
        </is>
      </c>
      <c r="B639" s="1" t="n">
        <v>43748</v>
      </c>
      <c r="C639" s="1" t="n">
        <v>45740</v>
      </c>
      <c r="D639" t="inlineStr">
        <is>
          <t>JÄMTLANDS LÄN</t>
        </is>
      </c>
      <c r="E639" t="inlineStr">
        <is>
          <t>STRÖMSUND</t>
        </is>
      </c>
      <c r="G639" t="n">
        <v>2.8</v>
      </c>
      <c r="H639" t="n">
        <v>0</v>
      </c>
      <c r="I639" t="n">
        <v>0</v>
      </c>
      <c r="J639" t="n">
        <v>0</v>
      </c>
      <c r="K639" t="n">
        <v>0</v>
      </c>
      <c r="L639" t="n">
        <v>0</v>
      </c>
      <c r="M639" t="n">
        <v>0</v>
      </c>
      <c r="N639" t="n">
        <v>0</v>
      </c>
      <c r="O639" t="n">
        <v>0</v>
      </c>
      <c r="P639" t="n">
        <v>0</v>
      </c>
      <c r="Q639" t="n">
        <v>0</v>
      </c>
      <c r="R639" s="2" t="inlineStr"/>
    </row>
    <row r="640" ht="15" customHeight="1">
      <c r="A640" t="inlineStr">
        <is>
          <t>A 54672-2019</t>
        </is>
      </c>
      <c r="B640" s="1" t="n">
        <v>43754</v>
      </c>
      <c r="C640" s="1" t="n">
        <v>45740</v>
      </c>
      <c r="D640" t="inlineStr">
        <is>
          <t>JÄMTLANDS LÄN</t>
        </is>
      </c>
      <c r="E640" t="inlineStr">
        <is>
          <t>STRÖMSUND</t>
        </is>
      </c>
      <c r="F640" t="inlineStr">
        <is>
          <t>SCA</t>
        </is>
      </c>
      <c r="G640" t="n">
        <v>15.7</v>
      </c>
      <c r="H640" t="n">
        <v>0</v>
      </c>
      <c r="I640" t="n">
        <v>0</v>
      </c>
      <c r="J640" t="n">
        <v>0</v>
      </c>
      <c r="K640" t="n">
        <v>0</v>
      </c>
      <c r="L640" t="n">
        <v>0</v>
      </c>
      <c r="M640" t="n">
        <v>0</v>
      </c>
      <c r="N640" t="n">
        <v>0</v>
      </c>
      <c r="O640" t="n">
        <v>0</v>
      </c>
      <c r="P640" t="n">
        <v>0</v>
      </c>
      <c r="Q640" t="n">
        <v>0</v>
      </c>
      <c r="R640" s="2" t="inlineStr"/>
    </row>
    <row r="641" ht="15" customHeight="1">
      <c r="A641" t="inlineStr">
        <is>
          <t>A 55028-2019</t>
        </is>
      </c>
      <c r="B641" s="1" t="n">
        <v>43755</v>
      </c>
      <c r="C641" s="1" t="n">
        <v>45740</v>
      </c>
      <c r="D641" t="inlineStr">
        <is>
          <t>JÄMTLANDS LÄN</t>
        </is>
      </c>
      <c r="E641" t="inlineStr">
        <is>
          <t>STRÖMSUND</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56155-2019</t>
        </is>
      </c>
      <c r="B642" s="1" t="n">
        <v>43756</v>
      </c>
      <c r="C642" s="1" t="n">
        <v>45740</v>
      </c>
      <c r="D642" t="inlineStr">
        <is>
          <t>JÄMTLANDS LÄN</t>
        </is>
      </c>
      <c r="E642" t="inlineStr">
        <is>
          <t>STRÖMSUND</t>
        </is>
      </c>
      <c r="G642" t="n">
        <v>4.7</v>
      </c>
      <c r="H642" t="n">
        <v>0</v>
      </c>
      <c r="I642" t="n">
        <v>0</v>
      </c>
      <c r="J642" t="n">
        <v>0</v>
      </c>
      <c r="K642" t="n">
        <v>0</v>
      </c>
      <c r="L642" t="n">
        <v>0</v>
      </c>
      <c r="M642" t="n">
        <v>0</v>
      </c>
      <c r="N642" t="n">
        <v>0</v>
      </c>
      <c r="O642" t="n">
        <v>0</v>
      </c>
      <c r="P642" t="n">
        <v>0</v>
      </c>
      <c r="Q642" t="n">
        <v>0</v>
      </c>
      <c r="R642" s="2" t="inlineStr"/>
    </row>
    <row r="643" ht="15" customHeight="1">
      <c r="A643" t="inlineStr">
        <is>
          <t>A 23225-2020</t>
        </is>
      </c>
      <c r="B643" s="1" t="n">
        <v>43756</v>
      </c>
      <c r="C643" s="1" t="n">
        <v>45740</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55663-2019</t>
        </is>
      </c>
      <c r="B644" s="1" t="n">
        <v>43760</v>
      </c>
      <c r="C644" s="1" t="n">
        <v>45740</v>
      </c>
      <c r="D644" t="inlineStr">
        <is>
          <t>JÄMTLANDS LÄN</t>
        </is>
      </c>
      <c r="E644" t="inlineStr">
        <is>
          <t>STRÖMSUND</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55675-2019</t>
        </is>
      </c>
      <c r="B645" s="1" t="n">
        <v>43760</v>
      </c>
      <c r="C645" s="1" t="n">
        <v>45740</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55728-2019</t>
        </is>
      </c>
      <c r="B646" s="1" t="n">
        <v>43760</v>
      </c>
      <c r="C646" s="1" t="n">
        <v>45740</v>
      </c>
      <c r="D646" t="inlineStr">
        <is>
          <t>JÄMTLANDS LÄN</t>
        </is>
      </c>
      <c r="E646" t="inlineStr">
        <is>
          <t>STRÖMSUND</t>
        </is>
      </c>
      <c r="G646" t="n">
        <v>0.6</v>
      </c>
      <c r="H646" t="n">
        <v>0</v>
      </c>
      <c r="I646" t="n">
        <v>0</v>
      </c>
      <c r="J646" t="n">
        <v>0</v>
      </c>
      <c r="K646" t="n">
        <v>0</v>
      </c>
      <c r="L646" t="n">
        <v>0</v>
      </c>
      <c r="M646" t="n">
        <v>0</v>
      </c>
      <c r="N646" t="n">
        <v>0</v>
      </c>
      <c r="O646" t="n">
        <v>0</v>
      </c>
      <c r="P646" t="n">
        <v>0</v>
      </c>
      <c r="Q646" t="n">
        <v>0</v>
      </c>
      <c r="R646" s="2" t="inlineStr"/>
    </row>
    <row r="647" ht="15" customHeight="1">
      <c r="A647" t="inlineStr">
        <is>
          <t>A 55725-2019</t>
        </is>
      </c>
      <c r="B647" s="1" t="n">
        <v>43760</v>
      </c>
      <c r="C647" s="1" t="n">
        <v>45740</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56798-2019</t>
        </is>
      </c>
      <c r="B648" s="1" t="n">
        <v>43763</v>
      </c>
      <c r="C648" s="1" t="n">
        <v>45740</v>
      </c>
      <c r="D648" t="inlineStr">
        <is>
          <t>JÄMTLANDS LÄN</t>
        </is>
      </c>
      <c r="E648" t="inlineStr">
        <is>
          <t>STRÖMSUND</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56797-2019</t>
        </is>
      </c>
      <c r="B649" s="1" t="n">
        <v>43763</v>
      </c>
      <c r="C649" s="1" t="n">
        <v>45740</v>
      </c>
      <c r="D649" t="inlineStr">
        <is>
          <t>JÄMTLANDS LÄN</t>
        </is>
      </c>
      <c r="E649" t="inlineStr">
        <is>
          <t>STRÖMSUND</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56801-2019</t>
        </is>
      </c>
      <c r="B650" s="1" t="n">
        <v>43763</v>
      </c>
      <c r="C650" s="1" t="n">
        <v>45740</v>
      </c>
      <c r="D650" t="inlineStr">
        <is>
          <t>JÄMTLANDS LÄN</t>
        </is>
      </c>
      <c r="E650" t="inlineStr">
        <is>
          <t>STRÖMSUND</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56800-2019</t>
        </is>
      </c>
      <c r="B651" s="1" t="n">
        <v>43763</v>
      </c>
      <c r="C651" s="1" t="n">
        <v>45740</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56799-2019</t>
        </is>
      </c>
      <c r="B652" s="1" t="n">
        <v>43763</v>
      </c>
      <c r="C652" s="1" t="n">
        <v>45740</v>
      </c>
      <c r="D652" t="inlineStr">
        <is>
          <t>JÄMTLANDS LÄN</t>
        </is>
      </c>
      <c r="E652" t="inlineStr">
        <is>
          <t>STRÖMSUND</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56692-2019</t>
        </is>
      </c>
      <c r="B653" s="1" t="n">
        <v>43763</v>
      </c>
      <c r="C653" s="1" t="n">
        <v>45740</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56808-2019</t>
        </is>
      </c>
      <c r="B654" s="1" t="n">
        <v>43763</v>
      </c>
      <c r="C654" s="1" t="n">
        <v>45740</v>
      </c>
      <c r="D654" t="inlineStr">
        <is>
          <t>JÄMTLANDS LÄN</t>
        </is>
      </c>
      <c r="E654" t="inlineStr">
        <is>
          <t>STRÖMSUND</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56809-2019</t>
        </is>
      </c>
      <c r="B655" s="1" t="n">
        <v>43763</v>
      </c>
      <c r="C655" s="1" t="n">
        <v>45740</v>
      </c>
      <c r="D655" t="inlineStr">
        <is>
          <t>JÄMTLANDS LÄN</t>
        </is>
      </c>
      <c r="E655" t="inlineStr">
        <is>
          <t>STRÖMSUND</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57546-2019</t>
        </is>
      </c>
      <c r="B656" s="1" t="n">
        <v>43767</v>
      </c>
      <c r="C656" s="1" t="n">
        <v>45740</v>
      </c>
      <c r="D656" t="inlineStr">
        <is>
          <t>JÄMTLANDS LÄN</t>
        </is>
      </c>
      <c r="E656" t="inlineStr">
        <is>
          <t>STRÖMSUND</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58662-2019</t>
        </is>
      </c>
      <c r="B657" s="1" t="n">
        <v>43767</v>
      </c>
      <c r="C657" s="1" t="n">
        <v>45740</v>
      </c>
      <c r="D657" t="inlineStr">
        <is>
          <t>JÄMTLANDS LÄN</t>
        </is>
      </c>
      <c r="E657" t="inlineStr">
        <is>
          <t>STRÖMSUND</t>
        </is>
      </c>
      <c r="G657" t="n">
        <v>18.4</v>
      </c>
      <c r="H657" t="n">
        <v>0</v>
      </c>
      <c r="I657" t="n">
        <v>0</v>
      </c>
      <c r="J657" t="n">
        <v>0</v>
      </c>
      <c r="K657" t="n">
        <v>0</v>
      </c>
      <c r="L657" t="n">
        <v>0</v>
      </c>
      <c r="M657" t="n">
        <v>0</v>
      </c>
      <c r="N657" t="n">
        <v>0</v>
      </c>
      <c r="O657" t="n">
        <v>0</v>
      </c>
      <c r="P657" t="n">
        <v>0</v>
      </c>
      <c r="Q657" t="n">
        <v>0</v>
      </c>
      <c r="R657" s="2" t="inlineStr"/>
    </row>
    <row r="658" ht="15" customHeight="1">
      <c r="A658" t="inlineStr">
        <is>
          <t>A 57547-2019</t>
        </is>
      </c>
      <c r="B658" s="1" t="n">
        <v>43767</v>
      </c>
      <c r="C658" s="1" t="n">
        <v>45740</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57552-2019</t>
        </is>
      </c>
      <c r="B659" s="1" t="n">
        <v>43767</v>
      </c>
      <c r="C659" s="1" t="n">
        <v>45740</v>
      </c>
      <c r="D659" t="inlineStr">
        <is>
          <t>JÄMTLANDS LÄN</t>
        </is>
      </c>
      <c r="E659" t="inlineStr">
        <is>
          <t>STRÖMSUND</t>
        </is>
      </c>
      <c r="G659" t="n">
        <v>1.4</v>
      </c>
      <c r="H659" t="n">
        <v>0</v>
      </c>
      <c r="I659" t="n">
        <v>0</v>
      </c>
      <c r="J659" t="n">
        <v>0</v>
      </c>
      <c r="K659" t="n">
        <v>0</v>
      </c>
      <c r="L659" t="n">
        <v>0</v>
      </c>
      <c r="M659" t="n">
        <v>0</v>
      </c>
      <c r="N659" t="n">
        <v>0</v>
      </c>
      <c r="O659" t="n">
        <v>0</v>
      </c>
      <c r="P659" t="n">
        <v>0</v>
      </c>
      <c r="Q659" t="n">
        <v>0</v>
      </c>
      <c r="R659" s="2" t="inlineStr"/>
    </row>
    <row r="660" ht="15" customHeight="1">
      <c r="A660" t="inlineStr">
        <is>
          <t>A 57873-2019</t>
        </is>
      </c>
      <c r="B660" s="1" t="n">
        <v>43768</v>
      </c>
      <c r="C660" s="1" t="n">
        <v>45740</v>
      </c>
      <c r="D660" t="inlineStr">
        <is>
          <t>JÄMTLANDS LÄN</t>
        </is>
      </c>
      <c r="E660" t="inlineStr">
        <is>
          <t>STRÖMSUND</t>
        </is>
      </c>
      <c r="G660" t="n">
        <v>2.5</v>
      </c>
      <c r="H660" t="n">
        <v>0</v>
      </c>
      <c r="I660" t="n">
        <v>0</v>
      </c>
      <c r="J660" t="n">
        <v>0</v>
      </c>
      <c r="K660" t="n">
        <v>0</v>
      </c>
      <c r="L660" t="n">
        <v>0</v>
      </c>
      <c r="M660" t="n">
        <v>0</v>
      </c>
      <c r="N660" t="n">
        <v>0</v>
      </c>
      <c r="O660" t="n">
        <v>0</v>
      </c>
      <c r="P660" t="n">
        <v>0</v>
      </c>
      <c r="Q660" t="n">
        <v>0</v>
      </c>
      <c r="R660" s="2" t="inlineStr"/>
    </row>
    <row r="661" ht="15" customHeight="1">
      <c r="A661" t="inlineStr">
        <is>
          <t>A 57872-2019</t>
        </is>
      </c>
      <c r="B661" s="1" t="n">
        <v>43768</v>
      </c>
      <c r="C661" s="1" t="n">
        <v>45740</v>
      </c>
      <c r="D661" t="inlineStr">
        <is>
          <t>JÄMTLANDS LÄN</t>
        </is>
      </c>
      <c r="E661" t="inlineStr">
        <is>
          <t>STRÖMSUND</t>
        </is>
      </c>
      <c r="G661" t="n">
        <v>47.2</v>
      </c>
      <c r="H661" t="n">
        <v>0</v>
      </c>
      <c r="I661" t="n">
        <v>0</v>
      </c>
      <c r="J661" t="n">
        <v>0</v>
      </c>
      <c r="K661" t="n">
        <v>0</v>
      </c>
      <c r="L661" t="n">
        <v>0</v>
      </c>
      <c r="M661" t="n">
        <v>0</v>
      </c>
      <c r="N661" t="n">
        <v>0</v>
      </c>
      <c r="O661" t="n">
        <v>0</v>
      </c>
      <c r="P661" t="n">
        <v>0</v>
      </c>
      <c r="Q661" t="n">
        <v>0</v>
      </c>
      <c r="R661" s="2" t="inlineStr"/>
    </row>
    <row r="662" ht="15" customHeight="1">
      <c r="A662" t="inlineStr">
        <is>
          <t>A 58844-2019</t>
        </is>
      </c>
      <c r="B662" s="1" t="n">
        <v>43768</v>
      </c>
      <c r="C662" s="1" t="n">
        <v>45740</v>
      </c>
      <c r="D662" t="inlineStr">
        <is>
          <t>JÄMTLANDS LÄN</t>
        </is>
      </c>
      <c r="E662" t="inlineStr">
        <is>
          <t>STRÖMSUND</t>
        </is>
      </c>
      <c r="G662" t="n">
        <v>4.8</v>
      </c>
      <c r="H662" t="n">
        <v>0</v>
      </c>
      <c r="I662" t="n">
        <v>0</v>
      </c>
      <c r="J662" t="n">
        <v>0</v>
      </c>
      <c r="K662" t="n">
        <v>0</v>
      </c>
      <c r="L662" t="n">
        <v>0</v>
      </c>
      <c r="M662" t="n">
        <v>0</v>
      </c>
      <c r="N662" t="n">
        <v>0</v>
      </c>
      <c r="O662" t="n">
        <v>0</v>
      </c>
      <c r="P662" t="n">
        <v>0</v>
      </c>
      <c r="Q662" t="n">
        <v>0</v>
      </c>
      <c r="R662" s="2" t="inlineStr"/>
    </row>
    <row r="663" ht="15" customHeight="1">
      <c r="A663" t="inlineStr">
        <is>
          <t>A 58172-2019</t>
        </is>
      </c>
      <c r="B663" s="1" t="n">
        <v>43769</v>
      </c>
      <c r="C663" s="1" t="n">
        <v>45740</v>
      </c>
      <c r="D663" t="inlineStr">
        <is>
          <t>JÄMTLANDS LÄN</t>
        </is>
      </c>
      <c r="E663" t="inlineStr">
        <is>
          <t>STRÖMSUND</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59543-2019</t>
        </is>
      </c>
      <c r="B664" s="1" t="n">
        <v>43773</v>
      </c>
      <c r="C664" s="1" t="n">
        <v>45740</v>
      </c>
      <c r="D664" t="inlineStr">
        <is>
          <t>JÄMTLANDS LÄN</t>
        </is>
      </c>
      <c r="E664" t="inlineStr">
        <is>
          <t>STRÖMSUND</t>
        </is>
      </c>
      <c r="G664" t="n">
        <v>6.3</v>
      </c>
      <c r="H664" t="n">
        <v>0</v>
      </c>
      <c r="I664" t="n">
        <v>0</v>
      </c>
      <c r="J664" t="n">
        <v>0</v>
      </c>
      <c r="K664" t="n">
        <v>0</v>
      </c>
      <c r="L664" t="n">
        <v>0</v>
      </c>
      <c r="M664" t="n">
        <v>0</v>
      </c>
      <c r="N664" t="n">
        <v>0</v>
      </c>
      <c r="O664" t="n">
        <v>0</v>
      </c>
      <c r="P664" t="n">
        <v>0</v>
      </c>
      <c r="Q664" t="n">
        <v>0</v>
      </c>
      <c r="R664" s="2" t="inlineStr"/>
    </row>
    <row r="665" ht="15" customHeight="1">
      <c r="A665" t="inlineStr">
        <is>
          <t>A 59425-2019</t>
        </is>
      </c>
      <c r="B665" s="1" t="n">
        <v>43775</v>
      </c>
      <c r="C665" s="1" t="n">
        <v>45740</v>
      </c>
      <c r="D665" t="inlineStr">
        <is>
          <t>JÄMTLANDS LÄN</t>
        </is>
      </c>
      <c r="E665" t="inlineStr">
        <is>
          <t>STRÖMSUND</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59456-2019</t>
        </is>
      </c>
      <c r="B666" s="1" t="n">
        <v>43776</v>
      </c>
      <c r="C666" s="1" t="n">
        <v>45740</v>
      </c>
      <c r="D666" t="inlineStr">
        <is>
          <t>JÄMTLANDS LÄN</t>
        </is>
      </c>
      <c r="E666" t="inlineStr">
        <is>
          <t>STRÖMSUND</t>
        </is>
      </c>
      <c r="G666" t="n">
        <v>2.1</v>
      </c>
      <c r="H666" t="n">
        <v>0</v>
      </c>
      <c r="I666" t="n">
        <v>0</v>
      </c>
      <c r="J666" t="n">
        <v>0</v>
      </c>
      <c r="K666" t="n">
        <v>0</v>
      </c>
      <c r="L666" t="n">
        <v>0</v>
      </c>
      <c r="M666" t="n">
        <v>0</v>
      </c>
      <c r="N666" t="n">
        <v>0</v>
      </c>
      <c r="O666" t="n">
        <v>0</v>
      </c>
      <c r="P666" t="n">
        <v>0</v>
      </c>
      <c r="Q666" t="n">
        <v>0</v>
      </c>
      <c r="R666" s="2" t="inlineStr"/>
    </row>
    <row r="667" ht="15" customHeight="1">
      <c r="A667" t="inlineStr">
        <is>
          <t>A 61411-2019</t>
        </is>
      </c>
      <c r="B667" s="1" t="n">
        <v>43780</v>
      </c>
      <c r="C667" s="1" t="n">
        <v>45740</v>
      </c>
      <c r="D667" t="inlineStr">
        <is>
          <t>JÄMTLANDS LÄN</t>
        </is>
      </c>
      <c r="E667" t="inlineStr">
        <is>
          <t>STRÖMSUND</t>
        </is>
      </c>
      <c r="G667" t="n">
        <v>2.3</v>
      </c>
      <c r="H667" t="n">
        <v>0</v>
      </c>
      <c r="I667" t="n">
        <v>0</v>
      </c>
      <c r="J667" t="n">
        <v>0</v>
      </c>
      <c r="K667" t="n">
        <v>0</v>
      </c>
      <c r="L667" t="n">
        <v>0</v>
      </c>
      <c r="M667" t="n">
        <v>0</v>
      </c>
      <c r="N667" t="n">
        <v>0</v>
      </c>
      <c r="O667" t="n">
        <v>0</v>
      </c>
      <c r="P667" t="n">
        <v>0</v>
      </c>
      <c r="Q667" t="n">
        <v>0</v>
      </c>
      <c r="R667" s="2" t="inlineStr"/>
    </row>
    <row r="668" ht="15" customHeight="1">
      <c r="A668" t="inlineStr">
        <is>
          <t>A 61703-2019</t>
        </is>
      </c>
      <c r="B668" s="1" t="n">
        <v>43780</v>
      </c>
      <c r="C668" s="1" t="n">
        <v>45740</v>
      </c>
      <c r="D668" t="inlineStr">
        <is>
          <t>JÄMTLANDS LÄN</t>
        </is>
      </c>
      <c r="E668" t="inlineStr">
        <is>
          <t>STRÖMSUND</t>
        </is>
      </c>
      <c r="G668" t="n">
        <v>4</v>
      </c>
      <c r="H668" t="n">
        <v>0</v>
      </c>
      <c r="I668" t="n">
        <v>0</v>
      </c>
      <c r="J668" t="n">
        <v>0</v>
      </c>
      <c r="K668" t="n">
        <v>0</v>
      </c>
      <c r="L668" t="n">
        <v>0</v>
      </c>
      <c r="M668" t="n">
        <v>0</v>
      </c>
      <c r="N668" t="n">
        <v>0</v>
      </c>
      <c r="O668" t="n">
        <v>0</v>
      </c>
      <c r="P668" t="n">
        <v>0</v>
      </c>
      <c r="Q668" t="n">
        <v>0</v>
      </c>
      <c r="R668" s="2" t="inlineStr"/>
    </row>
    <row r="669" ht="15" customHeight="1">
      <c r="A669" t="inlineStr">
        <is>
          <t>A 61705-2019</t>
        </is>
      </c>
      <c r="B669" s="1" t="n">
        <v>43780</v>
      </c>
      <c r="C669" s="1" t="n">
        <v>45740</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60569-2019</t>
        </is>
      </c>
      <c r="B670" s="1" t="n">
        <v>43781</v>
      </c>
      <c r="C670" s="1" t="n">
        <v>45740</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60536-2019</t>
        </is>
      </c>
      <c r="B671" s="1" t="n">
        <v>43781</v>
      </c>
      <c r="C671" s="1" t="n">
        <v>45740</v>
      </c>
      <c r="D671" t="inlineStr">
        <is>
          <t>JÄMTLANDS LÄN</t>
        </is>
      </c>
      <c r="E671" t="inlineStr">
        <is>
          <t>STRÖMSUND</t>
        </is>
      </c>
      <c r="G671" t="n">
        <v>0.2</v>
      </c>
      <c r="H671" t="n">
        <v>0</v>
      </c>
      <c r="I671" t="n">
        <v>0</v>
      </c>
      <c r="J671" t="n">
        <v>0</v>
      </c>
      <c r="K671" t="n">
        <v>0</v>
      </c>
      <c r="L671" t="n">
        <v>0</v>
      </c>
      <c r="M671" t="n">
        <v>0</v>
      </c>
      <c r="N671" t="n">
        <v>0</v>
      </c>
      <c r="O671" t="n">
        <v>0</v>
      </c>
      <c r="P671" t="n">
        <v>0</v>
      </c>
      <c r="Q671" t="n">
        <v>0</v>
      </c>
      <c r="R671" s="2" t="inlineStr"/>
    </row>
    <row r="672" ht="15" customHeight="1">
      <c r="A672" t="inlineStr">
        <is>
          <t>A 61122-2019</t>
        </is>
      </c>
      <c r="B672" s="1" t="n">
        <v>43782</v>
      </c>
      <c r="C672" s="1" t="n">
        <v>45740</v>
      </c>
      <c r="D672" t="inlineStr">
        <is>
          <t>JÄMTLANDS LÄN</t>
        </is>
      </c>
      <c r="E672" t="inlineStr">
        <is>
          <t>STRÖMSUND</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62256-2019</t>
        </is>
      </c>
      <c r="B673" s="1" t="n">
        <v>43782</v>
      </c>
      <c r="C673" s="1" t="n">
        <v>45740</v>
      </c>
      <c r="D673" t="inlineStr">
        <is>
          <t>JÄMTLANDS LÄN</t>
        </is>
      </c>
      <c r="E673" t="inlineStr">
        <is>
          <t>STRÖMSUND</t>
        </is>
      </c>
      <c r="G673" t="n">
        <v>1.6</v>
      </c>
      <c r="H673" t="n">
        <v>0</v>
      </c>
      <c r="I673" t="n">
        <v>0</v>
      </c>
      <c r="J673" t="n">
        <v>0</v>
      </c>
      <c r="K673" t="n">
        <v>0</v>
      </c>
      <c r="L673" t="n">
        <v>0</v>
      </c>
      <c r="M673" t="n">
        <v>0</v>
      </c>
      <c r="N673" t="n">
        <v>0</v>
      </c>
      <c r="O673" t="n">
        <v>0</v>
      </c>
      <c r="P673" t="n">
        <v>0</v>
      </c>
      <c r="Q673" t="n">
        <v>0</v>
      </c>
      <c r="R673" s="2" t="inlineStr"/>
    </row>
    <row r="674" ht="15" customHeight="1">
      <c r="A674" t="inlineStr">
        <is>
          <t>A 60955-2019</t>
        </is>
      </c>
      <c r="B674" s="1" t="n">
        <v>43782</v>
      </c>
      <c r="C674" s="1" t="n">
        <v>45740</v>
      </c>
      <c r="D674" t="inlineStr">
        <is>
          <t>JÄMTLANDS LÄN</t>
        </is>
      </c>
      <c r="E674" t="inlineStr">
        <is>
          <t>STRÖMSUND</t>
        </is>
      </c>
      <c r="F674" t="inlineStr">
        <is>
          <t>Holmen skog AB</t>
        </is>
      </c>
      <c r="G674" t="n">
        <v>6.6</v>
      </c>
      <c r="H674" t="n">
        <v>0</v>
      </c>
      <c r="I674" t="n">
        <v>0</v>
      </c>
      <c r="J674" t="n">
        <v>0</v>
      </c>
      <c r="K674" t="n">
        <v>0</v>
      </c>
      <c r="L674" t="n">
        <v>0</v>
      </c>
      <c r="M674" t="n">
        <v>0</v>
      </c>
      <c r="N674" t="n">
        <v>0</v>
      </c>
      <c r="O674" t="n">
        <v>0</v>
      </c>
      <c r="P674" t="n">
        <v>0</v>
      </c>
      <c r="Q674" t="n">
        <v>0</v>
      </c>
      <c r="R674" s="2" t="inlineStr"/>
    </row>
    <row r="675" ht="15" customHeight="1">
      <c r="A675" t="inlineStr">
        <is>
          <t>A 61690-2019</t>
        </is>
      </c>
      <c r="B675" s="1" t="n">
        <v>43784</v>
      </c>
      <c r="C675" s="1" t="n">
        <v>45740</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61778-2019</t>
        </is>
      </c>
      <c r="B676" s="1" t="n">
        <v>43784</v>
      </c>
      <c r="C676" s="1" t="n">
        <v>45740</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61833-2019</t>
        </is>
      </c>
      <c r="B677" s="1" t="n">
        <v>43786</v>
      </c>
      <c r="C677" s="1" t="n">
        <v>45740</v>
      </c>
      <c r="D677" t="inlineStr">
        <is>
          <t>JÄMTLANDS LÄN</t>
        </is>
      </c>
      <c r="E677" t="inlineStr">
        <is>
          <t>STRÖMSUND</t>
        </is>
      </c>
      <c r="G677" t="n">
        <v>11.5</v>
      </c>
      <c r="H677" t="n">
        <v>0</v>
      </c>
      <c r="I677" t="n">
        <v>0</v>
      </c>
      <c r="J677" t="n">
        <v>0</v>
      </c>
      <c r="K677" t="n">
        <v>0</v>
      </c>
      <c r="L677" t="n">
        <v>0</v>
      </c>
      <c r="M677" t="n">
        <v>0</v>
      </c>
      <c r="N677" t="n">
        <v>0</v>
      </c>
      <c r="O677" t="n">
        <v>0</v>
      </c>
      <c r="P677" t="n">
        <v>0</v>
      </c>
      <c r="Q677" t="n">
        <v>0</v>
      </c>
      <c r="R677" s="2" t="inlineStr"/>
    </row>
    <row r="678" ht="15" customHeight="1">
      <c r="A678" t="inlineStr">
        <is>
          <t>A 61838-2019</t>
        </is>
      </c>
      <c r="B678" s="1" t="n">
        <v>43786</v>
      </c>
      <c r="C678" s="1" t="n">
        <v>45740</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61830-2019</t>
        </is>
      </c>
      <c r="B679" s="1" t="n">
        <v>43786</v>
      </c>
      <c r="C679" s="1" t="n">
        <v>45740</v>
      </c>
      <c r="D679" t="inlineStr">
        <is>
          <t>JÄMTLANDS LÄN</t>
        </is>
      </c>
      <c r="E679" t="inlineStr">
        <is>
          <t>STRÖMSUND</t>
        </is>
      </c>
      <c r="G679" t="n">
        <v>8</v>
      </c>
      <c r="H679" t="n">
        <v>0</v>
      </c>
      <c r="I679" t="n">
        <v>0</v>
      </c>
      <c r="J679" t="n">
        <v>0</v>
      </c>
      <c r="K679" t="n">
        <v>0</v>
      </c>
      <c r="L679" t="n">
        <v>0</v>
      </c>
      <c r="M679" t="n">
        <v>0</v>
      </c>
      <c r="N679" t="n">
        <v>0</v>
      </c>
      <c r="O679" t="n">
        <v>0</v>
      </c>
      <c r="P679" t="n">
        <v>0</v>
      </c>
      <c r="Q679" t="n">
        <v>0</v>
      </c>
      <c r="R679" s="2" t="inlineStr"/>
    </row>
    <row r="680" ht="15" customHeight="1">
      <c r="A680" t="inlineStr">
        <is>
          <t>A 61835-2019</t>
        </is>
      </c>
      <c r="B680" s="1" t="n">
        <v>43786</v>
      </c>
      <c r="C680" s="1" t="n">
        <v>45740</v>
      </c>
      <c r="D680" t="inlineStr">
        <is>
          <t>JÄMTLANDS LÄN</t>
        </is>
      </c>
      <c r="E680" t="inlineStr">
        <is>
          <t>STRÖMSUND</t>
        </is>
      </c>
      <c r="G680" t="n">
        <v>6</v>
      </c>
      <c r="H680" t="n">
        <v>0</v>
      </c>
      <c r="I680" t="n">
        <v>0</v>
      </c>
      <c r="J680" t="n">
        <v>0</v>
      </c>
      <c r="K680" t="n">
        <v>0</v>
      </c>
      <c r="L680" t="n">
        <v>0</v>
      </c>
      <c r="M680" t="n">
        <v>0</v>
      </c>
      <c r="N680" t="n">
        <v>0</v>
      </c>
      <c r="O680" t="n">
        <v>0</v>
      </c>
      <c r="P680" t="n">
        <v>0</v>
      </c>
      <c r="Q680" t="n">
        <v>0</v>
      </c>
      <c r="R680" s="2" t="inlineStr"/>
    </row>
    <row r="681" ht="15" customHeight="1">
      <c r="A681" t="inlineStr">
        <is>
          <t>A 61829-2019</t>
        </is>
      </c>
      <c r="B681" s="1" t="n">
        <v>43786</v>
      </c>
      <c r="C681" s="1" t="n">
        <v>45740</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61834-2019</t>
        </is>
      </c>
      <c r="B682" s="1" t="n">
        <v>43786</v>
      </c>
      <c r="C682" s="1" t="n">
        <v>45740</v>
      </c>
      <c r="D682" t="inlineStr">
        <is>
          <t>JÄMTLANDS LÄN</t>
        </is>
      </c>
      <c r="E682" t="inlineStr">
        <is>
          <t>STRÖMSUND</t>
        </is>
      </c>
      <c r="G682" t="n">
        <v>6.7</v>
      </c>
      <c r="H682" t="n">
        <v>0</v>
      </c>
      <c r="I682" t="n">
        <v>0</v>
      </c>
      <c r="J682" t="n">
        <v>0</v>
      </c>
      <c r="K682" t="n">
        <v>0</v>
      </c>
      <c r="L682" t="n">
        <v>0</v>
      </c>
      <c r="M682" t="n">
        <v>0</v>
      </c>
      <c r="N682" t="n">
        <v>0</v>
      </c>
      <c r="O682" t="n">
        <v>0</v>
      </c>
      <c r="P682" t="n">
        <v>0</v>
      </c>
      <c r="Q682" t="n">
        <v>0</v>
      </c>
      <c r="R682" s="2" t="inlineStr"/>
    </row>
    <row r="683" ht="15" customHeight="1">
      <c r="A683" t="inlineStr">
        <is>
          <t>A 61836-2019</t>
        </is>
      </c>
      <c r="B683" s="1" t="n">
        <v>43786</v>
      </c>
      <c r="C683" s="1" t="n">
        <v>45740</v>
      </c>
      <c r="D683" t="inlineStr">
        <is>
          <t>JÄMTLANDS LÄN</t>
        </is>
      </c>
      <c r="E683" t="inlineStr">
        <is>
          <t>STRÖMSUND</t>
        </is>
      </c>
      <c r="G683" t="n">
        <v>3.1</v>
      </c>
      <c r="H683" t="n">
        <v>0</v>
      </c>
      <c r="I683" t="n">
        <v>0</v>
      </c>
      <c r="J683" t="n">
        <v>0</v>
      </c>
      <c r="K683" t="n">
        <v>0</v>
      </c>
      <c r="L683" t="n">
        <v>0</v>
      </c>
      <c r="M683" t="n">
        <v>0</v>
      </c>
      <c r="N683" t="n">
        <v>0</v>
      </c>
      <c r="O683" t="n">
        <v>0</v>
      </c>
      <c r="P683" t="n">
        <v>0</v>
      </c>
      <c r="Q683" t="n">
        <v>0</v>
      </c>
      <c r="R683" s="2" t="inlineStr"/>
    </row>
    <row r="684" ht="15" customHeight="1">
      <c r="A684" t="inlineStr">
        <is>
          <t>A 61832-2019</t>
        </is>
      </c>
      <c r="B684" s="1" t="n">
        <v>43786</v>
      </c>
      <c r="C684" s="1" t="n">
        <v>45740</v>
      </c>
      <c r="D684" t="inlineStr">
        <is>
          <t>JÄMTLANDS LÄN</t>
        </is>
      </c>
      <c r="E684" t="inlineStr">
        <is>
          <t>STRÖMSUND</t>
        </is>
      </c>
      <c r="G684" t="n">
        <v>19.9</v>
      </c>
      <c r="H684" t="n">
        <v>0</v>
      </c>
      <c r="I684" t="n">
        <v>0</v>
      </c>
      <c r="J684" t="n">
        <v>0</v>
      </c>
      <c r="K684" t="n">
        <v>0</v>
      </c>
      <c r="L684" t="n">
        <v>0</v>
      </c>
      <c r="M684" t="n">
        <v>0</v>
      </c>
      <c r="N684" t="n">
        <v>0</v>
      </c>
      <c r="O684" t="n">
        <v>0</v>
      </c>
      <c r="P684" t="n">
        <v>0</v>
      </c>
      <c r="Q684" t="n">
        <v>0</v>
      </c>
      <c r="R684" s="2" t="inlineStr"/>
    </row>
    <row r="685" ht="15" customHeight="1">
      <c r="A685" t="inlineStr">
        <is>
          <t>A 62492-2019</t>
        </is>
      </c>
      <c r="B685" s="1" t="n">
        <v>43788</v>
      </c>
      <c r="C685" s="1" t="n">
        <v>45740</v>
      </c>
      <c r="D685" t="inlineStr">
        <is>
          <t>JÄMTLANDS LÄN</t>
        </is>
      </c>
      <c r="E685" t="inlineStr">
        <is>
          <t>STRÖMSUND</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63715-2019</t>
        </is>
      </c>
      <c r="B686" s="1" t="n">
        <v>43789</v>
      </c>
      <c r="C686" s="1" t="n">
        <v>45740</v>
      </c>
      <c r="D686" t="inlineStr">
        <is>
          <t>JÄMTLANDS LÄN</t>
        </is>
      </c>
      <c r="E686" t="inlineStr">
        <is>
          <t>STRÖMSUND</t>
        </is>
      </c>
      <c r="G686" t="n">
        <v>5.8</v>
      </c>
      <c r="H686" t="n">
        <v>0</v>
      </c>
      <c r="I686" t="n">
        <v>0</v>
      </c>
      <c r="J686" t="n">
        <v>0</v>
      </c>
      <c r="K686" t="n">
        <v>0</v>
      </c>
      <c r="L686" t="n">
        <v>0</v>
      </c>
      <c r="M686" t="n">
        <v>0</v>
      </c>
      <c r="N686" t="n">
        <v>0</v>
      </c>
      <c r="O686" t="n">
        <v>0</v>
      </c>
      <c r="P686" t="n">
        <v>0</v>
      </c>
      <c r="Q686" t="n">
        <v>0</v>
      </c>
      <c r="R686" s="2" t="inlineStr"/>
    </row>
    <row r="687" ht="15" customHeight="1">
      <c r="A687" t="inlineStr">
        <is>
          <t>A 62511-2019</t>
        </is>
      </c>
      <c r="B687" s="1" t="n">
        <v>43789</v>
      </c>
      <c r="C687" s="1" t="n">
        <v>45740</v>
      </c>
      <c r="D687" t="inlineStr">
        <is>
          <t>JÄMTLANDS LÄN</t>
        </is>
      </c>
      <c r="E687" t="inlineStr">
        <is>
          <t>STRÖMSUND</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63927-2019</t>
        </is>
      </c>
      <c r="B688" s="1" t="n">
        <v>43790</v>
      </c>
      <c r="C688" s="1" t="n">
        <v>45740</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63918-2019</t>
        </is>
      </c>
      <c r="B689" s="1" t="n">
        <v>43790</v>
      </c>
      <c r="C689" s="1" t="n">
        <v>45740</v>
      </c>
      <c r="D689" t="inlineStr">
        <is>
          <t>JÄMTLANDS LÄN</t>
        </is>
      </c>
      <c r="E689" t="inlineStr">
        <is>
          <t>STRÖMSUND</t>
        </is>
      </c>
      <c r="G689" t="n">
        <v>1.5</v>
      </c>
      <c r="H689" t="n">
        <v>0</v>
      </c>
      <c r="I689" t="n">
        <v>0</v>
      </c>
      <c r="J689" t="n">
        <v>0</v>
      </c>
      <c r="K689" t="n">
        <v>0</v>
      </c>
      <c r="L689" t="n">
        <v>0</v>
      </c>
      <c r="M689" t="n">
        <v>0</v>
      </c>
      <c r="N689" t="n">
        <v>0</v>
      </c>
      <c r="O689" t="n">
        <v>0</v>
      </c>
      <c r="P689" t="n">
        <v>0</v>
      </c>
      <c r="Q689" t="n">
        <v>0</v>
      </c>
      <c r="R689" s="2" t="inlineStr"/>
    </row>
    <row r="690" ht="15" customHeight="1">
      <c r="A690" t="inlineStr">
        <is>
          <t>A 63429-2019</t>
        </is>
      </c>
      <c r="B690" s="1" t="n">
        <v>43794</v>
      </c>
      <c r="C690" s="1" t="n">
        <v>45740</v>
      </c>
      <c r="D690" t="inlineStr">
        <is>
          <t>JÄMTLANDS LÄN</t>
        </is>
      </c>
      <c r="E690" t="inlineStr">
        <is>
          <t>STRÖMSUND</t>
        </is>
      </c>
      <c r="G690" t="n">
        <v>11</v>
      </c>
      <c r="H690" t="n">
        <v>0</v>
      </c>
      <c r="I690" t="n">
        <v>0</v>
      </c>
      <c r="J690" t="n">
        <v>0</v>
      </c>
      <c r="K690" t="n">
        <v>0</v>
      </c>
      <c r="L690" t="n">
        <v>0</v>
      </c>
      <c r="M690" t="n">
        <v>0</v>
      </c>
      <c r="N690" t="n">
        <v>0</v>
      </c>
      <c r="O690" t="n">
        <v>0</v>
      </c>
      <c r="P690" t="n">
        <v>0</v>
      </c>
      <c r="Q690" t="n">
        <v>0</v>
      </c>
      <c r="R690" s="2" t="inlineStr"/>
    </row>
    <row r="691" ht="15" customHeight="1">
      <c r="A691" t="inlineStr">
        <is>
          <t>A 63443-2019</t>
        </is>
      </c>
      <c r="B691" s="1" t="n">
        <v>43794</v>
      </c>
      <c r="C691" s="1" t="n">
        <v>45740</v>
      </c>
      <c r="D691" t="inlineStr">
        <is>
          <t>JÄMTLANDS LÄN</t>
        </is>
      </c>
      <c r="E691" t="inlineStr">
        <is>
          <t>STRÖMSUND</t>
        </is>
      </c>
      <c r="G691" t="n">
        <v>13.8</v>
      </c>
      <c r="H691" t="n">
        <v>0</v>
      </c>
      <c r="I691" t="n">
        <v>0</v>
      </c>
      <c r="J691" t="n">
        <v>0</v>
      </c>
      <c r="K691" t="n">
        <v>0</v>
      </c>
      <c r="L691" t="n">
        <v>0</v>
      </c>
      <c r="M691" t="n">
        <v>0</v>
      </c>
      <c r="N691" t="n">
        <v>0</v>
      </c>
      <c r="O691" t="n">
        <v>0</v>
      </c>
      <c r="P691" t="n">
        <v>0</v>
      </c>
      <c r="Q691" t="n">
        <v>0</v>
      </c>
      <c r="R691" s="2" t="inlineStr"/>
    </row>
    <row r="692" ht="15" customHeight="1">
      <c r="A692" t="inlineStr">
        <is>
          <t>A 63426-2019</t>
        </is>
      </c>
      <c r="B692" s="1" t="n">
        <v>43794</v>
      </c>
      <c r="C692" s="1" t="n">
        <v>45740</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63444-2019</t>
        </is>
      </c>
      <c r="B693" s="1" t="n">
        <v>43794</v>
      </c>
      <c r="C693" s="1" t="n">
        <v>45740</v>
      </c>
      <c r="D693" t="inlineStr">
        <is>
          <t>JÄMTLANDS LÄN</t>
        </is>
      </c>
      <c r="E693" t="inlineStr">
        <is>
          <t>STRÖMSUND</t>
        </is>
      </c>
      <c r="G693" t="n">
        <v>5.6</v>
      </c>
      <c r="H693" t="n">
        <v>0</v>
      </c>
      <c r="I693" t="n">
        <v>0</v>
      </c>
      <c r="J693" t="n">
        <v>0</v>
      </c>
      <c r="K693" t="n">
        <v>0</v>
      </c>
      <c r="L693" t="n">
        <v>0</v>
      </c>
      <c r="M693" t="n">
        <v>0</v>
      </c>
      <c r="N693" t="n">
        <v>0</v>
      </c>
      <c r="O693" t="n">
        <v>0</v>
      </c>
      <c r="P693" t="n">
        <v>0</v>
      </c>
      <c r="Q693" t="n">
        <v>0</v>
      </c>
      <c r="R693" s="2" t="inlineStr"/>
    </row>
    <row r="694" ht="15" customHeight="1">
      <c r="A694" t="inlineStr">
        <is>
          <t>A 64138-2019</t>
        </is>
      </c>
      <c r="B694" s="1" t="n">
        <v>43796</v>
      </c>
      <c r="C694" s="1" t="n">
        <v>45740</v>
      </c>
      <c r="D694" t="inlineStr">
        <is>
          <t>JÄMTLANDS LÄN</t>
        </is>
      </c>
      <c r="E694" t="inlineStr">
        <is>
          <t>STRÖMSUND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64463-2019</t>
        </is>
      </c>
      <c r="B695" s="1" t="n">
        <v>43797</v>
      </c>
      <c r="C695" s="1" t="n">
        <v>45740</v>
      </c>
      <c r="D695" t="inlineStr">
        <is>
          <t>JÄMTLANDS LÄN</t>
        </is>
      </c>
      <c r="E695" t="inlineStr">
        <is>
          <t>STRÖMSUND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65415-2019</t>
        </is>
      </c>
      <c r="B696" s="1" t="n">
        <v>43797</v>
      </c>
      <c r="C696" s="1" t="n">
        <v>45740</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65390-2019</t>
        </is>
      </c>
      <c r="B697" s="1" t="n">
        <v>43797</v>
      </c>
      <c r="C697" s="1" t="n">
        <v>45740</v>
      </c>
      <c r="D697" t="inlineStr">
        <is>
          <t>JÄMTLANDS LÄN</t>
        </is>
      </c>
      <c r="E697" t="inlineStr">
        <is>
          <t>STRÖMSUND</t>
        </is>
      </c>
      <c r="G697" t="n">
        <v>0.9</v>
      </c>
      <c r="H697" t="n">
        <v>0</v>
      </c>
      <c r="I697" t="n">
        <v>0</v>
      </c>
      <c r="J697" t="n">
        <v>0</v>
      </c>
      <c r="K697" t="n">
        <v>0</v>
      </c>
      <c r="L697" t="n">
        <v>0</v>
      </c>
      <c r="M697" t="n">
        <v>0</v>
      </c>
      <c r="N697" t="n">
        <v>0</v>
      </c>
      <c r="O697" t="n">
        <v>0</v>
      </c>
      <c r="P697" t="n">
        <v>0</v>
      </c>
      <c r="Q697" t="n">
        <v>0</v>
      </c>
      <c r="R697" s="2" t="inlineStr"/>
    </row>
    <row r="698" ht="15" customHeight="1">
      <c r="A698" t="inlineStr">
        <is>
          <t>A 66574-2019</t>
        </is>
      </c>
      <c r="B698" s="1" t="n">
        <v>43803</v>
      </c>
      <c r="C698" s="1" t="n">
        <v>45740</v>
      </c>
      <c r="D698" t="inlineStr">
        <is>
          <t>JÄMTLANDS LÄN</t>
        </is>
      </c>
      <c r="E698" t="inlineStr">
        <is>
          <t>STRÖMSUND</t>
        </is>
      </c>
      <c r="G698" t="n">
        <v>0.7</v>
      </c>
      <c r="H698" t="n">
        <v>0</v>
      </c>
      <c r="I698" t="n">
        <v>0</v>
      </c>
      <c r="J698" t="n">
        <v>0</v>
      </c>
      <c r="K698" t="n">
        <v>0</v>
      </c>
      <c r="L698" t="n">
        <v>0</v>
      </c>
      <c r="M698" t="n">
        <v>0</v>
      </c>
      <c r="N698" t="n">
        <v>0</v>
      </c>
      <c r="O698" t="n">
        <v>0</v>
      </c>
      <c r="P698" t="n">
        <v>0</v>
      </c>
      <c r="Q698" t="n">
        <v>0</v>
      </c>
      <c r="R698" s="2" t="inlineStr"/>
    </row>
    <row r="699" ht="15" customHeight="1">
      <c r="A699" t="inlineStr">
        <is>
          <t>A 65781-2019</t>
        </is>
      </c>
      <c r="B699" s="1" t="n">
        <v>43804</v>
      </c>
      <c r="C699" s="1" t="n">
        <v>45740</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67064-2019</t>
        </is>
      </c>
      <c r="B700" s="1" t="n">
        <v>43805</v>
      </c>
      <c r="C700" s="1" t="n">
        <v>45740</v>
      </c>
      <c r="D700" t="inlineStr">
        <is>
          <t>JÄMTLANDS LÄN</t>
        </is>
      </c>
      <c r="E700" t="inlineStr">
        <is>
          <t>STRÖMSUND</t>
        </is>
      </c>
      <c r="G700" t="n">
        <v>0.8</v>
      </c>
      <c r="H700" t="n">
        <v>0</v>
      </c>
      <c r="I700" t="n">
        <v>0</v>
      </c>
      <c r="J700" t="n">
        <v>0</v>
      </c>
      <c r="K700" t="n">
        <v>0</v>
      </c>
      <c r="L700" t="n">
        <v>0</v>
      </c>
      <c r="M700" t="n">
        <v>0</v>
      </c>
      <c r="N700" t="n">
        <v>0</v>
      </c>
      <c r="O700" t="n">
        <v>0</v>
      </c>
      <c r="P700" t="n">
        <v>0</v>
      </c>
      <c r="Q700" t="n">
        <v>0</v>
      </c>
      <c r="R700" s="2" t="inlineStr"/>
    </row>
    <row r="701" ht="15" customHeight="1">
      <c r="A701" t="inlineStr">
        <is>
          <t>A 66349-2019</t>
        </is>
      </c>
      <c r="B701" s="1" t="n">
        <v>43808</v>
      </c>
      <c r="C701" s="1" t="n">
        <v>45740</v>
      </c>
      <c r="D701" t="inlineStr">
        <is>
          <t>JÄMTLANDS LÄN</t>
        </is>
      </c>
      <c r="E701" t="inlineStr">
        <is>
          <t>STRÖMSUND</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67820-2019</t>
        </is>
      </c>
      <c r="B702" s="1" t="n">
        <v>43815</v>
      </c>
      <c r="C702" s="1" t="n">
        <v>45740</v>
      </c>
      <c r="D702" t="inlineStr">
        <is>
          <t>JÄMTLANDS LÄN</t>
        </is>
      </c>
      <c r="E702" t="inlineStr">
        <is>
          <t>STRÖMSUND</t>
        </is>
      </c>
      <c r="F702" t="inlineStr">
        <is>
          <t>SCA</t>
        </is>
      </c>
      <c r="G702" t="n">
        <v>28.7</v>
      </c>
      <c r="H702" t="n">
        <v>0</v>
      </c>
      <c r="I702" t="n">
        <v>0</v>
      </c>
      <c r="J702" t="n">
        <v>0</v>
      </c>
      <c r="K702" t="n">
        <v>0</v>
      </c>
      <c r="L702" t="n">
        <v>0</v>
      </c>
      <c r="M702" t="n">
        <v>0</v>
      </c>
      <c r="N702" t="n">
        <v>0</v>
      </c>
      <c r="O702" t="n">
        <v>0</v>
      </c>
      <c r="P702" t="n">
        <v>0</v>
      </c>
      <c r="Q702" t="n">
        <v>0</v>
      </c>
      <c r="R702" s="2" t="inlineStr"/>
    </row>
    <row r="703" ht="15" customHeight="1">
      <c r="A703" t="inlineStr">
        <is>
          <t>A 67914-2019</t>
        </is>
      </c>
      <c r="B703" s="1" t="n">
        <v>43816</v>
      </c>
      <c r="C703" s="1" t="n">
        <v>45740</v>
      </c>
      <c r="D703" t="inlineStr">
        <is>
          <t>JÄMTLANDS LÄN</t>
        </is>
      </c>
      <c r="E703" t="inlineStr">
        <is>
          <t>STRÖMSUND</t>
        </is>
      </c>
      <c r="F703" t="inlineStr">
        <is>
          <t>Holmen skog AB</t>
        </is>
      </c>
      <c r="G703" t="n">
        <v>27.7</v>
      </c>
      <c r="H703" t="n">
        <v>0</v>
      </c>
      <c r="I703" t="n">
        <v>0</v>
      </c>
      <c r="J703" t="n">
        <v>0</v>
      </c>
      <c r="K703" t="n">
        <v>0</v>
      </c>
      <c r="L703" t="n">
        <v>0</v>
      </c>
      <c r="M703" t="n">
        <v>0</v>
      </c>
      <c r="N703" t="n">
        <v>0</v>
      </c>
      <c r="O703" t="n">
        <v>0</v>
      </c>
      <c r="P703" t="n">
        <v>0</v>
      </c>
      <c r="Q703" t="n">
        <v>0</v>
      </c>
      <c r="R703" s="2" t="inlineStr"/>
    </row>
    <row r="704" ht="15" customHeight="1">
      <c r="A704" t="inlineStr">
        <is>
          <t>A 68080-2019</t>
        </is>
      </c>
      <c r="B704" s="1" t="n">
        <v>43816</v>
      </c>
      <c r="C704" s="1" t="n">
        <v>45740</v>
      </c>
      <c r="D704" t="inlineStr">
        <is>
          <t>JÄMTLANDS LÄN</t>
        </is>
      </c>
      <c r="E704" t="inlineStr">
        <is>
          <t>STRÖMSUND</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68607-2019</t>
        </is>
      </c>
      <c r="B705" s="1" t="n">
        <v>43818</v>
      </c>
      <c r="C705" s="1" t="n">
        <v>45740</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68335-2019</t>
        </is>
      </c>
      <c r="B706" s="1" t="n">
        <v>43818</v>
      </c>
      <c r="C706" s="1" t="n">
        <v>45740</v>
      </c>
      <c r="D706" t="inlineStr">
        <is>
          <t>JÄMTLANDS LÄN</t>
        </is>
      </c>
      <c r="E706" t="inlineStr">
        <is>
          <t>STRÖMSUND</t>
        </is>
      </c>
      <c r="G706" t="n">
        <v>3.4</v>
      </c>
      <c r="H706" t="n">
        <v>0</v>
      </c>
      <c r="I706" t="n">
        <v>0</v>
      </c>
      <c r="J706" t="n">
        <v>0</v>
      </c>
      <c r="K706" t="n">
        <v>0</v>
      </c>
      <c r="L706" t="n">
        <v>0</v>
      </c>
      <c r="M706" t="n">
        <v>0</v>
      </c>
      <c r="N706" t="n">
        <v>0</v>
      </c>
      <c r="O706" t="n">
        <v>0</v>
      </c>
      <c r="P706" t="n">
        <v>0</v>
      </c>
      <c r="Q706" t="n">
        <v>0</v>
      </c>
      <c r="R706" s="2" t="inlineStr"/>
    </row>
    <row r="707" ht="15" customHeight="1">
      <c r="A707" t="inlineStr">
        <is>
          <t>A 861-2020</t>
        </is>
      </c>
      <c r="B707" s="1" t="n">
        <v>43838</v>
      </c>
      <c r="C707" s="1" t="n">
        <v>45740</v>
      </c>
      <c r="D707" t="inlineStr">
        <is>
          <t>JÄMTLANDS LÄN</t>
        </is>
      </c>
      <c r="E707" t="inlineStr">
        <is>
          <t>STRÖMSUND</t>
        </is>
      </c>
      <c r="G707" t="n">
        <v>0.6</v>
      </c>
      <c r="H707" t="n">
        <v>0</v>
      </c>
      <c r="I707" t="n">
        <v>0</v>
      </c>
      <c r="J707" t="n">
        <v>0</v>
      </c>
      <c r="K707" t="n">
        <v>0</v>
      </c>
      <c r="L707" t="n">
        <v>0</v>
      </c>
      <c r="M707" t="n">
        <v>0</v>
      </c>
      <c r="N707" t="n">
        <v>0</v>
      </c>
      <c r="O707" t="n">
        <v>0</v>
      </c>
      <c r="P707" t="n">
        <v>0</v>
      </c>
      <c r="Q707" t="n">
        <v>0</v>
      </c>
      <c r="R707" s="2" t="inlineStr"/>
    </row>
    <row r="708" ht="15" customHeight="1">
      <c r="A708" t="inlineStr">
        <is>
          <t>A 1034-2020</t>
        </is>
      </c>
      <c r="B708" s="1" t="n">
        <v>43839</v>
      </c>
      <c r="C708" s="1" t="n">
        <v>45740</v>
      </c>
      <c r="D708" t="inlineStr">
        <is>
          <t>JÄMTLANDS LÄN</t>
        </is>
      </c>
      <c r="E708" t="inlineStr">
        <is>
          <t>STRÖMSUND</t>
        </is>
      </c>
      <c r="G708" t="n">
        <v>1.7</v>
      </c>
      <c r="H708" t="n">
        <v>0</v>
      </c>
      <c r="I708" t="n">
        <v>0</v>
      </c>
      <c r="J708" t="n">
        <v>0</v>
      </c>
      <c r="K708" t="n">
        <v>0</v>
      </c>
      <c r="L708" t="n">
        <v>0</v>
      </c>
      <c r="M708" t="n">
        <v>0</v>
      </c>
      <c r="N708" t="n">
        <v>0</v>
      </c>
      <c r="O708" t="n">
        <v>0</v>
      </c>
      <c r="P708" t="n">
        <v>0</v>
      </c>
      <c r="Q708" t="n">
        <v>0</v>
      </c>
      <c r="R708" s="2" t="inlineStr"/>
    </row>
    <row r="709" ht="15" customHeight="1">
      <c r="A709" t="inlineStr">
        <is>
          <t>A 1134-2020</t>
        </is>
      </c>
      <c r="B709" s="1" t="n">
        <v>43840</v>
      </c>
      <c r="C709" s="1" t="n">
        <v>45740</v>
      </c>
      <c r="D709" t="inlineStr">
        <is>
          <t>JÄMTLANDS LÄN</t>
        </is>
      </c>
      <c r="E709" t="inlineStr">
        <is>
          <t>STRÖMSUND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1138-2020</t>
        </is>
      </c>
      <c r="B710" s="1" t="n">
        <v>43840</v>
      </c>
      <c r="C710" s="1" t="n">
        <v>45740</v>
      </c>
      <c r="D710" t="inlineStr">
        <is>
          <t>JÄMTLANDS LÄN</t>
        </is>
      </c>
      <c r="E710" t="inlineStr">
        <is>
          <t>STRÖMSUND</t>
        </is>
      </c>
      <c r="G710" t="n">
        <v>6.5</v>
      </c>
      <c r="H710" t="n">
        <v>0</v>
      </c>
      <c r="I710" t="n">
        <v>0</v>
      </c>
      <c r="J710" t="n">
        <v>0</v>
      </c>
      <c r="K710" t="n">
        <v>0</v>
      </c>
      <c r="L710" t="n">
        <v>0</v>
      </c>
      <c r="M710" t="n">
        <v>0</v>
      </c>
      <c r="N710" t="n">
        <v>0</v>
      </c>
      <c r="O710" t="n">
        <v>0</v>
      </c>
      <c r="P710" t="n">
        <v>0</v>
      </c>
      <c r="Q710" t="n">
        <v>0</v>
      </c>
      <c r="R710" s="2" t="inlineStr"/>
    </row>
    <row r="711" ht="15" customHeight="1">
      <c r="A711" t="inlineStr">
        <is>
          <t>A 1238-2020</t>
        </is>
      </c>
      <c r="B711" s="1" t="n">
        <v>43840</v>
      </c>
      <c r="C711" s="1" t="n">
        <v>45740</v>
      </c>
      <c r="D711" t="inlineStr">
        <is>
          <t>JÄMTLANDS LÄN</t>
        </is>
      </c>
      <c r="E711" t="inlineStr">
        <is>
          <t>STRÖMSUND</t>
        </is>
      </c>
      <c r="G711" t="n">
        <v>20.3</v>
      </c>
      <c r="H711" t="n">
        <v>0</v>
      </c>
      <c r="I711" t="n">
        <v>0</v>
      </c>
      <c r="J711" t="n">
        <v>0</v>
      </c>
      <c r="K711" t="n">
        <v>0</v>
      </c>
      <c r="L711" t="n">
        <v>0</v>
      </c>
      <c r="M711" t="n">
        <v>0</v>
      </c>
      <c r="N711" t="n">
        <v>0</v>
      </c>
      <c r="O711" t="n">
        <v>0</v>
      </c>
      <c r="P711" t="n">
        <v>0</v>
      </c>
      <c r="Q711" t="n">
        <v>0</v>
      </c>
      <c r="R711" s="2" t="inlineStr"/>
    </row>
    <row r="712" ht="15" customHeight="1">
      <c r="A712" t="inlineStr">
        <is>
          <t>A 2250-2020</t>
        </is>
      </c>
      <c r="B712" s="1" t="n">
        <v>43846</v>
      </c>
      <c r="C712" s="1" t="n">
        <v>45740</v>
      </c>
      <c r="D712" t="inlineStr">
        <is>
          <t>JÄMTLANDS LÄN</t>
        </is>
      </c>
      <c r="E712" t="inlineStr">
        <is>
          <t>STRÖMSUND</t>
        </is>
      </c>
      <c r="G712" t="n">
        <v>0.1</v>
      </c>
      <c r="H712" t="n">
        <v>0</v>
      </c>
      <c r="I712" t="n">
        <v>0</v>
      </c>
      <c r="J712" t="n">
        <v>0</v>
      </c>
      <c r="K712" t="n">
        <v>0</v>
      </c>
      <c r="L712" t="n">
        <v>0</v>
      </c>
      <c r="M712" t="n">
        <v>0</v>
      </c>
      <c r="N712" t="n">
        <v>0</v>
      </c>
      <c r="O712" t="n">
        <v>0</v>
      </c>
      <c r="P712" t="n">
        <v>0</v>
      </c>
      <c r="Q712" t="n">
        <v>0</v>
      </c>
      <c r="R712" s="2" t="inlineStr"/>
    </row>
    <row r="713" ht="15" customHeight="1">
      <c r="A713" t="inlineStr">
        <is>
          <t>A 2184-2020</t>
        </is>
      </c>
      <c r="B713" s="1" t="n">
        <v>43846</v>
      </c>
      <c r="C713" s="1" t="n">
        <v>45740</v>
      </c>
      <c r="D713" t="inlineStr">
        <is>
          <t>JÄMTLANDS LÄN</t>
        </is>
      </c>
      <c r="E713" t="inlineStr">
        <is>
          <t>STRÖMSUND</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2705-2020</t>
        </is>
      </c>
      <c r="B714" s="1" t="n">
        <v>43850</v>
      </c>
      <c r="C714" s="1" t="n">
        <v>45740</v>
      </c>
      <c r="D714" t="inlineStr">
        <is>
          <t>JÄMTLANDS LÄN</t>
        </is>
      </c>
      <c r="E714" t="inlineStr">
        <is>
          <t>STRÖMSUND</t>
        </is>
      </c>
      <c r="G714" t="n">
        <v>11.2</v>
      </c>
      <c r="H714" t="n">
        <v>0</v>
      </c>
      <c r="I714" t="n">
        <v>0</v>
      </c>
      <c r="J714" t="n">
        <v>0</v>
      </c>
      <c r="K714" t="n">
        <v>0</v>
      </c>
      <c r="L714" t="n">
        <v>0</v>
      </c>
      <c r="M714" t="n">
        <v>0</v>
      </c>
      <c r="N714" t="n">
        <v>0</v>
      </c>
      <c r="O714" t="n">
        <v>0</v>
      </c>
      <c r="P714" t="n">
        <v>0</v>
      </c>
      <c r="Q714" t="n">
        <v>0</v>
      </c>
      <c r="R714" s="2" t="inlineStr"/>
    </row>
    <row r="715" ht="15" customHeight="1">
      <c r="A715" t="inlineStr">
        <is>
          <t>A 2911-2020</t>
        </is>
      </c>
      <c r="B715" s="1" t="n">
        <v>43850</v>
      </c>
      <c r="C715" s="1" t="n">
        <v>45740</v>
      </c>
      <c r="D715" t="inlineStr">
        <is>
          <t>JÄMTLANDS LÄN</t>
        </is>
      </c>
      <c r="E715" t="inlineStr">
        <is>
          <t>STRÖMSUND</t>
        </is>
      </c>
      <c r="G715" t="n">
        <v>6.4</v>
      </c>
      <c r="H715" t="n">
        <v>0</v>
      </c>
      <c r="I715" t="n">
        <v>0</v>
      </c>
      <c r="J715" t="n">
        <v>0</v>
      </c>
      <c r="K715" t="n">
        <v>0</v>
      </c>
      <c r="L715" t="n">
        <v>0</v>
      </c>
      <c r="M715" t="n">
        <v>0</v>
      </c>
      <c r="N715" t="n">
        <v>0</v>
      </c>
      <c r="O715" t="n">
        <v>0</v>
      </c>
      <c r="P715" t="n">
        <v>0</v>
      </c>
      <c r="Q715" t="n">
        <v>0</v>
      </c>
      <c r="R715" s="2" t="inlineStr"/>
    </row>
    <row r="716" ht="15" customHeight="1">
      <c r="A716" t="inlineStr">
        <is>
          <t>A 5127-2020</t>
        </is>
      </c>
      <c r="B716" s="1" t="n">
        <v>43850</v>
      </c>
      <c r="C716" s="1" t="n">
        <v>45740</v>
      </c>
      <c r="D716" t="inlineStr">
        <is>
          <t>JÄMTLANDS LÄN</t>
        </is>
      </c>
      <c r="E716" t="inlineStr">
        <is>
          <t>STRÖMSUND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5119-2020</t>
        </is>
      </c>
      <c r="B717" s="1" t="n">
        <v>43850</v>
      </c>
      <c r="C717" s="1" t="n">
        <v>45740</v>
      </c>
      <c r="D717" t="inlineStr">
        <is>
          <t>JÄMTLANDS LÄN</t>
        </is>
      </c>
      <c r="E717" t="inlineStr">
        <is>
          <t>STRÖMSUND</t>
        </is>
      </c>
      <c r="G717" t="n">
        <v>0.7</v>
      </c>
      <c r="H717" t="n">
        <v>0</v>
      </c>
      <c r="I717" t="n">
        <v>0</v>
      </c>
      <c r="J717" t="n">
        <v>0</v>
      </c>
      <c r="K717" t="n">
        <v>0</v>
      </c>
      <c r="L717" t="n">
        <v>0</v>
      </c>
      <c r="M717" t="n">
        <v>0</v>
      </c>
      <c r="N717" t="n">
        <v>0</v>
      </c>
      <c r="O717" t="n">
        <v>0</v>
      </c>
      <c r="P717" t="n">
        <v>0</v>
      </c>
      <c r="Q717" t="n">
        <v>0</v>
      </c>
      <c r="R717" s="2" t="inlineStr"/>
    </row>
    <row r="718" ht="15" customHeight="1">
      <c r="A718" t="inlineStr">
        <is>
          <t>A 2987-2020</t>
        </is>
      </c>
      <c r="B718" s="1" t="n">
        <v>43850</v>
      </c>
      <c r="C718" s="1" t="n">
        <v>45740</v>
      </c>
      <c r="D718" t="inlineStr">
        <is>
          <t>JÄMTLANDS LÄN</t>
        </is>
      </c>
      <c r="E718" t="inlineStr">
        <is>
          <t>STRÖMSUND</t>
        </is>
      </c>
      <c r="G718" t="n">
        <v>7.3</v>
      </c>
      <c r="H718" t="n">
        <v>0</v>
      </c>
      <c r="I718" t="n">
        <v>0</v>
      </c>
      <c r="J718" t="n">
        <v>0</v>
      </c>
      <c r="K718" t="n">
        <v>0</v>
      </c>
      <c r="L718" t="n">
        <v>0</v>
      </c>
      <c r="M718" t="n">
        <v>0</v>
      </c>
      <c r="N718" t="n">
        <v>0</v>
      </c>
      <c r="O718" t="n">
        <v>0</v>
      </c>
      <c r="P718" t="n">
        <v>0</v>
      </c>
      <c r="Q718" t="n">
        <v>0</v>
      </c>
      <c r="R718" s="2" t="inlineStr"/>
    </row>
    <row r="719" ht="15" customHeight="1">
      <c r="A719" t="inlineStr">
        <is>
          <t>A 5147-2020</t>
        </is>
      </c>
      <c r="B719" s="1" t="n">
        <v>43850</v>
      </c>
      <c r="C719" s="1" t="n">
        <v>45740</v>
      </c>
      <c r="D719" t="inlineStr">
        <is>
          <t>JÄMTLANDS LÄN</t>
        </is>
      </c>
      <c r="E719" t="inlineStr">
        <is>
          <t>STRÖMSUND</t>
        </is>
      </c>
      <c r="G719" t="n">
        <v>10.8</v>
      </c>
      <c r="H719" t="n">
        <v>0</v>
      </c>
      <c r="I719" t="n">
        <v>0</v>
      </c>
      <c r="J719" t="n">
        <v>0</v>
      </c>
      <c r="K719" t="n">
        <v>0</v>
      </c>
      <c r="L719" t="n">
        <v>0</v>
      </c>
      <c r="M719" t="n">
        <v>0</v>
      </c>
      <c r="N719" t="n">
        <v>0</v>
      </c>
      <c r="O719" t="n">
        <v>0</v>
      </c>
      <c r="P719" t="n">
        <v>0</v>
      </c>
      <c r="Q719" t="n">
        <v>0</v>
      </c>
      <c r="R719" s="2" t="inlineStr"/>
    </row>
    <row r="720" ht="15" customHeight="1">
      <c r="A720" t="inlineStr">
        <is>
          <t>A 4654-2020</t>
        </is>
      </c>
      <c r="B720" s="1" t="n">
        <v>43851</v>
      </c>
      <c r="C720" s="1" t="n">
        <v>45740</v>
      </c>
      <c r="D720" t="inlineStr">
        <is>
          <t>JÄMTLANDS LÄN</t>
        </is>
      </c>
      <c r="E720" t="inlineStr">
        <is>
          <t>STRÖMSUND</t>
        </is>
      </c>
      <c r="G720" t="n">
        <v>4</v>
      </c>
      <c r="H720" t="n">
        <v>0</v>
      </c>
      <c r="I720" t="n">
        <v>0</v>
      </c>
      <c r="J720" t="n">
        <v>0</v>
      </c>
      <c r="K720" t="n">
        <v>0</v>
      </c>
      <c r="L720" t="n">
        <v>0</v>
      </c>
      <c r="M720" t="n">
        <v>0</v>
      </c>
      <c r="N720" t="n">
        <v>0</v>
      </c>
      <c r="O720" t="n">
        <v>0</v>
      </c>
      <c r="P720" t="n">
        <v>0</v>
      </c>
      <c r="Q720" t="n">
        <v>0</v>
      </c>
      <c r="R720" s="2" t="inlineStr"/>
    </row>
    <row r="721" ht="15" customHeight="1">
      <c r="A721" t="inlineStr">
        <is>
          <t>A 4898-2020</t>
        </is>
      </c>
      <c r="B721" s="1" t="n">
        <v>43852</v>
      </c>
      <c r="C721" s="1" t="n">
        <v>45740</v>
      </c>
      <c r="D721" t="inlineStr">
        <is>
          <t>JÄMTLANDS LÄN</t>
        </is>
      </c>
      <c r="E721" t="inlineStr">
        <is>
          <t>STRÖMSUND</t>
        </is>
      </c>
      <c r="G721" t="n">
        <v>6.7</v>
      </c>
      <c r="H721" t="n">
        <v>0</v>
      </c>
      <c r="I721" t="n">
        <v>0</v>
      </c>
      <c r="J721" t="n">
        <v>0</v>
      </c>
      <c r="K721" t="n">
        <v>0</v>
      </c>
      <c r="L721" t="n">
        <v>0</v>
      </c>
      <c r="M721" t="n">
        <v>0</v>
      </c>
      <c r="N721" t="n">
        <v>0</v>
      </c>
      <c r="O721" t="n">
        <v>0</v>
      </c>
      <c r="P721" t="n">
        <v>0</v>
      </c>
      <c r="Q721" t="n">
        <v>0</v>
      </c>
      <c r="R721" s="2" t="inlineStr"/>
    </row>
    <row r="722" ht="15" customHeight="1">
      <c r="A722" t="inlineStr">
        <is>
          <t>A 3862-2020</t>
        </is>
      </c>
      <c r="B722" s="1" t="n">
        <v>43854</v>
      </c>
      <c r="C722" s="1" t="n">
        <v>45740</v>
      </c>
      <c r="D722" t="inlineStr">
        <is>
          <t>JÄMTLANDS LÄN</t>
        </is>
      </c>
      <c r="E722" t="inlineStr">
        <is>
          <t>STRÖMSUND</t>
        </is>
      </c>
      <c r="G722" t="n">
        <v>4.3</v>
      </c>
      <c r="H722" t="n">
        <v>0</v>
      </c>
      <c r="I722" t="n">
        <v>0</v>
      </c>
      <c r="J722" t="n">
        <v>0</v>
      </c>
      <c r="K722" t="n">
        <v>0</v>
      </c>
      <c r="L722" t="n">
        <v>0</v>
      </c>
      <c r="M722" t="n">
        <v>0</v>
      </c>
      <c r="N722" t="n">
        <v>0</v>
      </c>
      <c r="O722" t="n">
        <v>0</v>
      </c>
      <c r="P722" t="n">
        <v>0</v>
      </c>
      <c r="Q722" t="n">
        <v>0</v>
      </c>
      <c r="R722" s="2" t="inlineStr"/>
    </row>
    <row r="723" ht="15" customHeight="1">
      <c r="A723" t="inlineStr">
        <is>
          <t>A 3895-2020</t>
        </is>
      </c>
      <c r="B723" s="1" t="n">
        <v>43854</v>
      </c>
      <c r="C723" s="1" t="n">
        <v>45740</v>
      </c>
      <c r="D723" t="inlineStr">
        <is>
          <t>JÄMTLANDS LÄN</t>
        </is>
      </c>
      <c r="E723" t="inlineStr">
        <is>
          <t>STRÖMSUND</t>
        </is>
      </c>
      <c r="G723" t="n">
        <v>0.5</v>
      </c>
      <c r="H723" t="n">
        <v>0</v>
      </c>
      <c r="I723" t="n">
        <v>0</v>
      </c>
      <c r="J723" t="n">
        <v>0</v>
      </c>
      <c r="K723" t="n">
        <v>0</v>
      </c>
      <c r="L723" t="n">
        <v>0</v>
      </c>
      <c r="M723" t="n">
        <v>0</v>
      </c>
      <c r="N723" t="n">
        <v>0</v>
      </c>
      <c r="O723" t="n">
        <v>0</v>
      </c>
      <c r="P723" t="n">
        <v>0</v>
      </c>
      <c r="Q723" t="n">
        <v>0</v>
      </c>
      <c r="R723" s="2" t="inlineStr"/>
    </row>
    <row r="724" ht="15" customHeight="1">
      <c r="A724" t="inlineStr">
        <is>
          <t>A 3988-2020</t>
        </is>
      </c>
      <c r="B724" s="1" t="n">
        <v>43856</v>
      </c>
      <c r="C724" s="1" t="n">
        <v>45740</v>
      </c>
      <c r="D724" t="inlineStr">
        <is>
          <t>JÄMTLANDS LÄN</t>
        </is>
      </c>
      <c r="E724" t="inlineStr">
        <is>
          <t>STRÖMSUND</t>
        </is>
      </c>
      <c r="G724" t="n">
        <v>12.4</v>
      </c>
      <c r="H724" t="n">
        <v>0</v>
      </c>
      <c r="I724" t="n">
        <v>0</v>
      </c>
      <c r="J724" t="n">
        <v>0</v>
      </c>
      <c r="K724" t="n">
        <v>0</v>
      </c>
      <c r="L724" t="n">
        <v>0</v>
      </c>
      <c r="M724" t="n">
        <v>0</v>
      </c>
      <c r="N724" t="n">
        <v>0</v>
      </c>
      <c r="O724" t="n">
        <v>0</v>
      </c>
      <c r="P724" t="n">
        <v>0</v>
      </c>
      <c r="Q724" t="n">
        <v>0</v>
      </c>
      <c r="R724" s="2" t="inlineStr"/>
    </row>
    <row r="725" ht="15" customHeight="1">
      <c r="A725" t="inlineStr">
        <is>
          <t>A 4905-2020</t>
        </is>
      </c>
      <c r="B725" s="1" t="n">
        <v>43859</v>
      </c>
      <c r="C725" s="1" t="n">
        <v>45740</v>
      </c>
      <c r="D725" t="inlineStr">
        <is>
          <t>JÄMTLANDS LÄN</t>
        </is>
      </c>
      <c r="E725" t="inlineStr">
        <is>
          <t>STRÖMSUND</t>
        </is>
      </c>
      <c r="G725" t="n">
        <v>22.3</v>
      </c>
      <c r="H725" t="n">
        <v>0</v>
      </c>
      <c r="I725" t="n">
        <v>0</v>
      </c>
      <c r="J725" t="n">
        <v>0</v>
      </c>
      <c r="K725" t="n">
        <v>0</v>
      </c>
      <c r="L725" t="n">
        <v>0</v>
      </c>
      <c r="M725" t="n">
        <v>0</v>
      </c>
      <c r="N725" t="n">
        <v>0</v>
      </c>
      <c r="O725" t="n">
        <v>0</v>
      </c>
      <c r="P725" t="n">
        <v>0</v>
      </c>
      <c r="Q725" t="n">
        <v>0</v>
      </c>
      <c r="R725" s="2" t="inlineStr"/>
    </row>
    <row r="726" ht="15" customHeight="1">
      <c r="A726" t="inlineStr">
        <is>
          <t>A 5915-2020</t>
        </is>
      </c>
      <c r="B726" s="1" t="n">
        <v>43861</v>
      </c>
      <c r="C726" s="1" t="n">
        <v>45740</v>
      </c>
      <c r="D726" t="inlineStr">
        <is>
          <t>JÄMTLANDS LÄN</t>
        </is>
      </c>
      <c r="E726" t="inlineStr">
        <is>
          <t>STRÖMSUND</t>
        </is>
      </c>
      <c r="G726" t="n">
        <v>10.3</v>
      </c>
      <c r="H726" t="n">
        <v>0</v>
      </c>
      <c r="I726" t="n">
        <v>0</v>
      </c>
      <c r="J726" t="n">
        <v>0</v>
      </c>
      <c r="K726" t="n">
        <v>0</v>
      </c>
      <c r="L726" t="n">
        <v>0</v>
      </c>
      <c r="M726" t="n">
        <v>0</v>
      </c>
      <c r="N726" t="n">
        <v>0</v>
      </c>
      <c r="O726" t="n">
        <v>0</v>
      </c>
      <c r="P726" t="n">
        <v>0</v>
      </c>
      <c r="Q726" t="n">
        <v>0</v>
      </c>
      <c r="R726" s="2" t="inlineStr"/>
    </row>
    <row r="727" ht="15" customHeight="1">
      <c r="A727" t="inlineStr">
        <is>
          <t>A 6146-2020</t>
        </is>
      </c>
      <c r="B727" s="1" t="n">
        <v>43865</v>
      </c>
      <c r="C727" s="1" t="n">
        <v>45740</v>
      </c>
      <c r="D727" t="inlineStr">
        <is>
          <t>JÄMTLANDS LÄN</t>
        </is>
      </c>
      <c r="E727" t="inlineStr">
        <is>
          <t>STRÖMSUND</t>
        </is>
      </c>
      <c r="G727" t="n">
        <v>1.9</v>
      </c>
      <c r="H727" t="n">
        <v>0</v>
      </c>
      <c r="I727" t="n">
        <v>0</v>
      </c>
      <c r="J727" t="n">
        <v>0</v>
      </c>
      <c r="K727" t="n">
        <v>0</v>
      </c>
      <c r="L727" t="n">
        <v>0</v>
      </c>
      <c r="M727" t="n">
        <v>0</v>
      </c>
      <c r="N727" t="n">
        <v>0</v>
      </c>
      <c r="O727" t="n">
        <v>0</v>
      </c>
      <c r="P727" t="n">
        <v>0</v>
      </c>
      <c r="Q727" t="n">
        <v>0</v>
      </c>
      <c r="R727" s="2" t="inlineStr"/>
    </row>
    <row r="728" ht="15" customHeight="1">
      <c r="A728" t="inlineStr">
        <is>
          <t>A 7192-2020</t>
        </is>
      </c>
      <c r="B728" s="1" t="n">
        <v>43871</v>
      </c>
      <c r="C728" s="1" t="n">
        <v>45740</v>
      </c>
      <c r="D728" t="inlineStr">
        <is>
          <t>JÄMTLANDS LÄN</t>
        </is>
      </c>
      <c r="E728" t="inlineStr">
        <is>
          <t>STRÖMSUND</t>
        </is>
      </c>
      <c r="G728" t="n">
        <v>11.4</v>
      </c>
      <c r="H728" t="n">
        <v>0</v>
      </c>
      <c r="I728" t="n">
        <v>0</v>
      </c>
      <c r="J728" t="n">
        <v>0</v>
      </c>
      <c r="K728" t="n">
        <v>0</v>
      </c>
      <c r="L728" t="n">
        <v>0</v>
      </c>
      <c r="M728" t="n">
        <v>0</v>
      </c>
      <c r="N728" t="n">
        <v>0</v>
      </c>
      <c r="O728" t="n">
        <v>0</v>
      </c>
      <c r="P728" t="n">
        <v>0</v>
      </c>
      <c r="Q728" t="n">
        <v>0</v>
      </c>
      <c r="R728" s="2" t="inlineStr"/>
    </row>
    <row r="729" ht="15" customHeight="1">
      <c r="A729" t="inlineStr">
        <is>
          <t>A 7630-2020</t>
        </is>
      </c>
      <c r="B729" s="1" t="n">
        <v>43871</v>
      </c>
      <c r="C729" s="1" t="n">
        <v>45740</v>
      </c>
      <c r="D729" t="inlineStr">
        <is>
          <t>JÄMTLANDS LÄN</t>
        </is>
      </c>
      <c r="E729" t="inlineStr">
        <is>
          <t>STRÖMSUND</t>
        </is>
      </c>
      <c r="G729" t="n">
        <v>3</v>
      </c>
      <c r="H729" t="n">
        <v>0</v>
      </c>
      <c r="I729" t="n">
        <v>0</v>
      </c>
      <c r="J729" t="n">
        <v>0</v>
      </c>
      <c r="K729" t="n">
        <v>0</v>
      </c>
      <c r="L729" t="n">
        <v>0</v>
      </c>
      <c r="M729" t="n">
        <v>0</v>
      </c>
      <c r="N729" t="n">
        <v>0</v>
      </c>
      <c r="O729" t="n">
        <v>0</v>
      </c>
      <c r="P729" t="n">
        <v>0</v>
      </c>
      <c r="Q729" t="n">
        <v>0</v>
      </c>
      <c r="R729" s="2" t="inlineStr"/>
    </row>
    <row r="730" ht="15" customHeight="1">
      <c r="A730" t="inlineStr">
        <is>
          <t>A 7963-2020</t>
        </is>
      </c>
      <c r="B730" s="1" t="n">
        <v>43872</v>
      </c>
      <c r="C730" s="1" t="n">
        <v>45740</v>
      </c>
      <c r="D730" t="inlineStr">
        <is>
          <t>JÄMTLANDS LÄN</t>
        </is>
      </c>
      <c r="E730" t="inlineStr">
        <is>
          <t>STRÖMSUND</t>
        </is>
      </c>
      <c r="G730" t="n">
        <v>0.5</v>
      </c>
      <c r="H730" t="n">
        <v>0</v>
      </c>
      <c r="I730" t="n">
        <v>0</v>
      </c>
      <c r="J730" t="n">
        <v>0</v>
      </c>
      <c r="K730" t="n">
        <v>0</v>
      </c>
      <c r="L730" t="n">
        <v>0</v>
      </c>
      <c r="M730" t="n">
        <v>0</v>
      </c>
      <c r="N730" t="n">
        <v>0</v>
      </c>
      <c r="O730" t="n">
        <v>0</v>
      </c>
      <c r="P730" t="n">
        <v>0</v>
      </c>
      <c r="Q730" t="n">
        <v>0</v>
      </c>
      <c r="R730" s="2" t="inlineStr"/>
    </row>
    <row r="731" ht="15" customHeight="1">
      <c r="A731" t="inlineStr">
        <is>
          <t>A 7974-2020</t>
        </is>
      </c>
      <c r="B731" s="1" t="n">
        <v>43873</v>
      </c>
      <c r="C731" s="1" t="n">
        <v>45740</v>
      </c>
      <c r="D731" t="inlineStr">
        <is>
          <t>JÄMTLANDS LÄN</t>
        </is>
      </c>
      <c r="E731" t="inlineStr">
        <is>
          <t>STRÖMSUND</t>
        </is>
      </c>
      <c r="G731" t="n">
        <v>24.1</v>
      </c>
      <c r="H731" t="n">
        <v>0</v>
      </c>
      <c r="I731" t="n">
        <v>0</v>
      </c>
      <c r="J731" t="n">
        <v>0</v>
      </c>
      <c r="K731" t="n">
        <v>0</v>
      </c>
      <c r="L731" t="n">
        <v>0</v>
      </c>
      <c r="M731" t="n">
        <v>0</v>
      </c>
      <c r="N731" t="n">
        <v>0</v>
      </c>
      <c r="O731" t="n">
        <v>0</v>
      </c>
      <c r="P731" t="n">
        <v>0</v>
      </c>
      <c r="Q731" t="n">
        <v>0</v>
      </c>
      <c r="R731" s="2" t="inlineStr"/>
    </row>
    <row r="732" ht="15" customHeight="1">
      <c r="A732" t="inlineStr">
        <is>
          <t>A 8482-2020</t>
        </is>
      </c>
      <c r="B732" s="1" t="n">
        <v>43875</v>
      </c>
      <c r="C732" s="1" t="n">
        <v>45740</v>
      </c>
      <c r="D732" t="inlineStr">
        <is>
          <t>JÄMTLANDS LÄN</t>
        </is>
      </c>
      <c r="E732" t="inlineStr">
        <is>
          <t>STRÖMSUND</t>
        </is>
      </c>
      <c r="G732" t="n">
        <v>25.5</v>
      </c>
      <c r="H732" t="n">
        <v>0</v>
      </c>
      <c r="I732" t="n">
        <v>0</v>
      </c>
      <c r="J732" t="n">
        <v>0</v>
      </c>
      <c r="K732" t="n">
        <v>0</v>
      </c>
      <c r="L732" t="n">
        <v>0</v>
      </c>
      <c r="M732" t="n">
        <v>0</v>
      </c>
      <c r="N732" t="n">
        <v>0</v>
      </c>
      <c r="O732" t="n">
        <v>0</v>
      </c>
      <c r="P732" t="n">
        <v>0</v>
      </c>
      <c r="Q732" t="n">
        <v>0</v>
      </c>
      <c r="R732" s="2" t="inlineStr"/>
    </row>
    <row r="733" ht="15" customHeight="1">
      <c r="A733" t="inlineStr">
        <is>
          <t>A 8775-2020</t>
        </is>
      </c>
      <c r="B733" s="1" t="n">
        <v>43878</v>
      </c>
      <c r="C733" s="1" t="n">
        <v>45740</v>
      </c>
      <c r="D733" t="inlineStr">
        <is>
          <t>JÄMTLANDS LÄN</t>
        </is>
      </c>
      <c r="E733" t="inlineStr">
        <is>
          <t>STRÖMSUND</t>
        </is>
      </c>
      <c r="G733" t="n">
        <v>4.2</v>
      </c>
      <c r="H733" t="n">
        <v>0</v>
      </c>
      <c r="I733" t="n">
        <v>0</v>
      </c>
      <c r="J733" t="n">
        <v>0</v>
      </c>
      <c r="K733" t="n">
        <v>0</v>
      </c>
      <c r="L733" t="n">
        <v>0</v>
      </c>
      <c r="M733" t="n">
        <v>0</v>
      </c>
      <c r="N733" t="n">
        <v>0</v>
      </c>
      <c r="O733" t="n">
        <v>0</v>
      </c>
      <c r="P733" t="n">
        <v>0</v>
      </c>
      <c r="Q733" t="n">
        <v>0</v>
      </c>
      <c r="R733" s="2" t="inlineStr"/>
    </row>
    <row r="734" ht="15" customHeight="1">
      <c r="A734" t="inlineStr">
        <is>
          <t>A 12609-2020</t>
        </is>
      </c>
      <c r="B734" s="1" t="n">
        <v>43899</v>
      </c>
      <c r="C734" s="1" t="n">
        <v>45740</v>
      </c>
      <c r="D734" t="inlineStr">
        <is>
          <t>JÄMTLANDS LÄN</t>
        </is>
      </c>
      <c r="E734" t="inlineStr">
        <is>
          <t>STRÖMSUND</t>
        </is>
      </c>
      <c r="F734" t="inlineStr">
        <is>
          <t>Kyrkan</t>
        </is>
      </c>
      <c r="G734" t="n">
        <v>1.6</v>
      </c>
      <c r="H734" t="n">
        <v>0</v>
      </c>
      <c r="I734" t="n">
        <v>0</v>
      </c>
      <c r="J734" t="n">
        <v>0</v>
      </c>
      <c r="K734" t="n">
        <v>0</v>
      </c>
      <c r="L734" t="n">
        <v>0</v>
      </c>
      <c r="M734" t="n">
        <v>0</v>
      </c>
      <c r="N734" t="n">
        <v>0</v>
      </c>
      <c r="O734" t="n">
        <v>0</v>
      </c>
      <c r="P734" t="n">
        <v>0</v>
      </c>
      <c r="Q734" t="n">
        <v>0</v>
      </c>
      <c r="R734" s="2" t="inlineStr"/>
    </row>
    <row r="735" ht="15" customHeight="1">
      <c r="A735" t="inlineStr">
        <is>
          <t>A 13233-2020</t>
        </is>
      </c>
      <c r="B735" s="1" t="n">
        <v>43901</v>
      </c>
      <c r="C735" s="1" t="n">
        <v>45740</v>
      </c>
      <c r="D735" t="inlineStr">
        <is>
          <t>JÄMTLANDS LÄN</t>
        </is>
      </c>
      <c r="E735" t="inlineStr">
        <is>
          <t>STRÖMSUND</t>
        </is>
      </c>
      <c r="G735" t="n">
        <v>6.9</v>
      </c>
      <c r="H735" t="n">
        <v>0</v>
      </c>
      <c r="I735" t="n">
        <v>0</v>
      </c>
      <c r="J735" t="n">
        <v>0</v>
      </c>
      <c r="K735" t="n">
        <v>0</v>
      </c>
      <c r="L735" t="n">
        <v>0</v>
      </c>
      <c r="M735" t="n">
        <v>0</v>
      </c>
      <c r="N735" t="n">
        <v>0</v>
      </c>
      <c r="O735" t="n">
        <v>0</v>
      </c>
      <c r="P735" t="n">
        <v>0</v>
      </c>
      <c r="Q735" t="n">
        <v>0</v>
      </c>
      <c r="R735" s="2" t="inlineStr"/>
    </row>
    <row r="736" ht="15" customHeight="1">
      <c r="A736" t="inlineStr">
        <is>
          <t>A 13241-2020</t>
        </is>
      </c>
      <c r="B736" s="1" t="n">
        <v>43901</v>
      </c>
      <c r="C736" s="1" t="n">
        <v>45740</v>
      </c>
      <c r="D736" t="inlineStr">
        <is>
          <t>JÄMTLANDS LÄN</t>
        </is>
      </c>
      <c r="E736" t="inlineStr">
        <is>
          <t>STRÖMSUND</t>
        </is>
      </c>
      <c r="G736" t="n">
        <v>4</v>
      </c>
      <c r="H736" t="n">
        <v>0</v>
      </c>
      <c r="I736" t="n">
        <v>0</v>
      </c>
      <c r="J736" t="n">
        <v>0</v>
      </c>
      <c r="K736" t="n">
        <v>0</v>
      </c>
      <c r="L736" t="n">
        <v>0</v>
      </c>
      <c r="M736" t="n">
        <v>0</v>
      </c>
      <c r="N736" t="n">
        <v>0</v>
      </c>
      <c r="O736" t="n">
        <v>0</v>
      </c>
      <c r="P736" t="n">
        <v>0</v>
      </c>
      <c r="Q736" t="n">
        <v>0</v>
      </c>
      <c r="R736" s="2" t="inlineStr"/>
    </row>
    <row r="737" ht="15" customHeight="1">
      <c r="A737" t="inlineStr">
        <is>
          <t>A 14259-2020</t>
        </is>
      </c>
      <c r="B737" s="1" t="n">
        <v>43901</v>
      </c>
      <c r="C737" s="1" t="n">
        <v>45740</v>
      </c>
      <c r="D737" t="inlineStr">
        <is>
          <t>JÄMTLANDS LÄN</t>
        </is>
      </c>
      <c r="E737" t="inlineStr">
        <is>
          <t>STRÖMSUND</t>
        </is>
      </c>
      <c r="G737" t="n">
        <v>17.8</v>
      </c>
      <c r="H737" t="n">
        <v>0</v>
      </c>
      <c r="I737" t="n">
        <v>0</v>
      </c>
      <c r="J737" t="n">
        <v>0</v>
      </c>
      <c r="K737" t="n">
        <v>0</v>
      </c>
      <c r="L737" t="n">
        <v>0</v>
      </c>
      <c r="M737" t="n">
        <v>0</v>
      </c>
      <c r="N737" t="n">
        <v>0</v>
      </c>
      <c r="O737" t="n">
        <v>0</v>
      </c>
      <c r="P737" t="n">
        <v>0</v>
      </c>
      <c r="Q737" t="n">
        <v>0</v>
      </c>
      <c r="R737" s="2" t="inlineStr"/>
    </row>
    <row r="738" ht="15" customHeight="1">
      <c r="A738" t="inlineStr">
        <is>
          <t>A 14904-2020</t>
        </is>
      </c>
      <c r="B738" s="1" t="n">
        <v>43906</v>
      </c>
      <c r="C738" s="1" t="n">
        <v>45740</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16335-2020</t>
        </is>
      </c>
      <c r="B739" s="1" t="n">
        <v>43917</v>
      </c>
      <c r="C739" s="1" t="n">
        <v>45740</v>
      </c>
      <c r="D739" t="inlineStr">
        <is>
          <t>JÄMTLANDS LÄN</t>
        </is>
      </c>
      <c r="E739" t="inlineStr">
        <is>
          <t>STRÖMSUND</t>
        </is>
      </c>
      <c r="F739" t="inlineStr">
        <is>
          <t>Kyrkan</t>
        </is>
      </c>
      <c r="G739" t="n">
        <v>2.6</v>
      </c>
      <c r="H739" t="n">
        <v>0</v>
      </c>
      <c r="I739" t="n">
        <v>0</v>
      </c>
      <c r="J739" t="n">
        <v>0</v>
      </c>
      <c r="K739" t="n">
        <v>0</v>
      </c>
      <c r="L739" t="n">
        <v>0</v>
      </c>
      <c r="M739" t="n">
        <v>0</v>
      </c>
      <c r="N739" t="n">
        <v>0</v>
      </c>
      <c r="O739" t="n">
        <v>0</v>
      </c>
      <c r="P739" t="n">
        <v>0</v>
      </c>
      <c r="Q739" t="n">
        <v>0</v>
      </c>
      <c r="R739" s="2" t="inlineStr"/>
    </row>
    <row r="740" ht="15" customHeight="1">
      <c r="A740" t="inlineStr">
        <is>
          <t>A 17063-2020</t>
        </is>
      </c>
      <c r="B740" s="1" t="n">
        <v>43921</v>
      </c>
      <c r="C740" s="1" t="n">
        <v>45740</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18731-2020</t>
        </is>
      </c>
      <c r="B741" s="1" t="n">
        <v>43930</v>
      </c>
      <c r="C741" s="1" t="n">
        <v>45740</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18780-2020</t>
        </is>
      </c>
      <c r="B742" s="1" t="n">
        <v>43930</v>
      </c>
      <c r="C742" s="1" t="n">
        <v>45740</v>
      </c>
      <c r="D742" t="inlineStr">
        <is>
          <t>JÄMTLANDS LÄN</t>
        </is>
      </c>
      <c r="E742" t="inlineStr">
        <is>
          <t>STRÖMSUND</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19089-2020</t>
        </is>
      </c>
      <c r="B743" s="1" t="n">
        <v>43935</v>
      </c>
      <c r="C743" s="1" t="n">
        <v>45740</v>
      </c>
      <c r="D743" t="inlineStr">
        <is>
          <t>JÄMTLANDS LÄN</t>
        </is>
      </c>
      <c r="E743" t="inlineStr">
        <is>
          <t>STRÖMSUND</t>
        </is>
      </c>
      <c r="G743" t="n">
        <v>15</v>
      </c>
      <c r="H743" t="n">
        <v>0</v>
      </c>
      <c r="I743" t="n">
        <v>0</v>
      </c>
      <c r="J743" t="n">
        <v>0</v>
      </c>
      <c r="K743" t="n">
        <v>0</v>
      </c>
      <c r="L743" t="n">
        <v>0</v>
      </c>
      <c r="M743" t="n">
        <v>0</v>
      </c>
      <c r="N743" t="n">
        <v>0</v>
      </c>
      <c r="O743" t="n">
        <v>0</v>
      </c>
      <c r="P743" t="n">
        <v>0</v>
      </c>
      <c r="Q743" t="n">
        <v>0</v>
      </c>
      <c r="R743" s="2" t="inlineStr"/>
    </row>
    <row r="744" ht="15" customHeight="1">
      <c r="A744" t="inlineStr">
        <is>
          <t>A 19842-2020</t>
        </is>
      </c>
      <c r="B744" s="1" t="n">
        <v>43942</v>
      </c>
      <c r="C744" s="1" t="n">
        <v>45740</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20816-2020</t>
        </is>
      </c>
      <c r="B745" s="1" t="n">
        <v>43949</v>
      </c>
      <c r="C745" s="1" t="n">
        <v>45740</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20812-2020</t>
        </is>
      </c>
      <c r="B746" s="1" t="n">
        <v>43950</v>
      </c>
      <c r="C746" s="1" t="n">
        <v>45740</v>
      </c>
      <c r="D746" t="inlineStr">
        <is>
          <t>JÄMTLANDS LÄN</t>
        </is>
      </c>
      <c r="E746" t="inlineStr">
        <is>
          <t>STRÖMSUND</t>
        </is>
      </c>
      <c r="G746" t="n">
        <v>6.1</v>
      </c>
      <c r="H746" t="n">
        <v>0</v>
      </c>
      <c r="I746" t="n">
        <v>0</v>
      </c>
      <c r="J746" t="n">
        <v>0</v>
      </c>
      <c r="K746" t="n">
        <v>0</v>
      </c>
      <c r="L746" t="n">
        <v>0</v>
      </c>
      <c r="M746" t="n">
        <v>0</v>
      </c>
      <c r="N746" t="n">
        <v>0</v>
      </c>
      <c r="O746" t="n">
        <v>0</v>
      </c>
      <c r="P746" t="n">
        <v>0</v>
      </c>
      <c r="Q746" t="n">
        <v>0</v>
      </c>
      <c r="R746" s="2" t="inlineStr"/>
    </row>
    <row r="747" ht="15" customHeight="1">
      <c r="A747" t="inlineStr">
        <is>
          <t>A 21939-2020</t>
        </is>
      </c>
      <c r="B747" s="1" t="n">
        <v>43955</v>
      </c>
      <c r="C747" s="1" t="n">
        <v>45740</v>
      </c>
      <c r="D747" t="inlineStr">
        <is>
          <t>JÄMTLANDS LÄN</t>
        </is>
      </c>
      <c r="E747" t="inlineStr">
        <is>
          <t>STRÖMSUND</t>
        </is>
      </c>
      <c r="G747" t="n">
        <v>4.5</v>
      </c>
      <c r="H747" t="n">
        <v>0</v>
      </c>
      <c r="I747" t="n">
        <v>0</v>
      </c>
      <c r="J747" t="n">
        <v>0</v>
      </c>
      <c r="K747" t="n">
        <v>0</v>
      </c>
      <c r="L747" t="n">
        <v>0</v>
      </c>
      <c r="M747" t="n">
        <v>0</v>
      </c>
      <c r="N747" t="n">
        <v>0</v>
      </c>
      <c r="O747" t="n">
        <v>0</v>
      </c>
      <c r="P747" t="n">
        <v>0</v>
      </c>
      <c r="Q747" t="n">
        <v>0</v>
      </c>
      <c r="R747" s="2" t="inlineStr"/>
    </row>
    <row r="748" ht="15" customHeight="1">
      <c r="A748" t="inlineStr">
        <is>
          <t>A 21602-2020</t>
        </is>
      </c>
      <c r="B748" s="1" t="n">
        <v>43957</v>
      </c>
      <c r="C748" s="1" t="n">
        <v>45740</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21773-2020</t>
        </is>
      </c>
      <c r="B749" s="1" t="n">
        <v>43957</v>
      </c>
      <c r="C749" s="1" t="n">
        <v>45740</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21971-2020</t>
        </is>
      </c>
      <c r="B750" s="1" t="n">
        <v>43958</v>
      </c>
      <c r="C750" s="1" t="n">
        <v>45740</v>
      </c>
      <c r="D750" t="inlineStr">
        <is>
          <t>JÄMTLANDS LÄN</t>
        </is>
      </c>
      <c r="E750" t="inlineStr">
        <is>
          <t>STRÖMSUND</t>
        </is>
      </c>
      <c r="F750" t="inlineStr">
        <is>
          <t>SCA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22092-2020</t>
        </is>
      </c>
      <c r="B751" s="1" t="n">
        <v>43959</v>
      </c>
      <c r="C751" s="1" t="n">
        <v>45740</v>
      </c>
      <c r="D751" t="inlineStr">
        <is>
          <t>JÄMTLANDS LÄN</t>
        </is>
      </c>
      <c r="E751" t="inlineStr">
        <is>
          <t>STRÖMSUND</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22699-2020</t>
        </is>
      </c>
      <c r="B752" s="1" t="n">
        <v>43963</v>
      </c>
      <c r="C752" s="1" t="n">
        <v>45740</v>
      </c>
      <c r="D752" t="inlineStr">
        <is>
          <t>JÄMTLANDS LÄN</t>
        </is>
      </c>
      <c r="E752" t="inlineStr">
        <is>
          <t>STRÖMSUND</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22905-2020</t>
        </is>
      </c>
      <c r="B753" s="1" t="n">
        <v>43964</v>
      </c>
      <c r="C753" s="1" t="n">
        <v>45740</v>
      </c>
      <c r="D753" t="inlineStr">
        <is>
          <t>JÄMTLANDS LÄN</t>
        </is>
      </c>
      <c r="E753" t="inlineStr">
        <is>
          <t>STRÖMSUND</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22906-2020</t>
        </is>
      </c>
      <c r="B754" s="1" t="n">
        <v>43964</v>
      </c>
      <c r="C754" s="1" t="n">
        <v>45740</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22912-2020</t>
        </is>
      </c>
      <c r="B755" s="1" t="n">
        <v>43964</v>
      </c>
      <c r="C755" s="1" t="n">
        <v>45740</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23412-2020</t>
        </is>
      </c>
      <c r="B756" s="1" t="n">
        <v>43969</v>
      </c>
      <c r="C756" s="1" t="n">
        <v>45740</v>
      </c>
      <c r="D756" t="inlineStr">
        <is>
          <t>JÄMTLANDS LÄN</t>
        </is>
      </c>
      <c r="E756" t="inlineStr">
        <is>
          <t>STRÖMSUND</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23647-2020</t>
        </is>
      </c>
      <c r="B757" s="1" t="n">
        <v>43969</v>
      </c>
      <c r="C757" s="1" t="n">
        <v>45740</v>
      </c>
      <c r="D757" t="inlineStr">
        <is>
          <t>JÄMTLANDS LÄN</t>
        </is>
      </c>
      <c r="E757" t="inlineStr">
        <is>
          <t>STRÖMSUND</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24054-2020</t>
        </is>
      </c>
      <c r="B758" s="1" t="n">
        <v>43971</v>
      </c>
      <c r="C758" s="1" t="n">
        <v>45740</v>
      </c>
      <c r="D758" t="inlineStr">
        <is>
          <t>JÄMTLANDS LÄN</t>
        </is>
      </c>
      <c r="E758" t="inlineStr">
        <is>
          <t>STRÖMSUND</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24064-2020</t>
        </is>
      </c>
      <c r="B759" s="1" t="n">
        <v>43971</v>
      </c>
      <c r="C759" s="1" t="n">
        <v>45740</v>
      </c>
      <c r="D759" t="inlineStr">
        <is>
          <t>JÄMTLANDS LÄN</t>
        </is>
      </c>
      <c r="E759" t="inlineStr">
        <is>
          <t>STRÖMSUND</t>
        </is>
      </c>
      <c r="F759" t="inlineStr">
        <is>
          <t>SCA</t>
        </is>
      </c>
      <c r="G759" t="n">
        <v>15.3</v>
      </c>
      <c r="H759" t="n">
        <v>0</v>
      </c>
      <c r="I759" t="n">
        <v>0</v>
      </c>
      <c r="J759" t="n">
        <v>0</v>
      </c>
      <c r="K759" t="n">
        <v>0</v>
      </c>
      <c r="L759" t="n">
        <v>0</v>
      </c>
      <c r="M759" t="n">
        <v>0</v>
      </c>
      <c r="N759" t="n">
        <v>0</v>
      </c>
      <c r="O759" t="n">
        <v>0</v>
      </c>
      <c r="P759" t="n">
        <v>0</v>
      </c>
      <c r="Q759" t="n">
        <v>0</v>
      </c>
      <c r="R759" s="2" t="inlineStr"/>
    </row>
    <row r="760" ht="15" customHeight="1">
      <c r="A760" t="inlineStr">
        <is>
          <t>A 24335-2020</t>
        </is>
      </c>
      <c r="B760" s="1" t="n">
        <v>43971</v>
      </c>
      <c r="C760" s="1" t="n">
        <v>45740</v>
      </c>
      <c r="D760" t="inlineStr">
        <is>
          <t>JÄMTLANDS LÄN</t>
        </is>
      </c>
      <c r="E760" t="inlineStr">
        <is>
          <t>STRÖMSUND</t>
        </is>
      </c>
      <c r="G760" t="n">
        <v>14.3</v>
      </c>
      <c r="H760" t="n">
        <v>0</v>
      </c>
      <c r="I760" t="n">
        <v>0</v>
      </c>
      <c r="J760" t="n">
        <v>0</v>
      </c>
      <c r="K760" t="n">
        <v>0</v>
      </c>
      <c r="L760" t="n">
        <v>0</v>
      </c>
      <c r="M760" t="n">
        <v>0</v>
      </c>
      <c r="N760" t="n">
        <v>0</v>
      </c>
      <c r="O760" t="n">
        <v>0</v>
      </c>
      <c r="P760" t="n">
        <v>0</v>
      </c>
      <c r="Q760" t="n">
        <v>0</v>
      </c>
      <c r="R760" s="2" t="inlineStr"/>
    </row>
    <row r="761" ht="15" customHeight="1">
      <c r="A761" t="inlineStr">
        <is>
          <t>A 24117-2020</t>
        </is>
      </c>
      <c r="B761" s="1" t="n">
        <v>43973</v>
      </c>
      <c r="C761" s="1" t="n">
        <v>45740</v>
      </c>
      <c r="D761" t="inlineStr">
        <is>
          <t>JÄMTLANDS LÄN</t>
        </is>
      </c>
      <c r="E761" t="inlineStr">
        <is>
          <t>STRÖMSUND</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24414-2020</t>
        </is>
      </c>
      <c r="B762" s="1" t="n">
        <v>43976</v>
      </c>
      <c r="C762" s="1" t="n">
        <v>45740</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24379-2020</t>
        </is>
      </c>
      <c r="B763" s="1" t="n">
        <v>43976</v>
      </c>
      <c r="C763" s="1" t="n">
        <v>45740</v>
      </c>
      <c r="D763" t="inlineStr">
        <is>
          <t>JÄMTLANDS LÄN</t>
        </is>
      </c>
      <c r="E763" t="inlineStr">
        <is>
          <t>STRÖMSUND</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24415-2020</t>
        </is>
      </c>
      <c r="B764" s="1" t="n">
        <v>43976</v>
      </c>
      <c r="C764" s="1" t="n">
        <v>45740</v>
      </c>
      <c r="D764" t="inlineStr">
        <is>
          <t>JÄMTLANDS LÄN</t>
        </is>
      </c>
      <c r="E764" t="inlineStr">
        <is>
          <t>STRÖMSUND</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24384-2020</t>
        </is>
      </c>
      <c r="B765" s="1" t="n">
        <v>43976</v>
      </c>
      <c r="C765" s="1" t="n">
        <v>45740</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24413-2020</t>
        </is>
      </c>
      <c r="B766" s="1" t="n">
        <v>43976</v>
      </c>
      <c r="C766" s="1" t="n">
        <v>45740</v>
      </c>
      <c r="D766" t="inlineStr">
        <is>
          <t>JÄMTLANDS LÄN</t>
        </is>
      </c>
      <c r="E766" t="inlineStr">
        <is>
          <t>STRÖMSUND</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25109-2020</t>
        </is>
      </c>
      <c r="B767" s="1" t="n">
        <v>43979</v>
      </c>
      <c r="C767" s="1" t="n">
        <v>45740</v>
      </c>
      <c r="D767" t="inlineStr">
        <is>
          <t>JÄMTLANDS LÄN</t>
        </is>
      </c>
      <c r="E767" t="inlineStr">
        <is>
          <t>STRÖMSUND</t>
        </is>
      </c>
      <c r="F767" t="inlineStr">
        <is>
          <t>SCA</t>
        </is>
      </c>
      <c r="G767" t="n">
        <v>10.7</v>
      </c>
      <c r="H767" t="n">
        <v>0</v>
      </c>
      <c r="I767" t="n">
        <v>0</v>
      </c>
      <c r="J767" t="n">
        <v>0</v>
      </c>
      <c r="K767" t="n">
        <v>0</v>
      </c>
      <c r="L767" t="n">
        <v>0</v>
      </c>
      <c r="M767" t="n">
        <v>0</v>
      </c>
      <c r="N767" t="n">
        <v>0</v>
      </c>
      <c r="O767" t="n">
        <v>0</v>
      </c>
      <c r="P767" t="n">
        <v>0</v>
      </c>
      <c r="Q767" t="n">
        <v>0</v>
      </c>
      <c r="R767" s="2" t="inlineStr"/>
    </row>
    <row r="768" ht="15" customHeight="1">
      <c r="A768" t="inlineStr">
        <is>
          <t>A 25107-2020</t>
        </is>
      </c>
      <c r="B768" s="1" t="n">
        <v>43979</v>
      </c>
      <c r="C768" s="1" t="n">
        <v>45740</v>
      </c>
      <c r="D768" t="inlineStr">
        <is>
          <t>JÄMTLANDS LÄN</t>
        </is>
      </c>
      <c r="E768" t="inlineStr">
        <is>
          <t>STRÖMSUND</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25396-2020</t>
        </is>
      </c>
      <c r="B769" s="1" t="n">
        <v>43980</v>
      </c>
      <c r="C769" s="1" t="n">
        <v>45740</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25375-2020</t>
        </is>
      </c>
      <c r="B770" s="1" t="n">
        <v>43980</v>
      </c>
      <c r="C770" s="1" t="n">
        <v>45740</v>
      </c>
      <c r="D770" t="inlineStr">
        <is>
          <t>JÄMTLANDS LÄN</t>
        </is>
      </c>
      <c r="E770" t="inlineStr">
        <is>
          <t>STRÖMSUND</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25390-2020</t>
        </is>
      </c>
      <c r="B771" s="1" t="n">
        <v>43980</v>
      </c>
      <c r="C771" s="1" t="n">
        <v>45740</v>
      </c>
      <c r="D771" t="inlineStr">
        <is>
          <t>JÄMTLANDS LÄN</t>
        </is>
      </c>
      <c r="E771" t="inlineStr">
        <is>
          <t>STRÖMSUND</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25388-2020</t>
        </is>
      </c>
      <c r="B772" s="1" t="n">
        <v>43980</v>
      </c>
      <c r="C772" s="1" t="n">
        <v>45740</v>
      </c>
      <c r="D772" t="inlineStr">
        <is>
          <t>JÄMTLANDS LÄN</t>
        </is>
      </c>
      <c r="E772" t="inlineStr">
        <is>
          <t>STRÖMSUND</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25398-2020</t>
        </is>
      </c>
      <c r="B773" s="1" t="n">
        <v>43980</v>
      </c>
      <c r="C773" s="1" t="n">
        <v>45740</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25381-2020</t>
        </is>
      </c>
      <c r="B774" s="1" t="n">
        <v>43980</v>
      </c>
      <c r="C774" s="1" t="n">
        <v>45740</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25392-2020</t>
        </is>
      </c>
      <c r="B775" s="1" t="n">
        <v>43980</v>
      </c>
      <c r="C775" s="1" t="n">
        <v>45740</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25680-2020</t>
        </is>
      </c>
      <c r="B776" s="1" t="n">
        <v>43983</v>
      </c>
      <c r="C776" s="1" t="n">
        <v>45740</v>
      </c>
      <c r="D776" t="inlineStr">
        <is>
          <t>JÄMTLANDS LÄN</t>
        </is>
      </c>
      <c r="E776" t="inlineStr">
        <is>
          <t>STRÖMSUND</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25892-2020</t>
        </is>
      </c>
      <c r="B777" s="1" t="n">
        <v>43984</v>
      </c>
      <c r="C777" s="1" t="n">
        <v>45740</v>
      </c>
      <c r="D777" t="inlineStr">
        <is>
          <t>JÄMTLANDS LÄN</t>
        </is>
      </c>
      <c r="E777" t="inlineStr">
        <is>
          <t>STRÖMSUND</t>
        </is>
      </c>
      <c r="G777" t="n">
        <v>3.5</v>
      </c>
      <c r="H777" t="n">
        <v>0</v>
      </c>
      <c r="I777" t="n">
        <v>0</v>
      </c>
      <c r="J777" t="n">
        <v>0</v>
      </c>
      <c r="K777" t="n">
        <v>0</v>
      </c>
      <c r="L777" t="n">
        <v>0</v>
      </c>
      <c r="M777" t="n">
        <v>0</v>
      </c>
      <c r="N777" t="n">
        <v>0</v>
      </c>
      <c r="O777" t="n">
        <v>0</v>
      </c>
      <c r="P777" t="n">
        <v>0</v>
      </c>
      <c r="Q777" t="n">
        <v>0</v>
      </c>
      <c r="R777" s="2" t="inlineStr"/>
    </row>
    <row r="778" ht="15" customHeight="1">
      <c r="A778" t="inlineStr">
        <is>
          <t>A 25913-2020</t>
        </is>
      </c>
      <c r="B778" s="1" t="n">
        <v>43984</v>
      </c>
      <c r="C778" s="1" t="n">
        <v>45740</v>
      </c>
      <c r="D778" t="inlineStr">
        <is>
          <t>JÄMTLANDS LÄN</t>
        </is>
      </c>
      <c r="E778" t="inlineStr">
        <is>
          <t>STRÖMSUND</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25997-2020</t>
        </is>
      </c>
      <c r="B779" s="1" t="n">
        <v>43985</v>
      </c>
      <c r="C779" s="1" t="n">
        <v>45740</v>
      </c>
      <c r="D779" t="inlineStr">
        <is>
          <t>JÄMTLANDS LÄN</t>
        </is>
      </c>
      <c r="E779" t="inlineStr">
        <is>
          <t>STRÖMSUND</t>
        </is>
      </c>
      <c r="G779" t="n">
        <v>2.4</v>
      </c>
      <c r="H779" t="n">
        <v>0</v>
      </c>
      <c r="I779" t="n">
        <v>0</v>
      </c>
      <c r="J779" t="n">
        <v>0</v>
      </c>
      <c r="K779" t="n">
        <v>0</v>
      </c>
      <c r="L779" t="n">
        <v>0</v>
      </c>
      <c r="M779" t="n">
        <v>0</v>
      </c>
      <c r="N779" t="n">
        <v>0</v>
      </c>
      <c r="O779" t="n">
        <v>0</v>
      </c>
      <c r="P779" t="n">
        <v>0</v>
      </c>
      <c r="Q779" t="n">
        <v>0</v>
      </c>
      <c r="R779" s="2" t="inlineStr"/>
    </row>
    <row r="780" ht="15" customHeight="1">
      <c r="A780" t="inlineStr">
        <is>
          <t>A 26190-2020</t>
        </is>
      </c>
      <c r="B780" s="1" t="n">
        <v>43985</v>
      </c>
      <c r="C780" s="1" t="n">
        <v>45740</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26669-2020</t>
        </is>
      </c>
      <c r="B781" s="1" t="n">
        <v>43989</v>
      </c>
      <c r="C781" s="1" t="n">
        <v>45740</v>
      </c>
      <c r="D781" t="inlineStr">
        <is>
          <t>JÄMTLANDS LÄN</t>
        </is>
      </c>
      <c r="E781" t="inlineStr">
        <is>
          <t>STRÖMSUND</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26670-2020</t>
        </is>
      </c>
      <c r="B782" s="1" t="n">
        <v>43989</v>
      </c>
      <c r="C782" s="1" t="n">
        <v>45740</v>
      </c>
      <c r="D782" t="inlineStr">
        <is>
          <t>JÄMTLANDS LÄN</t>
        </is>
      </c>
      <c r="E782" t="inlineStr">
        <is>
          <t>STRÖMSUND</t>
        </is>
      </c>
      <c r="G782" t="n">
        <v>2.3</v>
      </c>
      <c r="H782" t="n">
        <v>0</v>
      </c>
      <c r="I782" t="n">
        <v>0</v>
      </c>
      <c r="J782" t="n">
        <v>0</v>
      </c>
      <c r="K782" t="n">
        <v>0</v>
      </c>
      <c r="L782" t="n">
        <v>0</v>
      </c>
      <c r="M782" t="n">
        <v>0</v>
      </c>
      <c r="N782" t="n">
        <v>0</v>
      </c>
      <c r="O782" t="n">
        <v>0</v>
      </c>
      <c r="P782" t="n">
        <v>0</v>
      </c>
      <c r="Q782" t="n">
        <v>0</v>
      </c>
      <c r="R782" s="2" t="inlineStr"/>
    </row>
    <row r="783" ht="15" customHeight="1">
      <c r="A783" t="inlineStr">
        <is>
          <t>A 27415-2020</t>
        </is>
      </c>
      <c r="B783" s="1" t="n">
        <v>43992</v>
      </c>
      <c r="C783" s="1" t="n">
        <v>45740</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27709-2020</t>
        </is>
      </c>
      <c r="B784" s="1" t="n">
        <v>43994</v>
      </c>
      <c r="C784" s="1" t="n">
        <v>45740</v>
      </c>
      <c r="D784" t="inlineStr">
        <is>
          <t>JÄMTLANDS LÄN</t>
        </is>
      </c>
      <c r="E784" t="inlineStr">
        <is>
          <t>STRÖMSUND</t>
        </is>
      </c>
      <c r="G784" t="n">
        <v>2.9</v>
      </c>
      <c r="H784" t="n">
        <v>0</v>
      </c>
      <c r="I784" t="n">
        <v>0</v>
      </c>
      <c r="J784" t="n">
        <v>0</v>
      </c>
      <c r="K784" t="n">
        <v>0</v>
      </c>
      <c r="L784" t="n">
        <v>0</v>
      </c>
      <c r="M784" t="n">
        <v>0</v>
      </c>
      <c r="N784" t="n">
        <v>0</v>
      </c>
      <c r="O784" t="n">
        <v>0</v>
      </c>
      <c r="P784" t="n">
        <v>0</v>
      </c>
      <c r="Q784" t="n">
        <v>0</v>
      </c>
      <c r="R784" s="2" t="inlineStr"/>
    </row>
    <row r="785" ht="15" customHeight="1">
      <c r="A785" t="inlineStr">
        <is>
          <t>A 28196-2020</t>
        </is>
      </c>
      <c r="B785" s="1" t="n">
        <v>43997</v>
      </c>
      <c r="C785" s="1" t="n">
        <v>45740</v>
      </c>
      <c r="D785" t="inlineStr">
        <is>
          <t>JÄMTLANDS LÄN</t>
        </is>
      </c>
      <c r="E785" t="inlineStr">
        <is>
          <t>STRÖMSUND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28765-2020</t>
        </is>
      </c>
      <c r="B786" s="1" t="n">
        <v>43999</v>
      </c>
      <c r="C786" s="1" t="n">
        <v>45740</v>
      </c>
      <c r="D786" t="inlineStr">
        <is>
          <t>JÄMTLANDS LÄN</t>
        </is>
      </c>
      <c r="E786" t="inlineStr">
        <is>
          <t>STRÖMSUND</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29046-2020</t>
        </is>
      </c>
      <c r="B787" s="1" t="n">
        <v>44000</v>
      </c>
      <c r="C787" s="1" t="n">
        <v>45740</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30804-2020</t>
        </is>
      </c>
      <c r="B788" s="1" t="n">
        <v>44010</v>
      </c>
      <c r="C788" s="1" t="n">
        <v>45740</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30981-2020</t>
        </is>
      </c>
      <c r="B789" s="1" t="n">
        <v>44011</v>
      </c>
      <c r="C789" s="1" t="n">
        <v>45740</v>
      </c>
      <c r="D789" t="inlineStr">
        <is>
          <t>JÄMTLANDS LÄN</t>
        </is>
      </c>
      <c r="E789" t="inlineStr">
        <is>
          <t>STRÖMSUND</t>
        </is>
      </c>
      <c r="G789" t="n">
        <v>6.7</v>
      </c>
      <c r="H789" t="n">
        <v>0</v>
      </c>
      <c r="I789" t="n">
        <v>0</v>
      </c>
      <c r="J789" t="n">
        <v>0</v>
      </c>
      <c r="K789" t="n">
        <v>0</v>
      </c>
      <c r="L789" t="n">
        <v>0</v>
      </c>
      <c r="M789" t="n">
        <v>0</v>
      </c>
      <c r="N789" t="n">
        <v>0</v>
      </c>
      <c r="O789" t="n">
        <v>0</v>
      </c>
      <c r="P789" t="n">
        <v>0</v>
      </c>
      <c r="Q789" t="n">
        <v>0</v>
      </c>
      <c r="R789" s="2" t="inlineStr"/>
    </row>
    <row r="790" ht="15" customHeight="1">
      <c r="A790" t="inlineStr">
        <is>
          <t>A 31077-2020</t>
        </is>
      </c>
      <c r="B790" s="1" t="n">
        <v>44011</v>
      </c>
      <c r="C790" s="1" t="n">
        <v>45740</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31337-2020</t>
        </is>
      </c>
      <c r="B791" s="1" t="n">
        <v>44012</v>
      </c>
      <c r="C791" s="1" t="n">
        <v>45740</v>
      </c>
      <c r="D791" t="inlineStr">
        <is>
          <t>JÄMTLANDS LÄN</t>
        </is>
      </c>
      <c r="E791" t="inlineStr">
        <is>
          <t>STRÖMSUND</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45740</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45740</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45740</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45740</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45740</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45740</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45740</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45740</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45740</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45740</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45740</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45740</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45740</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45740</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45740</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45740</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45740</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45740</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45740</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45740</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45740</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45740</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45740</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45740</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45740</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45740</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45740</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45740</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45740</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45740</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45740</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45740</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45740</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45740</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45740</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45740</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45740</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45740</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45740</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45740</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45740</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45740</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45740</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45740</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45740</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45740</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45740</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45740</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45740</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45740</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45740</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45740</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45740</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45740</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45740</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45740</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45740</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45740</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45740</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45740</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45740</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45740</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45740</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45740</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45740</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45740</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45740</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45740</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45740</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45740</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45740</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45740</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45740</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45740</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45740</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45740</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45740</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45740</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45740</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45740</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45740</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45740</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45740</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45740</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45740</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45740</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45740</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45740</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45740</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45740</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45740</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45740</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45740</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45740</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45740</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45740</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45740</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45740</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45740</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45740</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45740</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45740</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45740</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45740</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45740</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45740</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45740</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45740</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45740</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45740</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45740</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45740</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45740</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45740</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45740</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45740</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45740</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45740</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45740</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45740</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45740</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45740</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45740</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45740</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45740</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45740</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45740</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45740</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45740</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45740</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45740</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45740</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45740</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45740</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45740</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45740</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45740</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45740</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45740</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45740</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45740</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45740</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45740</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45740</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45740</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45740</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45740</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45740</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45740</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45740</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45740</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45740</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45740</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45740</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45740</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45740</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45740</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45740</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45740</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45740</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45740</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45740</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45740</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45740</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45740</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45740</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45740</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45740</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45740</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45740</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45740</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45740</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45740</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45740</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45740</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45740</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45740</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45740</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45740</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45740</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45740</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45740</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45740</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45740</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45740</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45740</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45740</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45740</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45740</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45740</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45740</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45740</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45740</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45740</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45740</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45740</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45740</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45740</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45740</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45740</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45740</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45740</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10528-2021</t>
        </is>
      </c>
      <c r="B994" s="1" t="n">
        <v>44257</v>
      </c>
      <c r="C994" s="1" t="n">
        <v>45740</v>
      </c>
      <c r="D994" t="inlineStr">
        <is>
          <t>JÄMTLANDS LÄN</t>
        </is>
      </c>
      <c r="E994" t="inlineStr">
        <is>
          <t>STRÖMSUND</t>
        </is>
      </c>
      <c r="G994" t="n">
        <v>12.8</v>
      </c>
      <c r="H994" t="n">
        <v>0</v>
      </c>
      <c r="I994" t="n">
        <v>0</v>
      </c>
      <c r="J994" t="n">
        <v>0</v>
      </c>
      <c r="K994" t="n">
        <v>0</v>
      </c>
      <c r="L994" t="n">
        <v>0</v>
      </c>
      <c r="M994" t="n">
        <v>0</v>
      </c>
      <c r="N994" t="n">
        <v>0</v>
      </c>
      <c r="O994" t="n">
        <v>0</v>
      </c>
      <c r="P994" t="n">
        <v>0</v>
      </c>
      <c r="Q994" t="n">
        <v>0</v>
      </c>
      <c r="R994" s="2" t="inlineStr"/>
    </row>
    <row r="995" ht="15" customHeight="1">
      <c r="A995" t="inlineStr">
        <is>
          <t>A 11034-2021</t>
        </is>
      </c>
      <c r="B995" s="1" t="n">
        <v>44260</v>
      </c>
      <c r="C995" s="1" t="n">
        <v>45740</v>
      </c>
      <c r="D995" t="inlineStr">
        <is>
          <t>JÄMTLANDS LÄN</t>
        </is>
      </c>
      <c r="E995" t="inlineStr">
        <is>
          <t>STRÖMSUND</t>
        </is>
      </c>
      <c r="G995" t="n">
        <v>8.5</v>
      </c>
      <c r="H995" t="n">
        <v>0</v>
      </c>
      <c r="I995" t="n">
        <v>0</v>
      </c>
      <c r="J995" t="n">
        <v>0</v>
      </c>
      <c r="K995" t="n">
        <v>0</v>
      </c>
      <c r="L995" t="n">
        <v>0</v>
      </c>
      <c r="M995" t="n">
        <v>0</v>
      </c>
      <c r="N995" t="n">
        <v>0</v>
      </c>
      <c r="O995" t="n">
        <v>0</v>
      </c>
      <c r="P995" t="n">
        <v>0</v>
      </c>
      <c r="Q995" t="n">
        <v>0</v>
      </c>
      <c r="R995" s="2" t="inlineStr"/>
    </row>
    <row r="996" ht="15" customHeight="1">
      <c r="A996" t="inlineStr">
        <is>
          <t>A 11508-2021</t>
        </is>
      </c>
      <c r="B996" s="1" t="n">
        <v>44264</v>
      </c>
      <c r="C996" s="1" t="n">
        <v>45740</v>
      </c>
      <c r="D996" t="inlineStr">
        <is>
          <t>JÄMTLANDS LÄN</t>
        </is>
      </c>
      <c r="E996" t="inlineStr">
        <is>
          <t>STRÖMSUND</t>
        </is>
      </c>
      <c r="F996" t="inlineStr">
        <is>
          <t>Kyrkan</t>
        </is>
      </c>
      <c r="G996" t="n">
        <v>3.5</v>
      </c>
      <c r="H996" t="n">
        <v>0</v>
      </c>
      <c r="I996" t="n">
        <v>0</v>
      </c>
      <c r="J996" t="n">
        <v>0</v>
      </c>
      <c r="K996" t="n">
        <v>0</v>
      </c>
      <c r="L996" t="n">
        <v>0</v>
      </c>
      <c r="M996" t="n">
        <v>0</v>
      </c>
      <c r="N996" t="n">
        <v>0</v>
      </c>
      <c r="O996" t="n">
        <v>0</v>
      </c>
      <c r="P996" t="n">
        <v>0</v>
      </c>
      <c r="Q996" t="n">
        <v>0</v>
      </c>
      <c r="R996" s="2" t="inlineStr"/>
    </row>
    <row r="997" ht="15" customHeight="1">
      <c r="A997" t="inlineStr">
        <is>
          <t>A 12250-2021</t>
        </is>
      </c>
      <c r="B997" s="1" t="n">
        <v>44266</v>
      </c>
      <c r="C997" s="1" t="n">
        <v>45740</v>
      </c>
      <c r="D997" t="inlineStr">
        <is>
          <t>JÄMTLANDS LÄN</t>
        </is>
      </c>
      <c r="E997" t="inlineStr">
        <is>
          <t>STRÖMSUND</t>
        </is>
      </c>
      <c r="G997" t="n">
        <v>5</v>
      </c>
      <c r="H997" t="n">
        <v>0</v>
      </c>
      <c r="I997" t="n">
        <v>0</v>
      </c>
      <c r="J997" t="n">
        <v>0</v>
      </c>
      <c r="K997" t="n">
        <v>0</v>
      </c>
      <c r="L997" t="n">
        <v>0</v>
      </c>
      <c r="M997" t="n">
        <v>0</v>
      </c>
      <c r="N997" t="n">
        <v>0</v>
      </c>
      <c r="O997" t="n">
        <v>0</v>
      </c>
      <c r="P997" t="n">
        <v>0</v>
      </c>
      <c r="Q997" t="n">
        <v>0</v>
      </c>
      <c r="R997" s="2" t="inlineStr"/>
    </row>
    <row r="998" ht="15" customHeight="1">
      <c r="A998" t="inlineStr">
        <is>
          <t>A 12186-2021</t>
        </is>
      </c>
      <c r="B998" s="1" t="n">
        <v>44266</v>
      </c>
      <c r="C998" s="1" t="n">
        <v>45740</v>
      </c>
      <c r="D998" t="inlineStr">
        <is>
          <t>JÄMTLANDS LÄN</t>
        </is>
      </c>
      <c r="E998" t="inlineStr">
        <is>
          <t>STRÖMSUND</t>
        </is>
      </c>
      <c r="G998" t="n">
        <v>3</v>
      </c>
      <c r="H998" t="n">
        <v>0</v>
      </c>
      <c r="I998" t="n">
        <v>0</v>
      </c>
      <c r="J998" t="n">
        <v>0</v>
      </c>
      <c r="K998" t="n">
        <v>0</v>
      </c>
      <c r="L998" t="n">
        <v>0</v>
      </c>
      <c r="M998" t="n">
        <v>0</v>
      </c>
      <c r="N998" t="n">
        <v>0</v>
      </c>
      <c r="O998" t="n">
        <v>0</v>
      </c>
      <c r="P998" t="n">
        <v>0</v>
      </c>
      <c r="Q998" t="n">
        <v>0</v>
      </c>
      <c r="R998" s="2" t="inlineStr"/>
    </row>
    <row r="999" ht="15" customHeight="1">
      <c r="A999" t="inlineStr">
        <is>
          <t>A 12428-2021</t>
        </is>
      </c>
      <c r="B999" s="1" t="n">
        <v>44267</v>
      </c>
      <c r="C999" s="1" t="n">
        <v>45740</v>
      </c>
      <c r="D999" t="inlineStr">
        <is>
          <t>JÄMTLANDS LÄN</t>
        </is>
      </c>
      <c r="E999" t="inlineStr">
        <is>
          <t>STRÖMSUND</t>
        </is>
      </c>
      <c r="G999" t="n">
        <v>19.6</v>
      </c>
      <c r="H999" t="n">
        <v>0</v>
      </c>
      <c r="I999" t="n">
        <v>0</v>
      </c>
      <c r="J999" t="n">
        <v>0</v>
      </c>
      <c r="K999" t="n">
        <v>0</v>
      </c>
      <c r="L999" t="n">
        <v>0</v>
      </c>
      <c r="M999" t="n">
        <v>0</v>
      </c>
      <c r="N999" t="n">
        <v>0</v>
      </c>
      <c r="O999" t="n">
        <v>0</v>
      </c>
      <c r="P999" t="n">
        <v>0</v>
      </c>
      <c r="Q999" t="n">
        <v>0</v>
      </c>
      <c r="R999" s="2" t="inlineStr"/>
    </row>
    <row r="1000" ht="15" customHeight="1">
      <c r="A1000" t="inlineStr">
        <is>
          <t>A 12840-2021</t>
        </is>
      </c>
      <c r="B1000" s="1" t="n">
        <v>44270</v>
      </c>
      <c r="C1000" s="1" t="n">
        <v>45740</v>
      </c>
      <c r="D1000" t="inlineStr">
        <is>
          <t>JÄMTLANDS LÄN</t>
        </is>
      </c>
      <c r="E1000" t="inlineStr">
        <is>
          <t>STRÖMSUND</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13041-2021</t>
        </is>
      </c>
      <c r="B1001" s="1" t="n">
        <v>44271</v>
      </c>
      <c r="C1001" s="1" t="n">
        <v>45740</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45740</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14067-2021</t>
        </is>
      </c>
      <c r="B1003" s="1" t="n">
        <v>44277</v>
      </c>
      <c r="C1003" s="1" t="n">
        <v>45740</v>
      </c>
      <c r="D1003" t="inlineStr">
        <is>
          <t>JÄMTLANDS LÄN</t>
        </is>
      </c>
      <c r="E1003" t="inlineStr">
        <is>
          <t>STRÖMSUND</t>
        </is>
      </c>
      <c r="G1003" t="n">
        <v>27.7</v>
      </c>
      <c r="H1003" t="n">
        <v>0</v>
      </c>
      <c r="I1003" t="n">
        <v>0</v>
      </c>
      <c r="J1003" t="n">
        <v>0</v>
      </c>
      <c r="K1003" t="n">
        <v>0</v>
      </c>
      <c r="L1003" t="n">
        <v>0</v>
      </c>
      <c r="M1003" t="n">
        <v>0</v>
      </c>
      <c r="N1003" t="n">
        <v>0</v>
      </c>
      <c r="O1003" t="n">
        <v>0</v>
      </c>
      <c r="P1003" t="n">
        <v>0</v>
      </c>
      <c r="Q1003" t="n">
        <v>0</v>
      </c>
      <c r="R1003" s="2" t="inlineStr"/>
    </row>
    <row r="1004" ht="15" customHeight="1">
      <c r="A1004" t="inlineStr">
        <is>
          <t>A 14147-2021</t>
        </is>
      </c>
      <c r="B1004" s="1" t="n">
        <v>44278</v>
      </c>
      <c r="C1004" s="1" t="n">
        <v>45740</v>
      </c>
      <c r="D1004" t="inlineStr">
        <is>
          <t>JÄMTLANDS LÄN</t>
        </is>
      </c>
      <c r="E1004" t="inlineStr">
        <is>
          <t>STRÖMSUND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15118-2021</t>
        </is>
      </c>
      <c r="B1005" s="1" t="n">
        <v>44282</v>
      </c>
      <c r="C1005" s="1" t="n">
        <v>45740</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15355-2021</t>
        </is>
      </c>
      <c r="B1006" s="1" t="n">
        <v>44284</v>
      </c>
      <c r="C1006" s="1" t="n">
        <v>45740</v>
      </c>
      <c r="D1006" t="inlineStr">
        <is>
          <t>JÄMTLANDS LÄN</t>
        </is>
      </c>
      <c r="E1006" t="inlineStr">
        <is>
          <t>STRÖMSUND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15360-2021</t>
        </is>
      </c>
      <c r="B1007" s="1" t="n">
        <v>44284</v>
      </c>
      <c r="C1007" s="1" t="n">
        <v>45740</v>
      </c>
      <c r="D1007" t="inlineStr">
        <is>
          <t>JÄMTLANDS LÄN</t>
        </is>
      </c>
      <c r="E1007" t="inlineStr">
        <is>
          <t>STRÖMSUND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15371-2021</t>
        </is>
      </c>
      <c r="B1008" s="1" t="n">
        <v>44284</v>
      </c>
      <c r="C1008" s="1" t="n">
        <v>45740</v>
      </c>
      <c r="D1008" t="inlineStr">
        <is>
          <t>JÄMTLANDS LÄN</t>
        </is>
      </c>
      <c r="E1008" t="inlineStr">
        <is>
          <t>STRÖMSUND</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15650-2021</t>
        </is>
      </c>
      <c r="B1009" s="1" t="n">
        <v>44285</v>
      </c>
      <c r="C1009" s="1" t="n">
        <v>45740</v>
      </c>
      <c r="D1009" t="inlineStr">
        <is>
          <t>JÄMTLANDS LÄN</t>
        </is>
      </c>
      <c r="E1009" t="inlineStr">
        <is>
          <t>STRÖMSUND</t>
        </is>
      </c>
      <c r="F1009" t="inlineStr">
        <is>
          <t>SCA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16128-2021</t>
        </is>
      </c>
      <c r="B1010" s="1" t="n">
        <v>44291</v>
      </c>
      <c r="C1010" s="1" t="n">
        <v>45740</v>
      </c>
      <c r="D1010" t="inlineStr">
        <is>
          <t>JÄMTLANDS LÄN</t>
        </is>
      </c>
      <c r="E1010" t="inlineStr">
        <is>
          <t>STRÖMSUND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16774-2021</t>
        </is>
      </c>
      <c r="B1011" s="1" t="n">
        <v>44294</v>
      </c>
      <c r="C1011" s="1" t="n">
        <v>45740</v>
      </c>
      <c r="D1011" t="inlineStr">
        <is>
          <t>JÄMTLANDS LÄN</t>
        </is>
      </c>
      <c r="E1011" t="inlineStr">
        <is>
          <t>STRÖMSUND</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17368-2021</t>
        </is>
      </c>
      <c r="B1012" s="1" t="n">
        <v>44299</v>
      </c>
      <c r="C1012" s="1" t="n">
        <v>45740</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17373-2021</t>
        </is>
      </c>
      <c r="B1013" s="1" t="n">
        <v>44299</v>
      </c>
      <c r="C1013" s="1" t="n">
        <v>45740</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17808-2021</t>
        </is>
      </c>
      <c r="B1014" s="1" t="n">
        <v>44300</v>
      </c>
      <c r="C1014" s="1" t="n">
        <v>45740</v>
      </c>
      <c r="D1014" t="inlineStr">
        <is>
          <t>JÄMTLANDS LÄN</t>
        </is>
      </c>
      <c r="E1014" t="inlineStr">
        <is>
          <t>STRÖMSUND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17857-2021</t>
        </is>
      </c>
      <c r="B1015" s="1" t="n">
        <v>44300</v>
      </c>
      <c r="C1015" s="1" t="n">
        <v>45740</v>
      </c>
      <c r="D1015" t="inlineStr">
        <is>
          <t>JÄMTLANDS LÄN</t>
        </is>
      </c>
      <c r="E1015" t="inlineStr">
        <is>
          <t>STRÖMSUND</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17933-2021</t>
        </is>
      </c>
      <c r="B1016" s="1" t="n">
        <v>44301</v>
      </c>
      <c r="C1016" s="1" t="n">
        <v>45740</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18220-2021</t>
        </is>
      </c>
      <c r="B1017" s="1" t="n">
        <v>44302</v>
      </c>
      <c r="C1017" s="1" t="n">
        <v>45740</v>
      </c>
      <c r="D1017" t="inlineStr">
        <is>
          <t>JÄMTLANDS LÄN</t>
        </is>
      </c>
      <c r="E1017" t="inlineStr">
        <is>
          <t>STRÖMSUND</t>
        </is>
      </c>
      <c r="F1017" t="inlineStr">
        <is>
          <t>SCA</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18775-2021</t>
        </is>
      </c>
      <c r="B1018" s="1" t="n">
        <v>44307</v>
      </c>
      <c r="C1018" s="1" t="n">
        <v>45740</v>
      </c>
      <c r="D1018" t="inlineStr">
        <is>
          <t>JÄMTLANDS LÄN</t>
        </is>
      </c>
      <c r="E1018" t="inlineStr">
        <is>
          <t>STRÖMSUND</t>
        </is>
      </c>
      <c r="G1018" t="n">
        <v>39.7</v>
      </c>
      <c r="H1018" t="n">
        <v>0</v>
      </c>
      <c r="I1018" t="n">
        <v>0</v>
      </c>
      <c r="J1018" t="n">
        <v>0</v>
      </c>
      <c r="K1018" t="n">
        <v>0</v>
      </c>
      <c r="L1018" t="n">
        <v>0</v>
      </c>
      <c r="M1018" t="n">
        <v>0</v>
      </c>
      <c r="N1018" t="n">
        <v>0</v>
      </c>
      <c r="O1018" t="n">
        <v>0</v>
      </c>
      <c r="P1018" t="n">
        <v>0</v>
      </c>
      <c r="Q1018" t="n">
        <v>0</v>
      </c>
      <c r="R1018" s="2" t="inlineStr"/>
    </row>
    <row r="1019" ht="15" customHeight="1">
      <c r="A1019" t="inlineStr">
        <is>
          <t>A 20413-2021</t>
        </is>
      </c>
      <c r="B1019" s="1" t="n">
        <v>44312</v>
      </c>
      <c r="C1019" s="1" t="n">
        <v>45740</v>
      </c>
      <c r="D1019" t="inlineStr">
        <is>
          <t>JÄMTLANDS LÄN</t>
        </is>
      </c>
      <c r="E1019" t="inlineStr">
        <is>
          <t>STRÖMSUND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19726-2021</t>
        </is>
      </c>
      <c r="B1020" s="1" t="n">
        <v>44312</v>
      </c>
      <c r="C1020" s="1" t="n">
        <v>45740</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19556-2021</t>
        </is>
      </c>
      <c r="B1021" s="1" t="n">
        <v>44312</v>
      </c>
      <c r="C1021" s="1" t="n">
        <v>45740</v>
      </c>
      <c r="D1021" t="inlineStr">
        <is>
          <t>JÄMTLANDS LÄN</t>
        </is>
      </c>
      <c r="E1021" t="inlineStr">
        <is>
          <t>STRÖMSUND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19572-2021</t>
        </is>
      </c>
      <c r="B1022" s="1" t="n">
        <v>44312</v>
      </c>
      <c r="C1022" s="1" t="n">
        <v>45740</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19567-2021</t>
        </is>
      </c>
      <c r="B1023" s="1" t="n">
        <v>44312</v>
      </c>
      <c r="C1023" s="1" t="n">
        <v>45740</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20295-2021</t>
        </is>
      </c>
      <c r="B1024" s="1" t="n">
        <v>44314</v>
      </c>
      <c r="C1024" s="1" t="n">
        <v>45740</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21095-2021</t>
        </is>
      </c>
      <c r="B1025" s="1" t="n">
        <v>44319</v>
      </c>
      <c r="C1025" s="1" t="n">
        <v>45740</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21103-2021</t>
        </is>
      </c>
      <c r="B1026" s="1" t="n">
        <v>44320</v>
      </c>
      <c r="C1026" s="1" t="n">
        <v>45740</v>
      </c>
      <c r="D1026" t="inlineStr">
        <is>
          <t>JÄMTLANDS LÄN</t>
        </is>
      </c>
      <c r="E1026" t="inlineStr">
        <is>
          <t>STRÖMSUND</t>
        </is>
      </c>
      <c r="F1026" t="inlineStr">
        <is>
          <t>SCA</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21097-2021</t>
        </is>
      </c>
      <c r="B1027" s="1" t="n">
        <v>44319</v>
      </c>
      <c r="C1027" s="1" t="n">
        <v>45740</v>
      </c>
      <c r="D1027" t="inlineStr">
        <is>
          <t>JÄMTLANDS LÄN</t>
        </is>
      </c>
      <c r="E1027" t="inlineStr">
        <is>
          <t>STRÖMSUND</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21093-2021</t>
        </is>
      </c>
      <c r="B1028" s="1" t="n">
        <v>44319</v>
      </c>
      <c r="C1028" s="1" t="n">
        <v>45740</v>
      </c>
      <c r="D1028" t="inlineStr">
        <is>
          <t>JÄMTLANDS LÄN</t>
        </is>
      </c>
      <c r="E1028" t="inlineStr">
        <is>
          <t>STRÖMSUND</t>
        </is>
      </c>
      <c r="F1028" t="inlineStr">
        <is>
          <t>SCA</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22318-2021</t>
        </is>
      </c>
      <c r="B1029" s="1" t="n">
        <v>44321</v>
      </c>
      <c r="C1029" s="1" t="n">
        <v>45740</v>
      </c>
      <c r="D1029" t="inlineStr">
        <is>
          <t>JÄMTLANDS LÄN</t>
        </is>
      </c>
      <c r="E1029" t="inlineStr">
        <is>
          <t>STRÖMSUND</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22527-2021</t>
        </is>
      </c>
      <c r="B1030" s="1" t="n">
        <v>44326</v>
      </c>
      <c r="C1030" s="1" t="n">
        <v>45740</v>
      </c>
      <c r="D1030" t="inlineStr">
        <is>
          <t>JÄMTLANDS LÄN</t>
        </is>
      </c>
      <c r="E1030" t="inlineStr">
        <is>
          <t>STRÖMSUND</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22632-2021</t>
        </is>
      </c>
      <c r="B1031" s="1" t="n">
        <v>44327</v>
      </c>
      <c r="C1031" s="1" t="n">
        <v>45740</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22783-2021</t>
        </is>
      </c>
      <c r="B1032" s="1" t="n">
        <v>44327</v>
      </c>
      <c r="C1032" s="1" t="n">
        <v>45740</v>
      </c>
      <c r="D1032" t="inlineStr">
        <is>
          <t>JÄMTLANDS LÄN</t>
        </is>
      </c>
      <c r="E1032" t="inlineStr">
        <is>
          <t>STRÖMSUND</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23103-2021</t>
        </is>
      </c>
      <c r="B1033" s="1" t="n">
        <v>44330</v>
      </c>
      <c r="C1033" s="1" t="n">
        <v>45740</v>
      </c>
      <c r="D1033" t="inlineStr">
        <is>
          <t>JÄMTLANDS LÄN</t>
        </is>
      </c>
      <c r="E1033" t="inlineStr">
        <is>
          <t>STRÖMSUND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23486-2021</t>
        </is>
      </c>
      <c r="B1034" s="1" t="n">
        <v>44333</v>
      </c>
      <c r="C1034" s="1" t="n">
        <v>45740</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23498-2021</t>
        </is>
      </c>
      <c r="B1035" s="1" t="n">
        <v>44334</v>
      </c>
      <c r="C1035" s="1" t="n">
        <v>45740</v>
      </c>
      <c r="D1035" t="inlineStr">
        <is>
          <t>JÄMTLANDS LÄN</t>
        </is>
      </c>
      <c r="E1035" t="inlineStr">
        <is>
          <t>STRÖMSUND</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23484-2021</t>
        </is>
      </c>
      <c r="B1036" s="1" t="n">
        <v>44334</v>
      </c>
      <c r="C1036" s="1" t="n">
        <v>45740</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23501-2021</t>
        </is>
      </c>
      <c r="B1037" s="1" t="n">
        <v>44333</v>
      </c>
      <c r="C1037" s="1" t="n">
        <v>45740</v>
      </c>
      <c r="D1037" t="inlineStr">
        <is>
          <t>JÄMTLANDS LÄN</t>
        </is>
      </c>
      <c r="E1037" t="inlineStr">
        <is>
          <t>STRÖMSUND</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24197-2021</t>
        </is>
      </c>
      <c r="B1038" s="1" t="n">
        <v>44336</v>
      </c>
      <c r="C1038" s="1" t="n">
        <v>45740</v>
      </c>
      <c r="D1038" t="inlineStr">
        <is>
          <t>JÄMTLANDS LÄN</t>
        </is>
      </c>
      <c r="E1038" t="inlineStr">
        <is>
          <t>STRÖMSUND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24744-2021</t>
        </is>
      </c>
      <c r="B1039" s="1" t="n">
        <v>44340</v>
      </c>
      <c r="C1039" s="1" t="n">
        <v>45740</v>
      </c>
      <c r="D1039" t="inlineStr">
        <is>
          <t>JÄMTLANDS LÄN</t>
        </is>
      </c>
      <c r="E1039" t="inlineStr">
        <is>
          <t>STRÖMSUND</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25510-2021</t>
        </is>
      </c>
      <c r="B1040" s="1" t="n">
        <v>44343</v>
      </c>
      <c r="C1040" s="1" t="n">
        <v>45740</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25888-2021</t>
        </is>
      </c>
      <c r="B1041" s="1" t="n">
        <v>44344</v>
      </c>
      <c r="C1041" s="1" t="n">
        <v>45740</v>
      </c>
      <c r="D1041" t="inlineStr">
        <is>
          <t>JÄMTLANDS LÄN</t>
        </is>
      </c>
      <c r="E1041" t="inlineStr">
        <is>
          <t>STRÖMSUND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25963-2021</t>
        </is>
      </c>
      <c r="B1042" s="1" t="n">
        <v>44344</v>
      </c>
      <c r="C1042" s="1" t="n">
        <v>45740</v>
      </c>
      <c r="D1042" t="inlineStr">
        <is>
          <t>JÄMTLANDS LÄN</t>
        </is>
      </c>
      <c r="E1042" t="inlineStr">
        <is>
          <t>STRÖMSUND</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25960-2021</t>
        </is>
      </c>
      <c r="B1043" s="1" t="n">
        <v>44344</v>
      </c>
      <c r="C1043" s="1" t="n">
        <v>45740</v>
      </c>
      <c r="D1043" t="inlineStr">
        <is>
          <t>JÄMTLANDS LÄN</t>
        </is>
      </c>
      <c r="E1043" t="inlineStr">
        <is>
          <t>STRÖMSUND</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26101-2021</t>
        </is>
      </c>
      <c r="B1044" s="1" t="n">
        <v>44344</v>
      </c>
      <c r="C1044" s="1" t="n">
        <v>45740</v>
      </c>
      <c r="D1044" t="inlineStr">
        <is>
          <t>JÄMTLANDS LÄN</t>
        </is>
      </c>
      <c r="E1044" t="inlineStr">
        <is>
          <t>STRÖMSUND</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26104-2021</t>
        </is>
      </c>
      <c r="B1045" s="1" t="n">
        <v>44344</v>
      </c>
      <c r="C1045" s="1" t="n">
        <v>45740</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26127-2021</t>
        </is>
      </c>
      <c r="B1046" s="1" t="n">
        <v>44346</v>
      </c>
      <c r="C1046" s="1" t="n">
        <v>45740</v>
      </c>
      <c r="D1046" t="inlineStr">
        <is>
          <t>JÄMTLANDS LÄN</t>
        </is>
      </c>
      <c r="E1046" t="inlineStr">
        <is>
          <t>STRÖMSUND</t>
        </is>
      </c>
      <c r="F1046" t="inlineStr">
        <is>
          <t>SCA</t>
        </is>
      </c>
      <c r="G1046" t="n">
        <v>9.4</v>
      </c>
      <c r="H1046" t="n">
        <v>0</v>
      </c>
      <c r="I1046" t="n">
        <v>0</v>
      </c>
      <c r="J1046" t="n">
        <v>0</v>
      </c>
      <c r="K1046" t="n">
        <v>0</v>
      </c>
      <c r="L1046" t="n">
        <v>0</v>
      </c>
      <c r="M1046" t="n">
        <v>0</v>
      </c>
      <c r="N1046" t="n">
        <v>0</v>
      </c>
      <c r="O1046" t="n">
        <v>0</v>
      </c>
      <c r="P1046" t="n">
        <v>0</v>
      </c>
      <c r="Q1046" t="n">
        <v>0</v>
      </c>
      <c r="R1046" s="2" t="inlineStr"/>
    </row>
    <row r="1047" ht="15" customHeight="1">
      <c r="A1047" t="inlineStr">
        <is>
          <t>A 26131-2021</t>
        </is>
      </c>
      <c r="B1047" s="1" t="n">
        <v>44346</v>
      </c>
      <c r="C1047" s="1" t="n">
        <v>45740</v>
      </c>
      <c r="D1047" t="inlineStr">
        <is>
          <t>JÄMTLANDS LÄN</t>
        </is>
      </c>
      <c r="E1047" t="inlineStr">
        <is>
          <t>STRÖMSUND</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26142-2021</t>
        </is>
      </c>
      <c r="B1048" s="1" t="n">
        <v>44346</v>
      </c>
      <c r="C1048" s="1" t="n">
        <v>45740</v>
      </c>
      <c r="D1048" t="inlineStr">
        <is>
          <t>JÄMTLANDS LÄN</t>
        </is>
      </c>
      <c r="E1048" t="inlineStr">
        <is>
          <t>STRÖMSUND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26660-2021</t>
        </is>
      </c>
      <c r="B1049" s="1" t="n">
        <v>44349</v>
      </c>
      <c r="C1049" s="1" t="n">
        <v>45740</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26961-2021</t>
        </is>
      </c>
      <c r="B1050" s="1" t="n">
        <v>44350</v>
      </c>
      <c r="C1050" s="1" t="n">
        <v>45740</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27148-2021</t>
        </is>
      </c>
      <c r="B1051" s="1" t="n">
        <v>44350</v>
      </c>
      <c r="C1051" s="1" t="n">
        <v>45740</v>
      </c>
      <c r="D1051" t="inlineStr">
        <is>
          <t>JÄMTLANDS LÄN</t>
        </is>
      </c>
      <c r="E1051" t="inlineStr">
        <is>
          <t>STRÖMSUND</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27160-2021</t>
        </is>
      </c>
      <c r="B1052" s="1" t="n">
        <v>44350</v>
      </c>
      <c r="C1052" s="1" t="n">
        <v>45740</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27231-2021</t>
        </is>
      </c>
      <c r="B1053" s="1" t="n">
        <v>44350</v>
      </c>
      <c r="C1053" s="1" t="n">
        <v>45740</v>
      </c>
      <c r="D1053" t="inlineStr">
        <is>
          <t>JÄMTLANDS LÄN</t>
        </is>
      </c>
      <c r="E1053" t="inlineStr">
        <is>
          <t>STRÖMSUND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27233-2021</t>
        </is>
      </c>
      <c r="B1054" s="1" t="n">
        <v>44350</v>
      </c>
      <c r="C1054" s="1" t="n">
        <v>45740</v>
      </c>
      <c r="D1054" t="inlineStr">
        <is>
          <t>JÄMTLANDS LÄN</t>
        </is>
      </c>
      <c r="E1054" t="inlineStr">
        <is>
          <t>STRÖMSUND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27232-2021</t>
        </is>
      </c>
      <c r="B1055" s="1" t="n">
        <v>44350</v>
      </c>
      <c r="C1055" s="1" t="n">
        <v>45740</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27559-2021</t>
        </is>
      </c>
      <c r="B1056" s="1" t="n">
        <v>44352</v>
      </c>
      <c r="C1056" s="1" t="n">
        <v>45740</v>
      </c>
      <c r="D1056" t="inlineStr">
        <is>
          <t>JÄMTLANDS LÄN</t>
        </is>
      </c>
      <c r="E1056" t="inlineStr">
        <is>
          <t>STRÖMSUND</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27979-2021</t>
        </is>
      </c>
      <c r="B1057" s="1" t="n">
        <v>44354</v>
      </c>
      <c r="C1057" s="1" t="n">
        <v>45740</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27978-2021</t>
        </is>
      </c>
      <c r="B1058" s="1" t="n">
        <v>44354</v>
      </c>
      <c r="C1058" s="1" t="n">
        <v>45740</v>
      </c>
      <c r="D1058" t="inlineStr">
        <is>
          <t>JÄMTLANDS LÄN</t>
        </is>
      </c>
      <c r="E1058" t="inlineStr">
        <is>
          <t>STRÖMSUND</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27980-2021</t>
        </is>
      </c>
      <c r="B1059" s="1" t="n">
        <v>44354</v>
      </c>
      <c r="C1059" s="1" t="n">
        <v>45740</v>
      </c>
      <c r="D1059" t="inlineStr">
        <is>
          <t>JÄMTLANDS LÄN</t>
        </is>
      </c>
      <c r="E1059" t="inlineStr">
        <is>
          <t>STRÖMSUND</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29552-2021</t>
        </is>
      </c>
      <c r="B1060" s="1" t="n">
        <v>44361</v>
      </c>
      <c r="C1060" s="1" t="n">
        <v>45740</v>
      </c>
      <c r="D1060" t="inlineStr">
        <is>
          <t>JÄMTLANDS LÄN</t>
        </is>
      </c>
      <c r="E1060" t="inlineStr">
        <is>
          <t>STRÖMSUND</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29628-2021</t>
        </is>
      </c>
      <c r="B1061" s="1" t="n">
        <v>44361</v>
      </c>
      <c r="C1061" s="1" t="n">
        <v>45740</v>
      </c>
      <c r="D1061" t="inlineStr">
        <is>
          <t>JÄMTLANDS LÄN</t>
        </is>
      </c>
      <c r="E1061" t="inlineStr">
        <is>
          <t>STRÖMSUND</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29594-2021</t>
        </is>
      </c>
      <c r="B1062" s="1" t="n">
        <v>44361</v>
      </c>
      <c r="C1062" s="1" t="n">
        <v>45740</v>
      </c>
      <c r="D1062" t="inlineStr">
        <is>
          <t>JÄMTLANDS LÄN</t>
        </is>
      </c>
      <c r="E1062" t="inlineStr">
        <is>
          <t>STRÖMSUND</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29601-2021</t>
        </is>
      </c>
      <c r="B1063" s="1" t="n">
        <v>44362</v>
      </c>
      <c r="C1063" s="1" t="n">
        <v>45740</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29625-2021</t>
        </is>
      </c>
      <c r="B1064" s="1" t="n">
        <v>44362</v>
      </c>
      <c r="C1064" s="1" t="n">
        <v>45740</v>
      </c>
      <c r="D1064" t="inlineStr">
        <is>
          <t>JÄMTLANDS LÄN</t>
        </is>
      </c>
      <c r="E1064" t="inlineStr">
        <is>
          <t>STRÖMSUND</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29624-2021</t>
        </is>
      </c>
      <c r="B1065" s="1" t="n">
        <v>44362</v>
      </c>
      <c r="C1065" s="1" t="n">
        <v>45740</v>
      </c>
      <c r="D1065" t="inlineStr">
        <is>
          <t>JÄMTLANDS LÄN</t>
        </is>
      </c>
      <c r="E1065" t="inlineStr">
        <is>
          <t>STRÖMSUND</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29637-2021</t>
        </is>
      </c>
      <c r="B1066" s="1" t="n">
        <v>44362</v>
      </c>
      <c r="C1066" s="1" t="n">
        <v>45740</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29841-2021</t>
        </is>
      </c>
      <c r="B1067" s="1" t="n">
        <v>44362</v>
      </c>
      <c r="C1067" s="1" t="n">
        <v>45740</v>
      </c>
      <c r="D1067" t="inlineStr">
        <is>
          <t>JÄMTLANDS LÄN</t>
        </is>
      </c>
      <c r="E1067" t="inlineStr">
        <is>
          <t>STRÖMSUND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29903-2021</t>
        </is>
      </c>
      <c r="B1068" s="1" t="n">
        <v>44363</v>
      </c>
      <c r="C1068" s="1" t="n">
        <v>45740</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29916-2021</t>
        </is>
      </c>
      <c r="B1069" s="1" t="n">
        <v>44363</v>
      </c>
      <c r="C1069" s="1" t="n">
        <v>45740</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29905-2021</t>
        </is>
      </c>
      <c r="B1070" s="1" t="n">
        <v>44363</v>
      </c>
      <c r="C1070" s="1" t="n">
        <v>45740</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30580-2021</t>
        </is>
      </c>
      <c r="B1071" s="1" t="n">
        <v>44365</v>
      </c>
      <c r="C1071" s="1" t="n">
        <v>45740</v>
      </c>
      <c r="D1071" t="inlineStr">
        <is>
          <t>JÄMTLANDS LÄN</t>
        </is>
      </c>
      <c r="E1071" t="inlineStr">
        <is>
          <t>STRÖMSUND</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30985-2021</t>
        </is>
      </c>
      <c r="B1072" s="1" t="n">
        <v>44366</v>
      </c>
      <c r="C1072" s="1" t="n">
        <v>45740</v>
      </c>
      <c r="D1072" t="inlineStr">
        <is>
          <t>JÄMTLANDS LÄN</t>
        </is>
      </c>
      <c r="E1072" t="inlineStr">
        <is>
          <t>STRÖMSUND</t>
        </is>
      </c>
      <c r="F1072" t="inlineStr">
        <is>
          <t>SCA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31077-2021</t>
        </is>
      </c>
      <c r="B1073" s="1" t="n">
        <v>44365</v>
      </c>
      <c r="C1073" s="1" t="n">
        <v>45740</v>
      </c>
      <c r="D1073" t="inlineStr">
        <is>
          <t>JÄMTLANDS LÄN</t>
        </is>
      </c>
      <c r="E1073" t="inlineStr">
        <is>
          <t>STRÖMSUND</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31089-2021</t>
        </is>
      </c>
      <c r="B1074" s="1" t="n">
        <v>44368</v>
      </c>
      <c r="C1074" s="1" t="n">
        <v>45740</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33787-2021</t>
        </is>
      </c>
      <c r="B1075" s="1" t="n">
        <v>44368</v>
      </c>
      <c r="C1075" s="1" t="n">
        <v>45740</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31739-2021</t>
        </is>
      </c>
      <c r="B1076" s="1" t="n">
        <v>44369</v>
      </c>
      <c r="C1076" s="1" t="n">
        <v>45740</v>
      </c>
      <c r="D1076" t="inlineStr">
        <is>
          <t>JÄMTLANDS LÄN</t>
        </is>
      </c>
      <c r="E1076" t="inlineStr">
        <is>
          <t>STRÖMSUND</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31740-2021</t>
        </is>
      </c>
      <c r="B1077" s="1" t="n">
        <v>44370</v>
      </c>
      <c r="C1077" s="1" t="n">
        <v>45740</v>
      </c>
      <c r="D1077" t="inlineStr">
        <is>
          <t>JÄMTLANDS LÄN</t>
        </is>
      </c>
      <c r="E1077" t="inlineStr">
        <is>
          <t>STRÖMSUND</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32359-2021</t>
        </is>
      </c>
      <c r="B1078" s="1" t="n">
        <v>44371</v>
      </c>
      <c r="C1078" s="1" t="n">
        <v>45740</v>
      </c>
      <c r="D1078" t="inlineStr">
        <is>
          <t>JÄMTLANDS LÄN</t>
        </is>
      </c>
      <c r="E1078" t="inlineStr">
        <is>
          <t>STRÖMSUND</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32259-2021</t>
        </is>
      </c>
      <c r="B1079" s="1" t="n">
        <v>44371</v>
      </c>
      <c r="C1079" s="1" t="n">
        <v>45740</v>
      </c>
      <c r="D1079" t="inlineStr">
        <is>
          <t>JÄMTLANDS LÄN</t>
        </is>
      </c>
      <c r="E1079" t="inlineStr">
        <is>
          <t>STRÖMSUND</t>
        </is>
      </c>
      <c r="F1079" t="inlineStr">
        <is>
          <t>SCA</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32460-2021</t>
        </is>
      </c>
      <c r="B1080" s="1" t="n">
        <v>44371</v>
      </c>
      <c r="C1080" s="1" t="n">
        <v>45740</v>
      </c>
      <c r="D1080" t="inlineStr">
        <is>
          <t>JÄMTLANDS LÄN</t>
        </is>
      </c>
      <c r="E1080" t="inlineStr">
        <is>
          <t>STRÖMSUND</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32465-2021</t>
        </is>
      </c>
      <c r="B1081" s="1" t="n">
        <v>44371</v>
      </c>
      <c r="C1081" s="1" t="n">
        <v>45740</v>
      </c>
      <c r="D1081" t="inlineStr">
        <is>
          <t>JÄMTLANDS LÄN</t>
        </is>
      </c>
      <c r="E1081" t="inlineStr">
        <is>
          <t>STRÖMSUND</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32536-2021</t>
        </is>
      </c>
      <c r="B1082" s="1" t="n">
        <v>44374</v>
      </c>
      <c r="C1082" s="1" t="n">
        <v>45740</v>
      </c>
      <c r="D1082" t="inlineStr">
        <is>
          <t>JÄMTLANDS LÄN</t>
        </is>
      </c>
      <c r="E1082" t="inlineStr">
        <is>
          <t>STRÖMSUND</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32531-2021</t>
        </is>
      </c>
      <c r="B1083" s="1" t="n">
        <v>44375</v>
      </c>
      <c r="C1083" s="1" t="n">
        <v>45740</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32539-2021</t>
        </is>
      </c>
      <c r="B1084" s="1" t="n">
        <v>44375</v>
      </c>
      <c r="C1084" s="1" t="n">
        <v>45740</v>
      </c>
      <c r="D1084" t="inlineStr">
        <is>
          <t>JÄMTLANDS LÄN</t>
        </is>
      </c>
      <c r="E1084" t="inlineStr">
        <is>
          <t>STRÖMSUND</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32533-2021</t>
        </is>
      </c>
      <c r="B1085" s="1" t="n">
        <v>44375</v>
      </c>
      <c r="C1085" s="1" t="n">
        <v>45740</v>
      </c>
      <c r="D1085" t="inlineStr">
        <is>
          <t>JÄMTLANDS LÄN</t>
        </is>
      </c>
      <c r="E1085" t="inlineStr">
        <is>
          <t>STRÖMSUND</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32538-2021</t>
        </is>
      </c>
      <c r="B1086" s="1" t="n">
        <v>44374</v>
      </c>
      <c r="C1086" s="1" t="n">
        <v>45740</v>
      </c>
      <c r="D1086" t="inlineStr">
        <is>
          <t>JÄMTLANDS LÄN</t>
        </is>
      </c>
      <c r="E1086" t="inlineStr">
        <is>
          <t>STRÖMSUND</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33104-2021</t>
        </is>
      </c>
      <c r="B1087" s="1" t="n">
        <v>44376</v>
      </c>
      <c r="C1087" s="1" t="n">
        <v>45740</v>
      </c>
      <c r="D1087" t="inlineStr">
        <is>
          <t>JÄMTLANDS LÄN</t>
        </is>
      </c>
      <c r="E1087" t="inlineStr">
        <is>
          <t>STRÖMSUND</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33223-2021</t>
        </is>
      </c>
      <c r="B1088" s="1" t="n">
        <v>44377</v>
      </c>
      <c r="C1088" s="1" t="n">
        <v>45740</v>
      </c>
      <c r="D1088" t="inlineStr">
        <is>
          <t>JÄMTLANDS LÄN</t>
        </is>
      </c>
      <c r="E1088" t="inlineStr">
        <is>
          <t>STRÖMSUND</t>
        </is>
      </c>
      <c r="F1088" t="inlineStr">
        <is>
          <t>SCA</t>
        </is>
      </c>
      <c r="G1088" t="n">
        <v>17.8</v>
      </c>
      <c r="H1088" t="n">
        <v>0</v>
      </c>
      <c r="I1088" t="n">
        <v>0</v>
      </c>
      <c r="J1088" t="n">
        <v>0</v>
      </c>
      <c r="K1088" t="n">
        <v>0</v>
      </c>
      <c r="L1088" t="n">
        <v>0</v>
      </c>
      <c r="M1088" t="n">
        <v>0</v>
      </c>
      <c r="N1088" t="n">
        <v>0</v>
      </c>
      <c r="O1088" t="n">
        <v>0</v>
      </c>
      <c r="P1088" t="n">
        <v>0</v>
      </c>
      <c r="Q1088" t="n">
        <v>0</v>
      </c>
      <c r="R1088" s="2" t="inlineStr"/>
    </row>
    <row r="1089" ht="15" customHeight="1">
      <c r="A1089" t="inlineStr">
        <is>
          <t>A 33225-2021</t>
        </is>
      </c>
      <c r="B1089" s="1" t="n">
        <v>44376</v>
      </c>
      <c r="C1089" s="1" t="n">
        <v>45740</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33216-2021</t>
        </is>
      </c>
      <c r="B1090" s="1" t="n">
        <v>44376</v>
      </c>
      <c r="C1090" s="1" t="n">
        <v>45740</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33549-2021</t>
        </is>
      </c>
      <c r="B1091" s="1" t="n">
        <v>44377</v>
      </c>
      <c r="C1091" s="1" t="n">
        <v>45740</v>
      </c>
      <c r="D1091" t="inlineStr">
        <is>
          <t>JÄMTLANDS LÄN</t>
        </is>
      </c>
      <c r="E1091" t="inlineStr">
        <is>
          <t>STRÖMSUND</t>
        </is>
      </c>
      <c r="F1091" t="inlineStr">
        <is>
          <t>SCA</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33562-2021</t>
        </is>
      </c>
      <c r="B1092" s="1" t="n">
        <v>44377</v>
      </c>
      <c r="C1092" s="1" t="n">
        <v>45740</v>
      </c>
      <c r="D1092" t="inlineStr">
        <is>
          <t>JÄMTLANDS LÄN</t>
        </is>
      </c>
      <c r="E1092" t="inlineStr">
        <is>
          <t>STRÖMSUND</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33554-2021</t>
        </is>
      </c>
      <c r="B1093" s="1" t="n">
        <v>44377</v>
      </c>
      <c r="C1093" s="1" t="n">
        <v>45740</v>
      </c>
      <c r="D1093" t="inlineStr">
        <is>
          <t>JÄMTLANDS LÄN</t>
        </is>
      </c>
      <c r="E1093" t="inlineStr">
        <is>
          <t>STRÖMSUND</t>
        </is>
      </c>
      <c r="F1093" t="inlineStr">
        <is>
          <t>SCA</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35061-2021</t>
        </is>
      </c>
      <c r="B1094" s="1" t="n">
        <v>44383</v>
      </c>
      <c r="C1094" s="1" t="n">
        <v>45740</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35044-2021</t>
        </is>
      </c>
      <c r="B1095" s="1" t="n">
        <v>44384</v>
      </c>
      <c r="C1095" s="1" t="n">
        <v>45740</v>
      </c>
      <c r="D1095" t="inlineStr">
        <is>
          <t>JÄMTLANDS LÄN</t>
        </is>
      </c>
      <c r="E1095" t="inlineStr">
        <is>
          <t>STRÖMSUND</t>
        </is>
      </c>
      <c r="G1095" t="n">
        <v>14.3</v>
      </c>
      <c r="H1095" t="n">
        <v>0</v>
      </c>
      <c r="I1095" t="n">
        <v>0</v>
      </c>
      <c r="J1095" t="n">
        <v>0</v>
      </c>
      <c r="K1095" t="n">
        <v>0</v>
      </c>
      <c r="L1095" t="n">
        <v>0</v>
      </c>
      <c r="M1095" t="n">
        <v>0</v>
      </c>
      <c r="N1095" t="n">
        <v>0</v>
      </c>
      <c r="O1095" t="n">
        <v>0</v>
      </c>
      <c r="P1095" t="n">
        <v>0</v>
      </c>
      <c r="Q1095" t="n">
        <v>0</v>
      </c>
      <c r="R1095" s="2" t="inlineStr"/>
    </row>
    <row r="1096" ht="15" customHeight="1">
      <c r="A1096" t="inlineStr">
        <is>
          <t>A 35064-2021</t>
        </is>
      </c>
      <c r="B1096" s="1" t="n">
        <v>44383</v>
      </c>
      <c r="C1096" s="1" t="n">
        <v>45740</v>
      </c>
      <c r="D1096" t="inlineStr">
        <is>
          <t>JÄMTLANDS LÄN</t>
        </is>
      </c>
      <c r="E1096" t="inlineStr">
        <is>
          <t>STRÖMSUND</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35342-2021</t>
        </is>
      </c>
      <c r="B1097" s="1" t="n">
        <v>44385</v>
      </c>
      <c r="C1097" s="1" t="n">
        <v>45740</v>
      </c>
      <c r="D1097" t="inlineStr">
        <is>
          <t>JÄMTLANDS LÄN</t>
        </is>
      </c>
      <c r="E1097" t="inlineStr">
        <is>
          <t>STRÖMSUND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35352-2021</t>
        </is>
      </c>
      <c r="B1098" s="1" t="n">
        <v>44384</v>
      </c>
      <c r="C1098" s="1" t="n">
        <v>45740</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35565-2021</t>
        </is>
      </c>
      <c r="B1099" s="1" t="n">
        <v>44386</v>
      </c>
      <c r="C1099" s="1" t="n">
        <v>45740</v>
      </c>
      <c r="D1099" t="inlineStr">
        <is>
          <t>JÄMTLANDS LÄN</t>
        </is>
      </c>
      <c r="E1099" t="inlineStr">
        <is>
          <t>STRÖMSUND</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35522-2021</t>
        </is>
      </c>
      <c r="B1100" s="1" t="n">
        <v>44385</v>
      </c>
      <c r="C1100" s="1" t="n">
        <v>45740</v>
      </c>
      <c r="D1100" t="inlineStr">
        <is>
          <t>JÄMTLANDS LÄN</t>
        </is>
      </c>
      <c r="E1100" t="inlineStr">
        <is>
          <t>STRÖMSUND</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35916-2021</t>
        </is>
      </c>
      <c r="B1101" s="1" t="n">
        <v>44388</v>
      </c>
      <c r="C1101" s="1" t="n">
        <v>45740</v>
      </c>
      <c r="D1101" t="inlineStr">
        <is>
          <t>JÄMTLANDS LÄN</t>
        </is>
      </c>
      <c r="E1101" t="inlineStr">
        <is>
          <t>STRÖMSUND</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35915-2021</t>
        </is>
      </c>
      <c r="B1102" s="1" t="n">
        <v>44388</v>
      </c>
      <c r="C1102" s="1" t="n">
        <v>45740</v>
      </c>
      <c r="D1102" t="inlineStr">
        <is>
          <t>JÄMTLANDS LÄN</t>
        </is>
      </c>
      <c r="E1102" t="inlineStr">
        <is>
          <t>STRÖMSUND</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35914-2021</t>
        </is>
      </c>
      <c r="B1103" s="1" t="n">
        <v>44388</v>
      </c>
      <c r="C1103" s="1" t="n">
        <v>45740</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35918-2021</t>
        </is>
      </c>
      <c r="B1104" s="1" t="n">
        <v>44388</v>
      </c>
      <c r="C1104" s="1" t="n">
        <v>45740</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36176-2021</t>
        </is>
      </c>
      <c r="B1105" s="1" t="n">
        <v>44389</v>
      </c>
      <c r="C1105" s="1" t="n">
        <v>45740</v>
      </c>
      <c r="D1105" t="inlineStr">
        <is>
          <t>JÄMTLANDS LÄN</t>
        </is>
      </c>
      <c r="E1105" t="inlineStr">
        <is>
          <t>STRÖMSUND</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36453-2021</t>
        </is>
      </c>
      <c r="B1106" s="1" t="n">
        <v>44391</v>
      </c>
      <c r="C1106" s="1" t="n">
        <v>45740</v>
      </c>
      <c r="D1106" t="inlineStr">
        <is>
          <t>JÄMTLANDS LÄN</t>
        </is>
      </c>
      <c r="E1106" t="inlineStr">
        <is>
          <t>STRÖMSUND</t>
        </is>
      </c>
      <c r="F1106" t="inlineStr">
        <is>
          <t>SCA</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36706-2021</t>
        </is>
      </c>
      <c r="B1107" s="1" t="n">
        <v>44392</v>
      </c>
      <c r="C1107" s="1" t="n">
        <v>45740</v>
      </c>
      <c r="D1107" t="inlineStr">
        <is>
          <t>JÄMTLANDS LÄN</t>
        </is>
      </c>
      <c r="E1107" t="inlineStr">
        <is>
          <t>STRÖMSUND</t>
        </is>
      </c>
      <c r="F1107" t="inlineStr">
        <is>
          <t>Holmen skog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37047-2021</t>
        </is>
      </c>
      <c r="B1108" s="1" t="n">
        <v>44393</v>
      </c>
      <c r="C1108" s="1" t="n">
        <v>45740</v>
      </c>
      <c r="D1108" t="inlineStr">
        <is>
          <t>JÄMTLANDS LÄN</t>
        </is>
      </c>
      <c r="E1108" t="inlineStr">
        <is>
          <t>STRÖMSUND</t>
        </is>
      </c>
      <c r="F1108" t="inlineStr">
        <is>
          <t>SCA</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37229-2021</t>
        </is>
      </c>
      <c r="B1109" s="1" t="n">
        <v>44397</v>
      </c>
      <c r="C1109" s="1" t="n">
        <v>45740</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37373-2021</t>
        </is>
      </c>
      <c r="B1110" s="1" t="n">
        <v>44398</v>
      </c>
      <c r="C1110" s="1" t="n">
        <v>45740</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37370-2021</t>
        </is>
      </c>
      <c r="B1111" s="1" t="n">
        <v>44397</v>
      </c>
      <c r="C1111" s="1" t="n">
        <v>45740</v>
      </c>
      <c r="D1111" t="inlineStr">
        <is>
          <t>JÄMTLANDS LÄN</t>
        </is>
      </c>
      <c r="E1111" t="inlineStr">
        <is>
          <t>STRÖMSUND</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37371-2021</t>
        </is>
      </c>
      <c r="B1112" s="1" t="n">
        <v>44398</v>
      </c>
      <c r="C1112" s="1" t="n">
        <v>45740</v>
      </c>
      <c r="D1112" t="inlineStr">
        <is>
          <t>JÄMTLANDS LÄN</t>
        </is>
      </c>
      <c r="E1112" t="inlineStr">
        <is>
          <t>STRÖMSUND</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38219-2021</t>
        </is>
      </c>
      <c r="B1113" s="1" t="n">
        <v>44405</v>
      </c>
      <c r="C1113" s="1" t="n">
        <v>45740</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38583-2021</t>
        </is>
      </c>
      <c r="B1114" s="1" t="n">
        <v>44408</v>
      </c>
      <c r="C1114" s="1" t="n">
        <v>45740</v>
      </c>
      <c r="D1114" t="inlineStr">
        <is>
          <t>JÄMTLANDS LÄN</t>
        </is>
      </c>
      <c r="E1114" t="inlineStr">
        <is>
          <t>STRÖMSUND</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38578-2021</t>
        </is>
      </c>
      <c r="B1115" s="1" t="n">
        <v>44407</v>
      </c>
      <c r="C1115" s="1" t="n">
        <v>45740</v>
      </c>
      <c r="D1115" t="inlineStr">
        <is>
          <t>JÄMTLANDS LÄN</t>
        </is>
      </c>
      <c r="E1115" t="inlineStr">
        <is>
          <t>STRÖMSUND</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38587-2021</t>
        </is>
      </c>
      <c r="B1116" s="1" t="n">
        <v>44408</v>
      </c>
      <c r="C1116" s="1" t="n">
        <v>45740</v>
      </c>
      <c r="D1116" t="inlineStr">
        <is>
          <t>JÄMTLANDS LÄN</t>
        </is>
      </c>
      <c r="E1116" t="inlineStr">
        <is>
          <t>STRÖMSUND</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38586-2021</t>
        </is>
      </c>
      <c r="B1117" s="1" t="n">
        <v>44407</v>
      </c>
      <c r="C1117" s="1" t="n">
        <v>45740</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c r="U1117">
        <f>HYPERLINK("https://klasma.github.io/Logging_2313/knärot/A 38586-2021 karta knärot.png", "A 38586-2021")</f>
        <v/>
      </c>
      <c r="V1117">
        <f>HYPERLINK("https://klasma.github.io/Logging_2313/klagomål/A 38586-2021 FSC-klagomål.docx", "A 38586-2021")</f>
        <v/>
      </c>
      <c r="W1117">
        <f>HYPERLINK("https://klasma.github.io/Logging_2313/klagomålsmail/A 38586-2021 FSC-klagomål mail.docx", "A 38586-2021")</f>
        <v/>
      </c>
      <c r="X1117">
        <f>HYPERLINK("https://klasma.github.io/Logging_2313/tillsyn/A 38586-2021 tillsynsbegäran.docx", "A 38586-2021")</f>
        <v/>
      </c>
      <c r="Y1117">
        <f>HYPERLINK("https://klasma.github.io/Logging_2313/tillsynsmail/A 38586-2021 tillsynsbegäran mail.docx", "A 38586-2021")</f>
        <v/>
      </c>
    </row>
    <row r="1118" ht="15" customHeight="1">
      <c r="A1118" t="inlineStr">
        <is>
          <t>A 38629-2021</t>
        </is>
      </c>
      <c r="B1118" s="1" t="n">
        <v>44410</v>
      </c>
      <c r="C1118" s="1" t="n">
        <v>45740</v>
      </c>
      <c r="D1118" t="inlineStr">
        <is>
          <t>JÄMTLANDS LÄN</t>
        </is>
      </c>
      <c r="E1118" t="inlineStr">
        <is>
          <t>STRÖMSUND</t>
        </is>
      </c>
      <c r="F1118" t="inlineStr">
        <is>
          <t>SCA</t>
        </is>
      </c>
      <c r="G1118" t="n">
        <v>18.3</v>
      </c>
      <c r="H1118" t="n">
        <v>0</v>
      </c>
      <c r="I1118" t="n">
        <v>0</v>
      </c>
      <c r="J1118" t="n">
        <v>0</v>
      </c>
      <c r="K1118" t="n">
        <v>0</v>
      </c>
      <c r="L1118" t="n">
        <v>0</v>
      </c>
      <c r="M1118" t="n">
        <v>0</v>
      </c>
      <c r="N1118" t="n">
        <v>0</v>
      </c>
      <c r="O1118" t="n">
        <v>0</v>
      </c>
      <c r="P1118" t="n">
        <v>0</v>
      </c>
      <c r="Q1118" t="n">
        <v>0</v>
      </c>
      <c r="R1118" s="2" t="inlineStr"/>
    </row>
    <row r="1119" ht="15" customHeight="1">
      <c r="A1119" t="inlineStr">
        <is>
          <t>A 38763-2021</t>
        </is>
      </c>
      <c r="B1119" s="1" t="n">
        <v>44410</v>
      </c>
      <c r="C1119" s="1" t="n">
        <v>45740</v>
      </c>
      <c r="D1119" t="inlineStr">
        <is>
          <t>JÄMTLANDS LÄN</t>
        </is>
      </c>
      <c r="E1119" t="inlineStr">
        <is>
          <t>STRÖMSUND</t>
        </is>
      </c>
      <c r="F1119" t="inlineStr">
        <is>
          <t>Kyrkan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38786-2021</t>
        </is>
      </c>
      <c r="B1120" s="1" t="n">
        <v>44410</v>
      </c>
      <c r="C1120" s="1" t="n">
        <v>45740</v>
      </c>
      <c r="D1120" t="inlineStr">
        <is>
          <t>JÄMTLANDS LÄN</t>
        </is>
      </c>
      <c r="E1120" t="inlineStr">
        <is>
          <t>STRÖMSUND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39331-2021</t>
        </is>
      </c>
      <c r="B1121" s="1" t="n">
        <v>44414</v>
      </c>
      <c r="C1121" s="1" t="n">
        <v>45740</v>
      </c>
      <c r="D1121" t="inlineStr">
        <is>
          <t>JÄMTLANDS LÄN</t>
        </is>
      </c>
      <c r="E1121" t="inlineStr">
        <is>
          <t>STRÖMSUND</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39332-2021</t>
        </is>
      </c>
      <c r="B1122" s="1" t="n">
        <v>44413</v>
      </c>
      <c r="C1122" s="1" t="n">
        <v>45740</v>
      </c>
      <c r="D1122" t="inlineStr">
        <is>
          <t>JÄMTLANDS LÄN</t>
        </is>
      </c>
      <c r="E1122" t="inlineStr">
        <is>
          <t>STRÖMSUND</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39511-2021</t>
        </is>
      </c>
      <c r="B1123" s="1" t="n">
        <v>44414</v>
      </c>
      <c r="C1123" s="1" t="n">
        <v>45740</v>
      </c>
      <c r="D1123" t="inlineStr">
        <is>
          <t>JÄMTLANDS LÄN</t>
        </is>
      </c>
      <c r="E1123" t="inlineStr">
        <is>
          <t>STRÖMSUND</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39510-2021</t>
        </is>
      </c>
      <c r="B1124" s="1" t="n">
        <v>44414</v>
      </c>
      <c r="C1124" s="1" t="n">
        <v>45740</v>
      </c>
      <c r="D1124" t="inlineStr">
        <is>
          <t>JÄMTLANDS LÄN</t>
        </is>
      </c>
      <c r="E1124" t="inlineStr">
        <is>
          <t>STRÖMSUND</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39945-2021</t>
        </is>
      </c>
      <c r="B1125" s="1" t="n">
        <v>44417</v>
      </c>
      <c r="C1125" s="1" t="n">
        <v>45740</v>
      </c>
      <c r="D1125" t="inlineStr">
        <is>
          <t>JÄMTLANDS LÄN</t>
        </is>
      </c>
      <c r="E1125" t="inlineStr">
        <is>
          <t>STRÖMSUND</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39944-2021</t>
        </is>
      </c>
      <c r="B1126" s="1" t="n">
        <v>44417</v>
      </c>
      <c r="C1126" s="1" t="n">
        <v>45740</v>
      </c>
      <c r="D1126" t="inlineStr">
        <is>
          <t>JÄMTLANDS LÄN</t>
        </is>
      </c>
      <c r="E1126" t="inlineStr">
        <is>
          <t>STRÖMSUND</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40354-2021</t>
        </is>
      </c>
      <c r="B1127" s="1" t="n">
        <v>44419</v>
      </c>
      <c r="C1127" s="1" t="n">
        <v>45740</v>
      </c>
      <c r="D1127" t="inlineStr">
        <is>
          <t>JÄMTLANDS LÄN</t>
        </is>
      </c>
      <c r="E1127" t="inlineStr">
        <is>
          <t>STRÖMSUND</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40657-2021</t>
        </is>
      </c>
      <c r="B1128" s="1" t="n">
        <v>44420</v>
      </c>
      <c r="C1128" s="1" t="n">
        <v>45740</v>
      </c>
      <c r="D1128" t="inlineStr">
        <is>
          <t>JÄMTLANDS LÄN</t>
        </is>
      </c>
      <c r="E1128" t="inlineStr">
        <is>
          <t>STRÖMSUND</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40827-2021</t>
        </is>
      </c>
      <c r="B1129" s="1" t="n">
        <v>44421</v>
      </c>
      <c r="C1129" s="1" t="n">
        <v>45740</v>
      </c>
      <c r="D1129" t="inlineStr">
        <is>
          <t>JÄMTLANDS LÄN</t>
        </is>
      </c>
      <c r="E1129" t="inlineStr">
        <is>
          <t>STRÖMSUND</t>
        </is>
      </c>
      <c r="F1129" t="inlineStr">
        <is>
          <t>Holmen skog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40857-2021</t>
        </is>
      </c>
      <c r="B1130" s="1" t="n">
        <v>44421</v>
      </c>
      <c r="C1130" s="1" t="n">
        <v>45740</v>
      </c>
      <c r="D1130" t="inlineStr">
        <is>
          <t>JÄMTLANDS LÄN</t>
        </is>
      </c>
      <c r="E1130" t="inlineStr">
        <is>
          <t>STRÖMSUND</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40806-2021</t>
        </is>
      </c>
      <c r="B1131" s="1" t="n">
        <v>44421</v>
      </c>
      <c r="C1131" s="1" t="n">
        <v>45740</v>
      </c>
      <c r="D1131" t="inlineStr">
        <is>
          <t>JÄMTLANDS LÄN</t>
        </is>
      </c>
      <c r="E1131" t="inlineStr">
        <is>
          <t>STRÖMSUND</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41059-2021</t>
        </is>
      </c>
      <c r="B1132" s="1" t="n">
        <v>44422</v>
      </c>
      <c r="C1132" s="1" t="n">
        <v>45740</v>
      </c>
      <c r="D1132" t="inlineStr">
        <is>
          <t>JÄMTLANDS LÄN</t>
        </is>
      </c>
      <c r="E1132" t="inlineStr">
        <is>
          <t>STRÖMSUND</t>
        </is>
      </c>
      <c r="F1132" t="inlineStr">
        <is>
          <t>SCA</t>
        </is>
      </c>
      <c r="G1132" t="n">
        <v>17.6</v>
      </c>
      <c r="H1132" t="n">
        <v>0</v>
      </c>
      <c r="I1132" t="n">
        <v>0</v>
      </c>
      <c r="J1132" t="n">
        <v>0</v>
      </c>
      <c r="K1132" t="n">
        <v>0</v>
      </c>
      <c r="L1132" t="n">
        <v>0</v>
      </c>
      <c r="M1132" t="n">
        <v>0</v>
      </c>
      <c r="N1132" t="n">
        <v>0</v>
      </c>
      <c r="O1132" t="n">
        <v>0</v>
      </c>
      <c r="P1132" t="n">
        <v>0</v>
      </c>
      <c r="Q1132" t="n">
        <v>0</v>
      </c>
      <c r="R1132" s="2" t="inlineStr"/>
    </row>
    <row r="1133" ht="15" customHeight="1">
      <c r="A1133" t="inlineStr">
        <is>
          <t>A 41491-2021</t>
        </is>
      </c>
      <c r="B1133" s="1" t="n">
        <v>44424</v>
      </c>
      <c r="C1133" s="1" t="n">
        <v>45740</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41490-2021</t>
        </is>
      </c>
      <c r="B1134" s="1" t="n">
        <v>44425</v>
      </c>
      <c r="C1134" s="1" t="n">
        <v>45740</v>
      </c>
      <c r="D1134" t="inlineStr">
        <is>
          <t>JÄMTLANDS LÄN</t>
        </is>
      </c>
      <c r="E1134" t="inlineStr">
        <is>
          <t>STRÖMSUND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41639-2021</t>
        </is>
      </c>
      <c r="B1135" s="1" t="n">
        <v>44425</v>
      </c>
      <c r="C1135" s="1" t="n">
        <v>45740</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42247-2021</t>
        </is>
      </c>
      <c r="B1136" s="1" t="n">
        <v>44426</v>
      </c>
      <c r="C1136" s="1" t="n">
        <v>45740</v>
      </c>
      <c r="D1136" t="inlineStr">
        <is>
          <t>JÄMTLANDS LÄN</t>
        </is>
      </c>
      <c r="E1136" t="inlineStr">
        <is>
          <t>STRÖMSUND</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42549-2021</t>
        </is>
      </c>
      <c r="B1137" s="1" t="n">
        <v>44427</v>
      </c>
      <c r="C1137" s="1" t="n">
        <v>45740</v>
      </c>
      <c r="D1137" t="inlineStr">
        <is>
          <t>JÄMTLANDS LÄN</t>
        </is>
      </c>
      <c r="E1137" t="inlineStr">
        <is>
          <t>STRÖMSUND</t>
        </is>
      </c>
      <c r="F1137" t="inlineStr">
        <is>
          <t>SCA</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42545-2021</t>
        </is>
      </c>
      <c r="B1138" s="1" t="n">
        <v>44428</v>
      </c>
      <c r="C1138" s="1" t="n">
        <v>45740</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42551-2021</t>
        </is>
      </c>
      <c r="B1139" s="1" t="n">
        <v>44427</v>
      </c>
      <c r="C1139" s="1" t="n">
        <v>45740</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42794-2021</t>
        </is>
      </c>
      <c r="B1140" s="1" t="n">
        <v>44429</v>
      </c>
      <c r="C1140" s="1" t="n">
        <v>45740</v>
      </c>
      <c r="D1140" t="inlineStr">
        <is>
          <t>JÄMTLANDS LÄN</t>
        </is>
      </c>
      <c r="E1140" t="inlineStr">
        <is>
          <t>STRÖMSUND</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43072-2021</t>
        </is>
      </c>
      <c r="B1141" s="1" t="n">
        <v>44431</v>
      </c>
      <c r="C1141" s="1" t="n">
        <v>45740</v>
      </c>
      <c r="D1141" t="inlineStr">
        <is>
          <t>JÄMTLANDS LÄN</t>
        </is>
      </c>
      <c r="E1141" t="inlineStr">
        <is>
          <t>STRÖMSUND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43839-2021</t>
        </is>
      </c>
      <c r="B1142" s="1" t="n">
        <v>44434</v>
      </c>
      <c r="C1142" s="1" t="n">
        <v>45740</v>
      </c>
      <c r="D1142" t="inlineStr">
        <is>
          <t>JÄMTLANDS LÄN</t>
        </is>
      </c>
      <c r="E1142" t="inlineStr">
        <is>
          <t>STRÖMSUND</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43754-2021</t>
        </is>
      </c>
      <c r="B1143" s="1" t="n">
        <v>44433</v>
      </c>
      <c r="C1143" s="1" t="n">
        <v>45740</v>
      </c>
      <c r="D1143" t="inlineStr">
        <is>
          <t>JÄMTLANDS LÄN</t>
        </is>
      </c>
      <c r="E1143" t="inlineStr">
        <is>
          <t>STRÖMSUND</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43752-2021</t>
        </is>
      </c>
      <c r="B1144" s="1" t="n">
        <v>44433</v>
      </c>
      <c r="C1144" s="1" t="n">
        <v>45740</v>
      </c>
      <c r="D1144" t="inlineStr">
        <is>
          <t>JÄMTLANDS LÄN</t>
        </is>
      </c>
      <c r="E1144" t="inlineStr">
        <is>
          <t>STRÖMSUND</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43842-2021</t>
        </is>
      </c>
      <c r="B1145" s="1" t="n">
        <v>44433</v>
      </c>
      <c r="C1145" s="1" t="n">
        <v>45740</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43846-2021</t>
        </is>
      </c>
      <c r="B1146" s="1" t="n">
        <v>44434</v>
      </c>
      <c r="C1146" s="1" t="n">
        <v>45740</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43844-2021</t>
        </is>
      </c>
      <c r="B1147" s="1" t="n">
        <v>44433</v>
      </c>
      <c r="C1147" s="1" t="n">
        <v>45740</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44025-2021</t>
        </is>
      </c>
      <c r="B1148" s="1" t="n">
        <v>44434</v>
      </c>
      <c r="C1148" s="1" t="n">
        <v>45740</v>
      </c>
      <c r="D1148" t="inlineStr">
        <is>
          <t>JÄMTLANDS LÄN</t>
        </is>
      </c>
      <c r="E1148" t="inlineStr">
        <is>
          <t>STRÖMSUND</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44104-2021</t>
        </is>
      </c>
      <c r="B1149" s="1" t="n">
        <v>44434</v>
      </c>
      <c r="C1149" s="1" t="n">
        <v>45740</v>
      </c>
      <c r="D1149" t="inlineStr">
        <is>
          <t>JÄMTLANDS LÄN</t>
        </is>
      </c>
      <c r="E1149" t="inlineStr">
        <is>
          <t>STRÖMSUND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44229-2021</t>
        </is>
      </c>
      <c r="B1150" s="1" t="n">
        <v>44434</v>
      </c>
      <c r="C1150" s="1" t="n">
        <v>45740</v>
      </c>
      <c r="D1150" t="inlineStr">
        <is>
          <t>JÄMTLANDS LÄN</t>
        </is>
      </c>
      <c r="E1150" t="inlineStr">
        <is>
          <t>STRÖMSUND</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44410-2021</t>
        </is>
      </c>
      <c r="B1151" s="1" t="n">
        <v>44435</v>
      </c>
      <c r="C1151" s="1" t="n">
        <v>45740</v>
      </c>
      <c r="D1151" t="inlineStr">
        <is>
          <t>JÄMTLANDS LÄN</t>
        </is>
      </c>
      <c r="E1151" t="inlineStr">
        <is>
          <t>STRÖMSUND</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44436-2021</t>
        </is>
      </c>
      <c r="B1152" s="1" t="n">
        <v>44435</v>
      </c>
      <c r="C1152" s="1" t="n">
        <v>45740</v>
      </c>
      <c r="D1152" t="inlineStr">
        <is>
          <t>JÄMTLANDS LÄN</t>
        </is>
      </c>
      <c r="E1152" t="inlineStr">
        <is>
          <t>STRÖMSUND</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44602-2021</t>
        </is>
      </c>
      <c r="B1153" s="1" t="n">
        <v>44436</v>
      </c>
      <c r="C1153" s="1" t="n">
        <v>45740</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44600-2021</t>
        </is>
      </c>
      <c r="B1154" s="1" t="n">
        <v>44436</v>
      </c>
      <c r="C1154" s="1" t="n">
        <v>45740</v>
      </c>
      <c r="D1154" t="inlineStr">
        <is>
          <t>JÄMTLANDS LÄN</t>
        </is>
      </c>
      <c r="E1154" t="inlineStr">
        <is>
          <t>STRÖMSUND</t>
        </is>
      </c>
      <c r="F1154" t="inlineStr">
        <is>
          <t>SCA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44605-2021</t>
        </is>
      </c>
      <c r="B1155" s="1" t="n">
        <v>44436</v>
      </c>
      <c r="C1155" s="1" t="n">
        <v>45740</v>
      </c>
      <c r="D1155" t="inlineStr">
        <is>
          <t>JÄMTLANDS LÄN</t>
        </is>
      </c>
      <c r="E1155" t="inlineStr">
        <is>
          <t>STRÖMSUND</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44606-2021</t>
        </is>
      </c>
      <c r="B1156" s="1" t="n">
        <v>44436</v>
      </c>
      <c r="C1156" s="1" t="n">
        <v>45740</v>
      </c>
      <c r="D1156" t="inlineStr">
        <is>
          <t>JÄMTLANDS LÄN</t>
        </is>
      </c>
      <c r="E1156" t="inlineStr">
        <is>
          <t>STRÖMSUND</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45011-2021</t>
        </is>
      </c>
      <c r="B1157" s="1" t="n">
        <v>44439</v>
      </c>
      <c r="C1157" s="1" t="n">
        <v>45740</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45230-2021</t>
        </is>
      </c>
      <c r="B1158" s="1" t="n">
        <v>44439</v>
      </c>
      <c r="C1158" s="1" t="n">
        <v>45740</v>
      </c>
      <c r="D1158" t="inlineStr">
        <is>
          <t>JÄMTLANDS LÄN</t>
        </is>
      </c>
      <c r="E1158" t="inlineStr">
        <is>
          <t>STRÖMSUND</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45351-2021</t>
        </is>
      </c>
      <c r="B1159" s="1" t="n">
        <v>44440</v>
      </c>
      <c r="C1159" s="1" t="n">
        <v>45740</v>
      </c>
      <c r="D1159" t="inlineStr">
        <is>
          <t>JÄMTLANDS LÄN</t>
        </is>
      </c>
      <c r="E1159" t="inlineStr">
        <is>
          <t>STRÖMSUND</t>
        </is>
      </c>
      <c r="F1159" t="inlineStr">
        <is>
          <t>SCA</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45333-2021</t>
        </is>
      </c>
      <c r="B1160" s="1" t="n">
        <v>44439</v>
      </c>
      <c r="C1160" s="1" t="n">
        <v>45740</v>
      </c>
      <c r="D1160" t="inlineStr">
        <is>
          <t>JÄMTLANDS LÄN</t>
        </is>
      </c>
      <c r="E1160" t="inlineStr">
        <is>
          <t>STRÖMSUND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45340-2021</t>
        </is>
      </c>
      <c r="B1161" s="1" t="n">
        <v>44440</v>
      </c>
      <c r="C1161" s="1" t="n">
        <v>45740</v>
      </c>
      <c r="D1161" t="inlineStr">
        <is>
          <t>JÄMTLANDS LÄN</t>
        </is>
      </c>
      <c r="E1161" t="inlineStr">
        <is>
          <t>STRÖMSUND</t>
        </is>
      </c>
      <c r="F1161" t="inlineStr">
        <is>
          <t>SCA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45622-2021</t>
        </is>
      </c>
      <c r="B1162" s="1" t="n">
        <v>44441</v>
      </c>
      <c r="C1162" s="1" t="n">
        <v>45740</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45640-2021</t>
        </is>
      </c>
      <c r="B1163" s="1" t="n">
        <v>44440</v>
      </c>
      <c r="C1163" s="1" t="n">
        <v>45740</v>
      </c>
      <c r="D1163" t="inlineStr">
        <is>
          <t>JÄMTLANDS LÄN</t>
        </is>
      </c>
      <c r="E1163" t="inlineStr">
        <is>
          <t>STRÖMSUND</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45628-2021</t>
        </is>
      </c>
      <c r="B1164" s="1" t="n">
        <v>44441</v>
      </c>
      <c r="C1164" s="1" t="n">
        <v>45740</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45635-2021</t>
        </is>
      </c>
      <c r="B1165" s="1" t="n">
        <v>44440</v>
      </c>
      <c r="C1165" s="1" t="n">
        <v>45740</v>
      </c>
      <c r="D1165" t="inlineStr">
        <is>
          <t>JÄMTLANDS LÄN</t>
        </is>
      </c>
      <c r="E1165" t="inlineStr">
        <is>
          <t>STRÖMSUND</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45641-2021</t>
        </is>
      </c>
      <c r="B1166" s="1" t="n">
        <v>44440</v>
      </c>
      <c r="C1166" s="1" t="n">
        <v>45740</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45630-2021</t>
        </is>
      </c>
      <c r="B1167" s="1" t="n">
        <v>44440</v>
      </c>
      <c r="C1167" s="1" t="n">
        <v>45740</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45638-2021</t>
        </is>
      </c>
      <c r="B1168" s="1" t="n">
        <v>44440</v>
      </c>
      <c r="C1168" s="1" t="n">
        <v>45740</v>
      </c>
      <c r="D1168" t="inlineStr">
        <is>
          <t>JÄMTLANDS LÄN</t>
        </is>
      </c>
      <c r="E1168" t="inlineStr">
        <is>
          <t>STRÖMSUND</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45627-2021</t>
        </is>
      </c>
      <c r="B1169" s="1" t="n">
        <v>44441</v>
      </c>
      <c r="C1169" s="1" t="n">
        <v>45740</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45626-2021</t>
        </is>
      </c>
      <c r="B1170" s="1" t="n">
        <v>44441</v>
      </c>
      <c r="C1170" s="1" t="n">
        <v>45740</v>
      </c>
      <c r="D1170" t="inlineStr">
        <is>
          <t>JÄMTLANDS LÄN</t>
        </is>
      </c>
      <c r="E1170" t="inlineStr">
        <is>
          <t>STRÖMSUND</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45639-2021</t>
        </is>
      </c>
      <c r="B1171" s="1" t="n">
        <v>44440</v>
      </c>
      <c r="C1171" s="1" t="n">
        <v>45740</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46969-2021</t>
        </is>
      </c>
      <c r="B1172" s="1" t="n">
        <v>44446</v>
      </c>
      <c r="C1172" s="1" t="n">
        <v>45740</v>
      </c>
      <c r="D1172" t="inlineStr">
        <is>
          <t>JÄMTLANDS LÄN</t>
        </is>
      </c>
      <c r="E1172" t="inlineStr">
        <is>
          <t>STRÖMSUND</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47261-2021</t>
        </is>
      </c>
      <c r="B1173" s="1" t="n">
        <v>44447</v>
      </c>
      <c r="C1173" s="1" t="n">
        <v>45740</v>
      </c>
      <c r="D1173" t="inlineStr">
        <is>
          <t>JÄMTLANDS LÄN</t>
        </is>
      </c>
      <c r="E1173" t="inlineStr">
        <is>
          <t>STRÖMSUND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47607-2021</t>
        </is>
      </c>
      <c r="B1174" s="1" t="n">
        <v>44447</v>
      </c>
      <c r="C1174" s="1" t="n">
        <v>45740</v>
      </c>
      <c r="D1174" t="inlineStr">
        <is>
          <t>JÄMTLANDS LÄN</t>
        </is>
      </c>
      <c r="E1174" t="inlineStr">
        <is>
          <t>STRÖMSUND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47847-2021</t>
        </is>
      </c>
      <c r="B1175" s="1" t="n">
        <v>44448</v>
      </c>
      <c r="C1175" s="1" t="n">
        <v>45740</v>
      </c>
      <c r="D1175" t="inlineStr">
        <is>
          <t>JÄMTLANDS LÄN</t>
        </is>
      </c>
      <c r="E1175" t="inlineStr">
        <is>
          <t>STRÖMSUND</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47938-2021</t>
        </is>
      </c>
      <c r="B1176" s="1" t="n">
        <v>44449</v>
      </c>
      <c r="C1176" s="1" t="n">
        <v>45740</v>
      </c>
      <c r="D1176" t="inlineStr">
        <is>
          <t>JÄMTLANDS LÄN</t>
        </is>
      </c>
      <c r="E1176" t="inlineStr">
        <is>
          <t>STRÖMSUND</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47936-2021</t>
        </is>
      </c>
      <c r="B1177" s="1" t="n">
        <v>44448</v>
      </c>
      <c r="C1177" s="1" t="n">
        <v>45740</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47941-2021</t>
        </is>
      </c>
      <c r="B1178" s="1" t="n">
        <v>44449</v>
      </c>
      <c r="C1178" s="1" t="n">
        <v>45740</v>
      </c>
      <c r="D1178" t="inlineStr">
        <is>
          <t>JÄMTLANDS LÄN</t>
        </is>
      </c>
      <c r="E1178" t="inlineStr">
        <is>
          <t>STRÖMSUND</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47943-2021</t>
        </is>
      </c>
      <c r="B1179" s="1" t="n">
        <v>44448</v>
      </c>
      <c r="C1179" s="1" t="n">
        <v>45740</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47934-2021</t>
        </is>
      </c>
      <c r="B1180" s="1" t="n">
        <v>44448</v>
      </c>
      <c r="C1180" s="1" t="n">
        <v>45740</v>
      </c>
      <c r="D1180" t="inlineStr">
        <is>
          <t>JÄMTLANDS LÄN</t>
        </is>
      </c>
      <c r="E1180" t="inlineStr">
        <is>
          <t>STRÖMSUND</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47940-2021</t>
        </is>
      </c>
      <c r="B1181" s="1" t="n">
        <v>44449</v>
      </c>
      <c r="C1181" s="1" t="n">
        <v>45740</v>
      </c>
      <c r="D1181" t="inlineStr">
        <is>
          <t>JÄMTLANDS LÄN</t>
        </is>
      </c>
      <c r="E1181" t="inlineStr">
        <is>
          <t>STRÖMSUND</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48508-2021</t>
        </is>
      </c>
      <c r="B1182" s="1" t="n">
        <v>44451</v>
      </c>
      <c r="C1182" s="1" t="n">
        <v>45740</v>
      </c>
      <c r="D1182" t="inlineStr">
        <is>
          <t>JÄMTLANDS LÄN</t>
        </is>
      </c>
      <c r="E1182" t="inlineStr">
        <is>
          <t>STRÖMSUND</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48863-2021</t>
        </is>
      </c>
      <c r="B1183" s="1" t="n">
        <v>44453</v>
      </c>
      <c r="C1183" s="1" t="n">
        <v>45740</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49166-2021</t>
        </is>
      </c>
      <c r="B1184" s="1" t="n">
        <v>44454</v>
      </c>
      <c r="C1184" s="1" t="n">
        <v>45740</v>
      </c>
      <c r="D1184" t="inlineStr">
        <is>
          <t>JÄMTLANDS LÄN</t>
        </is>
      </c>
      <c r="E1184" t="inlineStr">
        <is>
          <t>STRÖMSUND</t>
        </is>
      </c>
      <c r="F1184" t="inlineStr">
        <is>
          <t>SCA</t>
        </is>
      </c>
      <c r="G1184" t="n">
        <v>3.3</v>
      </c>
      <c r="H1184" t="n">
        <v>0</v>
      </c>
      <c r="I1184" t="n">
        <v>0</v>
      </c>
      <c r="J1184" t="n">
        <v>0</v>
      </c>
      <c r="K1184" t="n">
        <v>0</v>
      </c>
      <c r="L1184" t="n">
        <v>0</v>
      </c>
      <c r="M1184" t="n">
        <v>0</v>
      </c>
      <c r="N1184" t="n">
        <v>0</v>
      </c>
      <c r="O1184" t="n">
        <v>0</v>
      </c>
      <c r="P1184" t="n">
        <v>0</v>
      </c>
      <c r="Q1184" t="n">
        <v>0</v>
      </c>
      <c r="R1184" s="2" t="inlineStr"/>
      <c r="U1184">
        <f>HYPERLINK("https://klasma.github.io/Logging_2313/knärot/A 49166-2021 karta knärot.png", "A 49166-2021")</f>
        <v/>
      </c>
      <c r="V1184">
        <f>HYPERLINK("https://klasma.github.io/Logging_2313/klagomål/A 49166-2021 FSC-klagomål.docx", "A 49166-2021")</f>
        <v/>
      </c>
      <c r="W1184">
        <f>HYPERLINK("https://klasma.github.io/Logging_2313/klagomålsmail/A 49166-2021 FSC-klagomål mail.docx", "A 49166-2021")</f>
        <v/>
      </c>
      <c r="X1184">
        <f>HYPERLINK("https://klasma.github.io/Logging_2313/tillsyn/A 49166-2021 tillsynsbegäran.docx", "A 49166-2021")</f>
        <v/>
      </c>
      <c r="Y1184">
        <f>HYPERLINK("https://klasma.github.io/Logging_2313/tillsynsmail/A 49166-2021 tillsynsbegäran mail.docx", "A 49166-2021")</f>
        <v/>
      </c>
    </row>
    <row r="1185" ht="15" customHeight="1">
      <c r="A1185" t="inlineStr">
        <is>
          <t>A 49204-2021</t>
        </is>
      </c>
      <c r="B1185" s="1" t="n">
        <v>44454</v>
      </c>
      <c r="C1185" s="1" t="n">
        <v>45740</v>
      </c>
      <c r="D1185" t="inlineStr">
        <is>
          <t>JÄMTLANDS LÄN</t>
        </is>
      </c>
      <c r="E1185" t="inlineStr">
        <is>
          <t>STRÖMSUND</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49210-2021</t>
        </is>
      </c>
      <c r="B1186" s="1" t="n">
        <v>44454</v>
      </c>
      <c r="C1186" s="1" t="n">
        <v>45740</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49208-2021</t>
        </is>
      </c>
      <c r="B1187" s="1" t="n">
        <v>44454</v>
      </c>
      <c r="C1187" s="1" t="n">
        <v>45740</v>
      </c>
      <c r="D1187" t="inlineStr">
        <is>
          <t>JÄMTLANDS LÄN</t>
        </is>
      </c>
      <c r="E1187" t="inlineStr">
        <is>
          <t>STRÖMSUND</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49212-2021</t>
        </is>
      </c>
      <c r="B1188" s="1" t="n">
        <v>44454</v>
      </c>
      <c r="C1188" s="1" t="n">
        <v>45740</v>
      </c>
      <c r="D1188" t="inlineStr">
        <is>
          <t>JÄMTLANDS LÄN</t>
        </is>
      </c>
      <c r="E1188" t="inlineStr">
        <is>
          <t>STRÖMSUND</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49206-2021</t>
        </is>
      </c>
      <c r="B1189" s="1" t="n">
        <v>44454</v>
      </c>
      <c r="C1189" s="1" t="n">
        <v>45740</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49620-2021</t>
        </is>
      </c>
      <c r="B1190" s="1" t="n">
        <v>44455</v>
      </c>
      <c r="C1190" s="1" t="n">
        <v>45740</v>
      </c>
      <c r="D1190" t="inlineStr">
        <is>
          <t>JÄMTLANDS LÄN</t>
        </is>
      </c>
      <c r="E1190" t="inlineStr">
        <is>
          <t>STRÖMSUND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49929-2021</t>
        </is>
      </c>
      <c r="B1191" s="1" t="n">
        <v>44456</v>
      </c>
      <c r="C1191" s="1" t="n">
        <v>45740</v>
      </c>
      <c r="D1191" t="inlineStr">
        <is>
          <t>JÄMTLANDS LÄN</t>
        </is>
      </c>
      <c r="E1191" t="inlineStr">
        <is>
          <t>STRÖMSUND</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50020-2021</t>
        </is>
      </c>
      <c r="B1192" s="1" t="n">
        <v>44456</v>
      </c>
      <c r="C1192" s="1" t="n">
        <v>45740</v>
      </c>
      <c r="D1192" t="inlineStr">
        <is>
          <t>JÄMTLANDS LÄN</t>
        </is>
      </c>
      <c r="E1192" t="inlineStr">
        <is>
          <t>STRÖMSUND</t>
        </is>
      </c>
      <c r="F1192" t="inlineStr">
        <is>
          <t>Sveaskog</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50025-2021</t>
        </is>
      </c>
      <c r="B1193" s="1" t="n">
        <v>44456</v>
      </c>
      <c r="C1193" s="1" t="n">
        <v>45740</v>
      </c>
      <c r="D1193" t="inlineStr">
        <is>
          <t>JÄMTLANDS LÄN</t>
        </is>
      </c>
      <c r="E1193" t="inlineStr">
        <is>
          <t>STRÖMSUND</t>
        </is>
      </c>
      <c r="F1193" t="inlineStr">
        <is>
          <t>Sveaskog</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50034-2021</t>
        </is>
      </c>
      <c r="B1194" s="1" t="n">
        <v>44456</v>
      </c>
      <c r="C1194" s="1" t="n">
        <v>45740</v>
      </c>
      <c r="D1194" t="inlineStr">
        <is>
          <t>JÄMTLANDS LÄN</t>
        </is>
      </c>
      <c r="E1194" t="inlineStr">
        <is>
          <t>STRÖMSUND</t>
        </is>
      </c>
      <c r="F1194" t="inlineStr">
        <is>
          <t>Sveaskog</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50029-2021</t>
        </is>
      </c>
      <c r="B1195" s="1" t="n">
        <v>44456</v>
      </c>
      <c r="C1195" s="1" t="n">
        <v>45740</v>
      </c>
      <c r="D1195" t="inlineStr">
        <is>
          <t>JÄMTLANDS LÄN</t>
        </is>
      </c>
      <c r="E1195" t="inlineStr">
        <is>
          <t>STRÖMSUND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50037-2021</t>
        </is>
      </c>
      <c r="B1196" s="1" t="n">
        <v>44456</v>
      </c>
      <c r="C1196" s="1" t="n">
        <v>45740</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50022-2021</t>
        </is>
      </c>
      <c r="B1197" s="1" t="n">
        <v>44456</v>
      </c>
      <c r="C1197" s="1" t="n">
        <v>45740</v>
      </c>
      <c r="D1197" t="inlineStr">
        <is>
          <t>JÄMTLANDS LÄN</t>
        </is>
      </c>
      <c r="E1197" t="inlineStr">
        <is>
          <t>STRÖMSUND</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50028-2021</t>
        </is>
      </c>
      <c r="B1198" s="1" t="n">
        <v>44456</v>
      </c>
      <c r="C1198" s="1" t="n">
        <v>45740</v>
      </c>
      <c r="D1198" t="inlineStr">
        <is>
          <t>JÄMTLANDS LÄN</t>
        </is>
      </c>
      <c r="E1198" t="inlineStr">
        <is>
          <t>STRÖMSUND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50176-2021</t>
        </is>
      </c>
      <c r="B1199" s="1" t="n">
        <v>44457</v>
      </c>
      <c r="C1199" s="1" t="n">
        <v>45740</v>
      </c>
      <c r="D1199" t="inlineStr">
        <is>
          <t>JÄMTLANDS LÄN</t>
        </is>
      </c>
      <c r="E1199" t="inlineStr">
        <is>
          <t>STRÖMSUND</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50179-2021</t>
        </is>
      </c>
      <c r="B1200" s="1" t="n">
        <v>44456</v>
      </c>
      <c r="C1200" s="1" t="n">
        <v>45740</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50180-2021</t>
        </is>
      </c>
      <c r="B1201" s="1" t="n">
        <v>44456</v>
      </c>
      <c r="C1201" s="1" t="n">
        <v>45740</v>
      </c>
      <c r="D1201" t="inlineStr">
        <is>
          <t>JÄMTLANDS LÄN</t>
        </is>
      </c>
      <c r="E1201" t="inlineStr">
        <is>
          <t>STRÖMSUND</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50023-2021</t>
        </is>
      </c>
      <c r="B1202" s="1" t="n">
        <v>44456</v>
      </c>
      <c r="C1202" s="1" t="n">
        <v>45740</v>
      </c>
      <c r="D1202" t="inlineStr">
        <is>
          <t>JÄMTLANDS LÄN</t>
        </is>
      </c>
      <c r="E1202" t="inlineStr">
        <is>
          <t>STRÖMSUND</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50890-2021</t>
        </is>
      </c>
      <c r="B1203" s="1" t="n">
        <v>44460</v>
      </c>
      <c r="C1203" s="1" t="n">
        <v>45740</v>
      </c>
      <c r="D1203" t="inlineStr">
        <is>
          <t>JÄMTLANDS LÄN</t>
        </is>
      </c>
      <c r="E1203" t="inlineStr">
        <is>
          <t>STRÖMSUND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51446-2021</t>
        </is>
      </c>
      <c r="B1204" s="1" t="n">
        <v>44461</v>
      </c>
      <c r="C1204" s="1" t="n">
        <v>45740</v>
      </c>
      <c r="D1204" t="inlineStr">
        <is>
          <t>JÄMTLANDS LÄN</t>
        </is>
      </c>
      <c r="E1204" t="inlineStr">
        <is>
          <t>STRÖMSUND</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51954-2021</t>
        </is>
      </c>
      <c r="B1205" s="1" t="n">
        <v>44463</v>
      </c>
      <c r="C1205" s="1" t="n">
        <v>45740</v>
      </c>
      <c r="D1205" t="inlineStr">
        <is>
          <t>JÄMTLANDS LÄN</t>
        </is>
      </c>
      <c r="E1205" t="inlineStr">
        <is>
          <t>STRÖMSUND</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51953-2021</t>
        </is>
      </c>
      <c r="B1206" s="1" t="n">
        <v>44463</v>
      </c>
      <c r="C1206" s="1" t="n">
        <v>45740</v>
      </c>
      <c r="D1206" t="inlineStr">
        <is>
          <t>JÄMTLANDS LÄN</t>
        </is>
      </c>
      <c r="E1206" t="inlineStr">
        <is>
          <t>STRÖMSUND</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52327-2021</t>
        </is>
      </c>
      <c r="B1207" s="1" t="n">
        <v>44463</v>
      </c>
      <c r="C1207" s="1" t="n">
        <v>45740</v>
      </c>
      <c r="D1207" t="inlineStr">
        <is>
          <t>JÄMTLANDS LÄN</t>
        </is>
      </c>
      <c r="E1207" t="inlineStr">
        <is>
          <t>STRÖMSUND</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52397-2021</t>
        </is>
      </c>
      <c r="B1208" s="1" t="n">
        <v>44463</v>
      </c>
      <c r="C1208" s="1" t="n">
        <v>45740</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52332-2021</t>
        </is>
      </c>
      <c r="B1209" s="1" t="n">
        <v>44463</v>
      </c>
      <c r="C1209" s="1" t="n">
        <v>45740</v>
      </c>
      <c r="D1209" t="inlineStr">
        <is>
          <t>JÄMTLANDS LÄN</t>
        </is>
      </c>
      <c r="E1209" t="inlineStr">
        <is>
          <t>STRÖMSUND</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52399-2021</t>
        </is>
      </c>
      <c r="B1210" s="1" t="n">
        <v>44466</v>
      </c>
      <c r="C1210" s="1" t="n">
        <v>45740</v>
      </c>
      <c r="D1210" t="inlineStr">
        <is>
          <t>JÄMTLANDS LÄN</t>
        </is>
      </c>
      <c r="E1210" t="inlineStr">
        <is>
          <t>STRÖMSUND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52718-2021</t>
        </is>
      </c>
      <c r="B1211" s="1" t="n">
        <v>44467</v>
      </c>
      <c r="C1211" s="1" t="n">
        <v>45740</v>
      </c>
      <c r="D1211" t="inlineStr">
        <is>
          <t>JÄMTLANDS LÄN</t>
        </is>
      </c>
      <c r="E1211" t="inlineStr">
        <is>
          <t>STRÖMSUND</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52707-2021</t>
        </is>
      </c>
      <c r="B1212" s="1" t="n">
        <v>44467</v>
      </c>
      <c r="C1212" s="1" t="n">
        <v>45740</v>
      </c>
      <c r="D1212" t="inlineStr">
        <is>
          <t>JÄMTLANDS LÄN</t>
        </is>
      </c>
      <c r="E1212" t="inlineStr">
        <is>
          <t>STRÖMSUND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52969-2021</t>
        </is>
      </c>
      <c r="B1213" s="1" t="n">
        <v>44466</v>
      </c>
      <c r="C1213" s="1" t="n">
        <v>45740</v>
      </c>
      <c r="D1213" t="inlineStr">
        <is>
          <t>JÄMTLANDS LÄN</t>
        </is>
      </c>
      <c r="E1213" t="inlineStr">
        <is>
          <t>STRÖMSUND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53420-2021</t>
        </is>
      </c>
      <c r="B1214" s="1" t="n">
        <v>44468</v>
      </c>
      <c r="C1214" s="1" t="n">
        <v>45740</v>
      </c>
      <c r="D1214" t="inlineStr">
        <is>
          <t>JÄMTLANDS LÄN</t>
        </is>
      </c>
      <c r="E1214" t="inlineStr">
        <is>
          <t>STRÖMSUND</t>
        </is>
      </c>
      <c r="F1214" t="inlineStr">
        <is>
          <t>Holmen skog AB</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53518-2021</t>
        </is>
      </c>
      <c r="B1215" s="1" t="n">
        <v>44468</v>
      </c>
      <c r="C1215" s="1" t="n">
        <v>45740</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53513-2021</t>
        </is>
      </c>
      <c r="B1216" s="1" t="n">
        <v>44468</v>
      </c>
      <c r="C1216" s="1" t="n">
        <v>45740</v>
      </c>
      <c r="D1216" t="inlineStr">
        <is>
          <t>JÄMTLANDS LÄN</t>
        </is>
      </c>
      <c r="E1216" t="inlineStr">
        <is>
          <t>STRÖMSUND</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54050-2021</t>
        </is>
      </c>
      <c r="B1217" s="1" t="n">
        <v>44470</v>
      </c>
      <c r="C1217" s="1" t="n">
        <v>45740</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54117-2021</t>
        </is>
      </c>
      <c r="B1218" s="1" t="n">
        <v>44470</v>
      </c>
      <c r="C1218" s="1" t="n">
        <v>45740</v>
      </c>
      <c r="D1218" t="inlineStr">
        <is>
          <t>JÄMTLANDS LÄN</t>
        </is>
      </c>
      <c r="E1218" t="inlineStr">
        <is>
          <t>STRÖMSUND</t>
        </is>
      </c>
      <c r="F1218" t="inlineStr">
        <is>
          <t>Holmen skog AB</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55608-2021</t>
        </is>
      </c>
      <c r="B1219" s="1" t="n">
        <v>44475</v>
      </c>
      <c r="C1219" s="1" t="n">
        <v>45740</v>
      </c>
      <c r="D1219" t="inlineStr">
        <is>
          <t>JÄMTLANDS LÄN</t>
        </is>
      </c>
      <c r="E1219" t="inlineStr">
        <is>
          <t>STRÖMSUND</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55918-2021</t>
        </is>
      </c>
      <c r="B1220" s="1" t="n">
        <v>44476</v>
      </c>
      <c r="C1220" s="1" t="n">
        <v>45740</v>
      </c>
      <c r="D1220" t="inlineStr">
        <is>
          <t>JÄMTLANDS LÄN</t>
        </is>
      </c>
      <c r="E1220" t="inlineStr">
        <is>
          <t>STRÖMSUND</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55920-2021</t>
        </is>
      </c>
      <c r="B1221" s="1" t="n">
        <v>44476</v>
      </c>
      <c r="C1221" s="1" t="n">
        <v>45740</v>
      </c>
      <c r="D1221" t="inlineStr">
        <is>
          <t>JÄMTLANDS LÄN</t>
        </is>
      </c>
      <c r="E1221" t="inlineStr">
        <is>
          <t>STRÖMSUND</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55927-2021</t>
        </is>
      </c>
      <c r="B1222" s="1" t="n">
        <v>44476</v>
      </c>
      <c r="C1222" s="1" t="n">
        <v>45740</v>
      </c>
      <c r="D1222" t="inlineStr">
        <is>
          <t>JÄMTLANDS LÄN</t>
        </is>
      </c>
      <c r="E1222" t="inlineStr">
        <is>
          <t>STRÖMSUND</t>
        </is>
      </c>
      <c r="F1222" t="inlineStr">
        <is>
          <t>SCA</t>
        </is>
      </c>
      <c r="G1222" t="n">
        <v>16.9</v>
      </c>
      <c r="H1222" t="n">
        <v>0</v>
      </c>
      <c r="I1222" t="n">
        <v>0</v>
      </c>
      <c r="J1222" t="n">
        <v>0</v>
      </c>
      <c r="K1222" t="n">
        <v>0</v>
      </c>
      <c r="L1222" t="n">
        <v>0</v>
      </c>
      <c r="M1222" t="n">
        <v>0</v>
      </c>
      <c r="N1222" t="n">
        <v>0</v>
      </c>
      <c r="O1222" t="n">
        <v>0</v>
      </c>
      <c r="P1222" t="n">
        <v>0</v>
      </c>
      <c r="Q1222" t="n">
        <v>0</v>
      </c>
      <c r="R1222" s="2" t="inlineStr"/>
    </row>
    <row r="1223" ht="15" customHeight="1">
      <c r="A1223" t="inlineStr">
        <is>
          <t>A 55919-2021</t>
        </is>
      </c>
      <c r="B1223" s="1" t="n">
        <v>44477</v>
      </c>
      <c r="C1223" s="1" t="n">
        <v>45740</v>
      </c>
      <c r="D1223" t="inlineStr">
        <is>
          <t>JÄMTLANDS LÄN</t>
        </is>
      </c>
      <c r="E1223" t="inlineStr">
        <is>
          <t>STRÖMSUND</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55939-2021</t>
        </is>
      </c>
      <c r="B1224" s="1" t="n">
        <v>44476</v>
      </c>
      <c r="C1224" s="1" t="n">
        <v>45740</v>
      </c>
      <c r="D1224" t="inlineStr">
        <is>
          <t>JÄMTLANDS LÄN</t>
        </is>
      </c>
      <c r="E1224" t="inlineStr">
        <is>
          <t>STRÖMSUND</t>
        </is>
      </c>
      <c r="F1224" t="inlineStr">
        <is>
          <t>SCA</t>
        </is>
      </c>
      <c r="G1224" t="n">
        <v>19.3</v>
      </c>
      <c r="H1224" t="n">
        <v>0</v>
      </c>
      <c r="I1224" t="n">
        <v>0</v>
      </c>
      <c r="J1224" t="n">
        <v>0</v>
      </c>
      <c r="K1224" t="n">
        <v>0</v>
      </c>
      <c r="L1224" t="n">
        <v>0</v>
      </c>
      <c r="M1224" t="n">
        <v>0</v>
      </c>
      <c r="N1224" t="n">
        <v>0</v>
      </c>
      <c r="O1224" t="n">
        <v>0</v>
      </c>
      <c r="P1224" t="n">
        <v>0</v>
      </c>
      <c r="Q1224" t="n">
        <v>0</v>
      </c>
      <c r="R1224" s="2" t="inlineStr"/>
    </row>
    <row r="1225" ht="15" customHeight="1">
      <c r="A1225" t="inlineStr">
        <is>
          <t>A 56213-2021</t>
        </is>
      </c>
      <c r="B1225" s="1" t="n">
        <v>44478</v>
      </c>
      <c r="C1225" s="1" t="n">
        <v>45740</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56208-2021</t>
        </is>
      </c>
      <c r="B1226" s="1" t="n">
        <v>44477</v>
      </c>
      <c r="C1226" s="1" t="n">
        <v>45740</v>
      </c>
      <c r="D1226" t="inlineStr">
        <is>
          <t>JÄMTLANDS LÄN</t>
        </is>
      </c>
      <c r="E1226" t="inlineStr">
        <is>
          <t>STRÖMSUND</t>
        </is>
      </c>
      <c r="F1226" t="inlineStr">
        <is>
          <t>SCA</t>
        </is>
      </c>
      <c r="G1226" t="n">
        <v>23.9</v>
      </c>
      <c r="H1226" t="n">
        <v>0</v>
      </c>
      <c r="I1226" t="n">
        <v>0</v>
      </c>
      <c r="J1226" t="n">
        <v>0</v>
      </c>
      <c r="K1226" t="n">
        <v>0</v>
      </c>
      <c r="L1226" t="n">
        <v>0</v>
      </c>
      <c r="M1226" t="n">
        <v>0</v>
      </c>
      <c r="N1226" t="n">
        <v>0</v>
      </c>
      <c r="O1226" t="n">
        <v>0</v>
      </c>
      <c r="P1226" t="n">
        <v>0</v>
      </c>
      <c r="Q1226" t="n">
        <v>0</v>
      </c>
      <c r="R1226" s="2" t="inlineStr"/>
    </row>
    <row r="1227" ht="15" customHeight="1">
      <c r="A1227" t="inlineStr">
        <is>
          <t>A 56655-2021</t>
        </is>
      </c>
      <c r="B1227" s="1" t="n">
        <v>44480</v>
      </c>
      <c r="C1227" s="1" t="n">
        <v>45740</v>
      </c>
      <c r="D1227" t="inlineStr">
        <is>
          <t>JÄMTLANDS LÄN</t>
        </is>
      </c>
      <c r="E1227" t="inlineStr">
        <is>
          <t>STRÖMSUND</t>
        </is>
      </c>
      <c r="F1227" t="inlineStr">
        <is>
          <t>SCA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56654-2021</t>
        </is>
      </c>
      <c r="B1228" s="1" t="n">
        <v>44480</v>
      </c>
      <c r="C1228" s="1" t="n">
        <v>45740</v>
      </c>
      <c r="D1228" t="inlineStr">
        <is>
          <t>JÄMTLANDS LÄN</t>
        </is>
      </c>
      <c r="E1228" t="inlineStr">
        <is>
          <t>STRÖMSUND</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57433-2021</t>
        </is>
      </c>
      <c r="B1229" s="1" t="n">
        <v>44483</v>
      </c>
      <c r="C1229" s="1" t="n">
        <v>45740</v>
      </c>
      <c r="D1229" t="inlineStr">
        <is>
          <t>JÄMTLANDS LÄN</t>
        </is>
      </c>
      <c r="E1229" t="inlineStr">
        <is>
          <t>STRÖMSUND</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57547-2021</t>
        </is>
      </c>
      <c r="B1230" s="1" t="n">
        <v>44484</v>
      </c>
      <c r="C1230" s="1" t="n">
        <v>45740</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57560-2021</t>
        </is>
      </c>
      <c r="B1231" s="1" t="n">
        <v>44483</v>
      </c>
      <c r="C1231" s="1" t="n">
        <v>45740</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58260-2021</t>
        </is>
      </c>
      <c r="B1232" s="1" t="n">
        <v>44487</v>
      </c>
      <c r="C1232" s="1" t="n">
        <v>45740</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58022-2021</t>
        </is>
      </c>
      <c r="B1233" s="1" t="n">
        <v>44487</v>
      </c>
      <c r="C1233" s="1" t="n">
        <v>45740</v>
      </c>
      <c r="D1233" t="inlineStr">
        <is>
          <t>JÄMTLANDS LÄN</t>
        </is>
      </c>
      <c r="E1233" t="inlineStr">
        <is>
          <t>STRÖMSUND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59126-2021</t>
        </is>
      </c>
      <c r="B1234" s="1" t="n">
        <v>44487</v>
      </c>
      <c r="C1234" s="1" t="n">
        <v>45740</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58972-2021</t>
        </is>
      </c>
      <c r="B1235" s="1" t="n">
        <v>44490</v>
      </c>
      <c r="C1235" s="1" t="n">
        <v>45740</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58973-2021</t>
        </is>
      </c>
      <c r="B1236" s="1" t="n">
        <v>44489</v>
      </c>
      <c r="C1236" s="1" t="n">
        <v>45740</v>
      </c>
      <c r="D1236" t="inlineStr">
        <is>
          <t>JÄMTLANDS LÄN</t>
        </is>
      </c>
      <c r="E1236" t="inlineStr">
        <is>
          <t>STRÖMSUND</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58971-2021</t>
        </is>
      </c>
      <c r="B1237" s="1" t="n">
        <v>44490</v>
      </c>
      <c r="C1237" s="1" t="n">
        <v>45740</v>
      </c>
      <c r="D1237" t="inlineStr">
        <is>
          <t>JÄMTLANDS LÄN</t>
        </is>
      </c>
      <c r="E1237" t="inlineStr">
        <is>
          <t>STRÖMSUND</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59139-2021</t>
        </is>
      </c>
      <c r="B1238" s="1" t="n">
        <v>44490</v>
      </c>
      <c r="C1238" s="1" t="n">
        <v>45740</v>
      </c>
      <c r="D1238" t="inlineStr">
        <is>
          <t>JÄMTLANDS LÄN</t>
        </is>
      </c>
      <c r="E1238" t="inlineStr">
        <is>
          <t>STRÖMSUND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59313-2021</t>
        </is>
      </c>
      <c r="B1239" s="1" t="n">
        <v>44491</v>
      </c>
      <c r="C1239" s="1" t="n">
        <v>45740</v>
      </c>
      <c r="D1239" t="inlineStr">
        <is>
          <t>JÄMTLANDS LÄN</t>
        </is>
      </c>
      <c r="E1239" t="inlineStr">
        <is>
          <t>STRÖMSUND</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59969-2021</t>
        </is>
      </c>
      <c r="B1240" s="1" t="n">
        <v>44495</v>
      </c>
      <c r="C1240" s="1" t="n">
        <v>45740</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60011-2021</t>
        </is>
      </c>
      <c r="B1241" s="1" t="n">
        <v>44495</v>
      </c>
      <c r="C1241" s="1" t="n">
        <v>45740</v>
      </c>
      <c r="D1241" t="inlineStr">
        <is>
          <t>JÄMTLANDS LÄN</t>
        </is>
      </c>
      <c r="E1241" t="inlineStr">
        <is>
          <t>STRÖMSUND</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60319-2021</t>
        </is>
      </c>
      <c r="B1242" s="1" t="n">
        <v>44495</v>
      </c>
      <c r="C1242" s="1" t="n">
        <v>45740</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60939-2021</t>
        </is>
      </c>
      <c r="B1243" s="1" t="n">
        <v>44496</v>
      </c>
      <c r="C1243" s="1" t="n">
        <v>45740</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60775-2021</t>
        </is>
      </c>
      <c r="B1244" s="1" t="n">
        <v>44496</v>
      </c>
      <c r="C1244" s="1" t="n">
        <v>45740</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60789-2021</t>
        </is>
      </c>
      <c r="B1245" s="1" t="n">
        <v>44496</v>
      </c>
      <c r="C1245" s="1" t="n">
        <v>45740</v>
      </c>
      <c r="D1245" t="inlineStr">
        <is>
          <t>JÄMTLANDS LÄN</t>
        </is>
      </c>
      <c r="E1245" t="inlineStr">
        <is>
          <t>STRÖMSUND</t>
        </is>
      </c>
      <c r="F1245" t="inlineStr">
        <is>
          <t>SCA</t>
        </is>
      </c>
      <c r="G1245" t="n">
        <v>14.7</v>
      </c>
      <c r="H1245" t="n">
        <v>0</v>
      </c>
      <c r="I1245" t="n">
        <v>0</v>
      </c>
      <c r="J1245" t="n">
        <v>0</v>
      </c>
      <c r="K1245" t="n">
        <v>0</v>
      </c>
      <c r="L1245" t="n">
        <v>0</v>
      </c>
      <c r="M1245" t="n">
        <v>0</v>
      </c>
      <c r="N1245" t="n">
        <v>0</v>
      </c>
      <c r="O1245" t="n">
        <v>0</v>
      </c>
      <c r="P1245" t="n">
        <v>0</v>
      </c>
      <c r="Q1245" t="n">
        <v>0</v>
      </c>
      <c r="R1245" s="2" t="inlineStr"/>
    </row>
    <row r="1246" ht="15" customHeight="1">
      <c r="A1246" t="inlineStr">
        <is>
          <t>A 60801-2021</t>
        </is>
      </c>
      <c r="B1246" s="1" t="n">
        <v>44497</v>
      </c>
      <c r="C1246" s="1" t="n">
        <v>45740</v>
      </c>
      <c r="D1246" t="inlineStr">
        <is>
          <t>JÄMTLANDS LÄN</t>
        </is>
      </c>
      <c r="E1246" t="inlineStr">
        <is>
          <t>STRÖMSUND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61612-2021</t>
        </is>
      </c>
      <c r="B1247" s="1" t="n">
        <v>44498</v>
      </c>
      <c r="C1247" s="1" t="n">
        <v>45740</v>
      </c>
      <c r="D1247" t="inlineStr">
        <is>
          <t>JÄMTLANDS LÄN</t>
        </is>
      </c>
      <c r="E1247" t="inlineStr">
        <is>
          <t>STRÖMSUND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61439-2021</t>
        </is>
      </c>
      <c r="B1248" s="1" t="n">
        <v>44500</v>
      </c>
      <c r="C1248" s="1" t="n">
        <v>45740</v>
      </c>
      <c r="D1248" t="inlineStr">
        <is>
          <t>JÄMTLANDS LÄN</t>
        </is>
      </c>
      <c r="E1248" t="inlineStr">
        <is>
          <t>STRÖMSUND</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61449-2021</t>
        </is>
      </c>
      <c r="B1249" s="1" t="n">
        <v>44500</v>
      </c>
      <c r="C1249" s="1" t="n">
        <v>45740</v>
      </c>
      <c r="D1249" t="inlineStr">
        <is>
          <t>JÄMTLANDS LÄN</t>
        </is>
      </c>
      <c r="E1249" t="inlineStr">
        <is>
          <t>STRÖMSUND</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61420-2021</t>
        </is>
      </c>
      <c r="B1250" s="1" t="n">
        <v>44500</v>
      </c>
      <c r="C1250" s="1" t="n">
        <v>45740</v>
      </c>
      <c r="D1250" t="inlineStr">
        <is>
          <t>JÄMTLANDS LÄN</t>
        </is>
      </c>
      <c r="E1250" t="inlineStr">
        <is>
          <t>STRÖMSUND</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61434-2021</t>
        </is>
      </c>
      <c r="B1251" s="1" t="n">
        <v>44500</v>
      </c>
      <c r="C1251" s="1" t="n">
        <v>45740</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61455-2021</t>
        </is>
      </c>
      <c r="B1252" s="1" t="n">
        <v>44500</v>
      </c>
      <c r="C1252" s="1" t="n">
        <v>45740</v>
      </c>
      <c r="D1252" t="inlineStr">
        <is>
          <t>JÄMTLANDS LÄN</t>
        </is>
      </c>
      <c r="E1252" t="inlineStr">
        <is>
          <t>STRÖMSUND</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61422-2021</t>
        </is>
      </c>
      <c r="B1253" s="1" t="n">
        <v>44500</v>
      </c>
      <c r="C1253" s="1" t="n">
        <v>45740</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61419-2021</t>
        </is>
      </c>
      <c r="B1254" s="1" t="n">
        <v>44500</v>
      </c>
      <c r="C1254" s="1" t="n">
        <v>45740</v>
      </c>
      <c r="D1254" t="inlineStr">
        <is>
          <t>JÄMTLANDS LÄN</t>
        </is>
      </c>
      <c r="E1254" t="inlineStr">
        <is>
          <t>STRÖMSUND</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61433-2021</t>
        </is>
      </c>
      <c r="B1255" s="1" t="n">
        <v>44500</v>
      </c>
      <c r="C1255" s="1" t="n">
        <v>45740</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61450-2021</t>
        </is>
      </c>
      <c r="B1256" s="1" t="n">
        <v>44500</v>
      </c>
      <c r="C1256" s="1" t="n">
        <v>45740</v>
      </c>
      <c r="D1256" t="inlineStr">
        <is>
          <t>JÄMTLANDS LÄN</t>
        </is>
      </c>
      <c r="E1256" t="inlineStr">
        <is>
          <t>STRÖMSUND</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61731-2021</t>
        </is>
      </c>
      <c r="B1257" s="1" t="n">
        <v>44501</v>
      </c>
      <c r="C1257" s="1" t="n">
        <v>45740</v>
      </c>
      <c r="D1257" t="inlineStr">
        <is>
          <t>JÄMTLANDS LÄN</t>
        </is>
      </c>
      <c r="E1257" t="inlineStr">
        <is>
          <t>STRÖMSUND</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62203-2021</t>
        </is>
      </c>
      <c r="B1258" s="1" t="n">
        <v>44502</v>
      </c>
      <c r="C1258" s="1" t="n">
        <v>45740</v>
      </c>
      <c r="D1258" t="inlineStr">
        <is>
          <t>JÄMTLANDS LÄN</t>
        </is>
      </c>
      <c r="E1258" t="inlineStr">
        <is>
          <t>STRÖMSUND</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62194-2021</t>
        </is>
      </c>
      <c r="B1259" s="1" t="n">
        <v>44502</v>
      </c>
      <c r="C1259" s="1" t="n">
        <v>45740</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62234-2021</t>
        </is>
      </c>
      <c r="B1260" s="1" t="n">
        <v>44503</v>
      </c>
      <c r="C1260" s="1" t="n">
        <v>45740</v>
      </c>
      <c r="D1260" t="inlineStr">
        <is>
          <t>JÄMTLANDS LÄN</t>
        </is>
      </c>
      <c r="E1260" t="inlineStr">
        <is>
          <t>STRÖMSUND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62431-2021</t>
        </is>
      </c>
      <c r="B1261" s="1" t="n">
        <v>44503</v>
      </c>
      <c r="C1261" s="1" t="n">
        <v>45740</v>
      </c>
      <c r="D1261" t="inlineStr">
        <is>
          <t>JÄMTLANDS LÄN</t>
        </is>
      </c>
      <c r="E1261" t="inlineStr">
        <is>
          <t>STRÖMSUND</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62667-2021</t>
        </is>
      </c>
      <c r="B1262" s="1" t="n">
        <v>44503</v>
      </c>
      <c r="C1262" s="1" t="n">
        <v>45740</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62666-2021</t>
        </is>
      </c>
      <c r="B1263" s="1" t="n">
        <v>44503</v>
      </c>
      <c r="C1263" s="1" t="n">
        <v>45740</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62669-2021</t>
        </is>
      </c>
      <c r="B1264" s="1" t="n">
        <v>44503</v>
      </c>
      <c r="C1264" s="1" t="n">
        <v>45740</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62668-2021</t>
        </is>
      </c>
      <c r="B1265" s="1" t="n">
        <v>44503</v>
      </c>
      <c r="C1265" s="1" t="n">
        <v>45740</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64744-2021</t>
        </is>
      </c>
      <c r="B1266" s="1" t="n">
        <v>44503</v>
      </c>
      <c r="C1266" s="1" t="n">
        <v>45740</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64760-2021</t>
        </is>
      </c>
      <c r="B1267" s="1" t="n">
        <v>44503</v>
      </c>
      <c r="C1267" s="1" t="n">
        <v>45740</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63070-2021</t>
        </is>
      </c>
      <c r="B1268" s="1" t="n">
        <v>44505</v>
      </c>
      <c r="C1268" s="1" t="n">
        <v>45740</v>
      </c>
      <c r="D1268" t="inlineStr">
        <is>
          <t>JÄMTLANDS LÄN</t>
        </is>
      </c>
      <c r="E1268" t="inlineStr">
        <is>
          <t>STRÖMSUND</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63498-2021</t>
        </is>
      </c>
      <c r="B1269" s="1" t="n">
        <v>44508</v>
      </c>
      <c r="C1269" s="1" t="n">
        <v>45740</v>
      </c>
      <c r="D1269" t="inlineStr">
        <is>
          <t>JÄMTLANDS LÄN</t>
        </is>
      </c>
      <c r="E1269" t="inlineStr">
        <is>
          <t>STRÖMSUND</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63875-2021</t>
        </is>
      </c>
      <c r="B1270" s="1" t="n">
        <v>44509</v>
      </c>
      <c r="C1270" s="1" t="n">
        <v>45740</v>
      </c>
      <c r="D1270" t="inlineStr">
        <is>
          <t>JÄMTLANDS LÄN</t>
        </is>
      </c>
      <c r="E1270" t="inlineStr">
        <is>
          <t>STRÖMSUND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64000-2021</t>
        </is>
      </c>
      <c r="B1271" s="1" t="n">
        <v>44510</v>
      </c>
      <c r="C1271" s="1" t="n">
        <v>45740</v>
      </c>
      <c r="D1271" t="inlineStr">
        <is>
          <t>JÄMTLANDS LÄN</t>
        </is>
      </c>
      <c r="E1271" t="inlineStr">
        <is>
          <t>STRÖMSUND</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63999-2021</t>
        </is>
      </c>
      <c r="B1272" s="1" t="n">
        <v>44510</v>
      </c>
      <c r="C1272" s="1" t="n">
        <v>45740</v>
      </c>
      <c r="D1272" t="inlineStr">
        <is>
          <t>JÄMTLANDS LÄN</t>
        </is>
      </c>
      <c r="E1272" t="inlineStr">
        <is>
          <t>STRÖMSUND</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63988-2021</t>
        </is>
      </c>
      <c r="B1273" s="1" t="n">
        <v>44509</v>
      </c>
      <c r="C1273" s="1" t="n">
        <v>45740</v>
      </c>
      <c r="D1273" t="inlineStr">
        <is>
          <t>JÄMTLANDS LÄN</t>
        </is>
      </c>
      <c r="E1273" t="inlineStr">
        <is>
          <t>STRÖMSUND</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64001-2021</t>
        </is>
      </c>
      <c r="B1274" s="1" t="n">
        <v>44509</v>
      </c>
      <c r="C1274" s="1" t="n">
        <v>45740</v>
      </c>
      <c r="D1274" t="inlineStr">
        <is>
          <t>JÄMTLANDS LÄN</t>
        </is>
      </c>
      <c r="E1274" t="inlineStr">
        <is>
          <t>STRÖMSUND</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64200-2021</t>
        </is>
      </c>
      <c r="B1275" s="1" t="n">
        <v>44510</v>
      </c>
      <c r="C1275" s="1" t="n">
        <v>45740</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64186-2021</t>
        </is>
      </c>
      <c r="B1276" s="1" t="n">
        <v>44510</v>
      </c>
      <c r="C1276" s="1" t="n">
        <v>45740</v>
      </c>
      <c r="D1276" t="inlineStr">
        <is>
          <t>JÄMTLANDS LÄN</t>
        </is>
      </c>
      <c r="E1276" t="inlineStr">
        <is>
          <t>STRÖMSUND</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64291-2021</t>
        </is>
      </c>
      <c r="B1277" s="1" t="n">
        <v>44510</v>
      </c>
      <c r="C1277" s="1" t="n">
        <v>45740</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64310-2021</t>
        </is>
      </c>
      <c r="B1278" s="1" t="n">
        <v>44510</v>
      </c>
      <c r="C1278" s="1" t="n">
        <v>45740</v>
      </c>
      <c r="D1278" t="inlineStr">
        <is>
          <t>JÄMTLANDS LÄN</t>
        </is>
      </c>
      <c r="E1278" t="inlineStr">
        <is>
          <t>STRÖMSUND</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64309-2021</t>
        </is>
      </c>
      <c r="B1279" s="1" t="n">
        <v>44510</v>
      </c>
      <c r="C1279" s="1" t="n">
        <v>45740</v>
      </c>
      <c r="D1279" t="inlineStr">
        <is>
          <t>JÄMTLANDS LÄN</t>
        </is>
      </c>
      <c r="E1279" t="inlineStr">
        <is>
          <t>STRÖMSUND</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64505-2021</t>
        </is>
      </c>
      <c r="B1280" s="1" t="n">
        <v>44511</v>
      </c>
      <c r="C1280" s="1" t="n">
        <v>45740</v>
      </c>
      <c r="D1280" t="inlineStr">
        <is>
          <t>JÄMTLANDS LÄN</t>
        </is>
      </c>
      <c r="E1280" t="inlineStr">
        <is>
          <t>STRÖMSUND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64655-2021</t>
        </is>
      </c>
      <c r="B1281" s="1" t="n">
        <v>44511</v>
      </c>
      <c r="C1281" s="1" t="n">
        <v>45740</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64656-2021</t>
        </is>
      </c>
      <c r="B1282" s="1" t="n">
        <v>44511</v>
      </c>
      <c r="C1282" s="1" t="n">
        <v>45740</v>
      </c>
      <c r="D1282" t="inlineStr">
        <is>
          <t>JÄMTLANDS LÄN</t>
        </is>
      </c>
      <c r="E1282" t="inlineStr">
        <is>
          <t>STRÖMSUND</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64660-2021</t>
        </is>
      </c>
      <c r="B1283" s="1" t="n">
        <v>44511</v>
      </c>
      <c r="C1283" s="1" t="n">
        <v>45740</v>
      </c>
      <c r="D1283" t="inlineStr">
        <is>
          <t>JÄMTLANDS LÄN</t>
        </is>
      </c>
      <c r="E1283" t="inlineStr">
        <is>
          <t>STRÖMSUND</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64657-2021</t>
        </is>
      </c>
      <c r="B1284" s="1" t="n">
        <v>44511</v>
      </c>
      <c r="C1284" s="1" t="n">
        <v>45740</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64723-2021</t>
        </is>
      </c>
      <c r="B1285" s="1" t="n">
        <v>44512</v>
      </c>
      <c r="C1285" s="1" t="n">
        <v>45740</v>
      </c>
      <c r="D1285" t="inlineStr">
        <is>
          <t>JÄMTLANDS LÄN</t>
        </is>
      </c>
      <c r="E1285" t="inlineStr">
        <is>
          <t>STRÖMSUND</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64913-2021</t>
        </is>
      </c>
      <c r="B1286" s="1" t="n">
        <v>44512</v>
      </c>
      <c r="C1286" s="1" t="n">
        <v>45740</v>
      </c>
      <c r="D1286" t="inlineStr">
        <is>
          <t>JÄMTLANDS LÄN</t>
        </is>
      </c>
      <c r="E1286" t="inlineStr">
        <is>
          <t>STRÖMSUND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64955-2021</t>
        </is>
      </c>
      <c r="B1287" s="1" t="n">
        <v>44512</v>
      </c>
      <c r="C1287" s="1" t="n">
        <v>45740</v>
      </c>
      <c r="D1287" t="inlineStr">
        <is>
          <t>JÄMTLANDS LÄN</t>
        </is>
      </c>
      <c r="E1287" t="inlineStr">
        <is>
          <t>STRÖMSUND</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65412-2021</t>
        </is>
      </c>
      <c r="B1288" s="1" t="n">
        <v>44515</v>
      </c>
      <c r="C1288" s="1" t="n">
        <v>45740</v>
      </c>
      <c r="D1288" t="inlineStr">
        <is>
          <t>JÄMTLANDS LÄN</t>
        </is>
      </c>
      <c r="E1288" t="inlineStr">
        <is>
          <t>STRÖMSUND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65430-2021</t>
        </is>
      </c>
      <c r="B1289" s="1" t="n">
        <v>44515</v>
      </c>
      <c r="C1289" s="1" t="n">
        <v>45740</v>
      </c>
      <c r="D1289" t="inlineStr">
        <is>
          <t>JÄMTLANDS LÄN</t>
        </is>
      </c>
      <c r="E1289" t="inlineStr">
        <is>
          <t>STRÖMSUND</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65442-2021</t>
        </is>
      </c>
      <c r="B1290" s="1" t="n">
        <v>44515</v>
      </c>
      <c r="C1290" s="1" t="n">
        <v>45740</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65776-2021</t>
        </is>
      </c>
      <c r="B1291" s="1" t="n">
        <v>44516</v>
      </c>
      <c r="C1291" s="1" t="n">
        <v>45740</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65787-2021</t>
        </is>
      </c>
      <c r="B1292" s="1" t="n">
        <v>44516</v>
      </c>
      <c r="C1292" s="1" t="n">
        <v>45740</v>
      </c>
      <c r="D1292" t="inlineStr">
        <is>
          <t>JÄMTLANDS LÄN</t>
        </is>
      </c>
      <c r="E1292" t="inlineStr">
        <is>
          <t>STRÖMSUND</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66088-2021</t>
        </is>
      </c>
      <c r="B1293" s="1" t="n">
        <v>44517</v>
      </c>
      <c r="C1293" s="1" t="n">
        <v>45740</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66166-2021</t>
        </is>
      </c>
      <c r="B1294" s="1" t="n">
        <v>44517</v>
      </c>
      <c r="C1294" s="1" t="n">
        <v>45740</v>
      </c>
      <c r="D1294" t="inlineStr">
        <is>
          <t>JÄMTLANDS LÄN</t>
        </is>
      </c>
      <c r="E1294" t="inlineStr">
        <is>
          <t>STRÖMSUND</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66475-2021</t>
        </is>
      </c>
      <c r="B1295" s="1" t="n">
        <v>44518</v>
      </c>
      <c r="C1295" s="1" t="n">
        <v>45740</v>
      </c>
      <c r="D1295" t="inlineStr">
        <is>
          <t>JÄMTLANDS LÄN</t>
        </is>
      </c>
      <c r="E1295" t="inlineStr">
        <is>
          <t>STRÖMSUND</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66485-2021</t>
        </is>
      </c>
      <c r="B1296" s="1" t="n">
        <v>44518</v>
      </c>
      <c r="C1296" s="1" t="n">
        <v>45740</v>
      </c>
      <c r="D1296" t="inlineStr">
        <is>
          <t>JÄMTLANDS LÄN</t>
        </is>
      </c>
      <c r="E1296" t="inlineStr">
        <is>
          <t>STRÖMSUND</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66488-2021</t>
        </is>
      </c>
      <c r="B1297" s="1" t="n">
        <v>44518</v>
      </c>
      <c r="C1297" s="1" t="n">
        <v>45740</v>
      </c>
      <c r="D1297" t="inlineStr">
        <is>
          <t>JÄMTLANDS LÄN</t>
        </is>
      </c>
      <c r="E1297" t="inlineStr">
        <is>
          <t>STRÖMSUND</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66486-2021</t>
        </is>
      </c>
      <c r="B1298" s="1" t="n">
        <v>44518</v>
      </c>
      <c r="C1298" s="1" t="n">
        <v>45740</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66487-2021</t>
        </is>
      </c>
      <c r="B1299" s="1" t="n">
        <v>44518</v>
      </c>
      <c r="C1299" s="1" t="n">
        <v>45740</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66784-2021</t>
        </is>
      </c>
      <c r="B1300" s="1" t="n">
        <v>44519</v>
      </c>
      <c r="C1300" s="1" t="n">
        <v>45740</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66742-2021</t>
        </is>
      </c>
      <c r="B1301" s="1" t="n">
        <v>44520</v>
      </c>
      <c r="C1301" s="1" t="n">
        <v>45740</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67096-2021</t>
        </is>
      </c>
      <c r="B1302" s="1" t="n">
        <v>44522</v>
      </c>
      <c r="C1302" s="1" t="n">
        <v>45740</v>
      </c>
      <c r="D1302" t="inlineStr">
        <is>
          <t>JÄMTLANDS LÄN</t>
        </is>
      </c>
      <c r="E1302" t="inlineStr">
        <is>
          <t>STRÖMSUND</t>
        </is>
      </c>
      <c r="F1302" t="inlineStr">
        <is>
          <t>SCA</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67099-2021</t>
        </is>
      </c>
      <c r="B1303" s="1" t="n">
        <v>44522</v>
      </c>
      <c r="C1303" s="1" t="n">
        <v>45740</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67097-2021</t>
        </is>
      </c>
      <c r="B1304" s="1" t="n">
        <v>44522</v>
      </c>
      <c r="C1304" s="1" t="n">
        <v>45740</v>
      </c>
      <c r="D1304" t="inlineStr">
        <is>
          <t>JÄMTLANDS LÄN</t>
        </is>
      </c>
      <c r="E1304" t="inlineStr">
        <is>
          <t>STRÖMSUND</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67114-2021</t>
        </is>
      </c>
      <c r="B1305" s="1" t="n">
        <v>44523</v>
      </c>
      <c r="C1305" s="1" t="n">
        <v>45740</v>
      </c>
      <c r="D1305" t="inlineStr">
        <is>
          <t>JÄMTLANDS LÄN</t>
        </is>
      </c>
      <c r="E1305" t="inlineStr">
        <is>
          <t>STRÖMSUND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67696-2021</t>
        </is>
      </c>
      <c r="B1306" s="1" t="n">
        <v>44524</v>
      </c>
      <c r="C1306" s="1" t="n">
        <v>45740</v>
      </c>
      <c r="D1306" t="inlineStr">
        <is>
          <t>JÄMTLANDS LÄN</t>
        </is>
      </c>
      <c r="E1306" t="inlineStr">
        <is>
          <t>STRÖMSUND</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67903-2021</t>
        </is>
      </c>
      <c r="B1307" s="1" t="n">
        <v>44525</v>
      </c>
      <c r="C1307" s="1" t="n">
        <v>45740</v>
      </c>
      <c r="D1307" t="inlineStr">
        <is>
          <t>JÄMTLANDS LÄN</t>
        </is>
      </c>
      <c r="E1307" t="inlineStr">
        <is>
          <t>STRÖMSUND</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67906-2021</t>
        </is>
      </c>
      <c r="B1308" s="1" t="n">
        <v>44525</v>
      </c>
      <c r="C1308" s="1" t="n">
        <v>45740</v>
      </c>
      <c r="D1308" t="inlineStr">
        <is>
          <t>JÄMTLANDS LÄN</t>
        </is>
      </c>
      <c r="E1308" t="inlineStr">
        <is>
          <t>STRÖMSUND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68646-2021</t>
        </is>
      </c>
      <c r="B1309" s="1" t="n">
        <v>44529</v>
      </c>
      <c r="C1309" s="1" t="n">
        <v>45740</v>
      </c>
      <c r="D1309" t="inlineStr">
        <is>
          <t>JÄMTLANDS LÄN</t>
        </is>
      </c>
      <c r="E1309" t="inlineStr">
        <is>
          <t>STRÖMSUND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68675-2021</t>
        </is>
      </c>
      <c r="B1310" s="1" t="n">
        <v>44529</v>
      </c>
      <c r="C1310" s="1" t="n">
        <v>45740</v>
      </c>
      <c r="D1310" t="inlineStr">
        <is>
          <t>JÄMTLANDS LÄN</t>
        </is>
      </c>
      <c r="E1310" t="inlineStr">
        <is>
          <t>STRÖMSUND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68424-2021</t>
        </is>
      </c>
      <c r="B1311" s="1" t="n">
        <v>44529</v>
      </c>
      <c r="C1311" s="1" t="n">
        <v>45740</v>
      </c>
      <c r="D1311" t="inlineStr">
        <is>
          <t>JÄMTLANDS LÄN</t>
        </is>
      </c>
      <c r="E1311" t="inlineStr">
        <is>
          <t>STRÖMSUND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68442-2021</t>
        </is>
      </c>
      <c r="B1312" s="1" t="n">
        <v>44529</v>
      </c>
      <c r="C1312" s="1" t="n">
        <v>45740</v>
      </c>
      <c r="D1312" t="inlineStr">
        <is>
          <t>JÄMTLANDS LÄN</t>
        </is>
      </c>
      <c r="E1312" t="inlineStr">
        <is>
          <t>STRÖMSUND</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68776-2021</t>
        </is>
      </c>
      <c r="B1313" s="1" t="n">
        <v>44529</v>
      </c>
      <c r="C1313" s="1" t="n">
        <v>45740</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68777-2021</t>
        </is>
      </c>
      <c r="B1314" s="1" t="n">
        <v>44529</v>
      </c>
      <c r="C1314" s="1" t="n">
        <v>45740</v>
      </c>
      <c r="D1314" t="inlineStr">
        <is>
          <t>JÄMTLANDS LÄN</t>
        </is>
      </c>
      <c r="E1314" t="inlineStr">
        <is>
          <t>STRÖMSUND</t>
        </is>
      </c>
      <c r="F1314" t="inlineStr">
        <is>
          <t>SCA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69139-2021</t>
        </is>
      </c>
      <c r="B1315" s="1" t="n">
        <v>44530</v>
      </c>
      <c r="C1315" s="1" t="n">
        <v>45740</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69132-2021</t>
        </is>
      </c>
      <c r="B1316" s="1" t="n">
        <v>44530</v>
      </c>
      <c r="C1316" s="1" t="n">
        <v>45740</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69144-2021</t>
        </is>
      </c>
      <c r="B1317" s="1" t="n">
        <v>44530</v>
      </c>
      <c r="C1317" s="1" t="n">
        <v>45740</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69143-2021</t>
        </is>
      </c>
      <c r="B1318" s="1" t="n">
        <v>44530</v>
      </c>
      <c r="C1318" s="1" t="n">
        <v>45740</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70079-2021</t>
        </is>
      </c>
      <c r="B1319" s="1" t="n">
        <v>44533</v>
      </c>
      <c r="C1319" s="1" t="n">
        <v>45740</v>
      </c>
      <c r="D1319" t="inlineStr">
        <is>
          <t>JÄMTLANDS LÄN</t>
        </is>
      </c>
      <c r="E1319" t="inlineStr">
        <is>
          <t>STRÖMSUND</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70530-2021</t>
        </is>
      </c>
      <c r="B1320" s="1" t="n">
        <v>44536</v>
      </c>
      <c r="C1320" s="1" t="n">
        <v>45740</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70531-2021</t>
        </is>
      </c>
      <c r="B1321" s="1" t="n">
        <v>44536</v>
      </c>
      <c r="C1321" s="1" t="n">
        <v>45740</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70511-2021</t>
        </is>
      </c>
      <c r="B1322" s="1" t="n">
        <v>44536</v>
      </c>
      <c r="C1322" s="1" t="n">
        <v>45740</v>
      </c>
      <c r="D1322" t="inlineStr">
        <is>
          <t>JÄMTLANDS LÄN</t>
        </is>
      </c>
      <c r="E1322" t="inlineStr">
        <is>
          <t>STRÖMSUND</t>
        </is>
      </c>
      <c r="F1322" t="inlineStr">
        <is>
          <t>SCA</t>
        </is>
      </c>
      <c r="G1322" t="n">
        <v>401.6</v>
      </c>
      <c r="H1322" t="n">
        <v>0</v>
      </c>
      <c r="I1322" t="n">
        <v>0</v>
      </c>
      <c r="J1322" t="n">
        <v>0</v>
      </c>
      <c r="K1322" t="n">
        <v>0</v>
      </c>
      <c r="L1322" t="n">
        <v>0</v>
      </c>
      <c r="M1322" t="n">
        <v>0</v>
      </c>
      <c r="N1322" t="n">
        <v>0</v>
      </c>
      <c r="O1322" t="n">
        <v>0</v>
      </c>
      <c r="P1322" t="n">
        <v>0</v>
      </c>
      <c r="Q1322" t="n">
        <v>0</v>
      </c>
      <c r="R1322" s="2" t="inlineStr"/>
    </row>
    <row r="1323" ht="15" customHeight="1">
      <c r="A1323" t="inlineStr">
        <is>
          <t>A 70529-2021</t>
        </is>
      </c>
      <c r="B1323" s="1" t="n">
        <v>44536</v>
      </c>
      <c r="C1323" s="1" t="n">
        <v>45740</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71352-2021</t>
        </is>
      </c>
      <c r="B1324" s="1" t="n">
        <v>44539</v>
      </c>
      <c r="C1324" s="1" t="n">
        <v>45740</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c r="U1324">
        <f>HYPERLINK("https://klasma.github.io/Logging_2313/knärot/A 71352-2021 karta knärot.png", "A 71352-2021")</f>
        <v/>
      </c>
      <c r="V1324">
        <f>HYPERLINK("https://klasma.github.io/Logging_2313/klagomål/A 71352-2021 FSC-klagomål.docx", "A 71352-2021")</f>
        <v/>
      </c>
      <c r="W1324">
        <f>HYPERLINK("https://klasma.github.io/Logging_2313/klagomålsmail/A 71352-2021 FSC-klagomål mail.docx", "A 71352-2021")</f>
        <v/>
      </c>
      <c r="X1324">
        <f>HYPERLINK("https://klasma.github.io/Logging_2313/tillsyn/A 71352-2021 tillsynsbegäran.docx", "A 71352-2021")</f>
        <v/>
      </c>
      <c r="Y1324">
        <f>HYPERLINK("https://klasma.github.io/Logging_2313/tillsynsmail/A 71352-2021 tillsynsbegäran mail.docx", "A 71352-2021")</f>
        <v/>
      </c>
    </row>
    <row r="1325" ht="15" customHeight="1">
      <c r="A1325" t="inlineStr">
        <is>
          <t>A 71353-2021</t>
        </is>
      </c>
      <c r="B1325" s="1" t="n">
        <v>44539</v>
      </c>
      <c r="C1325" s="1" t="n">
        <v>45740</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71376-2021</t>
        </is>
      </c>
      <c r="B1326" s="1" t="n">
        <v>44539</v>
      </c>
      <c r="C1326" s="1" t="n">
        <v>45740</v>
      </c>
      <c r="D1326" t="inlineStr">
        <is>
          <t>JÄMTLANDS LÄN</t>
        </is>
      </c>
      <c r="E1326" t="inlineStr">
        <is>
          <t>STRÖMSUND</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71377-2021</t>
        </is>
      </c>
      <c r="B1327" s="1" t="n">
        <v>44539</v>
      </c>
      <c r="C1327" s="1" t="n">
        <v>45740</v>
      </c>
      <c r="D1327" t="inlineStr">
        <is>
          <t>JÄMTLANDS LÄN</t>
        </is>
      </c>
      <c r="E1327" t="inlineStr">
        <is>
          <t>STRÖMSUND</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71912-2021</t>
        </is>
      </c>
      <c r="B1328" s="1" t="n">
        <v>44543</v>
      </c>
      <c r="C1328" s="1" t="n">
        <v>45740</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71911-2021</t>
        </is>
      </c>
      <c r="B1329" s="1" t="n">
        <v>44543</v>
      </c>
      <c r="C1329" s="1" t="n">
        <v>45740</v>
      </c>
      <c r="D1329" t="inlineStr">
        <is>
          <t>JÄMTLANDS LÄN</t>
        </is>
      </c>
      <c r="E1329" t="inlineStr">
        <is>
          <t>STRÖMSUND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72629-2021</t>
        </is>
      </c>
      <c r="B1330" s="1" t="n">
        <v>44545</v>
      </c>
      <c r="C1330" s="1" t="n">
        <v>45740</v>
      </c>
      <c r="D1330" t="inlineStr">
        <is>
          <t>JÄMTLANDS LÄN</t>
        </is>
      </c>
      <c r="E1330" t="inlineStr">
        <is>
          <t>STRÖMSUND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72497-2021</t>
        </is>
      </c>
      <c r="B1331" s="1" t="n">
        <v>44545</v>
      </c>
      <c r="C1331" s="1" t="n">
        <v>45740</v>
      </c>
      <c r="D1331" t="inlineStr">
        <is>
          <t>JÄMTLANDS LÄN</t>
        </is>
      </c>
      <c r="E1331" t="inlineStr">
        <is>
          <t>STRÖMSUND</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72543-2021</t>
        </is>
      </c>
      <c r="B1332" s="1" t="n">
        <v>44546</v>
      </c>
      <c r="C1332" s="1" t="n">
        <v>45740</v>
      </c>
      <c r="D1332" t="inlineStr">
        <is>
          <t>JÄMTLANDS LÄN</t>
        </is>
      </c>
      <c r="E1332" t="inlineStr">
        <is>
          <t>STRÖMSUND</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72749-2021</t>
        </is>
      </c>
      <c r="B1333" s="1" t="n">
        <v>44546</v>
      </c>
      <c r="C1333" s="1" t="n">
        <v>45740</v>
      </c>
      <c r="D1333" t="inlineStr">
        <is>
          <t>JÄMTLANDS LÄN</t>
        </is>
      </c>
      <c r="E1333" t="inlineStr">
        <is>
          <t>STRÖMSUND</t>
        </is>
      </c>
      <c r="G1333" t="n">
        <v>35.6</v>
      </c>
      <c r="H1333" t="n">
        <v>0</v>
      </c>
      <c r="I1333" t="n">
        <v>0</v>
      </c>
      <c r="J1333" t="n">
        <v>0</v>
      </c>
      <c r="K1333" t="n">
        <v>0</v>
      </c>
      <c r="L1333" t="n">
        <v>0</v>
      </c>
      <c r="M1333" t="n">
        <v>0</v>
      </c>
      <c r="N1333" t="n">
        <v>0</v>
      </c>
      <c r="O1333" t="n">
        <v>0</v>
      </c>
      <c r="P1333" t="n">
        <v>0</v>
      </c>
      <c r="Q1333" t="n">
        <v>0</v>
      </c>
      <c r="R1333" s="2" t="inlineStr"/>
    </row>
    <row r="1334" ht="15" customHeight="1">
      <c r="A1334" t="inlineStr">
        <is>
          <t>A 72753-2021</t>
        </is>
      </c>
      <c r="B1334" s="1" t="n">
        <v>44546</v>
      </c>
      <c r="C1334" s="1" t="n">
        <v>45740</v>
      </c>
      <c r="D1334" t="inlineStr">
        <is>
          <t>JÄMTLANDS LÄN</t>
        </is>
      </c>
      <c r="E1334" t="inlineStr">
        <is>
          <t>STRÖMSUND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72827-2021</t>
        </is>
      </c>
      <c r="B1335" s="1" t="n">
        <v>44547</v>
      </c>
      <c r="C1335" s="1" t="n">
        <v>45740</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72957-2021</t>
        </is>
      </c>
      <c r="B1336" s="1" t="n">
        <v>44547</v>
      </c>
      <c r="C1336" s="1" t="n">
        <v>45740</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72956-2021</t>
        </is>
      </c>
      <c r="B1337" s="1" t="n">
        <v>44547</v>
      </c>
      <c r="C1337" s="1" t="n">
        <v>45740</v>
      </c>
      <c r="D1337" t="inlineStr">
        <is>
          <t>JÄMTLANDS LÄN</t>
        </is>
      </c>
      <c r="E1337" t="inlineStr">
        <is>
          <t>STRÖMSUND</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73288-2021</t>
        </is>
      </c>
      <c r="B1338" s="1" t="n">
        <v>44550</v>
      </c>
      <c r="C1338" s="1" t="n">
        <v>45740</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73291-2021</t>
        </is>
      </c>
      <c r="B1339" s="1" t="n">
        <v>44550</v>
      </c>
      <c r="C1339" s="1" t="n">
        <v>45740</v>
      </c>
      <c r="D1339" t="inlineStr">
        <is>
          <t>JÄMTLANDS LÄN</t>
        </is>
      </c>
      <c r="E1339" t="inlineStr">
        <is>
          <t>STRÖMSUND</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73289-2021</t>
        </is>
      </c>
      <c r="B1340" s="1" t="n">
        <v>44550</v>
      </c>
      <c r="C1340" s="1" t="n">
        <v>45740</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364-2022</t>
        </is>
      </c>
      <c r="B1341" s="1" t="n">
        <v>44565</v>
      </c>
      <c r="C1341" s="1" t="n">
        <v>45740</v>
      </c>
      <c r="D1341" t="inlineStr">
        <is>
          <t>JÄMTLANDS LÄN</t>
        </is>
      </c>
      <c r="E1341" t="inlineStr">
        <is>
          <t>STRÖMSUND</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585-2022</t>
        </is>
      </c>
      <c r="B1342" s="1" t="n">
        <v>44566</v>
      </c>
      <c r="C1342" s="1" t="n">
        <v>45740</v>
      </c>
      <c r="D1342" t="inlineStr">
        <is>
          <t>JÄMTLANDS LÄN</t>
        </is>
      </c>
      <c r="E1342" t="inlineStr">
        <is>
          <t>STRÖMSUND</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583-2022</t>
        </is>
      </c>
      <c r="B1343" s="1" t="n">
        <v>44566</v>
      </c>
      <c r="C1343" s="1" t="n">
        <v>45740</v>
      </c>
      <c r="D1343" t="inlineStr">
        <is>
          <t>JÄMTLANDS LÄN</t>
        </is>
      </c>
      <c r="E1343" t="inlineStr">
        <is>
          <t>STRÖMSUND</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829-2022</t>
        </is>
      </c>
      <c r="B1344" s="1" t="n">
        <v>44568</v>
      </c>
      <c r="C1344" s="1" t="n">
        <v>45740</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1083-2022</t>
        </is>
      </c>
      <c r="B1345" s="1" t="n">
        <v>44571</v>
      </c>
      <c r="C1345" s="1" t="n">
        <v>45740</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1107-2022</t>
        </is>
      </c>
      <c r="B1346" s="1" t="n">
        <v>44571</v>
      </c>
      <c r="C1346" s="1" t="n">
        <v>45740</v>
      </c>
      <c r="D1346" t="inlineStr">
        <is>
          <t>JÄMTLANDS LÄN</t>
        </is>
      </c>
      <c r="E1346" t="inlineStr">
        <is>
          <t>STRÖMSUND</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1339-2022</t>
        </is>
      </c>
      <c r="B1347" s="1" t="n">
        <v>44572</v>
      </c>
      <c r="C1347" s="1" t="n">
        <v>45740</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2485-2022</t>
        </is>
      </c>
      <c r="B1348" s="1" t="n">
        <v>44579</v>
      </c>
      <c r="C1348" s="1" t="n">
        <v>45740</v>
      </c>
      <c r="D1348" t="inlineStr">
        <is>
          <t>JÄMTLANDS LÄN</t>
        </is>
      </c>
      <c r="E1348" t="inlineStr">
        <is>
          <t>STRÖMSUND</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2760-2022</t>
        </is>
      </c>
      <c r="B1349" s="1" t="n">
        <v>44580</v>
      </c>
      <c r="C1349" s="1" t="n">
        <v>45740</v>
      </c>
      <c r="D1349" t="inlineStr">
        <is>
          <t>JÄMTLANDS LÄN</t>
        </is>
      </c>
      <c r="E1349" t="inlineStr">
        <is>
          <t>STRÖMSUND</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2759-2022</t>
        </is>
      </c>
      <c r="B1350" s="1" t="n">
        <v>44580</v>
      </c>
      <c r="C1350" s="1" t="n">
        <v>45740</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3114-2022</t>
        </is>
      </c>
      <c r="B1351" s="1" t="n">
        <v>44582</v>
      </c>
      <c r="C1351" s="1" t="n">
        <v>45740</v>
      </c>
      <c r="D1351" t="inlineStr">
        <is>
          <t>JÄMTLANDS LÄN</t>
        </is>
      </c>
      <c r="E1351" t="inlineStr">
        <is>
          <t>STRÖMSUND</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3165-2022</t>
        </is>
      </c>
      <c r="B1352" s="1" t="n">
        <v>44582</v>
      </c>
      <c r="C1352" s="1" t="n">
        <v>45740</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3230-2022</t>
        </is>
      </c>
      <c r="B1353" s="1" t="n">
        <v>44582</v>
      </c>
      <c r="C1353" s="1" t="n">
        <v>45740</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3269-2022</t>
        </is>
      </c>
      <c r="B1354" s="1" t="n">
        <v>44583</v>
      </c>
      <c r="C1354" s="1" t="n">
        <v>45740</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3538-2022</t>
        </is>
      </c>
      <c r="B1355" s="1" t="n">
        <v>44585</v>
      </c>
      <c r="C1355" s="1" t="n">
        <v>45740</v>
      </c>
      <c r="D1355" t="inlineStr">
        <is>
          <t>JÄMTLANDS LÄN</t>
        </is>
      </c>
      <c r="E1355" t="inlineStr">
        <is>
          <t>STRÖMSUND</t>
        </is>
      </c>
      <c r="F1355" t="inlineStr">
        <is>
          <t>SCA</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3539-2022</t>
        </is>
      </c>
      <c r="B1356" s="1" t="n">
        <v>44585</v>
      </c>
      <c r="C1356" s="1" t="n">
        <v>45740</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3719-2022</t>
        </is>
      </c>
      <c r="B1357" s="1" t="n">
        <v>44586</v>
      </c>
      <c r="C1357" s="1" t="n">
        <v>45740</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3721-2022</t>
        </is>
      </c>
      <c r="B1358" s="1" t="n">
        <v>44586</v>
      </c>
      <c r="C1358" s="1" t="n">
        <v>45740</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3875-2022</t>
        </is>
      </c>
      <c r="B1359" s="1" t="n">
        <v>44587</v>
      </c>
      <c r="C1359" s="1" t="n">
        <v>45740</v>
      </c>
      <c r="D1359" t="inlineStr">
        <is>
          <t>JÄMTLANDS LÄN</t>
        </is>
      </c>
      <c r="E1359" t="inlineStr">
        <is>
          <t>STRÖMSUND</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4024-2022</t>
        </is>
      </c>
      <c r="B1360" s="1" t="n">
        <v>44587</v>
      </c>
      <c r="C1360" s="1" t="n">
        <v>45740</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4460-2022</t>
        </is>
      </c>
      <c r="B1361" s="1" t="n">
        <v>44589</v>
      </c>
      <c r="C1361" s="1" t="n">
        <v>45740</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4455-2022</t>
        </is>
      </c>
      <c r="B1362" s="1" t="n">
        <v>44589</v>
      </c>
      <c r="C1362" s="1" t="n">
        <v>45740</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4464-2022</t>
        </is>
      </c>
      <c r="B1363" s="1" t="n">
        <v>44589</v>
      </c>
      <c r="C1363" s="1" t="n">
        <v>45740</v>
      </c>
      <c r="D1363" t="inlineStr">
        <is>
          <t>JÄMTLANDS LÄN</t>
        </is>
      </c>
      <c r="E1363" t="inlineStr">
        <is>
          <t>STRÖMSUND</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4602-2022</t>
        </is>
      </c>
      <c r="B1364" s="1" t="n">
        <v>44589</v>
      </c>
      <c r="C1364" s="1" t="n">
        <v>45740</v>
      </c>
      <c r="D1364" t="inlineStr">
        <is>
          <t>JÄMTLANDS LÄN</t>
        </is>
      </c>
      <c r="E1364" t="inlineStr">
        <is>
          <t>STRÖMSUND</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4858-2022</t>
        </is>
      </c>
      <c r="B1365" s="1" t="n">
        <v>44592</v>
      </c>
      <c r="C1365" s="1" t="n">
        <v>45740</v>
      </c>
      <c r="D1365" t="inlineStr">
        <is>
          <t>JÄMTLANDS LÄN</t>
        </is>
      </c>
      <c r="E1365" t="inlineStr">
        <is>
          <t>STRÖMSUND</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4931-2022</t>
        </is>
      </c>
      <c r="B1366" s="1" t="n">
        <v>44593</v>
      </c>
      <c r="C1366" s="1" t="n">
        <v>45740</v>
      </c>
      <c r="D1366" t="inlineStr">
        <is>
          <t>JÄMTLANDS LÄN</t>
        </is>
      </c>
      <c r="E1366" t="inlineStr">
        <is>
          <t>STRÖMSUND</t>
        </is>
      </c>
      <c r="G1366" t="n">
        <v>41.9</v>
      </c>
      <c r="H1366" t="n">
        <v>0</v>
      </c>
      <c r="I1366" t="n">
        <v>0</v>
      </c>
      <c r="J1366" t="n">
        <v>0</v>
      </c>
      <c r="K1366" t="n">
        <v>0</v>
      </c>
      <c r="L1366" t="n">
        <v>0</v>
      </c>
      <c r="M1366" t="n">
        <v>0</v>
      </c>
      <c r="N1366" t="n">
        <v>0</v>
      </c>
      <c r="O1366" t="n">
        <v>0</v>
      </c>
      <c r="P1366" t="n">
        <v>0</v>
      </c>
      <c r="Q1366" t="n">
        <v>0</v>
      </c>
      <c r="R1366" s="2" t="inlineStr"/>
    </row>
    <row r="1367" ht="15" customHeight="1">
      <c r="A1367" t="inlineStr">
        <is>
          <t>A 5117-2022</t>
        </is>
      </c>
      <c r="B1367" s="1" t="n">
        <v>44593</v>
      </c>
      <c r="C1367" s="1" t="n">
        <v>45740</v>
      </c>
      <c r="D1367" t="inlineStr">
        <is>
          <t>JÄMTLANDS LÄN</t>
        </is>
      </c>
      <c r="E1367" t="inlineStr">
        <is>
          <t>STRÖMSUND</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5116-2022</t>
        </is>
      </c>
      <c r="B1368" s="1" t="n">
        <v>44593</v>
      </c>
      <c r="C1368" s="1" t="n">
        <v>45740</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5416-2022</t>
        </is>
      </c>
      <c r="B1369" s="1" t="n">
        <v>44595</v>
      </c>
      <c r="C1369" s="1" t="n">
        <v>45740</v>
      </c>
      <c r="D1369" t="inlineStr">
        <is>
          <t>JÄMTLANDS LÄN</t>
        </is>
      </c>
      <c r="E1369" t="inlineStr">
        <is>
          <t>STRÖMSUND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5642-2022</t>
        </is>
      </c>
      <c r="B1370" s="1" t="n">
        <v>44595</v>
      </c>
      <c r="C1370" s="1" t="n">
        <v>45740</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6055-2022</t>
        </is>
      </c>
      <c r="B1371" s="1" t="n">
        <v>44599</v>
      </c>
      <c r="C1371" s="1" t="n">
        <v>45740</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6150-2022</t>
        </is>
      </c>
      <c r="B1372" s="1" t="n">
        <v>44599</v>
      </c>
      <c r="C1372" s="1" t="n">
        <v>45740</v>
      </c>
      <c r="D1372" t="inlineStr">
        <is>
          <t>JÄMTLANDS LÄN</t>
        </is>
      </c>
      <c r="E1372" t="inlineStr">
        <is>
          <t>STRÖMSUND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6202-2022</t>
        </is>
      </c>
      <c r="B1373" s="1" t="n">
        <v>44600</v>
      </c>
      <c r="C1373" s="1" t="n">
        <v>45740</v>
      </c>
      <c r="D1373" t="inlineStr">
        <is>
          <t>JÄMTLANDS LÄN</t>
        </is>
      </c>
      <c r="E1373" t="inlineStr">
        <is>
          <t>STRÖMSUND</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7023-2022</t>
        </is>
      </c>
      <c r="B1374" s="1" t="n">
        <v>44603</v>
      </c>
      <c r="C1374" s="1" t="n">
        <v>45740</v>
      </c>
      <c r="D1374" t="inlineStr">
        <is>
          <t>JÄMTLANDS LÄN</t>
        </is>
      </c>
      <c r="E1374" t="inlineStr">
        <is>
          <t>STRÖMSUND</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7157-2022</t>
        </is>
      </c>
      <c r="B1375" s="1" t="n">
        <v>44604</v>
      </c>
      <c r="C1375" s="1" t="n">
        <v>45740</v>
      </c>
      <c r="D1375" t="inlineStr">
        <is>
          <t>JÄMTLANDS LÄN</t>
        </is>
      </c>
      <c r="E1375" t="inlineStr">
        <is>
          <t>STRÖMSUND</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7260-2022</t>
        </is>
      </c>
      <c r="B1376" s="1" t="n">
        <v>44606</v>
      </c>
      <c r="C1376" s="1" t="n">
        <v>45740</v>
      </c>
      <c r="D1376" t="inlineStr">
        <is>
          <t>JÄMTLANDS LÄN</t>
        </is>
      </c>
      <c r="E1376" t="inlineStr">
        <is>
          <t>STRÖMSUND</t>
        </is>
      </c>
      <c r="F1376" t="inlineStr">
        <is>
          <t>SCA</t>
        </is>
      </c>
      <c r="G1376" t="n">
        <v>76.40000000000001</v>
      </c>
      <c r="H1376" t="n">
        <v>0</v>
      </c>
      <c r="I1376" t="n">
        <v>0</v>
      </c>
      <c r="J1376" t="n">
        <v>0</v>
      </c>
      <c r="K1376" t="n">
        <v>0</v>
      </c>
      <c r="L1376" t="n">
        <v>0</v>
      </c>
      <c r="M1376" t="n">
        <v>0</v>
      </c>
      <c r="N1376" t="n">
        <v>0</v>
      </c>
      <c r="O1376" t="n">
        <v>0</v>
      </c>
      <c r="P1376" t="n">
        <v>0</v>
      </c>
      <c r="Q1376" t="n">
        <v>0</v>
      </c>
      <c r="R1376" s="2" t="inlineStr"/>
    </row>
    <row r="1377" ht="15" customHeight="1">
      <c r="A1377" t="inlineStr">
        <is>
          <t>A 8066-2022</t>
        </is>
      </c>
      <c r="B1377" s="1" t="n">
        <v>44609</v>
      </c>
      <c r="C1377" s="1" t="n">
        <v>45740</v>
      </c>
      <c r="D1377" t="inlineStr">
        <is>
          <t>JÄMTLANDS LÄN</t>
        </is>
      </c>
      <c r="E1377" t="inlineStr">
        <is>
          <t>STRÖMSUND</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8239-2022</t>
        </is>
      </c>
      <c r="B1378" s="1" t="n">
        <v>44609</v>
      </c>
      <c r="C1378" s="1" t="n">
        <v>45740</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8421-2022</t>
        </is>
      </c>
      <c r="B1379" s="1" t="n">
        <v>44610</v>
      </c>
      <c r="C1379" s="1" t="n">
        <v>45740</v>
      </c>
      <c r="D1379" t="inlineStr">
        <is>
          <t>JÄMTLANDS LÄN</t>
        </is>
      </c>
      <c r="E1379" t="inlineStr">
        <is>
          <t>STRÖMSUND</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9370-2022</t>
        </is>
      </c>
      <c r="B1380" s="1" t="n">
        <v>44616</v>
      </c>
      <c r="C1380" s="1" t="n">
        <v>45740</v>
      </c>
      <c r="D1380" t="inlineStr">
        <is>
          <t>JÄMTLANDS LÄN</t>
        </is>
      </c>
      <c r="E1380" t="inlineStr">
        <is>
          <t>STRÖMSUND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9379-2022</t>
        </is>
      </c>
      <c r="B1381" s="1" t="n">
        <v>44616</v>
      </c>
      <c r="C1381" s="1" t="n">
        <v>45740</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9934-2022</t>
        </is>
      </c>
      <c r="B1382" s="1" t="n">
        <v>44620</v>
      </c>
      <c r="C1382" s="1" t="n">
        <v>45740</v>
      </c>
      <c r="D1382" t="inlineStr">
        <is>
          <t>JÄMTLANDS LÄN</t>
        </is>
      </c>
      <c r="E1382" t="inlineStr">
        <is>
          <t>STRÖMSUND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9957-2022</t>
        </is>
      </c>
      <c r="B1383" s="1" t="n">
        <v>44620</v>
      </c>
      <c r="C1383" s="1" t="n">
        <v>45740</v>
      </c>
      <c r="D1383" t="inlineStr">
        <is>
          <t>JÄMTLANDS LÄN</t>
        </is>
      </c>
      <c r="E1383" t="inlineStr">
        <is>
          <t>STRÖMSUND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10077-2022</t>
        </is>
      </c>
      <c r="B1384" s="1" t="n">
        <v>44621</v>
      </c>
      <c r="C1384" s="1" t="n">
        <v>45740</v>
      </c>
      <c r="D1384" t="inlineStr">
        <is>
          <t>JÄMTLANDS LÄN</t>
        </is>
      </c>
      <c r="E1384" t="inlineStr">
        <is>
          <t>STRÖMSUND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10144-2022</t>
        </is>
      </c>
      <c r="B1385" s="1" t="n">
        <v>44621</v>
      </c>
      <c r="C1385" s="1" t="n">
        <v>45740</v>
      </c>
      <c r="D1385" t="inlineStr">
        <is>
          <t>JÄMTLANDS LÄN</t>
        </is>
      </c>
      <c r="E1385" t="inlineStr">
        <is>
          <t>STRÖMSUND</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10136-2022</t>
        </is>
      </c>
      <c r="B1386" s="1" t="n">
        <v>44621</v>
      </c>
      <c r="C1386" s="1" t="n">
        <v>45740</v>
      </c>
      <c r="D1386" t="inlineStr">
        <is>
          <t>JÄMTLANDS LÄN</t>
        </is>
      </c>
      <c r="E1386" t="inlineStr">
        <is>
          <t>STRÖMSUND</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10249-2022</t>
        </is>
      </c>
      <c r="B1387" s="1" t="n">
        <v>44622</v>
      </c>
      <c r="C1387" s="1" t="n">
        <v>45740</v>
      </c>
      <c r="D1387" t="inlineStr">
        <is>
          <t>JÄMTLANDS LÄN</t>
        </is>
      </c>
      <c r="E1387" t="inlineStr">
        <is>
          <t>STRÖMSUND</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10322-2022</t>
        </is>
      </c>
      <c r="B1388" s="1" t="n">
        <v>44622</v>
      </c>
      <c r="C1388" s="1" t="n">
        <v>45740</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10323-2022</t>
        </is>
      </c>
      <c r="B1389" s="1" t="n">
        <v>44622</v>
      </c>
      <c r="C1389" s="1" t="n">
        <v>45740</v>
      </c>
      <c r="D1389" t="inlineStr">
        <is>
          <t>JÄMTLANDS LÄN</t>
        </is>
      </c>
      <c r="E1389" t="inlineStr">
        <is>
          <t>STRÖMSUND</t>
        </is>
      </c>
      <c r="F1389" t="inlineStr">
        <is>
          <t>SCA</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10319-2022</t>
        </is>
      </c>
      <c r="B1390" s="1" t="n">
        <v>44622</v>
      </c>
      <c r="C1390" s="1" t="n">
        <v>45740</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10527-2022</t>
        </is>
      </c>
      <c r="B1391" s="1" t="n">
        <v>44623</v>
      </c>
      <c r="C1391" s="1" t="n">
        <v>45740</v>
      </c>
      <c r="D1391" t="inlineStr">
        <is>
          <t>JÄMTLANDS LÄN</t>
        </is>
      </c>
      <c r="E1391" t="inlineStr">
        <is>
          <t>STRÖMSUND</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10647-2022</t>
        </is>
      </c>
      <c r="B1392" s="1" t="n">
        <v>44624</v>
      </c>
      <c r="C1392" s="1" t="n">
        <v>45740</v>
      </c>
      <c r="D1392" t="inlineStr">
        <is>
          <t>JÄMTLANDS LÄN</t>
        </is>
      </c>
      <c r="E1392" t="inlineStr">
        <is>
          <t>STRÖMSUND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10656-2022</t>
        </is>
      </c>
      <c r="B1393" s="1" t="n">
        <v>44624</v>
      </c>
      <c r="C1393" s="1" t="n">
        <v>45740</v>
      </c>
      <c r="D1393" t="inlineStr">
        <is>
          <t>JÄMTLANDS LÄN</t>
        </is>
      </c>
      <c r="E1393" t="inlineStr">
        <is>
          <t>STRÖMSUND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10698-2022</t>
        </is>
      </c>
      <c r="B1394" s="1" t="n">
        <v>44624</v>
      </c>
      <c r="C1394" s="1" t="n">
        <v>45740</v>
      </c>
      <c r="D1394" t="inlineStr">
        <is>
          <t>JÄMTLANDS LÄN</t>
        </is>
      </c>
      <c r="E1394" t="inlineStr">
        <is>
          <t>STRÖMSUND</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10904-2022</t>
        </is>
      </c>
      <c r="B1395" s="1" t="n">
        <v>44627</v>
      </c>
      <c r="C1395" s="1" t="n">
        <v>45740</v>
      </c>
      <c r="D1395" t="inlineStr">
        <is>
          <t>JÄMTLANDS LÄN</t>
        </is>
      </c>
      <c r="E1395" t="inlineStr">
        <is>
          <t>STRÖMSUND</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11158-2022</t>
        </is>
      </c>
      <c r="B1396" s="1" t="n">
        <v>44629</v>
      </c>
      <c r="C1396" s="1" t="n">
        <v>45740</v>
      </c>
      <c r="D1396" t="inlineStr">
        <is>
          <t>JÄMTLANDS LÄN</t>
        </is>
      </c>
      <c r="E1396" t="inlineStr">
        <is>
          <t>STRÖMSUND</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11578-2022</t>
        </is>
      </c>
      <c r="B1397" s="1" t="n">
        <v>44631</v>
      </c>
      <c r="C1397" s="1" t="n">
        <v>45740</v>
      </c>
      <c r="D1397" t="inlineStr">
        <is>
          <t>JÄMTLANDS LÄN</t>
        </is>
      </c>
      <c r="E1397" t="inlineStr">
        <is>
          <t>STRÖMSUND</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11856-2022</t>
        </is>
      </c>
      <c r="B1398" s="1" t="n">
        <v>44635</v>
      </c>
      <c r="C1398" s="1" t="n">
        <v>45740</v>
      </c>
      <c r="D1398" t="inlineStr">
        <is>
          <t>JÄMTLANDS LÄN</t>
        </is>
      </c>
      <c r="E1398" t="inlineStr">
        <is>
          <t>STRÖMSUND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12018-2022</t>
        </is>
      </c>
      <c r="B1399" s="1" t="n">
        <v>44635</v>
      </c>
      <c r="C1399" s="1" t="n">
        <v>45740</v>
      </c>
      <c r="D1399" t="inlineStr">
        <is>
          <t>JÄMTLANDS LÄN</t>
        </is>
      </c>
      <c r="E1399" t="inlineStr">
        <is>
          <t>STRÖMSUND</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12198-2022</t>
        </is>
      </c>
      <c r="B1400" s="1" t="n">
        <v>44636</v>
      </c>
      <c r="C1400" s="1" t="n">
        <v>45740</v>
      </c>
      <c r="D1400" t="inlineStr">
        <is>
          <t>JÄMTLANDS LÄN</t>
        </is>
      </c>
      <c r="E1400" t="inlineStr">
        <is>
          <t>STRÖMSUND</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12405-2022</t>
        </is>
      </c>
      <c r="B1401" s="1" t="n">
        <v>44637</v>
      </c>
      <c r="C1401" s="1" t="n">
        <v>45740</v>
      </c>
      <c r="D1401" t="inlineStr">
        <is>
          <t>JÄMTLANDS LÄN</t>
        </is>
      </c>
      <c r="E1401" t="inlineStr">
        <is>
          <t>STRÖMSUND</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12404-2022</t>
        </is>
      </c>
      <c r="B1402" s="1" t="n">
        <v>44637</v>
      </c>
      <c r="C1402" s="1" t="n">
        <v>45740</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12762-2022</t>
        </is>
      </c>
      <c r="B1403" s="1" t="n">
        <v>44641</v>
      </c>
      <c r="C1403" s="1" t="n">
        <v>45740</v>
      </c>
      <c r="D1403" t="inlineStr">
        <is>
          <t>JÄMTLANDS LÄN</t>
        </is>
      </c>
      <c r="E1403" t="inlineStr">
        <is>
          <t>STRÖMSUND</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12822-2022</t>
        </is>
      </c>
      <c r="B1404" s="1" t="n">
        <v>44642</v>
      </c>
      <c r="C1404" s="1" t="n">
        <v>45740</v>
      </c>
      <c r="D1404" t="inlineStr">
        <is>
          <t>JÄMTLANDS LÄN</t>
        </is>
      </c>
      <c r="E1404" t="inlineStr">
        <is>
          <t>STRÖMSUND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13098-2022</t>
        </is>
      </c>
      <c r="B1405" s="1" t="n">
        <v>44643</v>
      </c>
      <c r="C1405" s="1" t="n">
        <v>45740</v>
      </c>
      <c r="D1405" t="inlineStr">
        <is>
          <t>JÄMTLANDS LÄN</t>
        </is>
      </c>
      <c r="E1405" t="inlineStr">
        <is>
          <t>STRÖMSUND</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13099-2022</t>
        </is>
      </c>
      <c r="B1406" s="1" t="n">
        <v>44643</v>
      </c>
      <c r="C1406" s="1" t="n">
        <v>45740</v>
      </c>
      <c r="D1406" t="inlineStr">
        <is>
          <t>JÄMTLANDS LÄN</t>
        </is>
      </c>
      <c r="E1406" t="inlineStr">
        <is>
          <t>STRÖMSUND</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13513-2022</t>
        </is>
      </c>
      <c r="B1407" s="1" t="n">
        <v>44648</v>
      </c>
      <c r="C1407" s="1" t="n">
        <v>45740</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14043-2022</t>
        </is>
      </c>
      <c r="B1408" s="1" t="n">
        <v>44650</v>
      </c>
      <c r="C1408" s="1" t="n">
        <v>45740</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14283-2022</t>
        </is>
      </c>
      <c r="B1409" s="1" t="n">
        <v>44651</v>
      </c>
      <c r="C1409" s="1" t="n">
        <v>45740</v>
      </c>
      <c r="D1409" t="inlineStr">
        <is>
          <t>JÄMTLANDS LÄN</t>
        </is>
      </c>
      <c r="E1409" t="inlineStr">
        <is>
          <t>STRÖMSUND</t>
        </is>
      </c>
      <c r="F1409" t="inlineStr">
        <is>
          <t>SCA</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14288-2022</t>
        </is>
      </c>
      <c r="B1410" s="1" t="n">
        <v>44651</v>
      </c>
      <c r="C1410" s="1" t="n">
        <v>45740</v>
      </c>
      <c r="D1410" t="inlineStr">
        <is>
          <t>JÄMTLANDS LÄN</t>
        </is>
      </c>
      <c r="E1410" t="inlineStr">
        <is>
          <t>STRÖMSUND</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14292-2022</t>
        </is>
      </c>
      <c r="B1411" s="1" t="n">
        <v>44651</v>
      </c>
      <c r="C1411" s="1" t="n">
        <v>45740</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14294-2022</t>
        </is>
      </c>
      <c r="B1412" s="1" t="n">
        <v>44652</v>
      </c>
      <c r="C1412" s="1" t="n">
        <v>45740</v>
      </c>
      <c r="D1412" t="inlineStr">
        <is>
          <t>JÄMTLANDS LÄN</t>
        </is>
      </c>
      <c r="E1412" t="inlineStr">
        <is>
          <t>STRÖMSUND</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14281-2022</t>
        </is>
      </c>
      <c r="B1413" s="1" t="n">
        <v>44651</v>
      </c>
      <c r="C1413" s="1" t="n">
        <v>45740</v>
      </c>
      <c r="D1413" t="inlineStr">
        <is>
          <t>JÄMTLANDS LÄN</t>
        </is>
      </c>
      <c r="E1413" t="inlineStr">
        <is>
          <t>STRÖMSUND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14289-2022</t>
        </is>
      </c>
      <c r="B1414" s="1" t="n">
        <v>44651</v>
      </c>
      <c r="C1414" s="1" t="n">
        <v>45740</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14441-2022</t>
        </is>
      </c>
      <c r="B1415" s="1" t="n">
        <v>44652</v>
      </c>
      <c r="C1415" s="1" t="n">
        <v>45740</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14443-2022</t>
        </is>
      </c>
      <c r="B1416" s="1" t="n">
        <v>44653</v>
      </c>
      <c r="C1416" s="1" t="n">
        <v>45740</v>
      </c>
      <c r="D1416" t="inlineStr">
        <is>
          <t>JÄMTLANDS LÄN</t>
        </is>
      </c>
      <c r="E1416" t="inlineStr">
        <is>
          <t>STRÖMSUND</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14445-2022</t>
        </is>
      </c>
      <c r="B1417" s="1" t="n">
        <v>44653</v>
      </c>
      <c r="C1417" s="1" t="n">
        <v>45740</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14442-2022</t>
        </is>
      </c>
      <c r="B1418" s="1" t="n">
        <v>44653</v>
      </c>
      <c r="C1418" s="1" t="n">
        <v>45740</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14460-2022</t>
        </is>
      </c>
      <c r="B1419" s="1" t="n">
        <v>44654</v>
      </c>
      <c r="C1419" s="1" t="n">
        <v>45740</v>
      </c>
      <c r="D1419" t="inlineStr">
        <is>
          <t>JÄMTLANDS LÄN</t>
        </is>
      </c>
      <c r="E1419" t="inlineStr">
        <is>
          <t>STRÖMSUND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14550-2022</t>
        </is>
      </c>
      <c r="B1420" s="1" t="n">
        <v>44655</v>
      </c>
      <c r="C1420" s="1" t="n">
        <v>45740</v>
      </c>
      <c r="D1420" t="inlineStr">
        <is>
          <t>JÄMTLANDS LÄN</t>
        </is>
      </c>
      <c r="E1420" t="inlineStr">
        <is>
          <t>STRÖMSUND</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14557-2022</t>
        </is>
      </c>
      <c r="B1421" s="1" t="n">
        <v>44655</v>
      </c>
      <c r="C1421" s="1" t="n">
        <v>45740</v>
      </c>
      <c r="D1421" t="inlineStr">
        <is>
          <t>JÄMTLANDS LÄN</t>
        </is>
      </c>
      <c r="E1421" t="inlineStr">
        <is>
          <t>STRÖMSUND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14703-2022</t>
        </is>
      </c>
      <c r="B1422" s="1" t="n">
        <v>44655</v>
      </c>
      <c r="C1422" s="1" t="n">
        <v>45740</v>
      </c>
      <c r="D1422" t="inlineStr">
        <is>
          <t>JÄMTLANDS LÄN</t>
        </is>
      </c>
      <c r="E1422" t="inlineStr">
        <is>
          <t>STRÖMSUND</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14894-2022</t>
        </is>
      </c>
      <c r="B1423" s="1" t="n">
        <v>44657</v>
      </c>
      <c r="C1423" s="1" t="n">
        <v>45740</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15238-2022</t>
        </is>
      </c>
      <c r="B1424" s="1" t="n">
        <v>44659</v>
      </c>
      <c r="C1424" s="1" t="n">
        <v>45740</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15141-2022</t>
        </is>
      </c>
      <c r="B1425" s="1" t="n">
        <v>44658</v>
      </c>
      <c r="C1425" s="1" t="n">
        <v>45740</v>
      </c>
      <c r="D1425" t="inlineStr">
        <is>
          <t>JÄMTLANDS LÄN</t>
        </is>
      </c>
      <c r="E1425" t="inlineStr">
        <is>
          <t>STRÖMSUND</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15239-2022</t>
        </is>
      </c>
      <c r="B1426" s="1" t="n">
        <v>44659</v>
      </c>
      <c r="C1426" s="1" t="n">
        <v>45740</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15259-2022</t>
        </is>
      </c>
      <c r="B1427" s="1" t="n">
        <v>44659</v>
      </c>
      <c r="C1427" s="1" t="n">
        <v>45740</v>
      </c>
      <c r="D1427" t="inlineStr">
        <is>
          <t>JÄMTLANDS LÄN</t>
        </is>
      </c>
      <c r="E1427" t="inlineStr">
        <is>
          <t>STRÖMSUND</t>
        </is>
      </c>
      <c r="G1427" t="n">
        <v>52.4</v>
      </c>
      <c r="H1427" t="n">
        <v>0</v>
      </c>
      <c r="I1427" t="n">
        <v>0</v>
      </c>
      <c r="J1427" t="n">
        <v>0</v>
      </c>
      <c r="K1427" t="n">
        <v>0</v>
      </c>
      <c r="L1427" t="n">
        <v>0</v>
      </c>
      <c r="M1427" t="n">
        <v>0</v>
      </c>
      <c r="N1427" t="n">
        <v>0</v>
      </c>
      <c r="O1427" t="n">
        <v>0</v>
      </c>
      <c r="P1427" t="n">
        <v>0</v>
      </c>
      <c r="Q1427" t="n">
        <v>0</v>
      </c>
      <c r="R1427" s="2" t="inlineStr"/>
    </row>
    <row r="1428" ht="15" customHeight="1">
      <c r="A1428" t="inlineStr">
        <is>
          <t>A 15546-2022</t>
        </is>
      </c>
      <c r="B1428" s="1" t="n">
        <v>44662</v>
      </c>
      <c r="C1428" s="1" t="n">
        <v>45740</v>
      </c>
      <c r="D1428" t="inlineStr">
        <is>
          <t>JÄMTLANDS LÄN</t>
        </is>
      </c>
      <c r="E1428" t="inlineStr">
        <is>
          <t>STRÖMSUND</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15522-2022</t>
        </is>
      </c>
      <c r="B1429" s="1" t="n">
        <v>44662</v>
      </c>
      <c r="C1429" s="1" t="n">
        <v>45740</v>
      </c>
      <c r="D1429" t="inlineStr">
        <is>
          <t>JÄMTLANDS LÄN</t>
        </is>
      </c>
      <c r="E1429" t="inlineStr">
        <is>
          <t>STRÖMSUND</t>
        </is>
      </c>
      <c r="G1429" t="n">
        <v>41.8</v>
      </c>
      <c r="H1429" t="n">
        <v>0</v>
      </c>
      <c r="I1429" t="n">
        <v>0</v>
      </c>
      <c r="J1429" t="n">
        <v>0</v>
      </c>
      <c r="K1429" t="n">
        <v>0</v>
      </c>
      <c r="L1429" t="n">
        <v>0</v>
      </c>
      <c r="M1429" t="n">
        <v>0</v>
      </c>
      <c r="N1429" t="n">
        <v>0</v>
      </c>
      <c r="O1429" t="n">
        <v>0</v>
      </c>
      <c r="P1429" t="n">
        <v>0</v>
      </c>
      <c r="Q1429" t="n">
        <v>0</v>
      </c>
      <c r="R1429" s="2" t="inlineStr"/>
    </row>
    <row r="1430" ht="15" customHeight="1">
      <c r="A1430" t="inlineStr">
        <is>
          <t>A 15407-2022</t>
        </is>
      </c>
      <c r="B1430" s="1" t="n">
        <v>44662</v>
      </c>
      <c r="C1430" s="1" t="n">
        <v>45740</v>
      </c>
      <c r="D1430" t="inlineStr">
        <is>
          <t>JÄMTLANDS LÄN</t>
        </is>
      </c>
      <c r="E1430" t="inlineStr">
        <is>
          <t>STRÖMSUND</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15668-2022</t>
        </is>
      </c>
      <c r="B1431" s="1" t="n">
        <v>44663</v>
      </c>
      <c r="C1431" s="1" t="n">
        <v>45740</v>
      </c>
      <c r="D1431" t="inlineStr">
        <is>
          <t>JÄMTLANDS LÄN</t>
        </is>
      </c>
      <c r="E1431" t="inlineStr">
        <is>
          <t>STRÖMSUND</t>
        </is>
      </c>
      <c r="F1431" t="inlineStr">
        <is>
          <t>SCA</t>
        </is>
      </c>
      <c r="G1431" t="n">
        <v>14.7</v>
      </c>
      <c r="H1431" t="n">
        <v>0</v>
      </c>
      <c r="I1431" t="n">
        <v>0</v>
      </c>
      <c r="J1431" t="n">
        <v>0</v>
      </c>
      <c r="K1431" t="n">
        <v>0</v>
      </c>
      <c r="L1431" t="n">
        <v>0</v>
      </c>
      <c r="M1431" t="n">
        <v>0</v>
      </c>
      <c r="N1431" t="n">
        <v>0</v>
      </c>
      <c r="O1431" t="n">
        <v>0</v>
      </c>
      <c r="P1431" t="n">
        <v>0</v>
      </c>
      <c r="Q1431" t="n">
        <v>0</v>
      </c>
      <c r="R1431" s="2" t="inlineStr"/>
    </row>
    <row r="1432" ht="15" customHeight="1">
      <c r="A1432" t="inlineStr">
        <is>
          <t>A 15865-2022</t>
        </is>
      </c>
      <c r="B1432" s="1" t="n">
        <v>44664</v>
      </c>
      <c r="C1432" s="1" t="n">
        <v>45740</v>
      </c>
      <c r="D1432" t="inlineStr">
        <is>
          <t>JÄMTLANDS LÄN</t>
        </is>
      </c>
      <c r="E1432" t="inlineStr">
        <is>
          <t>STRÖMSUND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15971-2022</t>
        </is>
      </c>
      <c r="B1433" s="1" t="n">
        <v>44664</v>
      </c>
      <c r="C1433" s="1" t="n">
        <v>45740</v>
      </c>
      <c r="D1433" t="inlineStr">
        <is>
          <t>JÄMTLANDS LÄN</t>
        </is>
      </c>
      <c r="E1433" t="inlineStr">
        <is>
          <t>STRÖMSUND</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16311-2022</t>
        </is>
      </c>
      <c r="B1434" s="1" t="n">
        <v>44670</v>
      </c>
      <c r="C1434" s="1" t="n">
        <v>45740</v>
      </c>
      <c r="D1434" t="inlineStr">
        <is>
          <t>JÄMTLANDS LÄN</t>
        </is>
      </c>
      <c r="E1434" t="inlineStr">
        <is>
          <t>STRÖMSUND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16317-2022</t>
        </is>
      </c>
      <c r="B1435" s="1" t="n">
        <v>44670</v>
      </c>
      <c r="C1435" s="1" t="n">
        <v>45740</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16359-2022</t>
        </is>
      </c>
      <c r="B1436" s="1" t="n">
        <v>44671</v>
      </c>
      <c r="C1436" s="1" t="n">
        <v>45740</v>
      </c>
      <c r="D1436" t="inlineStr">
        <is>
          <t>JÄMTLANDS LÄN</t>
        </is>
      </c>
      <c r="E1436" t="inlineStr">
        <is>
          <t>STRÖMSUND</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16358-2022</t>
        </is>
      </c>
      <c r="B1437" s="1" t="n">
        <v>44671</v>
      </c>
      <c r="C1437" s="1" t="n">
        <v>45740</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16518-2022</t>
        </is>
      </c>
      <c r="B1438" s="1" t="n">
        <v>44672</v>
      </c>
      <c r="C1438" s="1" t="n">
        <v>45740</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16516-2022</t>
        </is>
      </c>
      <c r="B1439" s="1" t="n">
        <v>44672</v>
      </c>
      <c r="C1439" s="1" t="n">
        <v>45740</v>
      </c>
      <c r="D1439" t="inlineStr">
        <is>
          <t>JÄMTLANDS LÄN</t>
        </is>
      </c>
      <c r="E1439" t="inlineStr">
        <is>
          <t>STRÖMSUND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44674</v>
      </c>
      <c r="C1440" s="1" t="n">
        <v>45740</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21844-2022</t>
        </is>
      </c>
      <c r="B1441" s="1" t="n">
        <v>44678</v>
      </c>
      <c r="C1441" s="1" t="n">
        <v>45740</v>
      </c>
      <c r="D1441" t="inlineStr">
        <is>
          <t>JÄMTLANDS LÄN</t>
        </is>
      </c>
      <c r="E1441" t="inlineStr">
        <is>
          <t>STRÖMSUND</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17753-2022</t>
        </is>
      </c>
      <c r="B1442" s="1" t="n">
        <v>44681</v>
      </c>
      <c r="C1442" s="1" t="n">
        <v>45740</v>
      </c>
      <c r="D1442" t="inlineStr">
        <is>
          <t>JÄMTLANDS LÄN</t>
        </is>
      </c>
      <c r="E1442" t="inlineStr">
        <is>
          <t>STRÖMSUND</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17754-2022</t>
        </is>
      </c>
      <c r="B1443" s="1" t="n">
        <v>44680</v>
      </c>
      <c r="C1443" s="1" t="n">
        <v>45740</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17752-2022</t>
        </is>
      </c>
      <c r="B1444" s="1" t="n">
        <v>44680</v>
      </c>
      <c r="C1444" s="1" t="n">
        <v>45740</v>
      </c>
      <c r="D1444" t="inlineStr">
        <is>
          <t>JÄMTLANDS LÄN</t>
        </is>
      </c>
      <c r="E1444" t="inlineStr">
        <is>
          <t>STRÖMSUND</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18205-2022</t>
        </is>
      </c>
      <c r="B1445" s="1" t="n">
        <v>44684</v>
      </c>
      <c r="C1445" s="1" t="n">
        <v>45740</v>
      </c>
      <c r="D1445" t="inlineStr">
        <is>
          <t>JÄMTLANDS LÄN</t>
        </is>
      </c>
      <c r="E1445" t="inlineStr">
        <is>
          <t>STRÖMSUND</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18553-2022</t>
        </is>
      </c>
      <c r="B1446" s="1" t="n">
        <v>44687</v>
      </c>
      <c r="C1446" s="1" t="n">
        <v>45740</v>
      </c>
      <c r="D1446" t="inlineStr">
        <is>
          <t>JÄMTLANDS LÄN</t>
        </is>
      </c>
      <c r="E1446" t="inlineStr">
        <is>
          <t>STRÖMSUND</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18573-2022</t>
        </is>
      </c>
      <c r="B1447" s="1" t="n">
        <v>44687</v>
      </c>
      <c r="C1447" s="1" t="n">
        <v>45740</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18572-2022</t>
        </is>
      </c>
      <c r="B1448" s="1" t="n">
        <v>44686</v>
      </c>
      <c r="C1448" s="1" t="n">
        <v>45740</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18750-2022</t>
        </is>
      </c>
      <c r="B1449" s="1" t="n">
        <v>44688</v>
      </c>
      <c r="C1449" s="1" t="n">
        <v>45740</v>
      </c>
      <c r="D1449" t="inlineStr">
        <is>
          <t>JÄMTLANDS LÄN</t>
        </is>
      </c>
      <c r="E1449" t="inlineStr">
        <is>
          <t>STRÖMSUND</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18749-2022</t>
        </is>
      </c>
      <c r="B1450" s="1" t="n">
        <v>44688</v>
      </c>
      <c r="C1450" s="1" t="n">
        <v>45740</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18751-2022</t>
        </is>
      </c>
      <c r="B1451" s="1" t="n">
        <v>44688</v>
      </c>
      <c r="C1451" s="1" t="n">
        <v>45740</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18994-2022</t>
        </is>
      </c>
      <c r="B1452" s="1" t="n">
        <v>44691</v>
      </c>
      <c r="C1452" s="1" t="n">
        <v>45740</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19209-2022</t>
        </is>
      </c>
      <c r="B1453" s="1" t="n">
        <v>44691</v>
      </c>
      <c r="C1453" s="1" t="n">
        <v>45740</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19602-2022</t>
        </is>
      </c>
      <c r="B1454" s="1" t="n">
        <v>44694</v>
      </c>
      <c r="C1454" s="1" t="n">
        <v>45740</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20058-2022</t>
        </is>
      </c>
      <c r="B1455" s="1" t="n">
        <v>44698</v>
      </c>
      <c r="C1455" s="1" t="n">
        <v>45740</v>
      </c>
      <c r="D1455" t="inlineStr">
        <is>
          <t>JÄMTLANDS LÄN</t>
        </is>
      </c>
      <c r="E1455" t="inlineStr">
        <is>
          <t>STRÖMSUND</t>
        </is>
      </c>
      <c r="G1455" t="n">
        <v>29.5</v>
      </c>
      <c r="H1455" t="n">
        <v>0</v>
      </c>
      <c r="I1455" t="n">
        <v>0</v>
      </c>
      <c r="J1455" t="n">
        <v>0</v>
      </c>
      <c r="K1455" t="n">
        <v>0</v>
      </c>
      <c r="L1455" t="n">
        <v>0</v>
      </c>
      <c r="M1455" t="n">
        <v>0</v>
      </c>
      <c r="N1455" t="n">
        <v>0</v>
      </c>
      <c r="O1455" t="n">
        <v>0</v>
      </c>
      <c r="P1455" t="n">
        <v>0</v>
      </c>
      <c r="Q1455" t="n">
        <v>0</v>
      </c>
      <c r="R1455" s="2" t="inlineStr"/>
    </row>
    <row r="1456" ht="15" customHeight="1">
      <c r="A1456" t="inlineStr">
        <is>
          <t>A 20072-2022</t>
        </is>
      </c>
      <c r="B1456" s="1" t="n">
        <v>44697</v>
      </c>
      <c r="C1456" s="1" t="n">
        <v>45740</v>
      </c>
      <c r="D1456" t="inlineStr">
        <is>
          <t>JÄMTLANDS LÄN</t>
        </is>
      </c>
      <c r="E1456" t="inlineStr">
        <is>
          <t>STRÖMSUND</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20073-2022</t>
        </is>
      </c>
      <c r="B1457" s="1" t="n">
        <v>44697</v>
      </c>
      <c r="C1457" s="1" t="n">
        <v>45740</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20071-2022</t>
        </is>
      </c>
      <c r="B1458" s="1" t="n">
        <v>44698</v>
      </c>
      <c r="C1458" s="1" t="n">
        <v>45740</v>
      </c>
      <c r="D1458" t="inlineStr">
        <is>
          <t>JÄMTLANDS LÄN</t>
        </is>
      </c>
      <c r="E1458" t="inlineStr">
        <is>
          <t>STRÖMSUND</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19964-2022</t>
        </is>
      </c>
      <c r="B1459" s="1" t="n">
        <v>44697</v>
      </c>
      <c r="C1459" s="1" t="n">
        <v>45740</v>
      </c>
      <c r="D1459" t="inlineStr">
        <is>
          <t>JÄMTLANDS LÄN</t>
        </is>
      </c>
      <c r="E1459" t="inlineStr">
        <is>
          <t>STRÖMSUND</t>
        </is>
      </c>
      <c r="F1459" t="inlineStr">
        <is>
          <t>Holmen skog AB</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20266-2022</t>
        </is>
      </c>
      <c r="B1460" s="1" t="n">
        <v>44698</v>
      </c>
      <c r="C1460" s="1" t="n">
        <v>45740</v>
      </c>
      <c r="D1460" t="inlineStr">
        <is>
          <t>JÄMTLANDS LÄN</t>
        </is>
      </c>
      <c r="E1460" t="inlineStr">
        <is>
          <t>STRÖMSUND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20334-2022</t>
        </is>
      </c>
      <c r="B1461" s="1" t="n">
        <v>44699</v>
      </c>
      <c r="C1461" s="1" t="n">
        <v>45740</v>
      </c>
      <c r="D1461" t="inlineStr">
        <is>
          <t>JÄMTLANDS LÄN</t>
        </is>
      </c>
      <c r="E1461" t="inlineStr">
        <is>
          <t>STRÖMSUND</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20339-2022</t>
        </is>
      </c>
      <c r="B1462" s="1" t="n">
        <v>44699</v>
      </c>
      <c r="C1462" s="1" t="n">
        <v>45740</v>
      </c>
      <c r="D1462" t="inlineStr">
        <is>
          <t>JÄMTLANDS LÄN</t>
        </is>
      </c>
      <c r="E1462" t="inlineStr">
        <is>
          <t>STRÖMSUND</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20432-2022</t>
        </is>
      </c>
      <c r="B1463" s="1" t="n">
        <v>44699</v>
      </c>
      <c r="C1463" s="1" t="n">
        <v>45740</v>
      </c>
      <c r="D1463" t="inlineStr">
        <is>
          <t>JÄMTLANDS LÄN</t>
        </is>
      </c>
      <c r="E1463" t="inlineStr">
        <is>
          <t>STRÖMSUND</t>
        </is>
      </c>
      <c r="F1463" t="inlineStr">
        <is>
          <t>SCA</t>
        </is>
      </c>
      <c r="G1463" t="n">
        <v>99.59999999999999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20331-2022</t>
        </is>
      </c>
      <c r="B1464" s="1" t="n">
        <v>44699</v>
      </c>
      <c r="C1464" s="1" t="n">
        <v>45740</v>
      </c>
      <c r="D1464" t="inlineStr">
        <is>
          <t>JÄMTLANDS LÄN</t>
        </is>
      </c>
      <c r="E1464" t="inlineStr">
        <is>
          <t>STRÖMSUND</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20707-2022</t>
        </is>
      </c>
      <c r="B1465" s="1" t="n">
        <v>44701</v>
      </c>
      <c r="C1465" s="1" t="n">
        <v>45740</v>
      </c>
      <c r="D1465" t="inlineStr">
        <is>
          <t>JÄMTLANDS LÄN</t>
        </is>
      </c>
      <c r="E1465" t="inlineStr">
        <is>
          <t>STRÖMSUND</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20706-2022</t>
        </is>
      </c>
      <c r="B1466" s="1" t="n">
        <v>44701</v>
      </c>
      <c r="C1466" s="1" t="n">
        <v>45740</v>
      </c>
      <c r="D1466" t="inlineStr">
        <is>
          <t>JÄMTLANDS LÄN</t>
        </is>
      </c>
      <c r="E1466" t="inlineStr">
        <is>
          <t>STRÖMSUND</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20708-2022</t>
        </is>
      </c>
      <c r="B1467" s="1" t="n">
        <v>44700</v>
      </c>
      <c r="C1467" s="1" t="n">
        <v>45740</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20865-2022</t>
        </is>
      </c>
      <c r="B1468" s="1" t="n">
        <v>44701</v>
      </c>
      <c r="C1468" s="1" t="n">
        <v>45740</v>
      </c>
      <c r="D1468" t="inlineStr">
        <is>
          <t>JÄMTLANDS LÄN</t>
        </is>
      </c>
      <c r="E1468" t="inlineStr">
        <is>
          <t>STRÖMSUND</t>
        </is>
      </c>
      <c r="F1468" t="inlineStr">
        <is>
          <t>Holmen skog AB</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20965-2022</t>
        </is>
      </c>
      <c r="B1469" s="1" t="n">
        <v>44701</v>
      </c>
      <c r="C1469" s="1" t="n">
        <v>45740</v>
      </c>
      <c r="D1469" t="inlineStr">
        <is>
          <t>JÄMTLANDS LÄN</t>
        </is>
      </c>
      <c r="E1469" t="inlineStr">
        <is>
          <t>STRÖMSUND</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20966-2022</t>
        </is>
      </c>
      <c r="B1470" s="1" t="n">
        <v>44702</v>
      </c>
      <c r="C1470" s="1" t="n">
        <v>45740</v>
      </c>
      <c r="D1470" t="inlineStr">
        <is>
          <t>JÄMTLANDS LÄN</t>
        </is>
      </c>
      <c r="E1470" t="inlineStr">
        <is>
          <t>STRÖMSUND</t>
        </is>
      </c>
      <c r="F1470" t="inlineStr">
        <is>
          <t>SCA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21192-2022</t>
        </is>
      </c>
      <c r="B1471" s="1" t="n">
        <v>44705</v>
      </c>
      <c r="C1471" s="1" t="n">
        <v>45740</v>
      </c>
      <c r="D1471" t="inlineStr">
        <is>
          <t>JÄMTLANDS LÄN</t>
        </is>
      </c>
      <c r="E1471" t="inlineStr">
        <is>
          <t>STRÖMSUND</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21399-2022</t>
        </is>
      </c>
      <c r="B1472" s="1" t="n">
        <v>44706</v>
      </c>
      <c r="C1472" s="1" t="n">
        <v>45740</v>
      </c>
      <c r="D1472" t="inlineStr">
        <is>
          <t>JÄMTLANDS LÄN</t>
        </is>
      </c>
      <c r="E1472" t="inlineStr">
        <is>
          <t>STRÖMSUND</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21410-2022</t>
        </is>
      </c>
      <c r="B1473" s="1" t="n">
        <v>44706</v>
      </c>
      <c r="C1473" s="1" t="n">
        <v>45740</v>
      </c>
      <c r="D1473" t="inlineStr">
        <is>
          <t>JÄMTLANDS LÄN</t>
        </is>
      </c>
      <c r="E1473" t="inlineStr">
        <is>
          <t>STRÖMSUND</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21646-2022</t>
        </is>
      </c>
      <c r="B1474" s="1" t="n">
        <v>44707</v>
      </c>
      <c r="C1474" s="1" t="n">
        <v>45740</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21647-2022</t>
        </is>
      </c>
      <c r="B1475" s="1" t="n">
        <v>44707</v>
      </c>
      <c r="C1475" s="1" t="n">
        <v>45740</v>
      </c>
      <c r="D1475" t="inlineStr">
        <is>
          <t>JÄMTLANDS LÄN</t>
        </is>
      </c>
      <c r="E1475" t="inlineStr">
        <is>
          <t>STRÖMSUND</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21650-2022</t>
        </is>
      </c>
      <c r="B1476" s="1" t="n">
        <v>44706</v>
      </c>
      <c r="C1476" s="1" t="n">
        <v>45740</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21649-2022</t>
        </is>
      </c>
      <c r="B1477" s="1" t="n">
        <v>44707</v>
      </c>
      <c r="C1477" s="1" t="n">
        <v>45740</v>
      </c>
      <c r="D1477" t="inlineStr">
        <is>
          <t>JÄMTLANDS LÄN</t>
        </is>
      </c>
      <c r="E1477" t="inlineStr">
        <is>
          <t>STRÖMSUND</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21702-2022</t>
        </is>
      </c>
      <c r="B1478" s="1" t="n">
        <v>44708</v>
      </c>
      <c r="C1478" s="1" t="n">
        <v>45740</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21700-2022</t>
        </is>
      </c>
      <c r="B1479" s="1" t="n">
        <v>44708</v>
      </c>
      <c r="C1479" s="1" t="n">
        <v>45740</v>
      </c>
      <c r="D1479" t="inlineStr">
        <is>
          <t>JÄMTLANDS LÄN</t>
        </is>
      </c>
      <c r="E1479" t="inlineStr">
        <is>
          <t>STRÖMSUND</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21701-2022</t>
        </is>
      </c>
      <c r="B1480" s="1" t="n">
        <v>44708</v>
      </c>
      <c r="C1480" s="1" t="n">
        <v>45740</v>
      </c>
      <c r="D1480" t="inlineStr">
        <is>
          <t>JÄMTLANDS LÄN</t>
        </is>
      </c>
      <c r="E1480" t="inlineStr">
        <is>
          <t>STRÖMSUND</t>
        </is>
      </c>
      <c r="F1480" t="inlineStr">
        <is>
          <t>SCA</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21771-2022</t>
        </is>
      </c>
      <c r="B1481" s="1" t="n">
        <v>44708</v>
      </c>
      <c r="C1481" s="1" t="n">
        <v>45740</v>
      </c>
      <c r="D1481" t="inlineStr">
        <is>
          <t>JÄMTLANDS LÄN</t>
        </is>
      </c>
      <c r="E1481" t="inlineStr">
        <is>
          <t>STRÖMSUND</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21812-2022</t>
        </is>
      </c>
      <c r="B1482" s="1" t="n">
        <v>44708</v>
      </c>
      <c r="C1482" s="1" t="n">
        <v>45740</v>
      </c>
      <c r="D1482" t="inlineStr">
        <is>
          <t>JÄMTLANDS LÄN</t>
        </is>
      </c>
      <c r="E1482" t="inlineStr">
        <is>
          <t>STRÖMSUND</t>
        </is>
      </c>
      <c r="F1482" t="inlineStr">
        <is>
          <t>SCA</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22026-2022</t>
        </is>
      </c>
      <c r="B1483" s="1" t="n">
        <v>44711</v>
      </c>
      <c r="C1483" s="1" t="n">
        <v>45740</v>
      </c>
      <c r="D1483" t="inlineStr">
        <is>
          <t>JÄMTLANDS LÄN</t>
        </is>
      </c>
      <c r="E1483" t="inlineStr">
        <is>
          <t>STRÖMSUND</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22096-2022</t>
        </is>
      </c>
      <c r="B1484" s="1" t="n">
        <v>44712</v>
      </c>
      <c r="C1484" s="1" t="n">
        <v>45740</v>
      </c>
      <c r="D1484" t="inlineStr">
        <is>
          <t>JÄMTLANDS LÄN</t>
        </is>
      </c>
      <c r="E1484" t="inlineStr">
        <is>
          <t>STRÖMSUND</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22338-2022</t>
        </is>
      </c>
      <c r="B1485" s="1" t="n">
        <v>44712</v>
      </c>
      <c r="C1485" s="1" t="n">
        <v>45740</v>
      </c>
      <c r="D1485" t="inlineStr">
        <is>
          <t>JÄMTLANDS LÄN</t>
        </is>
      </c>
      <c r="E1485" t="inlineStr">
        <is>
          <t>STRÖMSUND</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22337-2022</t>
        </is>
      </c>
      <c r="B1486" s="1" t="n">
        <v>44713</v>
      </c>
      <c r="C1486" s="1" t="n">
        <v>45740</v>
      </c>
      <c r="D1486" t="inlineStr">
        <is>
          <t>JÄMTLANDS LÄN</t>
        </is>
      </c>
      <c r="E1486" t="inlineStr">
        <is>
          <t>STRÖMSUND</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22560-2022</t>
        </is>
      </c>
      <c r="B1487" s="1" t="n">
        <v>44714</v>
      </c>
      <c r="C1487" s="1" t="n">
        <v>45740</v>
      </c>
      <c r="D1487" t="inlineStr">
        <is>
          <t>JÄMTLANDS LÄN</t>
        </is>
      </c>
      <c r="E1487" t="inlineStr">
        <is>
          <t>STRÖMSUND</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22564-2022</t>
        </is>
      </c>
      <c r="B1488" s="1" t="n">
        <v>44713</v>
      </c>
      <c r="C1488" s="1" t="n">
        <v>45740</v>
      </c>
      <c r="D1488" t="inlineStr">
        <is>
          <t>JÄMTLANDS LÄN</t>
        </is>
      </c>
      <c r="E1488" t="inlineStr">
        <is>
          <t>STRÖMSUND</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22558-2022</t>
        </is>
      </c>
      <c r="B1489" s="1" t="n">
        <v>44713</v>
      </c>
      <c r="C1489" s="1" t="n">
        <v>45740</v>
      </c>
      <c r="D1489" t="inlineStr">
        <is>
          <t>JÄMTLANDS LÄN</t>
        </is>
      </c>
      <c r="E1489" t="inlineStr">
        <is>
          <t>STRÖMSUND</t>
        </is>
      </c>
      <c r="F1489" t="inlineStr">
        <is>
          <t>SCA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22561-2022</t>
        </is>
      </c>
      <c r="B1490" s="1" t="n">
        <v>44714</v>
      </c>
      <c r="C1490" s="1" t="n">
        <v>45740</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22559-2022</t>
        </is>
      </c>
      <c r="B1491" s="1" t="n">
        <v>44714</v>
      </c>
      <c r="C1491" s="1" t="n">
        <v>45740</v>
      </c>
      <c r="D1491" t="inlineStr">
        <is>
          <t>JÄMTLANDS LÄN</t>
        </is>
      </c>
      <c r="E1491" t="inlineStr">
        <is>
          <t>STRÖMSUND</t>
        </is>
      </c>
      <c r="F1491" t="inlineStr">
        <is>
          <t>SCA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22568-2022</t>
        </is>
      </c>
      <c r="B1492" s="1" t="n">
        <v>44714</v>
      </c>
      <c r="C1492" s="1" t="n">
        <v>45740</v>
      </c>
      <c r="D1492" t="inlineStr">
        <is>
          <t>JÄMTLANDS LÄN</t>
        </is>
      </c>
      <c r="E1492" t="inlineStr">
        <is>
          <t>STRÖMSUND</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22659-2022</t>
        </is>
      </c>
      <c r="B1493" s="1" t="n">
        <v>44714</v>
      </c>
      <c r="C1493" s="1" t="n">
        <v>45740</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22616-2022</t>
        </is>
      </c>
      <c r="B1494" s="1" t="n">
        <v>44714</v>
      </c>
      <c r="C1494" s="1" t="n">
        <v>45740</v>
      </c>
      <c r="D1494" t="inlineStr">
        <is>
          <t>JÄMTLANDS LÄN</t>
        </is>
      </c>
      <c r="E1494" t="inlineStr">
        <is>
          <t>STRÖMSUND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22966-2022</t>
        </is>
      </c>
      <c r="B1495" s="1" t="n">
        <v>44716</v>
      </c>
      <c r="C1495" s="1" t="n">
        <v>45740</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22814-2022</t>
        </is>
      </c>
      <c r="B1496" s="1" t="n">
        <v>44715</v>
      </c>
      <c r="C1496" s="1" t="n">
        <v>45740</v>
      </c>
      <c r="D1496" t="inlineStr">
        <is>
          <t>JÄMTLANDS LÄN</t>
        </is>
      </c>
      <c r="E1496" t="inlineStr">
        <is>
          <t>STRÖMSUND</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22960-2022</t>
        </is>
      </c>
      <c r="B1497" s="1" t="n">
        <v>44716</v>
      </c>
      <c r="C1497" s="1" t="n">
        <v>45740</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22961-2022</t>
        </is>
      </c>
      <c r="B1498" s="1" t="n">
        <v>44715</v>
      </c>
      <c r="C1498" s="1" t="n">
        <v>45740</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23128-2022</t>
        </is>
      </c>
      <c r="B1499" s="1" t="n">
        <v>44719</v>
      </c>
      <c r="C1499" s="1" t="n">
        <v>45740</v>
      </c>
      <c r="D1499" t="inlineStr">
        <is>
          <t>JÄMTLANDS LÄN</t>
        </is>
      </c>
      <c r="E1499" t="inlineStr">
        <is>
          <t>STRÖMSUND</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23209-2022</t>
        </is>
      </c>
      <c r="B1500" s="1" t="n">
        <v>44719</v>
      </c>
      <c r="C1500" s="1" t="n">
        <v>45740</v>
      </c>
      <c r="D1500" t="inlineStr">
        <is>
          <t>JÄMTLANDS LÄN</t>
        </is>
      </c>
      <c r="E1500" t="inlineStr">
        <is>
          <t>STRÖMSUND</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23217-2022</t>
        </is>
      </c>
      <c r="B1501" s="1" t="n">
        <v>44720</v>
      </c>
      <c r="C1501" s="1" t="n">
        <v>45740</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23208-2022</t>
        </is>
      </c>
      <c r="B1502" s="1" t="n">
        <v>44719</v>
      </c>
      <c r="C1502" s="1" t="n">
        <v>45740</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23214-2022</t>
        </is>
      </c>
      <c r="B1503" s="1" t="n">
        <v>44720</v>
      </c>
      <c r="C1503" s="1" t="n">
        <v>45740</v>
      </c>
      <c r="D1503" t="inlineStr">
        <is>
          <t>JÄMTLANDS LÄN</t>
        </is>
      </c>
      <c r="E1503" t="inlineStr">
        <is>
          <t>STRÖMSUND</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23206-2022</t>
        </is>
      </c>
      <c r="B1504" s="1" t="n">
        <v>44719</v>
      </c>
      <c r="C1504" s="1" t="n">
        <v>45740</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23453-2022</t>
        </is>
      </c>
      <c r="B1505" s="1" t="n">
        <v>44721</v>
      </c>
      <c r="C1505" s="1" t="n">
        <v>45740</v>
      </c>
      <c r="D1505" t="inlineStr">
        <is>
          <t>JÄMTLANDS LÄN</t>
        </is>
      </c>
      <c r="E1505" t="inlineStr">
        <is>
          <t>STRÖMSUND</t>
        </is>
      </c>
      <c r="F1505" t="inlineStr">
        <is>
          <t>SCA</t>
        </is>
      </c>
      <c r="G1505" t="n">
        <v>48.2</v>
      </c>
      <c r="H1505" t="n">
        <v>0</v>
      </c>
      <c r="I1505" t="n">
        <v>0</v>
      </c>
      <c r="J1505" t="n">
        <v>0</v>
      </c>
      <c r="K1505" t="n">
        <v>0</v>
      </c>
      <c r="L1505" t="n">
        <v>0</v>
      </c>
      <c r="M1505" t="n">
        <v>0</v>
      </c>
      <c r="N1505" t="n">
        <v>0</v>
      </c>
      <c r="O1505" t="n">
        <v>0</v>
      </c>
      <c r="P1505" t="n">
        <v>0</v>
      </c>
      <c r="Q1505" t="n">
        <v>0</v>
      </c>
      <c r="R1505" s="2" t="inlineStr"/>
    </row>
    <row r="1506" ht="15" customHeight="1">
      <c r="A1506" t="inlineStr">
        <is>
          <t>A 23675-2022</t>
        </is>
      </c>
      <c r="B1506" s="1" t="n">
        <v>44722</v>
      </c>
      <c r="C1506" s="1" t="n">
        <v>45740</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24006-2022</t>
        </is>
      </c>
      <c r="B1507" s="1" t="n">
        <v>44723</v>
      </c>
      <c r="C1507" s="1" t="n">
        <v>45740</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24020-2022</t>
        </is>
      </c>
      <c r="B1508" s="1" t="n">
        <v>44723</v>
      </c>
      <c r="C1508" s="1" t="n">
        <v>45740</v>
      </c>
      <c r="D1508" t="inlineStr">
        <is>
          <t>JÄMTLANDS LÄN</t>
        </is>
      </c>
      <c r="E1508" t="inlineStr">
        <is>
          <t>STRÖMSUND</t>
        </is>
      </c>
      <c r="F1508" t="inlineStr">
        <is>
          <t>SCA</t>
        </is>
      </c>
      <c r="G1508" t="n">
        <v>20.2</v>
      </c>
      <c r="H1508" t="n">
        <v>0</v>
      </c>
      <c r="I1508" t="n">
        <v>0</v>
      </c>
      <c r="J1508" t="n">
        <v>0</v>
      </c>
      <c r="K1508" t="n">
        <v>0</v>
      </c>
      <c r="L1508" t="n">
        <v>0</v>
      </c>
      <c r="M1508" t="n">
        <v>0</v>
      </c>
      <c r="N1508" t="n">
        <v>0</v>
      </c>
      <c r="O1508" t="n">
        <v>0</v>
      </c>
      <c r="P1508" t="n">
        <v>0</v>
      </c>
      <c r="Q1508" t="n">
        <v>0</v>
      </c>
      <c r="R1508" s="2" t="inlineStr"/>
    </row>
    <row r="1509" ht="15" customHeight="1">
      <c r="A1509" t="inlineStr">
        <is>
          <t>A 24021-2022</t>
        </is>
      </c>
      <c r="B1509" s="1" t="n">
        <v>44723</v>
      </c>
      <c r="C1509" s="1" t="n">
        <v>45740</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24023-2022</t>
        </is>
      </c>
      <c r="B1510" s="1" t="n">
        <v>44723</v>
      </c>
      <c r="C1510" s="1" t="n">
        <v>45740</v>
      </c>
      <c r="D1510" t="inlineStr">
        <is>
          <t>JÄMTLANDS LÄN</t>
        </is>
      </c>
      <c r="E1510" t="inlineStr">
        <is>
          <t>STRÖMSUND</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24303-2022</t>
        </is>
      </c>
      <c r="B1511" s="1" t="n">
        <v>44726</v>
      </c>
      <c r="C1511" s="1" t="n">
        <v>45740</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24302-2022</t>
        </is>
      </c>
      <c r="B1512" s="1" t="n">
        <v>44726</v>
      </c>
      <c r="C1512" s="1" t="n">
        <v>45740</v>
      </c>
      <c r="D1512" t="inlineStr">
        <is>
          <t>JÄMTLANDS LÄN</t>
        </is>
      </c>
      <c r="E1512" t="inlineStr">
        <is>
          <t>STRÖMSUND</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24319-2022</t>
        </is>
      </c>
      <c r="B1513" s="1" t="n">
        <v>44726</v>
      </c>
      <c r="C1513" s="1" t="n">
        <v>45740</v>
      </c>
      <c r="D1513" t="inlineStr">
        <is>
          <t>JÄMTLANDS LÄN</t>
        </is>
      </c>
      <c r="E1513" t="inlineStr">
        <is>
          <t>STRÖMSUND</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24487-2022</t>
        </is>
      </c>
      <c r="B1514" s="1" t="n">
        <v>44726</v>
      </c>
      <c r="C1514" s="1" t="n">
        <v>45740</v>
      </c>
      <c r="D1514" t="inlineStr">
        <is>
          <t>JÄMTLANDS LÄN</t>
        </is>
      </c>
      <c r="E1514" t="inlineStr">
        <is>
          <t>STRÖMSUND</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24488-2022</t>
        </is>
      </c>
      <c r="B1515" s="1" t="n">
        <v>44726</v>
      </c>
      <c r="C1515" s="1" t="n">
        <v>45740</v>
      </c>
      <c r="D1515" t="inlineStr">
        <is>
          <t>JÄMTLANDS LÄN</t>
        </is>
      </c>
      <c r="E1515" t="inlineStr">
        <is>
          <t>STRÖMSUND</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24509-2022</t>
        </is>
      </c>
      <c r="B1516" s="1" t="n">
        <v>44726</v>
      </c>
      <c r="C1516" s="1" t="n">
        <v>45740</v>
      </c>
      <c r="D1516" t="inlineStr">
        <is>
          <t>JÄMTLANDS LÄN</t>
        </is>
      </c>
      <c r="E1516" t="inlineStr">
        <is>
          <t>STRÖMSUND</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24508-2022</t>
        </is>
      </c>
      <c r="B1517" s="1" t="n">
        <v>44726</v>
      </c>
      <c r="C1517" s="1" t="n">
        <v>45740</v>
      </c>
      <c r="D1517" t="inlineStr">
        <is>
          <t>JÄMTLANDS LÄN</t>
        </is>
      </c>
      <c r="E1517" t="inlineStr">
        <is>
          <t>STRÖMSUND</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24728-2022</t>
        </is>
      </c>
      <c r="B1518" s="1" t="n">
        <v>44727</v>
      </c>
      <c r="C1518" s="1" t="n">
        <v>45740</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24918-2022</t>
        </is>
      </c>
      <c r="B1519" s="1" t="n">
        <v>44728</v>
      </c>
      <c r="C1519" s="1" t="n">
        <v>45740</v>
      </c>
      <c r="D1519" t="inlineStr">
        <is>
          <t>JÄMTLANDS LÄN</t>
        </is>
      </c>
      <c r="E1519" t="inlineStr">
        <is>
          <t>STRÖMSUND</t>
        </is>
      </c>
      <c r="F1519" t="inlineStr">
        <is>
          <t>Kyrkan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24912-2022</t>
        </is>
      </c>
      <c r="B1520" s="1" t="n">
        <v>44728</v>
      </c>
      <c r="C1520" s="1" t="n">
        <v>45740</v>
      </c>
      <c r="D1520" t="inlineStr">
        <is>
          <t>JÄMTLANDS LÄN</t>
        </is>
      </c>
      <c r="E1520" t="inlineStr">
        <is>
          <t>STRÖMSUND</t>
        </is>
      </c>
      <c r="F1520" t="inlineStr">
        <is>
          <t>Kyrkan</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24965-2022</t>
        </is>
      </c>
      <c r="B1521" s="1" t="n">
        <v>44728</v>
      </c>
      <c r="C1521" s="1" t="n">
        <v>45740</v>
      </c>
      <c r="D1521" t="inlineStr">
        <is>
          <t>JÄMTLANDS LÄN</t>
        </is>
      </c>
      <c r="E1521" t="inlineStr">
        <is>
          <t>STRÖMSUND</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25018-2022</t>
        </is>
      </c>
      <c r="B1522" s="1" t="n">
        <v>44728</v>
      </c>
      <c r="C1522" s="1" t="n">
        <v>45740</v>
      </c>
      <c r="D1522" t="inlineStr">
        <is>
          <t>JÄMTLANDS LÄN</t>
        </is>
      </c>
      <c r="E1522" t="inlineStr">
        <is>
          <t>STRÖMSUND</t>
        </is>
      </c>
      <c r="F1522" t="inlineStr">
        <is>
          <t>SCA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25016-2022</t>
        </is>
      </c>
      <c r="B1523" s="1" t="n">
        <v>44729</v>
      </c>
      <c r="C1523" s="1" t="n">
        <v>45740</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25085-2022</t>
        </is>
      </c>
      <c r="B1524" s="1" t="n">
        <v>44729</v>
      </c>
      <c r="C1524" s="1" t="n">
        <v>45740</v>
      </c>
      <c r="D1524" t="inlineStr">
        <is>
          <t>JÄMTLANDS LÄN</t>
        </is>
      </c>
      <c r="E1524" t="inlineStr">
        <is>
          <t>STRÖMSUND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25662-2022</t>
        </is>
      </c>
      <c r="B1525" s="1" t="n">
        <v>44732</v>
      </c>
      <c r="C1525" s="1" t="n">
        <v>45740</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25847-2022</t>
        </is>
      </c>
      <c r="B1526" s="1" t="n">
        <v>44733</v>
      </c>
      <c r="C1526" s="1" t="n">
        <v>45740</v>
      </c>
      <c r="D1526" t="inlineStr">
        <is>
          <t>JÄMTLANDS LÄN</t>
        </is>
      </c>
      <c r="E1526" t="inlineStr">
        <is>
          <t>STRÖMSUND</t>
        </is>
      </c>
      <c r="F1526" t="inlineStr">
        <is>
          <t>Kyrkan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25843-2022</t>
        </is>
      </c>
      <c r="B1527" s="1" t="n">
        <v>44733</v>
      </c>
      <c r="C1527" s="1" t="n">
        <v>45740</v>
      </c>
      <c r="D1527" t="inlineStr">
        <is>
          <t>JÄMTLANDS LÄN</t>
        </is>
      </c>
      <c r="E1527" t="inlineStr">
        <is>
          <t>STRÖMSUND</t>
        </is>
      </c>
      <c r="F1527" t="inlineStr">
        <is>
          <t>Kyrkan</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26117-2022</t>
        </is>
      </c>
      <c r="B1528" s="1" t="n">
        <v>44735</v>
      </c>
      <c r="C1528" s="1" t="n">
        <v>45740</v>
      </c>
      <c r="D1528" t="inlineStr">
        <is>
          <t>JÄMTLANDS LÄN</t>
        </is>
      </c>
      <c r="E1528" t="inlineStr">
        <is>
          <t>STRÖMSUND</t>
        </is>
      </c>
      <c r="F1528" t="inlineStr">
        <is>
          <t>SCA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26116-2022</t>
        </is>
      </c>
      <c r="B1529" s="1" t="n">
        <v>44734</v>
      </c>
      <c r="C1529" s="1" t="n">
        <v>45740</v>
      </c>
      <c r="D1529" t="inlineStr">
        <is>
          <t>JÄMTLANDS LÄN</t>
        </is>
      </c>
      <c r="E1529" t="inlineStr">
        <is>
          <t>STRÖMSUND</t>
        </is>
      </c>
      <c r="F1529" t="inlineStr">
        <is>
          <t>SCA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26130-2022</t>
        </is>
      </c>
      <c r="B1530" s="1" t="n">
        <v>44735</v>
      </c>
      <c r="C1530" s="1" t="n">
        <v>45740</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26133-2022</t>
        </is>
      </c>
      <c r="B1531" s="1" t="n">
        <v>44735</v>
      </c>
      <c r="C1531" s="1" t="n">
        <v>45740</v>
      </c>
      <c r="D1531" t="inlineStr">
        <is>
          <t>JÄMTLANDS LÄN</t>
        </is>
      </c>
      <c r="E1531" t="inlineStr">
        <is>
          <t>STRÖMSUND</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26126-2022</t>
        </is>
      </c>
      <c r="B1532" s="1" t="n">
        <v>44735</v>
      </c>
      <c r="C1532" s="1" t="n">
        <v>45740</v>
      </c>
      <c r="D1532" t="inlineStr">
        <is>
          <t>JÄMTLANDS LÄN</t>
        </is>
      </c>
      <c r="E1532" t="inlineStr">
        <is>
          <t>STRÖMSUND</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26132-2022</t>
        </is>
      </c>
      <c r="B1533" s="1" t="n">
        <v>44734</v>
      </c>
      <c r="C1533" s="1" t="n">
        <v>45740</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26421-2022</t>
        </is>
      </c>
      <c r="B1534" s="1" t="n">
        <v>44736</v>
      </c>
      <c r="C1534" s="1" t="n">
        <v>45740</v>
      </c>
      <c r="D1534" t="inlineStr">
        <is>
          <t>JÄMTLANDS LÄN</t>
        </is>
      </c>
      <c r="E1534" t="inlineStr">
        <is>
          <t>STRÖMSUND</t>
        </is>
      </c>
      <c r="F1534" t="inlineStr">
        <is>
          <t>SCA</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26734-2022</t>
        </is>
      </c>
      <c r="B1535" s="1" t="n">
        <v>44740</v>
      </c>
      <c r="C1535" s="1" t="n">
        <v>45740</v>
      </c>
      <c r="D1535" t="inlineStr">
        <is>
          <t>JÄMTLANDS LÄN</t>
        </is>
      </c>
      <c r="E1535" t="inlineStr">
        <is>
          <t>STRÖMSUND</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26943-2022</t>
        </is>
      </c>
      <c r="B1536" s="1" t="n">
        <v>44740</v>
      </c>
      <c r="C1536" s="1" t="n">
        <v>45740</v>
      </c>
      <c r="D1536" t="inlineStr">
        <is>
          <t>JÄMTLANDS LÄN</t>
        </is>
      </c>
      <c r="E1536" t="inlineStr">
        <is>
          <t>STRÖMSUND</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27035-2022</t>
        </is>
      </c>
      <c r="B1537" s="1" t="n">
        <v>44741</v>
      </c>
      <c r="C1537" s="1" t="n">
        <v>45740</v>
      </c>
      <c r="D1537" t="inlineStr">
        <is>
          <t>JÄMTLANDS LÄN</t>
        </is>
      </c>
      <c r="E1537" t="inlineStr">
        <is>
          <t>STRÖMSUND</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27034-2022</t>
        </is>
      </c>
      <c r="B1538" s="1" t="n">
        <v>44741</v>
      </c>
      <c r="C1538" s="1" t="n">
        <v>45740</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27032-2022</t>
        </is>
      </c>
      <c r="B1539" s="1" t="n">
        <v>44740</v>
      </c>
      <c r="C1539" s="1" t="n">
        <v>45740</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27031-2022</t>
        </is>
      </c>
      <c r="B1540" s="1" t="n">
        <v>44741</v>
      </c>
      <c r="C1540" s="1" t="n">
        <v>45740</v>
      </c>
      <c r="D1540" t="inlineStr">
        <is>
          <t>JÄMTLANDS LÄN</t>
        </is>
      </c>
      <c r="E1540" t="inlineStr">
        <is>
          <t>STRÖMSUND</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27036-2022</t>
        </is>
      </c>
      <c r="B1541" s="1" t="n">
        <v>44741</v>
      </c>
      <c r="C1541" s="1" t="n">
        <v>45740</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27037-2022</t>
        </is>
      </c>
      <c r="B1542" s="1" t="n">
        <v>44741</v>
      </c>
      <c r="C1542" s="1" t="n">
        <v>45740</v>
      </c>
      <c r="D1542" t="inlineStr">
        <is>
          <t>JÄMTLANDS LÄN</t>
        </is>
      </c>
      <c r="E1542" t="inlineStr">
        <is>
          <t>STRÖMSUND</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27295-2022</t>
        </is>
      </c>
      <c r="B1543" s="1" t="n">
        <v>44742</v>
      </c>
      <c r="C1543" s="1" t="n">
        <v>45740</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27290-2022</t>
        </is>
      </c>
      <c r="B1544" s="1" t="n">
        <v>44741</v>
      </c>
      <c r="C1544" s="1" t="n">
        <v>45740</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27285-2022</t>
        </is>
      </c>
      <c r="B1545" s="1" t="n">
        <v>44742</v>
      </c>
      <c r="C1545" s="1" t="n">
        <v>45740</v>
      </c>
      <c r="D1545" t="inlineStr">
        <is>
          <t>JÄMTLANDS LÄN</t>
        </is>
      </c>
      <c r="E1545" t="inlineStr">
        <is>
          <t>STRÖMSUND</t>
        </is>
      </c>
      <c r="F1545" t="inlineStr">
        <is>
          <t>SCA</t>
        </is>
      </c>
      <c r="G1545" t="n">
        <v>43.8</v>
      </c>
      <c r="H1545" t="n">
        <v>0</v>
      </c>
      <c r="I1545" t="n">
        <v>0</v>
      </c>
      <c r="J1545" t="n">
        <v>0</v>
      </c>
      <c r="K1545" t="n">
        <v>0</v>
      </c>
      <c r="L1545" t="n">
        <v>0</v>
      </c>
      <c r="M1545" t="n">
        <v>0</v>
      </c>
      <c r="N1545" t="n">
        <v>0</v>
      </c>
      <c r="O1545" t="n">
        <v>0</v>
      </c>
      <c r="P1545" t="n">
        <v>0</v>
      </c>
      <c r="Q1545" t="n">
        <v>0</v>
      </c>
      <c r="R1545" s="2" t="inlineStr"/>
    </row>
    <row r="1546" ht="15" customHeight="1">
      <c r="A1546" t="inlineStr">
        <is>
          <t>A 27574-2022</t>
        </is>
      </c>
      <c r="B1546" s="1" t="n">
        <v>44743</v>
      </c>
      <c r="C1546" s="1" t="n">
        <v>45740</v>
      </c>
      <c r="D1546" t="inlineStr">
        <is>
          <t>JÄMTLANDS LÄN</t>
        </is>
      </c>
      <c r="E1546" t="inlineStr">
        <is>
          <t>STRÖMSUND</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27586-2022</t>
        </is>
      </c>
      <c r="B1547" s="1" t="n">
        <v>44743</v>
      </c>
      <c r="C1547" s="1" t="n">
        <v>45740</v>
      </c>
      <c r="D1547" t="inlineStr">
        <is>
          <t>JÄMTLANDS LÄN</t>
        </is>
      </c>
      <c r="E1547" t="inlineStr">
        <is>
          <t>STRÖMSUND</t>
        </is>
      </c>
      <c r="F1547" t="inlineStr">
        <is>
          <t>SCA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27585-2022</t>
        </is>
      </c>
      <c r="B1548" s="1" t="n">
        <v>44742</v>
      </c>
      <c r="C1548" s="1" t="n">
        <v>45740</v>
      </c>
      <c r="D1548" t="inlineStr">
        <is>
          <t>JÄMTLANDS LÄN</t>
        </is>
      </c>
      <c r="E1548" t="inlineStr">
        <is>
          <t>STRÖMSUND</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27568-2022</t>
        </is>
      </c>
      <c r="B1549" s="1" t="n">
        <v>44743</v>
      </c>
      <c r="C1549" s="1" t="n">
        <v>45740</v>
      </c>
      <c r="D1549" t="inlineStr">
        <is>
          <t>JÄMTLANDS LÄN</t>
        </is>
      </c>
      <c r="E1549" t="inlineStr">
        <is>
          <t>STRÖMSUND</t>
        </is>
      </c>
      <c r="F1549" t="inlineStr">
        <is>
          <t>SCA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27584-2022</t>
        </is>
      </c>
      <c r="B1550" s="1" t="n">
        <v>44742</v>
      </c>
      <c r="C1550" s="1" t="n">
        <v>45740</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27594-2022</t>
        </is>
      </c>
      <c r="B1551" s="1" t="n">
        <v>44743</v>
      </c>
      <c r="C1551" s="1" t="n">
        <v>45740</v>
      </c>
      <c r="D1551" t="inlineStr">
        <is>
          <t>JÄMTLANDS LÄN</t>
        </is>
      </c>
      <c r="E1551" t="inlineStr">
        <is>
          <t>STRÖMSUND</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27600-2022</t>
        </is>
      </c>
      <c r="B1552" s="1" t="n">
        <v>44743</v>
      </c>
      <c r="C1552" s="1" t="n">
        <v>45740</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27601-2022</t>
        </is>
      </c>
      <c r="B1553" s="1" t="n">
        <v>44743</v>
      </c>
      <c r="C1553" s="1" t="n">
        <v>45740</v>
      </c>
      <c r="D1553" t="inlineStr">
        <is>
          <t>JÄMTLANDS LÄN</t>
        </is>
      </c>
      <c r="E1553" t="inlineStr">
        <is>
          <t>STRÖMSUND</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27596-2022</t>
        </is>
      </c>
      <c r="B1554" s="1" t="n">
        <v>44742</v>
      </c>
      <c r="C1554" s="1" t="n">
        <v>45740</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27923-2022</t>
        </is>
      </c>
      <c r="B1555" s="1" t="n">
        <v>44744</v>
      </c>
      <c r="C1555" s="1" t="n">
        <v>45740</v>
      </c>
      <c r="D1555" t="inlineStr">
        <is>
          <t>JÄMTLANDS LÄN</t>
        </is>
      </c>
      <c r="E1555" t="inlineStr">
        <is>
          <t>STRÖMSUND</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27927-2022</t>
        </is>
      </c>
      <c r="B1556" s="1" t="n">
        <v>44744</v>
      </c>
      <c r="C1556" s="1" t="n">
        <v>45740</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27942-2022</t>
        </is>
      </c>
      <c r="B1557" s="1" t="n">
        <v>44744</v>
      </c>
      <c r="C1557" s="1" t="n">
        <v>45740</v>
      </c>
      <c r="D1557" t="inlineStr">
        <is>
          <t>JÄMTLANDS LÄN</t>
        </is>
      </c>
      <c r="E1557" t="inlineStr">
        <is>
          <t>STRÖMSUND</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27917-2022</t>
        </is>
      </c>
      <c r="B1558" s="1" t="n">
        <v>44744</v>
      </c>
      <c r="C1558" s="1" t="n">
        <v>45740</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27930-2022</t>
        </is>
      </c>
      <c r="B1559" s="1" t="n">
        <v>44743</v>
      </c>
      <c r="C1559" s="1" t="n">
        <v>45740</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27941-2022</t>
        </is>
      </c>
      <c r="B1560" s="1" t="n">
        <v>44744</v>
      </c>
      <c r="C1560" s="1" t="n">
        <v>45740</v>
      </c>
      <c r="D1560" t="inlineStr">
        <is>
          <t>JÄMTLANDS LÄN</t>
        </is>
      </c>
      <c r="E1560" t="inlineStr">
        <is>
          <t>STRÖMSUND</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27946-2022</t>
        </is>
      </c>
      <c r="B1561" s="1" t="n">
        <v>44744</v>
      </c>
      <c r="C1561" s="1" t="n">
        <v>45740</v>
      </c>
      <c r="D1561" t="inlineStr">
        <is>
          <t>JÄMTLANDS LÄN</t>
        </is>
      </c>
      <c r="E1561" t="inlineStr">
        <is>
          <t>STRÖMSUND</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27929-2022</t>
        </is>
      </c>
      <c r="B1562" s="1" t="n">
        <v>44744</v>
      </c>
      <c r="C1562" s="1" t="n">
        <v>45740</v>
      </c>
      <c r="D1562" t="inlineStr">
        <is>
          <t>JÄMTLANDS LÄN</t>
        </is>
      </c>
      <c r="E1562" t="inlineStr">
        <is>
          <t>STRÖMSUND</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27940-2022</t>
        </is>
      </c>
      <c r="B1563" s="1" t="n">
        <v>44744</v>
      </c>
      <c r="C1563" s="1" t="n">
        <v>45740</v>
      </c>
      <c r="D1563" t="inlineStr">
        <is>
          <t>JÄMTLANDS LÄN</t>
        </is>
      </c>
      <c r="E1563" t="inlineStr">
        <is>
          <t>STRÖMSUND</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27928-2022</t>
        </is>
      </c>
      <c r="B1564" s="1" t="n">
        <v>44744</v>
      </c>
      <c r="C1564" s="1" t="n">
        <v>45740</v>
      </c>
      <c r="D1564" t="inlineStr">
        <is>
          <t>JÄMTLANDS LÄN</t>
        </is>
      </c>
      <c r="E1564" t="inlineStr">
        <is>
          <t>STRÖMSUND</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28289-2022</t>
        </is>
      </c>
      <c r="B1565" s="1" t="n">
        <v>44747</v>
      </c>
      <c r="C1565" s="1" t="n">
        <v>45740</v>
      </c>
      <c r="D1565" t="inlineStr">
        <is>
          <t>JÄMTLANDS LÄN</t>
        </is>
      </c>
      <c r="E1565" t="inlineStr">
        <is>
          <t>STRÖMSUND</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28294-2022</t>
        </is>
      </c>
      <c r="B1566" s="1" t="n">
        <v>44747</v>
      </c>
      <c r="C1566" s="1" t="n">
        <v>45740</v>
      </c>
      <c r="D1566" t="inlineStr">
        <is>
          <t>JÄMTLANDS LÄN</t>
        </is>
      </c>
      <c r="E1566" t="inlineStr">
        <is>
          <t>STRÖMSUND</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28286-2022</t>
        </is>
      </c>
      <c r="B1567" s="1" t="n">
        <v>44746</v>
      </c>
      <c r="C1567" s="1" t="n">
        <v>45740</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28290-2022</t>
        </is>
      </c>
      <c r="B1568" s="1" t="n">
        <v>44747</v>
      </c>
      <c r="C1568" s="1" t="n">
        <v>45740</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28207-2022</t>
        </is>
      </c>
      <c r="B1569" s="1" t="n">
        <v>44746</v>
      </c>
      <c r="C1569" s="1" t="n">
        <v>45740</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28483-2022</t>
        </is>
      </c>
      <c r="B1570" s="1" t="n">
        <v>44747</v>
      </c>
      <c r="C1570" s="1" t="n">
        <v>45740</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28494-2022</t>
        </is>
      </c>
      <c r="B1571" s="1" t="n">
        <v>44748</v>
      </c>
      <c r="C1571" s="1" t="n">
        <v>45740</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28493-2022</t>
        </is>
      </c>
      <c r="B1572" s="1" t="n">
        <v>44747</v>
      </c>
      <c r="C1572" s="1" t="n">
        <v>45740</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28498-2022</t>
        </is>
      </c>
      <c r="B1573" s="1" t="n">
        <v>44748</v>
      </c>
      <c r="C1573" s="1" t="n">
        <v>45740</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28496-2022</t>
        </is>
      </c>
      <c r="B1574" s="1" t="n">
        <v>44748</v>
      </c>
      <c r="C1574" s="1" t="n">
        <v>45740</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28520-2022</t>
        </is>
      </c>
      <c r="B1575" s="1" t="n">
        <v>44748</v>
      </c>
      <c r="C1575" s="1" t="n">
        <v>45740</v>
      </c>
      <c r="D1575" t="inlineStr">
        <is>
          <t>JÄMTLANDS LÄN</t>
        </is>
      </c>
      <c r="E1575" t="inlineStr">
        <is>
          <t>STRÖMSUND</t>
        </is>
      </c>
      <c r="F1575" t="inlineStr">
        <is>
          <t>SCA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28533-2022</t>
        </is>
      </c>
      <c r="B1576" s="1" t="n">
        <v>44748</v>
      </c>
      <c r="C1576" s="1" t="n">
        <v>45740</v>
      </c>
      <c r="D1576" t="inlineStr">
        <is>
          <t>JÄMTLANDS LÄN</t>
        </is>
      </c>
      <c r="E1576" t="inlineStr">
        <is>
          <t>STRÖMSUND</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28705-2022</t>
        </is>
      </c>
      <c r="B1577" s="1" t="n">
        <v>44748</v>
      </c>
      <c r="C1577" s="1" t="n">
        <v>45740</v>
      </c>
      <c r="D1577" t="inlineStr">
        <is>
          <t>JÄMTLANDS LÄN</t>
        </is>
      </c>
      <c r="E1577" t="inlineStr">
        <is>
          <t>STRÖMSUND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28734-2022</t>
        </is>
      </c>
      <c r="B1578" s="1" t="n">
        <v>44748</v>
      </c>
      <c r="C1578" s="1" t="n">
        <v>45740</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28948-2022</t>
        </is>
      </c>
      <c r="B1579" s="1" t="n">
        <v>44749</v>
      </c>
      <c r="C1579" s="1" t="n">
        <v>45740</v>
      </c>
      <c r="D1579" t="inlineStr">
        <is>
          <t>JÄMTLANDS LÄN</t>
        </is>
      </c>
      <c r="E1579" t="inlineStr">
        <is>
          <t>STRÖMSUND</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29042-2022</t>
        </is>
      </c>
      <c r="B1580" s="1" t="n">
        <v>44749</v>
      </c>
      <c r="C1580" s="1" t="n">
        <v>45740</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29045-2022</t>
        </is>
      </c>
      <c r="B1581" s="1" t="n">
        <v>44750</v>
      </c>
      <c r="C1581" s="1" t="n">
        <v>45740</v>
      </c>
      <c r="D1581" t="inlineStr">
        <is>
          <t>JÄMTLANDS LÄN</t>
        </is>
      </c>
      <c r="E1581" t="inlineStr">
        <is>
          <t>STRÖMSUND</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28869-2022</t>
        </is>
      </c>
      <c r="B1582" s="1" t="n">
        <v>44749</v>
      </c>
      <c r="C1582" s="1" t="n">
        <v>45740</v>
      </c>
      <c r="D1582" t="inlineStr">
        <is>
          <t>JÄMTLANDS LÄN</t>
        </is>
      </c>
      <c r="E1582" t="inlineStr">
        <is>
          <t>STRÖMSUND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29033-2022</t>
        </is>
      </c>
      <c r="B1583" s="1" t="n">
        <v>44750</v>
      </c>
      <c r="C1583" s="1" t="n">
        <v>45740</v>
      </c>
      <c r="D1583" t="inlineStr">
        <is>
          <t>JÄMTLANDS LÄN</t>
        </is>
      </c>
      <c r="E1583" t="inlineStr">
        <is>
          <t>STRÖMSUND</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29043-2022</t>
        </is>
      </c>
      <c r="B1584" s="1" t="n">
        <v>44749</v>
      </c>
      <c r="C1584" s="1" t="n">
        <v>45740</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29295-2022</t>
        </is>
      </c>
      <c r="B1585" s="1" t="n">
        <v>44751</v>
      </c>
      <c r="C1585" s="1" t="n">
        <v>45740</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29276-2022</t>
        </is>
      </c>
      <c r="B1586" s="1" t="n">
        <v>44750</v>
      </c>
      <c r="C1586" s="1" t="n">
        <v>45740</v>
      </c>
      <c r="D1586" t="inlineStr">
        <is>
          <t>JÄMTLANDS LÄN</t>
        </is>
      </c>
      <c r="E1586" t="inlineStr">
        <is>
          <t>STRÖMSUND</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29353-2022</t>
        </is>
      </c>
      <c r="B1587" s="1" t="n">
        <v>44750</v>
      </c>
      <c r="C1587" s="1" t="n">
        <v>45740</v>
      </c>
      <c r="D1587" t="inlineStr">
        <is>
          <t>JÄMTLANDS LÄN</t>
        </is>
      </c>
      <c r="E1587" t="inlineStr">
        <is>
          <t>STRÖMSUND</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29296-2022</t>
        </is>
      </c>
      <c r="B1588" s="1" t="n">
        <v>44751</v>
      </c>
      <c r="C1588" s="1" t="n">
        <v>45740</v>
      </c>
      <c r="D1588" t="inlineStr">
        <is>
          <t>JÄMTLANDS LÄN</t>
        </is>
      </c>
      <c r="E1588" t="inlineStr">
        <is>
          <t>STRÖMSUND</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29545-2022</t>
        </is>
      </c>
      <c r="B1589" s="1" t="n">
        <v>44753</v>
      </c>
      <c r="C1589" s="1" t="n">
        <v>45740</v>
      </c>
      <c r="D1589" t="inlineStr">
        <is>
          <t>JÄMTLANDS LÄN</t>
        </is>
      </c>
      <c r="E1589" t="inlineStr">
        <is>
          <t>STRÖMSUND</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29541-2022</t>
        </is>
      </c>
      <c r="B1590" s="1" t="n">
        <v>44754</v>
      </c>
      <c r="C1590" s="1" t="n">
        <v>45740</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29540-2022</t>
        </is>
      </c>
      <c r="B1591" s="1" t="n">
        <v>44754</v>
      </c>
      <c r="C1591" s="1" t="n">
        <v>45740</v>
      </c>
      <c r="D1591" t="inlineStr">
        <is>
          <t>JÄMTLANDS LÄN</t>
        </is>
      </c>
      <c r="E1591" t="inlineStr">
        <is>
          <t>STRÖMSUND</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29550-2022</t>
        </is>
      </c>
      <c r="B1592" s="1" t="n">
        <v>44754</v>
      </c>
      <c r="C1592" s="1" t="n">
        <v>45740</v>
      </c>
      <c r="D1592" t="inlineStr">
        <is>
          <t>JÄMTLANDS LÄN</t>
        </is>
      </c>
      <c r="E1592" t="inlineStr">
        <is>
          <t>STRÖMSUND</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29830-2022</t>
        </is>
      </c>
      <c r="B1593" s="1" t="n">
        <v>44755</v>
      </c>
      <c r="C1593" s="1" t="n">
        <v>45740</v>
      </c>
      <c r="D1593" t="inlineStr">
        <is>
          <t>JÄMTLANDS LÄN</t>
        </is>
      </c>
      <c r="E1593" t="inlineStr">
        <is>
          <t>STRÖMSUND</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29875-2022</t>
        </is>
      </c>
      <c r="B1594" s="1" t="n">
        <v>44756</v>
      </c>
      <c r="C1594" s="1" t="n">
        <v>45740</v>
      </c>
      <c r="D1594" t="inlineStr">
        <is>
          <t>JÄMTLANDS LÄN</t>
        </is>
      </c>
      <c r="E1594" t="inlineStr">
        <is>
          <t>STRÖMSUND</t>
        </is>
      </c>
      <c r="F1594" t="inlineStr">
        <is>
          <t>Holmen skog AB</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30021-2022</t>
        </is>
      </c>
      <c r="B1595" s="1" t="n">
        <v>44757</v>
      </c>
      <c r="C1595" s="1" t="n">
        <v>45740</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30036-2022</t>
        </is>
      </c>
      <c r="B1596" s="1" t="n">
        <v>44756</v>
      </c>
      <c r="C1596" s="1" t="n">
        <v>45740</v>
      </c>
      <c r="D1596" t="inlineStr">
        <is>
          <t>JÄMTLANDS LÄN</t>
        </is>
      </c>
      <c r="E1596" t="inlineStr">
        <is>
          <t>STRÖMSUND</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30024-2022</t>
        </is>
      </c>
      <c r="B1597" s="1" t="n">
        <v>44757</v>
      </c>
      <c r="C1597" s="1" t="n">
        <v>45740</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30031-2022</t>
        </is>
      </c>
      <c r="B1598" s="1" t="n">
        <v>44757</v>
      </c>
      <c r="C1598" s="1" t="n">
        <v>45740</v>
      </c>
      <c r="D1598" t="inlineStr">
        <is>
          <t>JÄMTLANDS LÄN</t>
        </is>
      </c>
      <c r="E1598" t="inlineStr">
        <is>
          <t>STRÖMSUND</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30023-2022</t>
        </is>
      </c>
      <c r="B1599" s="1" t="n">
        <v>44757</v>
      </c>
      <c r="C1599" s="1" t="n">
        <v>45740</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30030-2022</t>
        </is>
      </c>
      <c r="B1600" s="1" t="n">
        <v>44757</v>
      </c>
      <c r="C1600" s="1" t="n">
        <v>45740</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30022-2022</t>
        </is>
      </c>
      <c r="B1601" s="1" t="n">
        <v>44756</v>
      </c>
      <c r="C1601" s="1" t="n">
        <v>45740</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30037-2022</t>
        </is>
      </c>
      <c r="B1602" s="1" t="n">
        <v>44757</v>
      </c>
      <c r="C1602" s="1" t="n">
        <v>45740</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30042-2022</t>
        </is>
      </c>
      <c r="B1603" s="1" t="n">
        <v>44757</v>
      </c>
      <c r="C1603" s="1" t="n">
        <v>45740</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30046-2022</t>
        </is>
      </c>
      <c r="B1604" s="1" t="n">
        <v>44757</v>
      </c>
      <c r="C1604" s="1" t="n">
        <v>45740</v>
      </c>
      <c r="D1604" t="inlineStr">
        <is>
          <t>JÄMTLANDS LÄN</t>
        </is>
      </c>
      <c r="E1604" t="inlineStr">
        <is>
          <t>STRÖMSUND</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30044-2022</t>
        </is>
      </c>
      <c r="B1605" s="1" t="n">
        <v>44756</v>
      </c>
      <c r="C1605" s="1" t="n">
        <v>45740</v>
      </c>
      <c r="D1605" t="inlineStr">
        <is>
          <t>JÄMTLANDS LÄN</t>
        </is>
      </c>
      <c r="E1605" t="inlineStr">
        <is>
          <t>STRÖMSUND</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30086-2022</t>
        </is>
      </c>
      <c r="B1606" s="1" t="n">
        <v>44757</v>
      </c>
      <c r="C1606" s="1" t="n">
        <v>45740</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30219-2022</t>
        </is>
      </c>
      <c r="B1607" s="1" t="n">
        <v>44758</v>
      </c>
      <c r="C1607" s="1" t="n">
        <v>45740</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30220-2022</t>
        </is>
      </c>
      <c r="B1608" s="1" t="n">
        <v>44758</v>
      </c>
      <c r="C1608" s="1" t="n">
        <v>45740</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30225-2022</t>
        </is>
      </c>
      <c r="B1609" s="1" t="n">
        <v>44758</v>
      </c>
      <c r="C1609" s="1" t="n">
        <v>45740</v>
      </c>
      <c r="D1609" t="inlineStr">
        <is>
          <t>JÄMTLANDS LÄN</t>
        </is>
      </c>
      <c r="E1609" t="inlineStr">
        <is>
          <t>STRÖMSUND</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30229-2022</t>
        </is>
      </c>
      <c r="B1610" s="1" t="n">
        <v>44758</v>
      </c>
      <c r="C1610" s="1" t="n">
        <v>45740</v>
      </c>
      <c r="D1610" t="inlineStr">
        <is>
          <t>JÄMTLANDS LÄN</t>
        </is>
      </c>
      <c r="E1610" t="inlineStr">
        <is>
          <t>STRÖMSUND</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30223-2022</t>
        </is>
      </c>
      <c r="B1611" s="1" t="n">
        <v>44758</v>
      </c>
      <c r="C1611" s="1" t="n">
        <v>45740</v>
      </c>
      <c r="D1611" t="inlineStr">
        <is>
          <t>JÄMTLANDS LÄN</t>
        </is>
      </c>
      <c r="E1611" t="inlineStr">
        <is>
          <t>STRÖMSUND</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30227-2022</t>
        </is>
      </c>
      <c r="B1612" s="1" t="n">
        <v>44758</v>
      </c>
      <c r="C1612" s="1" t="n">
        <v>45740</v>
      </c>
      <c r="D1612" t="inlineStr">
        <is>
          <t>JÄMTLANDS LÄN</t>
        </is>
      </c>
      <c r="E1612" t="inlineStr">
        <is>
          <t>STRÖMSUND</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30232-2022</t>
        </is>
      </c>
      <c r="B1613" s="1" t="n">
        <v>44758</v>
      </c>
      <c r="C1613" s="1" t="n">
        <v>45740</v>
      </c>
      <c r="D1613" t="inlineStr">
        <is>
          <t>JÄMTLANDS LÄN</t>
        </is>
      </c>
      <c r="E1613" t="inlineStr">
        <is>
          <t>STRÖMSUND</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30226-2022</t>
        </is>
      </c>
      <c r="B1614" s="1" t="n">
        <v>44757</v>
      </c>
      <c r="C1614" s="1" t="n">
        <v>45740</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30230-2022</t>
        </is>
      </c>
      <c r="B1615" s="1" t="n">
        <v>44757</v>
      </c>
      <c r="C1615" s="1" t="n">
        <v>45740</v>
      </c>
      <c r="D1615" t="inlineStr">
        <is>
          <t>JÄMTLANDS LÄN</t>
        </is>
      </c>
      <c r="E1615" t="inlineStr">
        <is>
          <t>STRÖMSUND</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30496-2022</t>
        </is>
      </c>
      <c r="B1616" s="1" t="n">
        <v>44762</v>
      </c>
      <c r="C1616" s="1" t="n">
        <v>45740</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31443-2022</t>
        </is>
      </c>
      <c r="B1617" s="1" t="n">
        <v>44775</v>
      </c>
      <c r="C1617" s="1" t="n">
        <v>45740</v>
      </c>
      <c r="D1617" t="inlineStr">
        <is>
          <t>JÄMTLANDS LÄN</t>
        </is>
      </c>
      <c r="E1617" t="inlineStr">
        <is>
          <t>STRÖMSUND</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31447-2022</t>
        </is>
      </c>
      <c r="B1618" s="1" t="n">
        <v>44775</v>
      </c>
      <c r="C1618" s="1" t="n">
        <v>45740</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31448-2022</t>
        </is>
      </c>
      <c r="B1619" s="1" t="n">
        <v>44775</v>
      </c>
      <c r="C1619" s="1" t="n">
        <v>45740</v>
      </c>
      <c r="D1619" t="inlineStr">
        <is>
          <t>JÄMTLANDS LÄN</t>
        </is>
      </c>
      <c r="E1619" t="inlineStr">
        <is>
          <t>STRÖMSUND</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31445-2022</t>
        </is>
      </c>
      <c r="B1620" s="1" t="n">
        <v>44775</v>
      </c>
      <c r="C1620" s="1" t="n">
        <v>45740</v>
      </c>
      <c r="D1620" t="inlineStr">
        <is>
          <t>JÄMTLANDS LÄN</t>
        </is>
      </c>
      <c r="E1620" t="inlineStr">
        <is>
          <t>STRÖMSUND</t>
        </is>
      </c>
      <c r="F1620" t="inlineStr">
        <is>
          <t>SCA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31449-2022</t>
        </is>
      </c>
      <c r="B1621" s="1" t="n">
        <v>44775</v>
      </c>
      <c r="C1621" s="1" t="n">
        <v>45740</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31485-2022</t>
        </is>
      </c>
      <c r="B1622" s="1" t="n">
        <v>44775</v>
      </c>
      <c r="C1622" s="1" t="n">
        <v>45740</v>
      </c>
      <c r="D1622" t="inlineStr">
        <is>
          <t>JÄMTLANDS LÄN</t>
        </is>
      </c>
      <c r="E1622" t="inlineStr">
        <is>
          <t>STRÖMSUND</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31501-2022</t>
        </is>
      </c>
      <c r="B1623" s="1" t="n">
        <v>44775</v>
      </c>
      <c r="C1623" s="1" t="n">
        <v>45740</v>
      </c>
      <c r="D1623" t="inlineStr">
        <is>
          <t>JÄMTLANDS LÄN</t>
        </is>
      </c>
      <c r="E1623" t="inlineStr">
        <is>
          <t>STRÖMSUND</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31505-2022</t>
        </is>
      </c>
      <c r="B1624" s="1" t="n">
        <v>44775</v>
      </c>
      <c r="C1624" s="1" t="n">
        <v>45740</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31509-2022</t>
        </is>
      </c>
      <c r="B1625" s="1" t="n">
        <v>44775</v>
      </c>
      <c r="C1625" s="1" t="n">
        <v>45740</v>
      </c>
      <c r="D1625" t="inlineStr">
        <is>
          <t>JÄMTLANDS LÄN</t>
        </is>
      </c>
      <c r="E1625" t="inlineStr">
        <is>
          <t>STRÖMSUND</t>
        </is>
      </c>
      <c r="F1625" t="inlineStr">
        <is>
          <t>SCA</t>
        </is>
      </c>
      <c r="G1625" t="n">
        <v>20.7</v>
      </c>
      <c r="H1625" t="n">
        <v>0</v>
      </c>
      <c r="I1625" t="n">
        <v>0</v>
      </c>
      <c r="J1625" t="n">
        <v>0</v>
      </c>
      <c r="K1625" t="n">
        <v>0</v>
      </c>
      <c r="L1625" t="n">
        <v>0</v>
      </c>
      <c r="M1625" t="n">
        <v>0</v>
      </c>
      <c r="N1625" t="n">
        <v>0</v>
      </c>
      <c r="O1625" t="n">
        <v>0</v>
      </c>
      <c r="P1625" t="n">
        <v>0</v>
      </c>
      <c r="Q1625" t="n">
        <v>0</v>
      </c>
      <c r="R1625" s="2" t="inlineStr"/>
    </row>
    <row r="1626" ht="15" customHeight="1">
      <c r="A1626" t="inlineStr">
        <is>
          <t>A 31442-2022</t>
        </is>
      </c>
      <c r="B1626" s="1" t="n">
        <v>44774</v>
      </c>
      <c r="C1626" s="1" t="n">
        <v>45740</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31446-2022</t>
        </is>
      </c>
      <c r="B1627" s="1" t="n">
        <v>44775</v>
      </c>
      <c r="C1627" s="1" t="n">
        <v>45740</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31503-2022</t>
        </is>
      </c>
      <c r="B1628" s="1" t="n">
        <v>44775</v>
      </c>
      <c r="C1628" s="1" t="n">
        <v>45740</v>
      </c>
      <c r="D1628" t="inlineStr">
        <is>
          <t>JÄMTLANDS LÄN</t>
        </is>
      </c>
      <c r="E1628" t="inlineStr">
        <is>
          <t>STRÖMSUND</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31499-2022</t>
        </is>
      </c>
      <c r="B1629" s="1" t="n">
        <v>44775</v>
      </c>
      <c r="C1629" s="1" t="n">
        <v>45740</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31504-2022</t>
        </is>
      </c>
      <c r="B1630" s="1" t="n">
        <v>44775</v>
      </c>
      <c r="C1630" s="1" t="n">
        <v>45740</v>
      </c>
      <c r="D1630" t="inlineStr">
        <is>
          <t>JÄMTLANDS LÄN</t>
        </is>
      </c>
      <c r="E1630" t="inlineStr">
        <is>
          <t>STRÖMSUND</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31508-2022</t>
        </is>
      </c>
      <c r="B1631" s="1" t="n">
        <v>44775</v>
      </c>
      <c r="C1631" s="1" t="n">
        <v>45740</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31502-2022</t>
        </is>
      </c>
      <c r="B1632" s="1" t="n">
        <v>44775</v>
      </c>
      <c r="C1632" s="1" t="n">
        <v>45740</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31506-2022</t>
        </is>
      </c>
      <c r="B1633" s="1" t="n">
        <v>44774</v>
      </c>
      <c r="C1633" s="1" t="n">
        <v>45740</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31507-2022</t>
        </is>
      </c>
      <c r="B1634" s="1" t="n">
        <v>44774</v>
      </c>
      <c r="C1634" s="1" t="n">
        <v>45740</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31519-2022</t>
        </is>
      </c>
      <c r="B1635" s="1" t="n">
        <v>44775</v>
      </c>
      <c r="C1635" s="1" t="n">
        <v>45740</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31657-2022</t>
        </is>
      </c>
      <c r="B1636" s="1" t="n">
        <v>44776</v>
      </c>
      <c r="C1636" s="1" t="n">
        <v>45740</v>
      </c>
      <c r="D1636" t="inlineStr">
        <is>
          <t>JÄMTLANDS LÄN</t>
        </is>
      </c>
      <c r="E1636" t="inlineStr">
        <is>
          <t>STRÖMSUND</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31849-2022</t>
        </is>
      </c>
      <c r="B1637" s="1" t="n">
        <v>44777</v>
      </c>
      <c r="C1637" s="1" t="n">
        <v>45740</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31852-2022</t>
        </is>
      </c>
      <c r="B1638" s="1" t="n">
        <v>44776</v>
      </c>
      <c r="C1638" s="1" t="n">
        <v>45740</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31846-2022</t>
        </is>
      </c>
      <c r="B1639" s="1" t="n">
        <v>44777</v>
      </c>
      <c r="C1639" s="1" t="n">
        <v>45740</v>
      </c>
      <c r="D1639" t="inlineStr">
        <is>
          <t>JÄMTLANDS LÄN</t>
        </is>
      </c>
      <c r="E1639" t="inlineStr">
        <is>
          <t>STRÖMSUND</t>
        </is>
      </c>
      <c r="F1639" t="inlineStr">
        <is>
          <t>SCA</t>
        </is>
      </c>
      <c r="G1639" t="n">
        <v>19.1</v>
      </c>
      <c r="H1639" t="n">
        <v>0</v>
      </c>
      <c r="I1639" t="n">
        <v>0</v>
      </c>
      <c r="J1639" t="n">
        <v>0</v>
      </c>
      <c r="K1639" t="n">
        <v>0</v>
      </c>
      <c r="L1639" t="n">
        <v>0</v>
      </c>
      <c r="M1639" t="n">
        <v>0</v>
      </c>
      <c r="N1639" t="n">
        <v>0</v>
      </c>
      <c r="O1639" t="n">
        <v>0</v>
      </c>
      <c r="P1639" t="n">
        <v>0</v>
      </c>
      <c r="Q1639" t="n">
        <v>0</v>
      </c>
      <c r="R1639" s="2" t="inlineStr"/>
    </row>
    <row r="1640" ht="15" customHeight="1">
      <c r="A1640" t="inlineStr">
        <is>
          <t>A 32128-2022</t>
        </is>
      </c>
      <c r="B1640" s="1" t="n">
        <v>44779</v>
      </c>
      <c r="C1640" s="1" t="n">
        <v>45740</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32125-2022</t>
        </is>
      </c>
      <c r="B1641" s="1" t="n">
        <v>44778</v>
      </c>
      <c r="C1641" s="1" t="n">
        <v>45740</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32349-2022</t>
        </is>
      </c>
      <c r="B1642" s="1" t="n">
        <v>44782</v>
      </c>
      <c r="C1642" s="1" t="n">
        <v>45740</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32357-2022</t>
        </is>
      </c>
      <c r="B1643" s="1" t="n">
        <v>44782</v>
      </c>
      <c r="C1643" s="1" t="n">
        <v>45740</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32360-2022</t>
        </is>
      </c>
      <c r="B1644" s="1" t="n">
        <v>44782</v>
      </c>
      <c r="C1644" s="1" t="n">
        <v>45740</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32153-2022</t>
        </is>
      </c>
      <c r="B1645" s="1" t="n">
        <v>44781</v>
      </c>
      <c r="C1645" s="1" t="n">
        <v>45740</v>
      </c>
      <c r="D1645" t="inlineStr">
        <is>
          <t>JÄMTLANDS LÄN</t>
        </is>
      </c>
      <c r="E1645" t="inlineStr">
        <is>
          <t>STRÖMSUND</t>
        </is>
      </c>
      <c r="G1645" t="n">
        <v>27.4</v>
      </c>
      <c r="H1645" t="n">
        <v>0</v>
      </c>
      <c r="I1645" t="n">
        <v>0</v>
      </c>
      <c r="J1645" t="n">
        <v>0</v>
      </c>
      <c r="K1645" t="n">
        <v>0</v>
      </c>
      <c r="L1645" t="n">
        <v>0</v>
      </c>
      <c r="M1645" t="n">
        <v>0</v>
      </c>
      <c r="N1645" t="n">
        <v>0</v>
      </c>
      <c r="O1645" t="n">
        <v>0</v>
      </c>
      <c r="P1645" t="n">
        <v>0</v>
      </c>
      <c r="Q1645" t="n">
        <v>0</v>
      </c>
      <c r="R1645" s="2" t="inlineStr"/>
    </row>
    <row r="1646" ht="15" customHeight="1">
      <c r="A1646" t="inlineStr">
        <is>
          <t>A 32362-2022</t>
        </is>
      </c>
      <c r="B1646" s="1" t="n">
        <v>44782</v>
      </c>
      <c r="C1646" s="1" t="n">
        <v>45740</v>
      </c>
      <c r="D1646" t="inlineStr">
        <is>
          <t>JÄMTLANDS LÄN</t>
        </is>
      </c>
      <c r="E1646" t="inlineStr">
        <is>
          <t>STRÖMSUND</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32528-2022</t>
        </is>
      </c>
      <c r="B1647" s="1" t="n">
        <v>44783</v>
      </c>
      <c r="C1647" s="1" t="n">
        <v>45740</v>
      </c>
      <c r="D1647" t="inlineStr">
        <is>
          <t>JÄMTLANDS LÄN</t>
        </is>
      </c>
      <c r="E1647" t="inlineStr">
        <is>
          <t>STRÖMSUND</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32865-2022</t>
        </is>
      </c>
      <c r="B1648" s="1" t="n">
        <v>44784</v>
      </c>
      <c r="C1648" s="1" t="n">
        <v>45740</v>
      </c>
      <c r="D1648" t="inlineStr">
        <is>
          <t>JÄMTLANDS LÄN</t>
        </is>
      </c>
      <c r="E1648" t="inlineStr">
        <is>
          <t>STRÖMSUND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32932-2022</t>
        </is>
      </c>
      <c r="B1649" s="1" t="n">
        <v>44784</v>
      </c>
      <c r="C1649" s="1" t="n">
        <v>45740</v>
      </c>
      <c r="D1649" t="inlineStr">
        <is>
          <t>JÄMTLANDS LÄN</t>
        </is>
      </c>
      <c r="E1649" t="inlineStr">
        <is>
          <t>STRÖMSUND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32883-2022</t>
        </is>
      </c>
      <c r="B1650" s="1" t="n">
        <v>44784</v>
      </c>
      <c r="C1650" s="1" t="n">
        <v>45740</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32978-2022</t>
        </is>
      </c>
      <c r="B1651" s="1" t="n">
        <v>44785</v>
      </c>
      <c r="C1651" s="1" t="n">
        <v>45740</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32996-2022</t>
        </is>
      </c>
      <c r="B1652" s="1" t="n">
        <v>44784</v>
      </c>
      <c r="C1652" s="1" t="n">
        <v>45740</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32997-2022</t>
        </is>
      </c>
      <c r="B1653" s="1" t="n">
        <v>44785</v>
      </c>
      <c r="C1653" s="1" t="n">
        <v>45740</v>
      </c>
      <c r="D1653" t="inlineStr">
        <is>
          <t>JÄMTLANDS LÄN</t>
        </is>
      </c>
      <c r="E1653" t="inlineStr">
        <is>
          <t>STRÖMSUND</t>
        </is>
      </c>
      <c r="F1653" t="inlineStr">
        <is>
          <t>SCA</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33054-2022</t>
        </is>
      </c>
      <c r="B1654" s="1" t="n">
        <v>44785</v>
      </c>
      <c r="C1654" s="1" t="n">
        <v>45740</v>
      </c>
      <c r="D1654" t="inlineStr">
        <is>
          <t>JÄMTLANDS LÄN</t>
        </is>
      </c>
      <c r="E1654" t="inlineStr">
        <is>
          <t>STRÖMSUND</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33223-2022</t>
        </is>
      </c>
      <c r="B1655" s="1" t="n">
        <v>44785</v>
      </c>
      <c r="C1655" s="1" t="n">
        <v>45740</v>
      </c>
      <c r="D1655" t="inlineStr">
        <is>
          <t>JÄMTLANDS LÄN</t>
        </is>
      </c>
      <c r="E1655" t="inlineStr">
        <is>
          <t>STRÖMSUND</t>
        </is>
      </c>
      <c r="F1655" t="inlineStr">
        <is>
          <t>SCA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33219-2022</t>
        </is>
      </c>
      <c r="B1656" s="1" t="n">
        <v>44786</v>
      </c>
      <c r="C1656" s="1" t="n">
        <v>45740</v>
      </c>
      <c r="D1656" t="inlineStr">
        <is>
          <t>JÄMTLANDS LÄN</t>
        </is>
      </c>
      <c r="E1656" t="inlineStr">
        <is>
          <t>STRÖMSUND</t>
        </is>
      </c>
      <c r="F1656" t="inlineStr">
        <is>
          <t>SCA</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33225-2022</t>
        </is>
      </c>
      <c r="B1657" s="1" t="n">
        <v>44786</v>
      </c>
      <c r="C1657" s="1" t="n">
        <v>45740</v>
      </c>
      <c r="D1657" t="inlineStr">
        <is>
          <t>JÄMTLANDS LÄN</t>
        </is>
      </c>
      <c r="E1657" t="inlineStr">
        <is>
          <t>STRÖMSUND</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33231-2022</t>
        </is>
      </c>
      <c r="B1658" s="1" t="n">
        <v>44786</v>
      </c>
      <c r="C1658" s="1" t="n">
        <v>45740</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33224-2022</t>
        </is>
      </c>
      <c r="B1659" s="1" t="n">
        <v>44785</v>
      </c>
      <c r="C1659" s="1" t="n">
        <v>45740</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33230-2022</t>
        </is>
      </c>
      <c r="B1660" s="1" t="n">
        <v>44786</v>
      </c>
      <c r="C1660" s="1" t="n">
        <v>45740</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33501-2022</t>
        </is>
      </c>
      <c r="B1661" s="1" t="n">
        <v>44788</v>
      </c>
      <c r="C1661" s="1" t="n">
        <v>45740</v>
      </c>
      <c r="D1661" t="inlineStr">
        <is>
          <t>JÄMTLANDS LÄN</t>
        </is>
      </c>
      <c r="E1661" t="inlineStr">
        <is>
          <t>STRÖMSUND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33502-2022</t>
        </is>
      </c>
      <c r="B1662" s="1" t="n">
        <v>44789</v>
      </c>
      <c r="C1662" s="1" t="n">
        <v>45740</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33520-2022</t>
        </is>
      </c>
      <c r="B1663" s="1" t="n">
        <v>44789</v>
      </c>
      <c r="C1663" s="1" t="n">
        <v>45740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33732-2022</t>
        </is>
      </c>
      <c r="B1664" s="1" t="n">
        <v>44790</v>
      </c>
      <c r="C1664" s="1" t="n">
        <v>45740</v>
      </c>
      <c r="D1664" t="inlineStr">
        <is>
          <t>JÄMTLANDS LÄN</t>
        </is>
      </c>
      <c r="E1664" t="inlineStr">
        <is>
          <t>STRÖMSUND</t>
        </is>
      </c>
      <c r="F1664" t="inlineStr">
        <is>
          <t>SCA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33728-2022</t>
        </is>
      </c>
      <c r="B1665" s="1" t="n">
        <v>44790</v>
      </c>
      <c r="C1665" s="1" t="n">
        <v>45740</v>
      </c>
      <c r="D1665" t="inlineStr">
        <is>
          <t>JÄMTLANDS LÄN</t>
        </is>
      </c>
      <c r="E1665" t="inlineStr">
        <is>
          <t>STRÖMSUND</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33730-2022</t>
        </is>
      </c>
      <c r="B1666" s="1" t="n">
        <v>44790</v>
      </c>
      <c r="C1666" s="1" t="n">
        <v>45740</v>
      </c>
      <c r="D1666" t="inlineStr">
        <is>
          <t>JÄMTLANDS LÄN</t>
        </is>
      </c>
      <c r="E1666" t="inlineStr">
        <is>
          <t>STRÖMSUND</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33876-2022</t>
        </is>
      </c>
      <c r="B1667" s="1" t="n">
        <v>44790</v>
      </c>
      <c r="C1667" s="1" t="n">
        <v>45740</v>
      </c>
      <c r="D1667" t="inlineStr">
        <is>
          <t>JÄMTLANDS LÄN</t>
        </is>
      </c>
      <c r="E1667" t="inlineStr">
        <is>
          <t>STRÖMSUND</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33987-2022</t>
        </is>
      </c>
      <c r="B1668" s="1" t="n">
        <v>44790</v>
      </c>
      <c r="C1668" s="1" t="n">
        <v>45740</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34008-2022</t>
        </is>
      </c>
      <c r="B1669" s="1" t="n">
        <v>44791</v>
      </c>
      <c r="C1669" s="1" t="n">
        <v>45740</v>
      </c>
      <c r="D1669" t="inlineStr">
        <is>
          <t>JÄMTLANDS LÄN</t>
        </is>
      </c>
      <c r="E1669" t="inlineStr">
        <is>
          <t>STRÖMSUND</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33988-2022</t>
        </is>
      </c>
      <c r="B1670" s="1" t="n">
        <v>44790</v>
      </c>
      <c r="C1670" s="1" t="n">
        <v>45740</v>
      </c>
      <c r="D1670" t="inlineStr">
        <is>
          <t>JÄMTLANDS LÄN</t>
        </is>
      </c>
      <c r="E1670" t="inlineStr">
        <is>
          <t>STRÖMSUND</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34004-2022</t>
        </is>
      </c>
      <c r="B1671" s="1" t="n">
        <v>44791</v>
      </c>
      <c r="C1671" s="1" t="n">
        <v>45740</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33985-2022</t>
        </is>
      </c>
      <c r="B1672" s="1" t="n">
        <v>44790</v>
      </c>
      <c r="C1672" s="1" t="n">
        <v>45740</v>
      </c>
      <c r="D1672" t="inlineStr">
        <is>
          <t>JÄMTLANDS LÄN</t>
        </is>
      </c>
      <c r="E1672" t="inlineStr">
        <is>
          <t>STRÖMSUND</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34023-2022</t>
        </is>
      </c>
      <c r="B1673" s="1" t="n">
        <v>44790</v>
      </c>
      <c r="C1673" s="1" t="n">
        <v>45740</v>
      </c>
      <c r="D1673" t="inlineStr">
        <is>
          <t>JÄMTLANDS LÄN</t>
        </is>
      </c>
      <c r="E1673" t="inlineStr">
        <is>
          <t>STRÖMSUND</t>
        </is>
      </c>
      <c r="G1673" t="n">
        <v>34.5</v>
      </c>
      <c r="H1673" t="n">
        <v>0</v>
      </c>
      <c r="I1673" t="n">
        <v>0</v>
      </c>
      <c r="J1673" t="n">
        <v>0</v>
      </c>
      <c r="K1673" t="n">
        <v>0</v>
      </c>
      <c r="L1673" t="n">
        <v>0</v>
      </c>
      <c r="M1673" t="n">
        <v>0</v>
      </c>
      <c r="N1673" t="n">
        <v>0</v>
      </c>
      <c r="O1673" t="n">
        <v>0</v>
      </c>
      <c r="P1673" t="n">
        <v>0</v>
      </c>
      <c r="Q1673" t="n">
        <v>0</v>
      </c>
      <c r="R1673" s="2" t="inlineStr"/>
    </row>
    <row r="1674" ht="15" customHeight="1">
      <c r="A1674" t="inlineStr">
        <is>
          <t>A 34005-2022</t>
        </is>
      </c>
      <c r="B1674" s="1" t="n">
        <v>44791</v>
      </c>
      <c r="C1674" s="1" t="n">
        <v>45740</v>
      </c>
      <c r="D1674" t="inlineStr">
        <is>
          <t>JÄMTLANDS LÄN</t>
        </is>
      </c>
      <c r="E1674" t="inlineStr">
        <is>
          <t>STRÖMSUND</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34011-2022</t>
        </is>
      </c>
      <c r="B1675" s="1" t="n">
        <v>44790</v>
      </c>
      <c r="C1675" s="1" t="n">
        <v>45740</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34245-2022</t>
        </is>
      </c>
      <c r="B1676" s="1" t="n">
        <v>44792</v>
      </c>
      <c r="C1676" s="1" t="n">
        <v>45740</v>
      </c>
      <c r="D1676" t="inlineStr">
        <is>
          <t>JÄMTLANDS LÄN</t>
        </is>
      </c>
      <c r="E1676" t="inlineStr">
        <is>
          <t>STRÖMSUND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34243-2022</t>
        </is>
      </c>
      <c r="B1677" s="1" t="n">
        <v>44792</v>
      </c>
      <c r="C1677" s="1" t="n">
        <v>45740</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34247-2022</t>
        </is>
      </c>
      <c r="B1678" s="1" t="n">
        <v>44792</v>
      </c>
      <c r="C1678" s="1" t="n">
        <v>45740</v>
      </c>
      <c r="D1678" t="inlineStr">
        <is>
          <t>JÄMTLANDS LÄN</t>
        </is>
      </c>
      <c r="E1678" t="inlineStr">
        <is>
          <t>STRÖMSUND</t>
        </is>
      </c>
      <c r="F1678" t="inlineStr">
        <is>
          <t>SCA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34251-2022</t>
        </is>
      </c>
      <c r="B1679" s="1" t="n">
        <v>44792</v>
      </c>
      <c r="C1679" s="1" t="n">
        <v>45740</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34244-2022</t>
        </is>
      </c>
      <c r="B1680" s="1" t="n">
        <v>44791</v>
      </c>
      <c r="C1680" s="1" t="n">
        <v>45740</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34264-2022</t>
        </is>
      </c>
      <c r="B1681" s="1" t="n">
        <v>44791</v>
      </c>
      <c r="C1681" s="1" t="n">
        <v>45740</v>
      </c>
      <c r="D1681" t="inlineStr">
        <is>
          <t>JÄMTLANDS LÄN</t>
        </is>
      </c>
      <c r="E1681" t="inlineStr">
        <is>
          <t>STRÖMSUND</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34294-2022</t>
        </is>
      </c>
      <c r="B1682" s="1" t="n">
        <v>44792</v>
      </c>
      <c r="C1682" s="1" t="n">
        <v>45740</v>
      </c>
      <c r="D1682" t="inlineStr">
        <is>
          <t>JÄMTLANDS LÄN</t>
        </is>
      </c>
      <c r="E1682" t="inlineStr">
        <is>
          <t>STRÖMSUND</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34293-2022</t>
        </is>
      </c>
      <c r="B1683" s="1" t="n">
        <v>44792</v>
      </c>
      <c r="C1683" s="1" t="n">
        <v>45740</v>
      </c>
      <c r="D1683" t="inlineStr">
        <is>
          <t>JÄMTLANDS LÄN</t>
        </is>
      </c>
      <c r="E1683" t="inlineStr">
        <is>
          <t>STRÖMSUND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34512-2022</t>
        </is>
      </c>
      <c r="B1684" s="1" t="n">
        <v>44793</v>
      </c>
      <c r="C1684" s="1" t="n">
        <v>45740</v>
      </c>
      <c r="D1684" t="inlineStr">
        <is>
          <t>JÄMTLANDS LÄN</t>
        </is>
      </c>
      <c r="E1684" t="inlineStr">
        <is>
          <t>STRÖMSUND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34522-2022</t>
        </is>
      </c>
      <c r="B1685" s="1" t="n">
        <v>44793</v>
      </c>
      <c r="C1685" s="1" t="n">
        <v>45740</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34523-2022</t>
        </is>
      </c>
      <c r="B1686" s="1" t="n">
        <v>44793</v>
      </c>
      <c r="C1686" s="1" t="n">
        <v>45740</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34524-2022</t>
        </is>
      </c>
      <c r="B1687" s="1" t="n">
        <v>44793</v>
      </c>
      <c r="C1687" s="1" t="n">
        <v>45740</v>
      </c>
      <c r="D1687" t="inlineStr">
        <is>
          <t>JÄMTLANDS LÄN</t>
        </is>
      </c>
      <c r="E1687" t="inlineStr">
        <is>
          <t>STRÖMSUND</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34521-2022</t>
        </is>
      </c>
      <c r="B1688" s="1" t="n">
        <v>44793</v>
      </c>
      <c r="C1688" s="1" t="n">
        <v>45740</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34525-2022</t>
        </is>
      </c>
      <c r="B1689" s="1" t="n">
        <v>44793</v>
      </c>
      <c r="C1689" s="1" t="n">
        <v>45740</v>
      </c>
      <c r="D1689" t="inlineStr">
        <is>
          <t>JÄMTLANDS LÄN</t>
        </is>
      </c>
      <c r="E1689" t="inlineStr">
        <is>
          <t>STRÖMSUND</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34550-2022</t>
        </is>
      </c>
      <c r="B1690" s="1" t="n">
        <v>44793</v>
      </c>
      <c r="C1690" s="1" t="n">
        <v>45740</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34805-2022</t>
        </is>
      </c>
      <c r="B1691" s="1" t="n">
        <v>44796</v>
      </c>
      <c r="C1691" s="1" t="n">
        <v>45740</v>
      </c>
      <c r="D1691" t="inlineStr">
        <is>
          <t>JÄMTLANDS LÄN</t>
        </is>
      </c>
      <c r="E1691" t="inlineStr">
        <is>
          <t>STRÖMSUND</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34890-2022</t>
        </is>
      </c>
      <c r="B1692" s="1" t="n">
        <v>44796</v>
      </c>
      <c r="C1692" s="1" t="n">
        <v>45740</v>
      </c>
      <c r="D1692" t="inlineStr">
        <is>
          <t>JÄMTLANDS LÄN</t>
        </is>
      </c>
      <c r="E1692" t="inlineStr">
        <is>
          <t>STRÖMSUND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34920-2022</t>
        </is>
      </c>
      <c r="B1693" s="1" t="n">
        <v>44796</v>
      </c>
      <c r="C1693" s="1" t="n">
        <v>45740</v>
      </c>
      <c r="D1693" t="inlineStr">
        <is>
          <t>JÄMTLANDS LÄN</t>
        </is>
      </c>
      <c r="E1693" t="inlineStr">
        <is>
          <t>STRÖMSUND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35015-2022</t>
        </is>
      </c>
      <c r="B1694" s="1" t="n">
        <v>44797</v>
      </c>
      <c r="C1694" s="1" t="n">
        <v>45740</v>
      </c>
      <c r="D1694" t="inlineStr">
        <is>
          <t>JÄMTLANDS LÄN</t>
        </is>
      </c>
      <c r="E1694" t="inlineStr">
        <is>
          <t>STRÖMSUND</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35221-2022</t>
        </is>
      </c>
      <c r="B1695" s="1" t="n">
        <v>44798</v>
      </c>
      <c r="C1695" s="1" t="n">
        <v>45740</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35233-2022</t>
        </is>
      </c>
      <c r="B1696" s="1" t="n">
        <v>44797</v>
      </c>
      <c r="C1696" s="1" t="n">
        <v>45740</v>
      </c>
      <c r="D1696" t="inlineStr">
        <is>
          <t>JÄMTLANDS LÄN</t>
        </is>
      </c>
      <c r="E1696" t="inlineStr">
        <is>
          <t>STRÖMSUND</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35240-2022</t>
        </is>
      </c>
      <c r="B1697" s="1" t="n">
        <v>44797</v>
      </c>
      <c r="C1697" s="1" t="n">
        <v>45740</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35241-2022</t>
        </is>
      </c>
      <c r="B1698" s="1" t="n">
        <v>44797</v>
      </c>
      <c r="C1698" s="1" t="n">
        <v>45740</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35308-2022</t>
        </is>
      </c>
      <c r="B1699" s="1" t="n">
        <v>44798</v>
      </c>
      <c r="C1699" s="1" t="n">
        <v>45740</v>
      </c>
      <c r="D1699" t="inlineStr">
        <is>
          <t>JÄMTLANDS LÄN</t>
        </is>
      </c>
      <c r="E1699" t="inlineStr">
        <is>
          <t>STRÖMSUND</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35295-2022</t>
        </is>
      </c>
      <c r="B1700" s="1" t="n">
        <v>44798</v>
      </c>
      <c r="C1700" s="1" t="n">
        <v>45740</v>
      </c>
      <c r="D1700" t="inlineStr">
        <is>
          <t>JÄMTLANDS LÄN</t>
        </is>
      </c>
      <c r="E1700" t="inlineStr">
        <is>
          <t>STRÖMSUND</t>
        </is>
      </c>
      <c r="F1700" t="inlineStr">
        <is>
          <t>Kommuner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35321-2022</t>
        </is>
      </c>
      <c r="B1701" s="1" t="n">
        <v>44798</v>
      </c>
      <c r="C1701" s="1" t="n">
        <v>45740</v>
      </c>
      <c r="D1701" t="inlineStr">
        <is>
          <t>JÄMTLANDS LÄN</t>
        </is>
      </c>
      <c r="E1701" t="inlineStr">
        <is>
          <t>STRÖMSUND</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35329-2022</t>
        </is>
      </c>
      <c r="B1702" s="1" t="n">
        <v>44798</v>
      </c>
      <c r="C1702" s="1" t="n">
        <v>45740</v>
      </c>
      <c r="D1702" t="inlineStr">
        <is>
          <t>JÄMTLANDS LÄN</t>
        </is>
      </c>
      <c r="E1702" t="inlineStr">
        <is>
          <t>STRÖMSUND</t>
        </is>
      </c>
      <c r="F1702" t="inlineStr">
        <is>
          <t>Kommuner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35377-2022</t>
        </is>
      </c>
      <c r="B1703" s="1" t="n">
        <v>44798</v>
      </c>
      <c r="C1703" s="1" t="n">
        <v>45740</v>
      </c>
      <c r="D1703" t="inlineStr">
        <is>
          <t>JÄMTLANDS LÄN</t>
        </is>
      </c>
      <c r="E1703" t="inlineStr">
        <is>
          <t>STRÖMSUND</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35375-2022</t>
        </is>
      </c>
      <c r="B1704" s="1" t="n">
        <v>44798</v>
      </c>
      <c r="C1704" s="1" t="n">
        <v>45740</v>
      </c>
      <c r="D1704" t="inlineStr">
        <is>
          <t>JÄMTLANDS LÄN</t>
        </is>
      </c>
      <c r="E1704" t="inlineStr">
        <is>
          <t>STRÖMSUND</t>
        </is>
      </c>
      <c r="F1704" t="inlineStr">
        <is>
          <t>Kommuner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35694-2022</t>
        </is>
      </c>
      <c r="B1705" s="1" t="n">
        <v>44799</v>
      </c>
      <c r="C1705" s="1" t="n">
        <v>45740</v>
      </c>
      <c r="D1705" t="inlineStr">
        <is>
          <t>JÄMTLANDS LÄN</t>
        </is>
      </c>
      <c r="E1705" t="inlineStr">
        <is>
          <t>STRÖMSUND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35743-2022</t>
        </is>
      </c>
      <c r="B1706" s="1" t="n">
        <v>44800</v>
      </c>
      <c r="C1706" s="1" t="n">
        <v>45740</v>
      </c>
      <c r="D1706" t="inlineStr">
        <is>
          <t>JÄMTLANDS LÄN</t>
        </is>
      </c>
      <c r="E1706" t="inlineStr">
        <is>
          <t>STRÖMSUND</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35989-2022</t>
        </is>
      </c>
      <c r="B1707" s="1" t="n">
        <v>44802</v>
      </c>
      <c r="C1707" s="1" t="n">
        <v>45740</v>
      </c>
      <c r="D1707" t="inlineStr">
        <is>
          <t>JÄMTLANDS LÄN</t>
        </is>
      </c>
      <c r="E1707" t="inlineStr">
        <is>
          <t>STRÖMSUND</t>
        </is>
      </c>
      <c r="F1707" t="inlineStr">
        <is>
          <t>Sveaskog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35853-2022</t>
        </is>
      </c>
      <c r="B1708" s="1" t="n">
        <v>44802</v>
      </c>
      <c r="C1708" s="1" t="n">
        <v>45740</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35850-2022</t>
        </is>
      </c>
      <c r="B1709" s="1" t="n">
        <v>44802</v>
      </c>
      <c r="C1709" s="1" t="n">
        <v>45740</v>
      </c>
      <c r="D1709" t="inlineStr">
        <is>
          <t>JÄMTLANDS LÄN</t>
        </is>
      </c>
      <c r="E1709" t="inlineStr">
        <is>
          <t>STRÖMSUND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35972-2022</t>
        </is>
      </c>
      <c r="B1710" s="1" t="n">
        <v>44802</v>
      </c>
      <c r="C1710" s="1" t="n">
        <v>45740</v>
      </c>
      <c r="D1710" t="inlineStr">
        <is>
          <t>JÄMTLANDS LÄN</t>
        </is>
      </c>
      <c r="E1710" t="inlineStr">
        <is>
          <t>STRÖMSUND</t>
        </is>
      </c>
      <c r="F1710" t="inlineStr">
        <is>
          <t>Sveaskog</t>
        </is>
      </c>
      <c r="G1710" t="n">
        <v>22.9</v>
      </c>
      <c r="H1710" t="n">
        <v>0</v>
      </c>
      <c r="I1710" t="n">
        <v>0</v>
      </c>
      <c r="J1710" t="n">
        <v>0</v>
      </c>
      <c r="K1710" t="n">
        <v>0</v>
      </c>
      <c r="L1710" t="n">
        <v>0</v>
      </c>
      <c r="M1710" t="n">
        <v>0</v>
      </c>
      <c r="N1710" t="n">
        <v>0</v>
      </c>
      <c r="O1710" t="n">
        <v>0</v>
      </c>
      <c r="P1710" t="n">
        <v>0</v>
      </c>
      <c r="Q1710" t="n">
        <v>0</v>
      </c>
      <c r="R1710" s="2" t="inlineStr"/>
    </row>
    <row r="1711" ht="15" customHeight="1">
      <c r="A1711" t="inlineStr">
        <is>
          <t>A 36079-2022</t>
        </is>
      </c>
      <c r="B1711" s="1" t="n">
        <v>44803</v>
      </c>
      <c r="C1711" s="1" t="n">
        <v>45740</v>
      </c>
      <c r="D1711" t="inlineStr">
        <is>
          <t>JÄMTLANDS LÄN</t>
        </is>
      </c>
      <c r="E1711" t="inlineStr">
        <is>
          <t>STRÖMSUND</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35971-2022</t>
        </is>
      </c>
      <c r="B1712" s="1" t="n">
        <v>44802</v>
      </c>
      <c r="C1712" s="1" t="n">
        <v>45740</v>
      </c>
      <c r="D1712" t="inlineStr">
        <is>
          <t>JÄMTLANDS LÄN</t>
        </is>
      </c>
      <c r="E1712" t="inlineStr">
        <is>
          <t>STRÖMSUND</t>
        </is>
      </c>
      <c r="F1712" t="inlineStr">
        <is>
          <t>Sveaskog</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36096-2022</t>
        </is>
      </c>
      <c r="B1713" s="1" t="n">
        <v>44803</v>
      </c>
      <c r="C1713" s="1" t="n">
        <v>45740</v>
      </c>
      <c r="D1713" t="inlineStr">
        <is>
          <t>JÄMTLANDS LÄN</t>
        </is>
      </c>
      <c r="E1713" t="inlineStr">
        <is>
          <t>STRÖMSUND</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36369-2022</t>
        </is>
      </c>
      <c r="B1714" s="1" t="n">
        <v>44804</v>
      </c>
      <c r="C1714" s="1" t="n">
        <v>45740</v>
      </c>
      <c r="D1714" t="inlineStr">
        <is>
          <t>JÄMTLANDS LÄN</t>
        </is>
      </c>
      <c r="E1714" t="inlineStr">
        <is>
          <t>STRÖMSUND</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36374-2022</t>
        </is>
      </c>
      <c r="B1715" s="1" t="n">
        <v>44804</v>
      </c>
      <c r="C1715" s="1" t="n">
        <v>45740</v>
      </c>
      <c r="D1715" t="inlineStr">
        <is>
          <t>JÄMTLANDS LÄN</t>
        </is>
      </c>
      <c r="E1715" t="inlineStr">
        <is>
          <t>STRÖMSUND</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36275-2022</t>
        </is>
      </c>
      <c r="B1716" s="1" t="n">
        <v>44803</v>
      </c>
      <c r="C1716" s="1" t="n">
        <v>45740</v>
      </c>
      <c r="D1716" t="inlineStr">
        <is>
          <t>JÄMTLANDS LÄN</t>
        </is>
      </c>
      <c r="E1716" t="inlineStr">
        <is>
          <t>STRÖMSUND</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36383-2022</t>
        </is>
      </c>
      <c r="B1717" s="1" t="n">
        <v>44804</v>
      </c>
      <c r="C1717" s="1" t="n">
        <v>45740</v>
      </c>
      <c r="D1717" t="inlineStr">
        <is>
          <t>JÄMTLANDS LÄN</t>
        </is>
      </c>
      <c r="E1717" t="inlineStr">
        <is>
          <t>STRÖMSUND</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36390-2022</t>
        </is>
      </c>
      <c r="B1718" s="1" t="n">
        <v>44804</v>
      </c>
      <c r="C1718" s="1" t="n">
        <v>45740</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36384-2022</t>
        </is>
      </c>
      <c r="B1719" s="1" t="n">
        <v>44804</v>
      </c>
      <c r="C1719" s="1" t="n">
        <v>45740</v>
      </c>
      <c r="D1719" t="inlineStr">
        <is>
          <t>JÄMTLANDS LÄN</t>
        </is>
      </c>
      <c r="E1719" t="inlineStr">
        <is>
          <t>STRÖMSUND</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36372-2022</t>
        </is>
      </c>
      <c r="B1720" s="1" t="n">
        <v>44804</v>
      </c>
      <c r="C1720" s="1" t="n">
        <v>45740</v>
      </c>
      <c r="D1720" t="inlineStr">
        <is>
          <t>JÄMTLANDS LÄN</t>
        </is>
      </c>
      <c r="E1720" t="inlineStr">
        <is>
          <t>STRÖMSUND</t>
        </is>
      </c>
      <c r="F1720" t="inlineStr">
        <is>
          <t>SCA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36382-2022</t>
        </is>
      </c>
      <c r="B1721" s="1" t="n">
        <v>44803</v>
      </c>
      <c r="C1721" s="1" t="n">
        <v>45740</v>
      </c>
      <c r="D1721" t="inlineStr">
        <is>
          <t>JÄMTLANDS LÄN</t>
        </is>
      </c>
      <c r="E1721" t="inlineStr">
        <is>
          <t>STRÖMSUND</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36581-2022</t>
        </is>
      </c>
      <c r="B1722" s="1" t="n">
        <v>44804</v>
      </c>
      <c r="C1722" s="1" t="n">
        <v>45740</v>
      </c>
      <c r="D1722" t="inlineStr">
        <is>
          <t>JÄMTLANDS LÄN</t>
        </is>
      </c>
      <c r="E1722" t="inlineStr">
        <is>
          <t>STRÖMSUND</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36559-2022</t>
        </is>
      </c>
      <c r="B1723" s="1" t="n">
        <v>44804</v>
      </c>
      <c r="C1723" s="1" t="n">
        <v>45740</v>
      </c>
      <c r="D1723" t="inlineStr">
        <is>
          <t>JÄMTLANDS LÄN</t>
        </is>
      </c>
      <c r="E1723" t="inlineStr">
        <is>
          <t>STRÖMSUND</t>
        </is>
      </c>
      <c r="F1723" t="inlineStr">
        <is>
          <t>Holmen skog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36690-2022</t>
        </is>
      </c>
      <c r="B1724" s="1" t="n">
        <v>44805</v>
      </c>
      <c r="C1724" s="1" t="n">
        <v>45740</v>
      </c>
      <c r="D1724" t="inlineStr">
        <is>
          <t>JÄMTLANDS LÄN</t>
        </is>
      </c>
      <c r="E1724" t="inlineStr">
        <is>
          <t>STRÖMSUND</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36698-2022</t>
        </is>
      </c>
      <c r="B1725" s="1" t="n">
        <v>44805</v>
      </c>
      <c r="C1725" s="1" t="n">
        <v>45740</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36689-2022</t>
        </is>
      </c>
      <c r="B1726" s="1" t="n">
        <v>44804</v>
      </c>
      <c r="C1726" s="1" t="n">
        <v>45740</v>
      </c>
      <c r="D1726" t="inlineStr">
        <is>
          <t>JÄMTLANDS LÄN</t>
        </is>
      </c>
      <c r="E1726" t="inlineStr">
        <is>
          <t>STRÖMSUND</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36699-2022</t>
        </is>
      </c>
      <c r="B1727" s="1" t="n">
        <v>44805</v>
      </c>
      <c r="C1727" s="1" t="n">
        <v>45740</v>
      </c>
      <c r="D1727" t="inlineStr">
        <is>
          <t>JÄMTLANDS LÄN</t>
        </is>
      </c>
      <c r="E1727" t="inlineStr">
        <is>
          <t>STRÖMSUND</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37090-2022</t>
        </is>
      </c>
      <c r="B1728" s="1" t="n">
        <v>44806</v>
      </c>
      <c r="C1728" s="1" t="n">
        <v>45740</v>
      </c>
      <c r="D1728" t="inlineStr">
        <is>
          <t>JÄMTLANDS LÄN</t>
        </is>
      </c>
      <c r="E1728" t="inlineStr">
        <is>
          <t>STRÖMSUND</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37100-2022</t>
        </is>
      </c>
      <c r="B1729" s="1" t="n">
        <v>44806</v>
      </c>
      <c r="C1729" s="1" t="n">
        <v>45740</v>
      </c>
      <c r="D1729" t="inlineStr">
        <is>
          <t>JÄMTLANDS LÄN</t>
        </is>
      </c>
      <c r="E1729" t="inlineStr">
        <is>
          <t>STRÖMSUND</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37107-2022</t>
        </is>
      </c>
      <c r="B1730" s="1" t="n">
        <v>44806</v>
      </c>
      <c r="C1730" s="1" t="n">
        <v>45740</v>
      </c>
      <c r="D1730" t="inlineStr">
        <is>
          <t>JÄMTLANDS LÄN</t>
        </is>
      </c>
      <c r="E1730" t="inlineStr">
        <is>
          <t>STRÖMSUND</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37084-2022</t>
        </is>
      </c>
      <c r="B1731" s="1" t="n">
        <v>44806</v>
      </c>
      <c r="C1731" s="1" t="n">
        <v>45740</v>
      </c>
      <c r="D1731" t="inlineStr">
        <is>
          <t>JÄMTLANDS LÄN</t>
        </is>
      </c>
      <c r="E1731" t="inlineStr">
        <is>
          <t>STRÖMSUND</t>
        </is>
      </c>
      <c r="F1731" t="inlineStr">
        <is>
          <t>Kommuner</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37093-2022</t>
        </is>
      </c>
      <c r="B1732" s="1" t="n">
        <v>44806</v>
      </c>
      <c r="C1732" s="1" t="n">
        <v>45740</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37097-2022</t>
        </is>
      </c>
      <c r="B1733" s="1" t="n">
        <v>44806</v>
      </c>
      <c r="C1733" s="1" t="n">
        <v>45740</v>
      </c>
      <c r="D1733" t="inlineStr">
        <is>
          <t>JÄMTLANDS LÄN</t>
        </is>
      </c>
      <c r="E1733" t="inlineStr">
        <is>
          <t>STRÖMSUND</t>
        </is>
      </c>
      <c r="F1733" t="inlineStr">
        <is>
          <t>Kommuner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37102-2022</t>
        </is>
      </c>
      <c r="B1734" s="1" t="n">
        <v>44806</v>
      </c>
      <c r="C1734" s="1" t="n">
        <v>45740</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37078-2022</t>
        </is>
      </c>
      <c r="B1735" s="1" t="n">
        <v>44806</v>
      </c>
      <c r="C1735" s="1" t="n">
        <v>45740</v>
      </c>
      <c r="D1735" t="inlineStr">
        <is>
          <t>JÄMTLANDS LÄN</t>
        </is>
      </c>
      <c r="E1735" t="inlineStr">
        <is>
          <t>STRÖMSUND</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37104-2022</t>
        </is>
      </c>
      <c r="B1736" s="1" t="n">
        <v>44806</v>
      </c>
      <c r="C1736" s="1" t="n">
        <v>45740</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37231-2022</t>
        </is>
      </c>
      <c r="B1737" s="1" t="n">
        <v>44806</v>
      </c>
      <c r="C1737" s="1" t="n">
        <v>45740</v>
      </c>
      <c r="D1737" t="inlineStr">
        <is>
          <t>JÄMTLANDS LÄN</t>
        </is>
      </c>
      <c r="E1737" t="inlineStr">
        <is>
          <t>STRÖMSUND</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37791-2022</t>
        </is>
      </c>
      <c r="B1738" s="1" t="n">
        <v>44810</v>
      </c>
      <c r="C1738" s="1" t="n">
        <v>45740</v>
      </c>
      <c r="D1738" t="inlineStr">
        <is>
          <t>JÄMTLANDS LÄN</t>
        </is>
      </c>
      <c r="E1738" t="inlineStr">
        <is>
          <t>STRÖMSUND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38415-2022</t>
        </is>
      </c>
      <c r="B1739" s="1" t="n">
        <v>44812</v>
      </c>
      <c r="C1739" s="1" t="n">
        <v>45740</v>
      </c>
      <c r="D1739" t="inlineStr">
        <is>
          <t>JÄMTLANDS LÄN</t>
        </is>
      </c>
      <c r="E1739" t="inlineStr">
        <is>
          <t>STRÖMSUND</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38414-2022</t>
        </is>
      </c>
      <c r="B1740" s="1" t="n">
        <v>44812</v>
      </c>
      <c r="C1740" s="1" t="n">
        <v>45740</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38413-2022</t>
        </is>
      </c>
      <c r="B1741" s="1" t="n">
        <v>44812</v>
      </c>
      <c r="C1741" s="1" t="n">
        <v>45740</v>
      </c>
      <c r="D1741" t="inlineStr">
        <is>
          <t>JÄMTLANDS LÄN</t>
        </is>
      </c>
      <c r="E1741" t="inlineStr">
        <is>
          <t>STRÖMSUND</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38661-2022</t>
        </is>
      </c>
      <c r="B1742" s="1" t="n">
        <v>44813</v>
      </c>
      <c r="C1742" s="1" t="n">
        <v>45740</v>
      </c>
      <c r="D1742" t="inlineStr">
        <is>
          <t>JÄMTLANDS LÄN</t>
        </is>
      </c>
      <c r="E1742" t="inlineStr">
        <is>
          <t>STRÖMSUND</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39000-2022</t>
        </is>
      </c>
      <c r="B1743" s="1" t="n">
        <v>44817</v>
      </c>
      <c r="C1743" s="1" t="n">
        <v>45740</v>
      </c>
      <c r="D1743" t="inlineStr">
        <is>
          <t>JÄMTLANDS LÄN</t>
        </is>
      </c>
      <c r="E1743" t="inlineStr">
        <is>
          <t>STRÖMSUND</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39010-2022</t>
        </is>
      </c>
      <c r="B1744" s="1" t="n">
        <v>44816</v>
      </c>
      <c r="C1744" s="1" t="n">
        <v>45740</v>
      </c>
      <c r="D1744" t="inlineStr">
        <is>
          <t>JÄMTLANDS LÄN</t>
        </is>
      </c>
      <c r="E1744" t="inlineStr">
        <is>
          <t>STRÖMSUND</t>
        </is>
      </c>
      <c r="F1744" t="inlineStr">
        <is>
          <t>SCA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39007-2022</t>
        </is>
      </c>
      <c r="B1745" s="1" t="n">
        <v>44817</v>
      </c>
      <c r="C1745" s="1" t="n">
        <v>45740</v>
      </c>
      <c r="D1745" t="inlineStr">
        <is>
          <t>JÄMTLANDS LÄN</t>
        </is>
      </c>
      <c r="E1745" t="inlineStr">
        <is>
          <t>STRÖMSUND</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39009-2022</t>
        </is>
      </c>
      <c r="B1746" s="1" t="n">
        <v>44817</v>
      </c>
      <c r="C1746" s="1" t="n">
        <v>45740</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39388-2022</t>
        </is>
      </c>
      <c r="B1747" s="1" t="n">
        <v>44817</v>
      </c>
      <c r="C1747" s="1" t="n">
        <v>45740</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39689-2022</t>
        </is>
      </c>
      <c r="B1748" s="1" t="n">
        <v>44818</v>
      </c>
      <c r="C1748" s="1" t="n">
        <v>45740</v>
      </c>
      <c r="D1748" t="inlineStr">
        <is>
          <t>JÄMTLANDS LÄN</t>
        </is>
      </c>
      <c r="E1748" t="inlineStr">
        <is>
          <t>STRÖMSUND</t>
        </is>
      </c>
      <c r="F1748" t="inlineStr">
        <is>
          <t>SCA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39690-2022</t>
        </is>
      </c>
      <c r="B1749" s="1" t="n">
        <v>44819</v>
      </c>
      <c r="C1749" s="1" t="n">
        <v>45740</v>
      </c>
      <c r="D1749" t="inlineStr">
        <is>
          <t>JÄMTLANDS LÄN</t>
        </is>
      </c>
      <c r="E1749" t="inlineStr">
        <is>
          <t>STRÖMSUND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39700-2022</t>
        </is>
      </c>
      <c r="B1750" s="1" t="n">
        <v>44819</v>
      </c>
      <c r="C1750" s="1" t="n">
        <v>45740</v>
      </c>
      <c r="D1750" t="inlineStr">
        <is>
          <t>JÄMTLANDS LÄN</t>
        </is>
      </c>
      <c r="E1750" t="inlineStr">
        <is>
          <t>STRÖMSUND</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39882-2022</t>
        </is>
      </c>
      <c r="B1751" s="1" t="n">
        <v>44819</v>
      </c>
      <c r="C1751" s="1" t="n">
        <v>45740</v>
      </c>
      <c r="D1751" t="inlineStr">
        <is>
          <t>JÄMTLANDS LÄN</t>
        </is>
      </c>
      <c r="E1751" t="inlineStr">
        <is>
          <t>STRÖMSUND</t>
        </is>
      </c>
      <c r="F1751" t="inlineStr">
        <is>
          <t>Sveaskog</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39890-2022</t>
        </is>
      </c>
      <c r="B1752" s="1" t="n">
        <v>44819</v>
      </c>
      <c r="C1752" s="1" t="n">
        <v>45740</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39889-2022</t>
        </is>
      </c>
      <c r="B1753" s="1" t="n">
        <v>44819</v>
      </c>
      <c r="C1753" s="1" t="n">
        <v>45740</v>
      </c>
      <c r="D1753" t="inlineStr">
        <is>
          <t>JÄMTLANDS LÄN</t>
        </is>
      </c>
      <c r="E1753" t="inlineStr">
        <is>
          <t>STRÖMSUND</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39892-2022</t>
        </is>
      </c>
      <c r="B1754" s="1" t="n">
        <v>44819</v>
      </c>
      <c r="C1754" s="1" t="n">
        <v>45740</v>
      </c>
      <c r="D1754" t="inlineStr">
        <is>
          <t>JÄMTLANDS LÄN</t>
        </is>
      </c>
      <c r="E1754" t="inlineStr">
        <is>
          <t>STRÖMSUND</t>
        </is>
      </c>
      <c r="F1754" t="inlineStr">
        <is>
          <t>Sveaskog</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39939-2022</t>
        </is>
      </c>
      <c r="B1755" s="1" t="n">
        <v>44820</v>
      </c>
      <c r="C1755" s="1" t="n">
        <v>45740</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39957-2022</t>
        </is>
      </c>
      <c r="B1756" s="1" t="n">
        <v>44820</v>
      </c>
      <c r="C1756" s="1" t="n">
        <v>45740</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40271-2022</t>
        </is>
      </c>
      <c r="B1757" s="1" t="n">
        <v>44821</v>
      </c>
      <c r="C1757" s="1" t="n">
        <v>45740</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40287-2022</t>
        </is>
      </c>
      <c r="B1758" s="1" t="n">
        <v>44821</v>
      </c>
      <c r="C1758" s="1" t="n">
        <v>45740</v>
      </c>
      <c r="D1758" t="inlineStr">
        <is>
          <t>JÄMTLANDS LÄN</t>
        </is>
      </c>
      <c r="E1758" t="inlineStr">
        <is>
          <t>STRÖMSUND</t>
        </is>
      </c>
      <c r="F1758" t="inlineStr">
        <is>
          <t>SCA</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40275-2022</t>
        </is>
      </c>
      <c r="B1759" s="1" t="n">
        <v>44820</v>
      </c>
      <c r="C1759" s="1" t="n">
        <v>45740</v>
      </c>
      <c r="D1759" t="inlineStr">
        <is>
          <t>JÄMTLANDS LÄN</t>
        </is>
      </c>
      <c r="E1759" t="inlineStr">
        <is>
          <t>STRÖMSUND</t>
        </is>
      </c>
      <c r="F1759" t="inlineStr">
        <is>
          <t>SCA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40862-2022</t>
        </is>
      </c>
      <c r="B1760" s="1" t="n">
        <v>44820</v>
      </c>
      <c r="C1760" s="1" t="n">
        <v>45740</v>
      </c>
      <c r="D1760" t="inlineStr">
        <is>
          <t>JÄMTLANDS LÄN</t>
        </is>
      </c>
      <c r="E1760" t="inlineStr">
        <is>
          <t>STRÖMSUND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40272-2022</t>
        </is>
      </c>
      <c r="B1761" s="1" t="n">
        <v>44820</v>
      </c>
      <c r="C1761" s="1" t="n">
        <v>45740</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40290-2022</t>
        </is>
      </c>
      <c r="B1762" s="1" t="n">
        <v>44821</v>
      </c>
      <c r="C1762" s="1" t="n">
        <v>45740</v>
      </c>
      <c r="D1762" t="inlineStr">
        <is>
          <t>JÄMTLANDS LÄN</t>
        </is>
      </c>
      <c r="E1762" t="inlineStr">
        <is>
          <t>STRÖMSUND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40602-2022</t>
        </is>
      </c>
      <c r="B1763" s="1" t="n">
        <v>44823</v>
      </c>
      <c r="C1763" s="1" t="n">
        <v>45740</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40617-2022</t>
        </is>
      </c>
      <c r="B1764" s="1" t="n">
        <v>44823</v>
      </c>
      <c r="C1764" s="1" t="n">
        <v>45740</v>
      </c>
      <c r="D1764" t="inlineStr">
        <is>
          <t>JÄMTLANDS LÄN</t>
        </is>
      </c>
      <c r="E1764" t="inlineStr">
        <is>
          <t>STRÖMSUND</t>
        </is>
      </c>
      <c r="F1764" t="inlineStr">
        <is>
          <t>SCA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40936-2022</t>
        </is>
      </c>
      <c r="B1765" s="1" t="n">
        <v>44823</v>
      </c>
      <c r="C1765" s="1" t="n">
        <v>45740</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40840-2022</t>
        </is>
      </c>
      <c r="B1766" s="1" t="n">
        <v>44824</v>
      </c>
      <c r="C1766" s="1" t="n">
        <v>45740</v>
      </c>
      <c r="D1766" t="inlineStr">
        <is>
          <t>JÄMTLANDS LÄN</t>
        </is>
      </c>
      <c r="E1766" t="inlineStr">
        <is>
          <t>STRÖMSUND</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40841-2022</t>
        </is>
      </c>
      <c r="B1767" s="1" t="n">
        <v>44825</v>
      </c>
      <c r="C1767" s="1" t="n">
        <v>45740</v>
      </c>
      <c r="D1767" t="inlineStr">
        <is>
          <t>JÄMTLANDS LÄN</t>
        </is>
      </c>
      <c r="E1767" t="inlineStr">
        <is>
          <t>STRÖMSUND</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41171-2022</t>
        </is>
      </c>
      <c r="B1768" s="1" t="n">
        <v>44826</v>
      </c>
      <c r="C1768" s="1" t="n">
        <v>45740</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41194-2022</t>
        </is>
      </c>
      <c r="B1769" s="1" t="n">
        <v>44826</v>
      </c>
      <c r="C1769" s="1" t="n">
        <v>45740</v>
      </c>
      <c r="D1769" t="inlineStr">
        <is>
          <t>JÄMTLANDS LÄN</t>
        </is>
      </c>
      <c r="E1769" t="inlineStr">
        <is>
          <t>STRÖMSUND</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41818-2022</t>
        </is>
      </c>
      <c r="B1770" s="1" t="n">
        <v>44828</v>
      </c>
      <c r="C1770" s="1" t="n">
        <v>45740</v>
      </c>
      <c r="D1770" t="inlineStr">
        <is>
          <t>JÄMTLANDS LÄN</t>
        </is>
      </c>
      <c r="E1770" t="inlineStr">
        <is>
          <t>STRÖMSUND</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41820-2022</t>
        </is>
      </c>
      <c r="B1771" s="1" t="n">
        <v>44828</v>
      </c>
      <c r="C1771" s="1" t="n">
        <v>45740</v>
      </c>
      <c r="D1771" t="inlineStr">
        <is>
          <t>JÄMTLANDS LÄN</t>
        </is>
      </c>
      <c r="E1771" t="inlineStr">
        <is>
          <t>STRÖMSUND</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41822-2022</t>
        </is>
      </c>
      <c r="B1772" s="1" t="n">
        <v>44828</v>
      </c>
      <c r="C1772" s="1" t="n">
        <v>45740</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41828-2022</t>
        </is>
      </c>
      <c r="B1773" s="1" t="n">
        <v>44828</v>
      </c>
      <c r="C1773" s="1" t="n">
        <v>45740</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41829-2022</t>
        </is>
      </c>
      <c r="B1774" s="1" t="n">
        <v>44828</v>
      </c>
      <c r="C1774" s="1" t="n">
        <v>45740</v>
      </c>
      <c r="D1774" t="inlineStr">
        <is>
          <t>JÄMTLANDS LÄN</t>
        </is>
      </c>
      <c r="E1774" t="inlineStr">
        <is>
          <t>STRÖMSUND</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41821-2022</t>
        </is>
      </c>
      <c r="B1775" s="1" t="n">
        <v>44827</v>
      </c>
      <c r="C1775" s="1" t="n">
        <v>45740</v>
      </c>
      <c r="D1775" t="inlineStr">
        <is>
          <t>JÄMTLANDS LÄN</t>
        </is>
      </c>
      <c r="E1775" t="inlineStr">
        <is>
          <t>STRÖMSUND</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41827-2022</t>
        </is>
      </c>
      <c r="B1776" s="1" t="n">
        <v>44828</v>
      </c>
      <c r="C1776" s="1" t="n">
        <v>45740</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42155-2022</t>
        </is>
      </c>
      <c r="B1777" s="1" t="n">
        <v>44830</v>
      </c>
      <c r="C1777" s="1" t="n">
        <v>45740</v>
      </c>
      <c r="D1777" t="inlineStr">
        <is>
          <t>JÄMTLANDS LÄN</t>
        </is>
      </c>
      <c r="E1777" t="inlineStr">
        <is>
          <t>STRÖMSUND</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41972-2022</t>
        </is>
      </c>
      <c r="B1778" s="1" t="n">
        <v>44830</v>
      </c>
      <c r="C1778" s="1" t="n">
        <v>45740</v>
      </c>
      <c r="D1778" t="inlineStr">
        <is>
          <t>JÄMTLANDS LÄN</t>
        </is>
      </c>
      <c r="E1778" t="inlineStr">
        <is>
          <t>STRÖMSUND</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42237-2022</t>
        </is>
      </c>
      <c r="B1779" s="1" t="n">
        <v>44830</v>
      </c>
      <c r="C1779" s="1" t="n">
        <v>45740</v>
      </c>
      <c r="D1779" t="inlineStr">
        <is>
          <t>JÄMTLANDS LÄN</t>
        </is>
      </c>
      <c r="E1779" t="inlineStr">
        <is>
          <t>STRÖMSUND</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42280-2022</t>
        </is>
      </c>
      <c r="B1780" s="1" t="n">
        <v>44831</v>
      </c>
      <c r="C1780" s="1" t="n">
        <v>45740</v>
      </c>
      <c r="D1780" t="inlineStr">
        <is>
          <t>JÄMTLANDS LÄN</t>
        </is>
      </c>
      <c r="E1780" t="inlineStr">
        <is>
          <t>STRÖMSUND</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42294-2022</t>
        </is>
      </c>
      <c r="B1781" s="1" t="n">
        <v>44831</v>
      </c>
      <c r="C1781" s="1" t="n">
        <v>45740</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42660-2022</t>
        </is>
      </c>
      <c r="B1782" s="1" t="n">
        <v>44832</v>
      </c>
      <c r="C1782" s="1" t="n">
        <v>45740</v>
      </c>
      <c r="D1782" t="inlineStr">
        <is>
          <t>JÄMTLANDS LÄN</t>
        </is>
      </c>
      <c r="E1782" t="inlineStr">
        <is>
          <t>STRÖMSUND</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42770-2022</t>
        </is>
      </c>
      <c r="B1783" s="1" t="n">
        <v>44832</v>
      </c>
      <c r="C1783" s="1" t="n">
        <v>45740</v>
      </c>
      <c r="D1783" t="inlineStr">
        <is>
          <t>JÄMTLANDS LÄN</t>
        </is>
      </c>
      <c r="E1783" t="inlineStr">
        <is>
          <t>STRÖMSUND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42790-2022</t>
        </is>
      </c>
      <c r="B1784" s="1" t="n">
        <v>44832</v>
      </c>
      <c r="C1784" s="1" t="n">
        <v>45740</v>
      </c>
      <c r="D1784" t="inlineStr">
        <is>
          <t>JÄMTLANDS LÄN</t>
        </is>
      </c>
      <c r="E1784" t="inlineStr">
        <is>
          <t>STRÖMSUND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42760-2022</t>
        </is>
      </c>
      <c r="B1785" s="1" t="n">
        <v>44832</v>
      </c>
      <c r="C1785" s="1" t="n">
        <v>45740</v>
      </c>
      <c r="D1785" t="inlineStr">
        <is>
          <t>JÄMTLANDS LÄN</t>
        </is>
      </c>
      <c r="E1785" t="inlineStr">
        <is>
          <t>STRÖMSUND</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42806-2022</t>
        </is>
      </c>
      <c r="B1786" s="1" t="n">
        <v>44832</v>
      </c>
      <c r="C1786" s="1" t="n">
        <v>45740</v>
      </c>
      <c r="D1786" t="inlineStr">
        <is>
          <t>JÄMTLANDS LÄN</t>
        </is>
      </c>
      <c r="E1786" t="inlineStr">
        <is>
          <t>STRÖMSUND</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42896-2022</t>
        </is>
      </c>
      <c r="B1787" s="1" t="n">
        <v>44832</v>
      </c>
      <c r="C1787" s="1" t="n">
        <v>45740</v>
      </c>
      <c r="D1787" t="inlineStr">
        <is>
          <t>JÄMTLANDS LÄN</t>
        </is>
      </c>
      <c r="E1787" t="inlineStr">
        <is>
          <t>STRÖMSUND</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42902-2022</t>
        </is>
      </c>
      <c r="B1788" s="1" t="n">
        <v>44832</v>
      </c>
      <c r="C1788" s="1" t="n">
        <v>45740</v>
      </c>
      <c r="D1788" t="inlineStr">
        <is>
          <t>JÄMTLANDS LÄN</t>
        </is>
      </c>
      <c r="E1788" t="inlineStr">
        <is>
          <t>STRÖMSUND</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43160-2022</t>
        </is>
      </c>
      <c r="B1789" s="1" t="n">
        <v>44834</v>
      </c>
      <c r="C1789" s="1" t="n">
        <v>45740</v>
      </c>
      <c r="D1789" t="inlineStr">
        <is>
          <t>JÄMTLANDS LÄN</t>
        </is>
      </c>
      <c r="E1789" t="inlineStr">
        <is>
          <t>STRÖMSUND</t>
        </is>
      </c>
      <c r="F1789" t="inlineStr">
        <is>
          <t>SCA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43140-2022</t>
        </is>
      </c>
      <c r="B1790" s="1" t="n">
        <v>44834</v>
      </c>
      <c r="C1790" s="1" t="n">
        <v>45740</v>
      </c>
      <c r="D1790" t="inlineStr">
        <is>
          <t>JÄMTLANDS LÄN</t>
        </is>
      </c>
      <c r="E1790" t="inlineStr">
        <is>
          <t>STRÖMSUND</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43146-2022</t>
        </is>
      </c>
      <c r="B1791" s="1" t="n">
        <v>44833</v>
      </c>
      <c r="C1791" s="1" t="n">
        <v>45740</v>
      </c>
      <c r="D1791" t="inlineStr">
        <is>
          <t>JÄMTLANDS LÄN</t>
        </is>
      </c>
      <c r="E1791" t="inlineStr">
        <is>
          <t>STRÖMSUND</t>
        </is>
      </c>
      <c r="F1791" t="inlineStr">
        <is>
          <t>SCA</t>
        </is>
      </c>
      <c r="G1791" t="n">
        <v>33.3</v>
      </c>
      <c r="H1791" t="n">
        <v>0</v>
      </c>
      <c r="I1791" t="n">
        <v>0</v>
      </c>
      <c r="J1791" t="n">
        <v>0</v>
      </c>
      <c r="K1791" t="n">
        <v>0</v>
      </c>
      <c r="L1791" t="n">
        <v>0</v>
      </c>
      <c r="M1791" t="n">
        <v>0</v>
      </c>
      <c r="N1791" t="n">
        <v>0</v>
      </c>
      <c r="O1791" t="n">
        <v>0</v>
      </c>
      <c r="P1791" t="n">
        <v>0</v>
      </c>
      <c r="Q1791" t="n">
        <v>0</v>
      </c>
      <c r="R1791" s="2" t="inlineStr"/>
    </row>
    <row r="1792" ht="15" customHeight="1">
      <c r="A1792" t="inlineStr">
        <is>
          <t>A 43165-2022</t>
        </is>
      </c>
      <c r="B1792" s="1" t="n">
        <v>44833</v>
      </c>
      <c r="C1792" s="1" t="n">
        <v>45740</v>
      </c>
      <c r="D1792" t="inlineStr">
        <is>
          <t>JÄMTLANDS LÄN</t>
        </is>
      </c>
      <c r="E1792" t="inlineStr">
        <is>
          <t>STRÖMSUND</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43432-2022</t>
        </is>
      </c>
      <c r="B1793" s="1" t="n">
        <v>44834</v>
      </c>
      <c r="C1793" s="1" t="n">
        <v>45740</v>
      </c>
      <c r="D1793" t="inlineStr">
        <is>
          <t>JÄMTLANDS LÄN</t>
        </is>
      </c>
      <c r="E1793" t="inlineStr">
        <is>
          <t>STRÖMSUND</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43607-2022</t>
        </is>
      </c>
      <c r="B1794" s="1" t="n">
        <v>44834</v>
      </c>
      <c r="C1794" s="1" t="n">
        <v>45740</v>
      </c>
      <c r="D1794" t="inlineStr">
        <is>
          <t>JÄMTLANDS LÄN</t>
        </is>
      </c>
      <c r="E1794" t="inlineStr">
        <is>
          <t>STRÖMSUND</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45969-2022</t>
        </is>
      </c>
      <c r="B1795" s="1" t="n">
        <v>44834</v>
      </c>
      <c r="C1795" s="1" t="n">
        <v>45740</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43458-2022</t>
        </is>
      </c>
      <c r="B1796" s="1" t="n">
        <v>44836</v>
      </c>
      <c r="C1796" s="1" t="n">
        <v>45740</v>
      </c>
      <c r="D1796" t="inlineStr">
        <is>
          <t>JÄMTLANDS LÄN</t>
        </is>
      </c>
      <c r="E1796" t="inlineStr">
        <is>
          <t>STRÖMSUND</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43453-2022</t>
        </is>
      </c>
      <c r="B1797" s="1" t="n">
        <v>44835</v>
      </c>
      <c r="C1797" s="1" t="n">
        <v>45740</v>
      </c>
      <c r="D1797" t="inlineStr">
        <is>
          <t>JÄMTLANDS LÄN</t>
        </is>
      </c>
      <c r="E1797" t="inlineStr">
        <is>
          <t>STRÖMSUND</t>
        </is>
      </c>
      <c r="F1797" t="inlineStr">
        <is>
          <t>SCA</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43460-2022</t>
        </is>
      </c>
      <c r="B1798" s="1" t="n">
        <v>44836</v>
      </c>
      <c r="C1798" s="1" t="n">
        <v>45740</v>
      </c>
      <c r="D1798" t="inlineStr">
        <is>
          <t>JÄMTLANDS LÄN</t>
        </is>
      </c>
      <c r="E1798" t="inlineStr">
        <is>
          <t>STRÖMSUND</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43455-2022</t>
        </is>
      </c>
      <c r="B1799" s="1" t="n">
        <v>44836</v>
      </c>
      <c r="C1799" s="1" t="n">
        <v>45740</v>
      </c>
      <c r="D1799" t="inlineStr">
        <is>
          <t>JÄMTLANDS LÄN</t>
        </is>
      </c>
      <c r="E1799" t="inlineStr">
        <is>
          <t>STRÖMSUND</t>
        </is>
      </c>
      <c r="F1799" t="inlineStr">
        <is>
          <t>SCA</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43459-2022</t>
        </is>
      </c>
      <c r="B1800" s="1" t="n">
        <v>44836</v>
      </c>
      <c r="C1800" s="1" t="n">
        <v>45740</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43773-2022</t>
        </is>
      </c>
      <c r="B1801" s="1" t="n">
        <v>44838</v>
      </c>
      <c r="C1801" s="1" t="n">
        <v>45740</v>
      </c>
      <c r="D1801" t="inlineStr">
        <is>
          <t>JÄMTLANDS LÄN</t>
        </is>
      </c>
      <c r="E1801" t="inlineStr">
        <is>
          <t>STRÖMSUND</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43790-2022</t>
        </is>
      </c>
      <c r="B1802" s="1" t="n">
        <v>44837</v>
      </c>
      <c r="C1802" s="1" t="n">
        <v>45740</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44049-2022</t>
        </is>
      </c>
      <c r="B1803" s="1" t="n">
        <v>44839</v>
      </c>
      <c r="C1803" s="1" t="n">
        <v>45740</v>
      </c>
      <c r="D1803" t="inlineStr">
        <is>
          <t>JÄMTLANDS LÄN</t>
        </is>
      </c>
      <c r="E1803" t="inlineStr">
        <is>
          <t>STRÖMSUND</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44453-2022</t>
        </is>
      </c>
      <c r="B1804" s="1" t="n">
        <v>44840</v>
      </c>
      <c r="C1804" s="1" t="n">
        <v>45740</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44096-2022</t>
        </is>
      </c>
      <c r="B1805" s="1" t="n">
        <v>44839</v>
      </c>
      <c r="C1805" s="1" t="n">
        <v>45740</v>
      </c>
      <c r="D1805" t="inlineStr">
        <is>
          <t>JÄMTLANDS LÄN</t>
        </is>
      </c>
      <c r="E1805" t="inlineStr">
        <is>
          <t>STRÖMSUND</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44429-2022</t>
        </is>
      </c>
      <c r="B1806" s="1" t="n">
        <v>44839</v>
      </c>
      <c r="C1806" s="1" t="n">
        <v>45740</v>
      </c>
      <c r="D1806" t="inlineStr">
        <is>
          <t>JÄMTLANDS LÄN</t>
        </is>
      </c>
      <c r="E1806" t="inlineStr">
        <is>
          <t>STRÖMSUND</t>
        </is>
      </c>
      <c r="F1806" t="inlineStr">
        <is>
          <t>SCA</t>
        </is>
      </c>
      <c r="G1806" t="n">
        <v>52.1</v>
      </c>
      <c r="H1806" t="n">
        <v>0</v>
      </c>
      <c r="I1806" t="n">
        <v>0</v>
      </c>
      <c r="J1806" t="n">
        <v>0</v>
      </c>
      <c r="K1806" t="n">
        <v>0</v>
      </c>
      <c r="L1806" t="n">
        <v>0</v>
      </c>
      <c r="M1806" t="n">
        <v>0</v>
      </c>
      <c r="N1806" t="n">
        <v>0</v>
      </c>
      <c r="O1806" t="n">
        <v>0</v>
      </c>
      <c r="P1806" t="n">
        <v>0</v>
      </c>
      <c r="Q1806" t="n">
        <v>0</v>
      </c>
      <c r="R1806" s="2" t="inlineStr"/>
    </row>
    <row r="1807" ht="15" customHeight="1">
      <c r="A1807" t="inlineStr">
        <is>
          <t>A 44448-2022</t>
        </is>
      </c>
      <c r="B1807" s="1" t="n">
        <v>44840</v>
      </c>
      <c r="C1807" s="1" t="n">
        <v>45740</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44449-2022</t>
        </is>
      </c>
      <c r="B1808" s="1" t="n">
        <v>44839</v>
      </c>
      <c r="C1808" s="1" t="n">
        <v>45740</v>
      </c>
      <c r="D1808" t="inlineStr">
        <is>
          <t>JÄMTLANDS LÄN</t>
        </is>
      </c>
      <c r="E1808" t="inlineStr">
        <is>
          <t>STRÖMSUND</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44249-2022</t>
        </is>
      </c>
      <c r="B1809" s="1" t="n">
        <v>44839</v>
      </c>
      <c r="C1809" s="1" t="n">
        <v>45740</v>
      </c>
      <c r="D1809" t="inlineStr">
        <is>
          <t>JÄMTLANDS LÄN</t>
        </is>
      </c>
      <c r="E1809" t="inlineStr">
        <is>
          <t>STRÖMSUND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44451-2022</t>
        </is>
      </c>
      <c r="B1810" s="1" t="n">
        <v>44840</v>
      </c>
      <c r="C1810" s="1" t="n">
        <v>45740</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44641-2022</t>
        </is>
      </c>
      <c r="B1811" s="1" t="n">
        <v>44839</v>
      </c>
      <c r="C1811" s="1" t="n">
        <v>45740</v>
      </c>
      <c r="D1811" t="inlineStr">
        <is>
          <t>JÄMTLANDS LÄN</t>
        </is>
      </c>
      <c r="E1811" t="inlineStr">
        <is>
          <t>STRÖMSUND</t>
        </is>
      </c>
      <c r="F1811" t="inlineStr">
        <is>
          <t>Kommuner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45074-2022</t>
        </is>
      </c>
      <c r="B1812" s="1" t="n">
        <v>44842</v>
      </c>
      <c r="C1812" s="1" t="n">
        <v>45740</v>
      </c>
      <c r="D1812" t="inlineStr">
        <is>
          <t>JÄMTLANDS LÄN</t>
        </is>
      </c>
      <c r="E1812" t="inlineStr">
        <is>
          <t>STRÖMSUND</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45308-2022</t>
        </is>
      </c>
      <c r="B1813" s="1" t="n">
        <v>44841</v>
      </c>
      <c r="C1813" s="1" t="n">
        <v>45740</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45076-2022</t>
        </is>
      </c>
      <c r="B1814" s="1" t="n">
        <v>44842</v>
      </c>
      <c r="C1814" s="1" t="n">
        <v>45740</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45398-2022</t>
        </is>
      </c>
      <c r="B1815" s="1" t="n">
        <v>44841</v>
      </c>
      <c r="C1815" s="1" t="n">
        <v>45740</v>
      </c>
      <c r="D1815" t="inlineStr">
        <is>
          <t>JÄMTLANDS LÄN</t>
        </is>
      </c>
      <c r="E1815" t="inlineStr">
        <is>
          <t>STRÖMSUND</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45326-2022</t>
        </is>
      </c>
      <c r="B1816" s="1" t="n">
        <v>44841</v>
      </c>
      <c r="C1816" s="1" t="n">
        <v>45740</v>
      </c>
      <c r="D1816" t="inlineStr">
        <is>
          <t>JÄMTLANDS LÄN</t>
        </is>
      </c>
      <c r="E1816" t="inlineStr">
        <is>
          <t>STRÖMSUND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45071-2022</t>
        </is>
      </c>
      <c r="B1817" s="1" t="n">
        <v>44842</v>
      </c>
      <c r="C1817" s="1" t="n">
        <v>45740</v>
      </c>
      <c r="D1817" t="inlineStr">
        <is>
          <t>JÄMTLANDS LÄN</t>
        </is>
      </c>
      <c r="E1817" t="inlineStr">
        <is>
          <t>STRÖMSUND</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45331-2022</t>
        </is>
      </c>
      <c r="B1818" s="1" t="n">
        <v>44841</v>
      </c>
      <c r="C1818" s="1" t="n">
        <v>45740</v>
      </c>
      <c r="D1818" t="inlineStr">
        <is>
          <t>JÄMTLANDS LÄN</t>
        </is>
      </c>
      <c r="E1818" t="inlineStr">
        <is>
          <t>STRÖMSUND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45421-2022</t>
        </is>
      </c>
      <c r="B1819" s="1" t="n">
        <v>44845</v>
      </c>
      <c r="C1819" s="1" t="n">
        <v>45740</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45435-2022</t>
        </is>
      </c>
      <c r="B1820" s="1" t="n">
        <v>44845</v>
      </c>
      <c r="C1820" s="1" t="n">
        <v>45740</v>
      </c>
      <c r="D1820" t="inlineStr">
        <is>
          <t>JÄMTLANDS LÄN</t>
        </is>
      </c>
      <c r="E1820" t="inlineStr">
        <is>
          <t>STRÖMSUND</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45706-2022</t>
        </is>
      </c>
      <c r="B1821" s="1" t="n">
        <v>44846</v>
      </c>
      <c r="C1821" s="1" t="n">
        <v>45740</v>
      </c>
      <c r="D1821" t="inlineStr">
        <is>
          <t>JÄMTLANDS LÄN</t>
        </is>
      </c>
      <c r="E1821" t="inlineStr">
        <is>
          <t>STRÖMSUND</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45720-2022</t>
        </is>
      </c>
      <c r="B1822" s="1" t="n">
        <v>44846</v>
      </c>
      <c r="C1822" s="1" t="n">
        <v>45740</v>
      </c>
      <c r="D1822" t="inlineStr">
        <is>
          <t>JÄMTLANDS LÄN</t>
        </is>
      </c>
      <c r="E1822" t="inlineStr">
        <is>
          <t>STRÖMSUND</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46054-2022</t>
        </is>
      </c>
      <c r="B1823" s="1" t="n">
        <v>44846</v>
      </c>
      <c r="C1823" s="1" t="n">
        <v>45740</v>
      </c>
      <c r="D1823" t="inlineStr">
        <is>
          <t>JÄMTLANDS LÄN</t>
        </is>
      </c>
      <c r="E1823" t="inlineStr">
        <is>
          <t>STRÖMSUND</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47320-2022</t>
        </is>
      </c>
      <c r="B1824" s="1" t="n">
        <v>44846</v>
      </c>
      <c r="C1824" s="1" t="n">
        <v>45740</v>
      </c>
      <c r="D1824" t="inlineStr">
        <is>
          <t>JÄMTLANDS LÄN</t>
        </is>
      </c>
      <c r="E1824" t="inlineStr">
        <is>
          <t>STRÖMSUND</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46042-2022</t>
        </is>
      </c>
      <c r="B1825" s="1" t="n">
        <v>44847</v>
      </c>
      <c r="C1825" s="1" t="n">
        <v>45740</v>
      </c>
      <c r="D1825" t="inlineStr">
        <is>
          <t>JÄMTLANDS LÄN</t>
        </is>
      </c>
      <c r="E1825" t="inlineStr">
        <is>
          <t>STRÖMSUND</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46058-2022</t>
        </is>
      </c>
      <c r="B1826" s="1" t="n">
        <v>44847</v>
      </c>
      <c r="C1826" s="1" t="n">
        <v>45740</v>
      </c>
      <c r="D1826" t="inlineStr">
        <is>
          <t>JÄMTLANDS LÄN</t>
        </is>
      </c>
      <c r="E1826" t="inlineStr">
        <is>
          <t>STRÖMSUND</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46057-2022</t>
        </is>
      </c>
      <c r="B1827" s="1" t="n">
        <v>44847</v>
      </c>
      <c r="C1827" s="1" t="n">
        <v>45740</v>
      </c>
      <c r="D1827" t="inlineStr">
        <is>
          <t>JÄMTLANDS LÄN</t>
        </is>
      </c>
      <c r="E1827" t="inlineStr">
        <is>
          <t>STRÖMSUND</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46056-2022</t>
        </is>
      </c>
      <c r="B1828" s="1" t="n">
        <v>44847</v>
      </c>
      <c r="C1828" s="1" t="n">
        <v>45740</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46321-2022</t>
        </is>
      </c>
      <c r="B1829" s="1" t="n">
        <v>44848</v>
      </c>
      <c r="C1829" s="1" t="n">
        <v>45740</v>
      </c>
      <c r="D1829" t="inlineStr">
        <is>
          <t>JÄMTLANDS LÄN</t>
        </is>
      </c>
      <c r="E1829" t="inlineStr">
        <is>
          <t>STRÖMSUND</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46327-2022</t>
        </is>
      </c>
      <c r="B1830" s="1" t="n">
        <v>44848</v>
      </c>
      <c r="C1830" s="1" t="n">
        <v>45740</v>
      </c>
      <c r="D1830" t="inlineStr">
        <is>
          <t>JÄMTLANDS LÄN</t>
        </is>
      </c>
      <c r="E1830" t="inlineStr">
        <is>
          <t>STRÖMSUND</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46338-2022</t>
        </is>
      </c>
      <c r="B1831" s="1" t="n">
        <v>44848</v>
      </c>
      <c r="C1831" s="1" t="n">
        <v>45740</v>
      </c>
      <c r="D1831" t="inlineStr">
        <is>
          <t>JÄMTLANDS LÄN</t>
        </is>
      </c>
      <c r="E1831" t="inlineStr">
        <is>
          <t>STRÖMSUND</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46342-2022</t>
        </is>
      </c>
      <c r="B1832" s="1" t="n">
        <v>44848</v>
      </c>
      <c r="C1832" s="1" t="n">
        <v>45740</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46326-2022</t>
        </is>
      </c>
      <c r="B1833" s="1" t="n">
        <v>44848</v>
      </c>
      <c r="C1833" s="1" t="n">
        <v>45740</v>
      </c>
      <c r="D1833" t="inlineStr">
        <is>
          <t>JÄMTLANDS LÄN</t>
        </is>
      </c>
      <c r="E1833" t="inlineStr">
        <is>
          <t>STRÖMSUND</t>
        </is>
      </c>
      <c r="F1833" t="inlineStr">
        <is>
          <t>SCA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46332-2022</t>
        </is>
      </c>
      <c r="B1834" s="1" t="n">
        <v>44848</v>
      </c>
      <c r="C1834" s="1" t="n">
        <v>45740</v>
      </c>
      <c r="D1834" t="inlineStr">
        <is>
          <t>JÄMTLANDS LÄN</t>
        </is>
      </c>
      <c r="E1834" t="inlineStr">
        <is>
          <t>STRÖMSUND</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46337-2022</t>
        </is>
      </c>
      <c r="B1835" s="1" t="n">
        <v>44848</v>
      </c>
      <c r="C1835" s="1" t="n">
        <v>45740</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46346-2022</t>
        </is>
      </c>
      <c r="B1836" s="1" t="n">
        <v>44848</v>
      </c>
      <c r="C1836" s="1" t="n">
        <v>45740</v>
      </c>
      <c r="D1836" t="inlineStr">
        <is>
          <t>JÄMTLANDS LÄN</t>
        </is>
      </c>
      <c r="E1836" t="inlineStr">
        <is>
          <t>STRÖMSUND</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46336-2022</t>
        </is>
      </c>
      <c r="B1837" s="1" t="n">
        <v>44848</v>
      </c>
      <c r="C1837" s="1" t="n">
        <v>45740</v>
      </c>
      <c r="D1837" t="inlineStr">
        <is>
          <t>JÄMTLANDS LÄN</t>
        </is>
      </c>
      <c r="E1837" t="inlineStr">
        <is>
          <t>STRÖMSUND</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46345-2022</t>
        </is>
      </c>
      <c r="B1838" s="1" t="n">
        <v>44848</v>
      </c>
      <c r="C1838" s="1" t="n">
        <v>45740</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46322-2022</t>
        </is>
      </c>
      <c r="B1839" s="1" t="n">
        <v>44848</v>
      </c>
      <c r="C1839" s="1" t="n">
        <v>45740</v>
      </c>
      <c r="D1839" t="inlineStr">
        <is>
          <t>JÄMTLANDS LÄN</t>
        </is>
      </c>
      <c r="E1839" t="inlineStr">
        <is>
          <t>STRÖMSUND</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46335-2022</t>
        </is>
      </c>
      <c r="B1840" s="1" t="n">
        <v>44848</v>
      </c>
      <c r="C1840" s="1" t="n">
        <v>45740</v>
      </c>
      <c r="D1840" t="inlineStr">
        <is>
          <t>JÄMTLANDS LÄN</t>
        </is>
      </c>
      <c r="E1840" t="inlineStr">
        <is>
          <t>STRÖMSUND</t>
        </is>
      </c>
      <c r="F1840" t="inlineStr">
        <is>
          <t>SCA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46339-2022</t>
        </is>
      </c>
      <c r="B1841" s="1" t="n">
        <v>44848</v>
      </c>
      <c r="C1841" s="1" t="n">
        <v>45740</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46633-2022</t>
        </is>
      </c>
      <c r="B1842" s="1" t="n">
        <v>44849</v>
      </c>
      <c r="C1842" s="1" t="n">
        <v>45740</v>
      </c>
      <c r="D1842" t="inlineStr">
        <is>
          <t>JÄMTLANDS LÄN</t>
        </is>
      </c>
      <c r="E1842" t="inlineStr">
        <is>
          <t>STRÖMSUND</t>
        </is>
      </c>
      <c r="F1842" t="inlineStr">
        <is>
          <t>SCA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46975-2022</t>
        </is>
      </c>
      <c r="B1843" s="1" t="n">
        <v>44851</v>
      </c>
      <c r="C1843" s="1" t="n">
        <v>45740</v>
      </c>
      <c r="D1843" t="inlineStr">
        <is>
          <t>JÄMTLANDS LÄN</t>
        </is>
      </c>
      <c r="E1843" t="inlineStr">
        <is>
          <t>STRÖMSUND</t>
        </is>
      </c>
      <c r="F1843" t="inlineStr">
        <is>
          <t>SCA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46953-2022</t>
        </is>
      </c>
      <c r="B1844" s="1" t="n">
        <v>44852</v>
      </c>
      <c r="C1844" s="1" t="n">
        <v>45740</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46959-2022</t>
        </is>
      </c>
      <c r="B1845" s="1" t="n">
        <v>44851</v>
      </c>
      <c r="C1845" s="1" t="n">
        <v>45740</v>
      </c>
      <c r="D1845" t="inlineStr">
        <is>
          <t>JÄMTLANDS LÄN</t>
        </is>
      </c>
      <c r="E1845" t="inlineStr">
        <is>
          <t>STRÖMSUND</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46950-2022</t>
        </is>
      </c>
      <c r="B1846" s="1" t="n">
        <v>44851</v>
      </c>
      <c r="C1846" s="1" t="n">
        <v>45740</v>
      </c>
      <c r="D1846" t="inlineStr">
        <is>
          <t>JÄMTLANDS LÄN</t>
        </is>
      </c>
      <c r="E1846" t="inlineStr">
        <is>
          <t>STRÖMSUND</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46976-2022</t>
        </is>
      </c>
      <c r="B1847" s="1" t="n">
        <v>44851</v>
      </c>
      <c r="C1847" s="1" t="n">
        <v>45740</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46987-2022</t>
        </is>
      </c>
      <c r="B1848" s="1" t="n">
        <v>44851</v>
      </c>
      <c r="C1848" s="1" t="n">
        <v>45740</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47156-2022</t>
        </is>
      </c>
      <c r="B1849" s="1" t="n">
        <v>44852</v>
      </c>
      <c r="C1849" s="1" t="n">
        <v>45740</v>
      </c>
      <c r="D1849" t="inlineStr">
        <is>
          <t>JÄMTLANDS LÄN</t>
        </is>
      </c>
      <c r="E1849" t="inlineStr">
        <is>
          <t>STRÖMSUND</t>
        </is>
      </c>
      <c r="F1849" t="inlineStr">
        <is>
          <t>Holmen skog AB</t>
        </is>
      </c>
      <c r="G1849" t="n">
        <v>15.1</v>
      </c>
      <c r="H1849" t="n">
        <v>0</v>
      </c>
      <c r="I1849" t="n">
        <v>0</v>
      </c>
      <c r="J1849" t="n">
        <v>0</v>
      </c>
      <c r="K1849" t="n">
        <v>0</v>
      </c>
      <c r="L1849" t="n">
        <v>0</v>
      </c>
      <c r="M1849" t="n">
        <v>0</v>
      </c>
      <c r="N1849" t="n">
        <v>0</v>
      </c>
      <c r="O1849" t="n">
        <v>0</v>
      </c>
      <c r="P1849" t="n">
        <v>0</v>
      </c>
      <c r="Q1849" t="n">
        <v>0</v>
      </c>
      <c r="R1849" s="2" t="inlineStr"/>
    </row>
    <row r="1850" ht="15" customHeight="1">
      <c r="A1850" t="inlineStr">
        <is>
          <t>A 47248-2022</t>
        </is>
      </c>
      <c r="B1850" s="1" t="n">
        <v>44853</v>
      </c>
      <c r="C1850" s="1" t="n">
        <v>45740</v>
      </c>
      <c r="D1850" t="inlineStr">
        <is>
          <t>JÄMTLANDS LÄN</t>
        </is>
      </c>
      <c r="E1850" t="inlineStr">
        <is>
          <t>STRÖMSUND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47276-2022</t>
        </is>
      </c>
      <c r="B1851" s="1" t="n">
        <v>44853</v>
      </c>
      <c r="C1851" s="1" t="n">
        <v>45740</v>
      </c>
      <c r="D1851" t="inlineStr">
        <is>
          <t>JÄMTLANDS LÄN</t>
        </is>
      </c>
      <c r="E1851" t="inlineStr">
        <is>
          <t>STRÖMSUND</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47291-2022</t>
        </is>
      </c>
      <c r="B1852" s="1" t="n">
        <v>44852</v>
      </c>
      <c r="C1852" s="1" t="n">
        <v>45740</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47271-2022</t>
        </is>
      </c>
      <c r="B1853" s="1" t="n">
        <v>44852</v>
      </c>
      <c r="C1853" s="1" t="n">
        <v>45740</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47289-2022</t>
        </is>
      </c>
      <c r="B1854" s="1" t="n">
        <v>44853</v>
      </c>
      <c r="C1854" s="1" t="n">
        <v>45740</v>
      </c>
      <c r="D1854" t="inlineStr">
        <is>
          <t>JÄMTLANDS LÄN</t>
        </is>
      </c>
      <c r="E1854" t="inlineStr">
        <is>
          <t>STRÖMSUND</t>
        </is>
      </c>
      <c r="F1854" t="inlineStr">
        <is>
          <t>SCA</t>
        </is>
      </c>
      <c r="G1854" t="n">
        <v>44.2</v>
      </c>
      <c r="H1854" t="n">
        <v>0</v>
      </c>
      <c r="I1854" t="n">
        <v>0</v>
      </c>
      <c r="J1854" t="n">
        <v>0</v>
      </c>
      <c r="K1854" t="n">
        <v>0</v>
      </c>
      <c r="L1854" t="n">
        <v>0</v>
      </c>
      <c r="M1854" t="n">
        <v>0</v>
      </c>
      <c r="N1854" t="n">
        <v>0</v>
      </c>
      <c r="O1854" t="n">
        <v>0</v>
      </c>
      <c r="P1854" t="n">
        <v>0</v>
      </c>
      <c r="Q1854" t="n">
        <v>0</v>
      </c>
      <c r="R1854" s="2" t="inlineStr"/>
    </row>
    <row r="1855" ht="15" customHeight="1">
      <c r="A1855" t="inlineStr">
        <is>
          <t>A 47290-2022</t>
        </is>
      </c>
      <c r="B1855" s="1" t="n">
        <v>44852</v>
      </c>
      <c r="C1855" s="1" t="n">
        <v>45740</v>
      </c>
      <c r="D1855" t="inlineStr">
        <is>
          <t>JÄMTLANDS LÄN</t>
        </is>
      </c>
      <c r="E1855" t="inlineStr">
        <is>
          <t>STRÖMSUND</t>
        </is>
      </c>
      <c r="F1855" t="inlineStr">
        <is>
          <t>SCA</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47098-2022</t>
        </is>
      </c>
      <c r="B1856" s="1" t="n">
        <v>44852</v>
      </c>
      <c r="C1856" s="1" t="n">
        <v>45740</v>
      </c>
      <c r="D1856" t="inlineStr">
        <is>
          <t>JÄMTLANDS LÄN</t>
        </is>
      </c>
      <c r="E1856" t="inlineStr">
        <is>
          <t>STRÖMSUND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47360-2022</t>
        </is>
      </c>
      <c r="B1857" s="1" t="n">
        <v>44853</v>
      </c>
      <c r="C1857" s="1" t="n">
        <v>45740</v>
      </c>
      <c r="D1857" t="inlineStr">
        <is>
          <t>JÄMTLANDS LÄN</t>
        </is>
      </c>
      <c r="E1857" t="inlineStr">
        <is>
          <t>STRÖMSUND</t>
        </is>
      </c>
      <c r="F1857" t="inlineStr">
        <is>
          <t>Holmen skog AB</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47391-2022</t>
        </is>
      </c>
      <c r="B1858" s="1" t="n">
        <v>44853</v>
      </c>
      <c r="C1858" s="1" t="n">
        <v>45740</v>
      </c>
      <c r="D1858" t="inlineStr">
        <is>
          <t>JÄMTLANDS LÄN</t>
        </is>
      </c>
      <c r="E1858" t="inlineStr">
        <is>
          <t>STRÖMSUND</t>
        </is>
      </c>
      <c r="F1858" t="inlineStr">
        <is>
          <t>Holmen skog AB</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47577-2022</t>
        </is>
      </c>
      <c r="B1859" s="1" t="n">
        <v>44853</v>
      </c>
      <c r="C1859" s="1" t="n">
        <v>45740</v>
      </c>
      <c r="D1859" t="inlineStr">
        <is>
          <t>JÄMTLANDS LÄN</t>
        </is>
      </c>
      <c r="E1859" t="inlineStr">
        <is>
          <t>STRÖMSUND</t>
        </is>
      </c>
      <c r="F1859" t="inlineStr">
        <is>
          <t>SCA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47566-2022</t>
        </is>
      </c>
      <c r="B1860" s="1" t="n">
        <v>44854</v>
      </c>
      <c r="C1860" s="1" t="n">
        <v>45740</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47578-2022</t>
        </is>
      </c>
      <c r="B1861" s="1" t="n">
        <v>44853</v>
      </c>
      <c r="C1861" s="1" t="n">
        <v>45740</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47579-2022</t>
        </is>
      </c>
      <c r="B1862" s="1" t="n">
        <v>44854</v>
      </c>
      <c r="C1862" s="1" t="n">
        <v>45740</v>
      </c>
      <c r="D1862" t="inlineStr">
        <is>
          <t>JÄMTLANDS LÄN</t>
        </is>
      </c>
      <c r="E1862" t="inlineStr">
        <is>
          <t>STRÖMSUND</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47810-2022</t>
        </is>
      </c>
      <c r="B1863" s="1" t="n">
        <v>44855</v>
      </c>
      <c r="C1863" s="1" t="n">
        <v>45740</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48564-2022</t>
        </is>
      </c>
      <c r="B1864" s="1" t="n">
        <v>44854</v>
      </c>
      <c r="C1864" s="1" t="n">
        <v>45740</v>
      </c>
      <c r="D1864" t="inlineStr">
        <is>
          <t>JÄMTLANDS LÄN</t>
        </is>
      </c>
      <c r="E1864" t="inlineStr">
        <is>
          <t>STRÖMSUND</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47811-2022</t>
        </is>
      </c>
      <c r="B1865" s="1" t="n">
        <v>44855</v>
      </c>
      <c r="C1865" s="1" t="n">
        <v>45740</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48050-2022</t>
        </is>
      </c>
      <c r="B1866" s="1" t="n">
        <v>44856</v>
      </c>
      <c r="C1866" s="1" t="n">
        <v>45740</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48049-2022</t>
        </is>
      </c>
      <c r="B1867" s="1" t="n">
        <v>44856</v>
      </c>
      <c r="C1867" s="1" t="n">
        <v>45740</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48531-2022</t>
        </is>
      </c>
      <c r="B1868" s="1" t="n">
        <v>44858</v>
      </c>
      <c r="C1868" s="1" t="n">
        <v>45740</v>
      </c>
      <c r="D1868" t="inlineStr">
        <is>
          <t>JÄMTLANDS LÄN</t>
        </is>
      </c>
      <c r="E1868" t="inlineStr">
        <is>
          <t>STRÖMSUND</t>
        </is>
      </c>
      <c r="F1868" t="inlineStr">
        <is>
          <t>SCA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48543-2022</t>
        </is>
      </c>
      <c r="B1869" s="1" t="n">
        <v>44859</v>
      </c>
      <c r="C1869" s="1" t="n">
        <v>45740</v>
      </c>
      <c r="D1869" t="inlineStr">
        <is>
          <t>JÄMTLANDS LÄN</t>
        </is>
      </c>
      <c r="E1869" t="inlineStr">
        <is>
          <t>STRÖMSUND</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48547-2022</t>
        </is>
      </c>
      <c r="B1870" s="1" t="n">
        <v>44858</v>
      </c>
      <c r="C1870" s="1" t="n">
        <v>45740</v>
      </c>
      <c r="D1870" t="inlineStr">
        <is>
          <t>JÄMTLANDS LÄN</t>
        </is>
      </c>
      <c r="E1870" t="inlineStr">
        <is>
          <t>STRÖMSUND</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49287-2022</t>
        </is>
      </c>
      <c r="B1871" s="1" t="n">
        <v>44858</v>
      </c>
      <c r="C1871" s="1" t="n">
        <v>45740</v>
      </c>
      <c r="D1871" t="inlineStr">
        <is>
          <t>JÄMTLANDS LÄN</t>
        </is>
      </c>
      <c r="E1871" t="inlineStr">
        <is>
          <t>STRÖMSUND</t>
        </is>
      </c>
      <c r="G1871" t="n">
        <v>200</v>
      </c>
      <c r="H1871" t="n">
        <v>0</v>
      </c>
      <c r="I1871" t="n">
        <v>0</v>
      </c>
      <c r="J1871" t="n">
        <v>0</v>
      </c>
      <c r="K1871" t="n">
        <v>0</v>
      </c>
      <c r="L1871" t="n">
        <v>0</v>
      </c>
      <c r="M1871" t="n">
        <v>0</v>
      </c>
      <c r="N1871" t="n">
        <v>0</v>
      </c>
      <c r="O1871" t="n">
        <v>0</v>
      </c>
      <c r="P1871" t="n">
        <v>0</v>
      </c>
      <c r="Q1871" t="n">
        <v>0</v>
      </c>
      <c r="R1871" s="2" t="inlineStr"/>
    </row>
    <row r="1872" ht="15" customHeight="1">
      <c r="A1872" t="inlineStr">
        <is>
          <t>A 48333-2022</t>
        </is>
      </c>
      <c r="B1872" s="1" t="n">
        <v>44858</v>
      </c>
      <c r="C1872" s="1" t="n">
        <v>45740</v>
      </c>
      <c r="D1872" t="inlineStr">
        <is>
          <t>JÄMTLANDS LÄN</t>
        </is>
      </c>
      <c r="E1872" t="inlineStr">
        <is>
          <t>STRÖMSUND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48528-2022</t>
        </is>
      </c>
      <c r="B1873" s="1" t="n">
        <v>44859</v>
      </c>
      <c r="C1873" s="1" t="n">
        <v>45740</v>
      </c>
      <c r="D1873" t="inlineStr">
        <is>
          <t>JÄMTLANDS LÄN</t>
        </is>
      </c>
      <c r="E1873" t="inlineStr">
        <is>
          <t>STRÖMSUND</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48545-2022</t>
        </is>
      </c>
      <c r="B1874" s="1" t="n">
        <v>44858</v>
      </c>
      <c r="C1874" s="1" t="n">
        <v>45740</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48542-2022</t>
        </is>
      </c>
      <c r="B1875" s="1" t="n">
        <v>44859</v>
      </c>
      <c r="C1875" s="1" t="n">
        <v>45740</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48546-2022</t>
        </is>
      </c>
      <c r="B1876" s="1" t="n">
        <v>44858</v>
      </c>
      <c r="C1876" s="1" t="n">
        <v>45740</v>
      </c>
      <c r="D1876" t="inlineStr">
        <is>
          <t>JÄMTLANDS LÄN</t>
        </is>
      </c>
      <c r="E1876" t="inlineStr">
        <is>
          <t>STRÖMSUND</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48926-2022</t>
        </is>
      </c>
      <c r="B1877" s="1" t="n">
        <v>44859</v>
      </c>
      <c r="C1877" s="1" t="n">
        <v>45740</v>
      </c>
      <c r="D1877" t="inlineStr">
        <is>
          <t>JÄMTLANDS LÄN</t>
        </is>
      </c>
      <c r="E1877" t="inlineStr">
        <is>
          <t>STRÖMSUND</t>
        </is>
      </c>
      <c r="F1877" t="inlineStr">
        <is>
          <t>SCA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48894-2022</t>
        </is>
      </c>
      <c r="B1878" s="1" t="n">
        <v>44860</v>
      </c>
      <c r="C1878" s="1" t="n">
        <v>45740</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48933-2022</t>
        </is>
      </c>
      <c r="B1879" s="1" t="n">
        <v>44860</v>
      </c>
      <c r="C1879" s="1" t="n">
        <v>45740</v>
      </c>
      <c r="D1879" t="inlineStr">
        <is>
          <t>JÄMTLANDS LÄN</t>
        </is>
      </c>
      <c r="E1879" t="inlineStr">
        <is>
          <t>STRÖMSUND</t>
        </is>
      </c>
      <c r="F1879" t="inlineStr">
        <is>
          <t>SCA</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49752-2022</t>
        </is>
      </c>
      <c r="B1880" s="1" t="n">
        <v>44859</v>
      </c>
      <c r="C1880" s="1" t="n">
        <v>45740</v>
      </c>
      <c r="D1880" t="inlineStr">
        <is>
          <t>JÄMTLANDS LÄN</t>
        </is>
      </c>
      <c r="E1880" t="inlineStr">
        <is>
          <t>STRÖMSUND</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48963-2022</t>
        </is>
      </c>
      <c r="B1881" s="1" t="n">
        <v>44860</v>
      </c>
      <c r="C1881" s="1" t="n">
        <v>45740</v>
      </c>
      <c r="D1881" t="inlineStr">
        <is>
          <t>JÄMTLANDS LÄN</t>
        </is>
      </c>
      <c r="E1881" t="inlineStr">
        <is>
          <t>STRÖMSUND</t>
        </is>
      </c>
      <c r="F1881" t="inlineStr">
        <is>
          <t>Sveaskog</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49541-2022</t>
        </is>
      </c>
      <c r="B1882" s="1" t="n">
        <v>44862</v>
      </c>
      <c r="C1882" s="1" t="n">
        <v>45740</v>
      </c>
      <c r="D1882" t="inlineStr">
        <is>
          <t>JÄMTLANDS LÄN</t>
        </is>
      </c>
      <c r="E1882" t="inlineStr">
        <is>
          <t>STRÖMSUND</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50313-2022</t>
        </is>
      </c>
      <c r="B1883" s="1" t="n">
        <v>44865</v>
      </c>
      <c r="C1883" s="1" t="n">
        <v>45740</v>
      </c>
      <c r="D1883" t="inlineStr">
        <is>
          <t>JÄMTLANDS LÄN</t>
        </is>
      </c>
      <c r="E1883" t="inlineStr">
        <is>
          <t>STRÖMSUND</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50317-2022</t>
        </is>
      </c>
      <c r="B1884" s="1" t="n">
        <v>44865</v>
      </c>
      <c r="C1884" s="1" t="n">
        <v>45740</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50316-2022</t>
        </is>
      </c>
      <c r="B1885" s="1" t="n">
        <v>44865</v>
      </c>
      <c r="C1885" s="1" t="n">
        <v>45740</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50305-2022</t>
        </is>
      </c>
      <c r="B1886" s="1" t="n">
        <v>44865</v>
      </c>
      <c r="C1886" s="1" t="n">
        <v>45740</v>
      </c>
      <c r="D1886" t="inlineStr">
        <is>
          <t>JÄMTLANDS LÄN</t>
        </is>
      </c>
      <c r="E1886" t="inlineStr">
        <is>
          <t>STRÖMSUND</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50314-2022</t>
        </is>
      </c>
      <c r="B1887" s="1" t="n">
        <v>44865</v>
      </c>
      <c r="C1887" s="1" t="n">
        <v>45740</v>
      </c>
      <c r="D1887" t="inlineStr">
        <is>
          <t>JÄMTLANDS LÄN</t>
        </is>
      </c>
      <c r="E1887" t="inlineStr">
        <is>
          <t>STRÖMSUND</t>
        </is>
      </c>
      <c r="F1887" t="inlineStr">
        <is>
          <t>SCA</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50337-2022</t>
        </is>
      </c>
      <c r="B1888" s="1" t="n">
        <v>44865</v>
      </c>
      <c r="C1888" s="1" t="n">
        <v>45740</v>
      </c>
      <c r="D1888" t="inlineStr">
        <is>
          <t>JÄMTLANDS LÄN</t>
        </is>
      </c>
      <c r="E1888" t="inlineStr">
        <is>
          <t>STRÖMSUND</t>
        </is>
      </c>
      <c r="F1888" t="inlineStr">
        <is>
          <t>SCA</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50315-2022</t>
        </is>
      </c>
      <c r="B1889" s="1" t="n">
        <v>44865</v>
      </c>
      <c r="C1889" s="1" t="n">
        <v>45740</v>
      </c>
      <c r="D1889" t="inlineStr">
        <is>
          <t>JÄMTLANDS LÄN</t>
        </is>
      </c>
      <c r="E1889" t="inlineStr">
        <is>
          <t>STRÖMSUND</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50320-2022</t>
        </is>
      </c>
      <c r="B1890" s="1" t="n">
        <v>44865</v>
      </c>
      <c r="C1890" s="1" t="n">
        <v>45740</v>
      </c>
      <c r="D1890" t="inlineStr">
        <is>
          <t>JÄMTLANDS LÄN</t>
        </is>
      </c>
      <c r="E1890" t="inlineStr">
        <is>
          <t>STRÖMSUND</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50335-2022</t>
        </is>
      </c>
      <c r="B1891" s="1" t="n">
        <v>44865</v>
      </c>
      <c r="C1891" s="1" t="n">
        <v>45740</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50450-2022</t>
        </is>
      </c>
      <c r="B1892" s="1" t="n">
        <v>44866</v>
      </c>
      <c r="C1892" s="1" t="n">
        <v>45740</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50645-2022</t>
        </is>
      </c>
      <c r="B1893" s="1" t="n">
        <v>44866</v>
      </c>
      <c r="C1893" s="1" t="n">
        <v>45740</v>
      </c>
      <c r="D1893" t="inlineStr">
        <is>
          <t>JÄMTLANDS LÄN</t>
        </is>
      </c>
      <c r="E1893" t="inlineStr">
        <is>
          <t>STRÖMSUND</t>
        </is>
      </c>
      <c r="F1893" t="inlineStr">
        <is>
          <t>SCA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50646-2022</t>
        </is>
      </c>
      <c r="B1894" s="1" t="n">
        <v>44866</v>
      </c>
      <c r="C1894" s="1" t="n">
        <v>45740</v>
      </c>
      <c r="D1894" t="inlineStr">
        <is>
          <t>JÄMTLANDS LÄN</t>
        </is>
      </c>
      <c r="E1894" t="inlineStr">
        <is>
          <t>STRÖMSUND</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50657-2022</t>
        </is>
      </c>
      <c r="B1895" s="1" t="n">
        <v>44866</v>
      </c>
      <c r="C1895" s="1" t="n">
        <v>45740</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50661-2022</t>
        </is>
      </c>
      <c r="B1896" s="1" t="n">
        <v>44866</v>
      </c>
      <c r="C1896" s="1" t="n">
        <v>45740</v>
      </c>
      <c r="D1896" t="inlineStr">
        <is>
          <t>JÄMTLANDS LÄN</t>
        </is>
      </c>
      <c r="E1896" t="inlineStr">
        <is>
          <t>STRÖMSUND</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50659-2022</t>
        </is>
      </c>
      <c r="B1897" s="1" t="n">
        <v>44866</v>
      </c>
      <c r="C1897" s="1" t="n">
        <v>45740</v>
      </c>
      <c r="D1897" t="inlineStr">
        <is>
          <t>JÄMTLANDS LÄN</t>
        </is>
      </c>
      <c r="E1897" t="inlineStr">
        <is>
          <t>STRÖMSUND</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50663-2022</t>
        </is>
      </c>
      <c r="B1898" s="1" t="n">
        <v>44866</v>
      </c>
      <c r="C1898" s="1" t="n">
        <v>45740</v>
      </c>
      <c r="D1898" t="inlineStr">
        <is>
          <t>JÄMTLANDS LÄN</t>
        </is>
      </c>
      <c r="E1898" t="inlineStr">
        <is>
          <t>STRÖMSUND</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50664-2022</t>
        </is>
      </c>
      <c r="B1899" s="1" t="n">
        <v>44866</v>
      </c>
      <c r="C1899" s="1" t="n">
        <v>45740</v>
      </c>
      <c r="D1899" t="inlineStr">
        <is>
          <t>JÄMTLANDS LÄN</t>
        </is>
      </c>
      <c r="E1899" t="inlineStr">
        <is>
          <t>STRÖMSUND</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50680-2022</t>
        </is>
      </c>
      <c r="B1900" s="1" t="n">
        <v>44866</v>
      </c>
      <c r="C1900" s="1" t="n">
        <v>45740</v>
      </c>
      <c r="D1900" t="inlineStr">
        <is>
          <t>JÄMTLANDS LÄN</t>
        </is>
      </c>
      <c r="E1900" t="inlineStr">
        <is>
          <t>STRÖMSUND</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50647-2022</t>
        </is>
      </c>
      <c r="B1901" s="1" t="n">
        <v>44866</v>
      </c>
      <c r="C1901" s="1" t="n">
        <v>45740</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50658-2022</t>
        </is>
      </c>
      <c r="B1902" s="1" t="n">
        <v>44866</v>
      </c>
      <c r="C1902" s="1" t="n">
        <v>45740</v>
      </c>
      <c r="D1902" t="inlineStr">
        <is>
          <t>JÄMTLANDS LÄN</t>
        </is>
      </c>
      <c r="E1902" t="inlineStr">
        <is>
          <t>STRÖMSUND</t>
        </is>
      </c>
      <c r="F1902" t="inlineStr">
        <is>
          <t>SCA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51344-2022</t>
        </is>
      </c>
      <c r="B1903" s="1" t="n">
        <v>44866</v>
      </c>
      <c r="C1903" s="1" t="n">
        <v>45740</v>
      </c>
      <c r="D1903" t="inlineStr">
        <is>
          <t>JÄMTLANDS LÄN</t>
        </is>
      </c>
      <c r="E1903" t="inlineStr">
        <is>
          <t>STRÖMSUND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50681-2022</t>
        </is>
      </c>
      <c r="B1904" s="1" t="n">
        <v>44866</v>
      </c>
      <c r="C1904" s="1" t="n">
        <v>45740</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50687-2022</t>
        </is>
      </c>
      <c r="B1905" s="1" t="n">
        <v>44866</v>
      </c>
      <c r="C1905" s="1" t="n">
        <v>45740</v>
      </c>
      <c r="D1905" t="inlineStr">
        <is>
          <t>JÄMTLANDS LÄN</t>
        </is>
      </c>
      <c r="E1905" t="inlineStr">
        <is>
          <t>STRÖMSUND</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50934-2022</t>
        </is>
      </c>
      <c r="B1906" s="1" t="n">
        <v>44867</v>
      </c>
      <c r="C1906" s="1" t="n">
        <v>45740</v>
      </c>
      <c r="D1906" t="inlineStr">
        <is>
          <t>JÄMTLANDS LÄN</t>
        </is>
      </c>
      <c r="E1906" t="inlineStr">
        <is>
          <t>STRÖMSUND</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51013-2022</t>
        </is>
      </c>
      <c r="B1907" s="1" t="n">
        <v>44867</v>
      </c>
      <c r="C1907" s="1" t="n">
        <v>45740</v>
      </c>
      <c r="D1907" t="inlineStr">
        <is>
          <t>JÄMTLANDS LÄN</t>
        </is>
      </c>
      <c r="E1907" t="inlineStr">
        <is>
          <t>STRÖMSUND</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51015-2022</t>
        </is>
      </c>
      <c r="B1908" s="1" t="n">
        <v>44867</v>
      </c>
      <c r="C1908" s="1" t="n">
        <v>45740</v>
      </c>
      <c r="D1908" t="inlineStr">
        <is>
          <t>JÄMTLANDS LÄN</t>
        </is>
      </c>
      <c r="E1908" t="inlineStr">
        <is>
          <t>STRÖMSUND</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51021-2022</t>
        </is>
      </c>
      <c r="B1909" s="1" t="n">
        <v>44867</v>
      </c>
      <c r="C1909" s="1" t="n">
        <v>45740</v>
      </c>
      <c r="D1909" t="inlineStr">
        <is>
          <t>JÄMTLANDS LÄN</t>
        </is>
      </c>
      <c r="E1909" t="inlineStr">
        <is>
          <t>STRÖMSUND</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51889-2022</t>
        </is>
      </c>
      <c r="B1910" s="1" t="n">
        <v>44867</v>
      </c>
      <c r="C1910" s="1" t="n">
        <v>45740</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51325-2022</t>
        </is>
      </c>
      <c r="B1911" s="1" t="n">
        <v>44868</v>
      </c>
      <c r="C1911" s="1" t="n">
        <v>45740</v>
      </c>
      <c r="D1911" t="inlineStr">
        <is>
          <t>JÄMTLANDS LÄN</t>
        </is>
      </c>
      <c r="E1911" t="inlineStr">
        <is>
          <t>STRÖMSUND</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51324-2022</t>
        </is>
      </c>
      <c r="B1912" s="1" t="n">
        <v>44868</v>
      </c>
      <c r="C1912" s="1" t="n">
        <v>45740</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52181-2022</t>
        </is>
      </c>
      <c r="B1913" s="1" t="n">
        <v>44868</v>
      </c>
      <c r="C1913" s="1" t="n">
        <v>45740</v>
      </c>
      <c r="D1913" t="inlineStr">
        <is>
          <t>JÄMTLANDS LÄN</t>
        </is>
      </c>
      <c r="E1913" t="inlineStr">
        <is>
          <t>STRÖMSUND</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51450-2022</t>
        </is>
      </c>
      <c r="B1914" s="1" t="n">
        <v>44869</v>
      </c>
      <c r="C1914" s="1" t="n">
        <v>45740</v>
      </c>
      <c r="D1914" t="inlineStr">
        <is>
          <t>JÄMTLANDS LÄN</t>
        </is>
      </c>
      <c r="E1914" t="inlineStr">
        <is>
          <t>STRÖMSUND</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51562-2022</t>
        </is>
      </c>
      <c r="B1915" s="1" t="n">
        <v>44869</v>
      </c>
      <c r="C1915" s="1" t="n">
        <v>45740</v>
      </c>
      <c r="D1915" t="inlineStr">
        <is>
          <t>JÄMTLANDS LÄN</t>
        </is>
      </c>
      <c r="E1915" t="inlineStr">
        <is>
          <t>STRÖMSUND</t>
        </is>
      </c>
      <c r="F1915" t="inlineStr">
        <is>
          <t>SCA</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51563-2022</t>
        </is>
      </c>
      <c r="B1916" s="1" t="n">
        <v>44869</v>
      </c>
      <c r="C1916" s="1" t="n">
        <v>45740</v>
      </c>
      <c r="D1916" t="inlineStr">
        <is>
          <t>JÄMTLANDS LÄN</t>
        </is>
      </c>
      <c r="E1916" t="inlineStr">
        <is>
          <t>STRÖMSUND</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52038-2022</t>
        </is>
      </c>
      <c r="B1917" s="1" t="n">
        <v>44872</v>
      </c>
      <c r="C1917" s="1" t="n">
        <v>45740</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52028-2022</t>
        </is>
      </c>
      <c r="B1918" s="1" t="n">
        <v>44872</v>
      </c>
      <c r="C1918" s="1" t="n">
        <v>45740</v>
      </c>
      <c r="D1918" t="inlineStr">
        <is>
          <t>JÄMTLANDS LÄN</t>
        </is>
      </c>
      <c r="E1918" t="inlineStr">
        <is>
          <t>STRÖMSUND</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52806-2022</t>
        </is>
      </c>
      <c r="B1919" s="1" t="n">
        <v>44872</v>
      </c>
      <c r="C1919" s="1" t="n">
        <v>45740</v>
      </c>
      <c r="D1919" t="inlineStr">
        <is>
          <t>JÄMTLANDS LÄN</t>
        </is>
      </c>
      <c r="E1919" t="inlineStr">
        <is>
          <t>STRÖMSUND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52345-2022</t>
        </is>
      </c>
      <c r="B1920" s="1" t="n">
        <v>44873</v>
      </c>
      <c r="C1920" s="1" t="n">
        <v>45740</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52352-2022</t>
        </is>
      </c>
      <c r="B1921" s="1" t="n">
        <v>44873</v>
      </c>
      <c r="C1921" s="1" t="n">
        <v>45740</v>
      </c>
      <c r="D1921" t="inlineStr">
        <is>
          <t>JÄMTLANDS LÄN</t>
        </is>
      </c>
      <c r="E1921" t="inlineStr">
        <is>
          <t>STRÖMSUND</t>
        </is>
      </c>
      <c r="F1921" t="inlineStr">
        <is>
          <t>SCA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52344-2022</t>
        </is>
      </c>
      <c r="B1922" s="1" t="n">
        <v>44873</v>
      </c>
      <c r="C1922" s="1" t="n">
        <v>45740</v>
      </c>
      <c r="D1922" t="inlineStr">
        <is>
          <t>JÄMTLANDS LÄN</t>
        </is>
      </c>
      <c r="E1922" t="inlineStr">
        <is>
          <t>STRÖMSUND</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52715-2022</t>
        </is>
      </c>
      <c r="B1923" s="1" t="n">
        <v>44874</v>
      </c>
      <c r="C1923" s="1" t="n">
        <v>45740</v>
      </c>
      <c r="D1923" t="inlineStr">
        <is>
          <t>JÄMTLANDS LÄN</t>
        </is>
      </c>
      <c r="E1923" t="inlineStr">
        <is>
          <t>STRÖMSUND</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52521-2022</t>
        </is>
      </c>
      <c r="B1924" s="1" t="n">
        <v>44874</v>
      </c>
      <c r="C1924" s="1" t="n">
        <v>45740</v>
      </c>
      <c r="D1924" t="inlineStr">
        <is>
          <t>JÄMTLANDS LÄN</t>
        </is>
      </c>
      <c r="E1924" t="inlineStr">
        <is>
          <t>STRÖMSUND</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52728-2022</t>
        </is>
      </c>
      <c r="B1925" s="1" t="n">
        <v>44874</v>
      </c>
      <c r="C1925" s="1" t="n">
        <v>45740</v>
      </c>
      <c r="D1925" t="inlineStr">
        <is>
          <t>JÄMTLANDS LÄN</t>
        </is>
      </c>
      <c r="E1925" t="inlineStr">
        <is>
          <t>STRÖMSUND</t>
        </is>
      </c>
      <c r="F1925" t="inlineStr">
        <is>
          <t>SCA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53019-2022</t>
        </is>
      </c>
      <c r="B1926" s="1" t="n">
        <v>44875</v>
      </c>
      <c r="C1926" s="1" t="n">
        <v>45740</v>
      </c>
      <c r="D1926" t="inlineStr">
        <is>
          <t>JÄMTLANDS LÄN</t>
        </is>
      </c>
      <c r="E1926" t="inlineStr">
        <is>
          <t>STRÖMSUND</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53020-2022</t>
        </is>
      </c>
      <c r="B1927" s="1" t="n">
        <v>44875</v>
      </c>
      <c r="C1927" s="1" t="n">
        <v>45740</v>
      </c>
      <c r="D1927" t="inlineStr">
        <is>
          <t>JÄMTLANDS LÄN</t>
        </is>
      </c>
      <c r="E1927" t="inlineStr">
        <is>
          <t>STRÖMSUND</t>
        </is>
      </c>
      <c r="F1927" t="inlineStr">
        <is>
          <t>SCA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53016-2022</t>
        </is>
      </c>
      <c r="B1928" s="1" t="n">
        <v>44875</v>
      </c>
      <c r="C1928" s="1" t="n">
        <v>45740</v>
      </c>
      <c r="D1928" t="inlineStr">
        <is>
          <t>JÄMTLANDS LÄN</t>
        </is>
      </c>
      <c r="E1928" t="inlineStr">
        <is>
          <t>STRÖMSUND</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53143-2022</t>
        </is>
      </c>
      <c r="B1929" s="1" t="n">
        <v>44876</v>
      </c>
      <c r="C1929" s="1" t="n">
        <v>45740</v>
      </c>
      <c r="D1929" t="inlineStr">
        <is>
          <t>JÄMTLANDS LÄN</t>
        </is>
      </c>
      <c r="E1929" t="inlineStr">
        <is>
          <t>STRÖMSUND</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53149-2022</t>
        </is>
      </c>
      <c r="B1930" s="1" t="n">
        <v>44876</v>
      </c>
      <c r="C1930" s="1" t="n">
        <v>45740</v>
      </c>
      <c r="D1930" t="inlineStr">
        <is>
          <t>JÄMTLANDS LÄN</t>
        </is>
      </c>
      <c r="E1930" t="inlineStr">
        <is>
          <t>STRÖMSUND</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53816-2022</t>
        </is>
      </c>
      <c r="B1931" s="1" t="n">
        <v>44876</v>
      </c>
      <c r="C1931" s="1" t="n">
        <v>45740</v>
      </c>
      <c r="D1931" t="inlineStr">
        <is>
          <t>JÄMTLANDS LÄN</t>
        </is>
      </c>
      <c r="E1931" t="inlineStr">
        <is>
          <t>STRÖMSUND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54050-2022</t>
        </is>
      </c>
      <c r="B1932" s="1" t="n">
        <v>44876</v>
      </c>
      <c r="C1932" s="1" t="n">
        <v>45740</v>
      </c>
      <c r="D1932" t="inlineStr">
        <is>
          <t>JÄMTLANDS LÄN</t>
        </is>
      </c>
      <c r="E1932" t="inlineStr">
        <is>
          <t>STRÖMSUND</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53318-2022</t>
        </is>
      </c>
      <c r="B1933" s="1" t="n">
        <v>44878</v>
      </c>
      <c r="C1933" s="1" t="n">
        <v>45740</v>
      </c>
      <c r="D1933" t="inlineStr">
        <is>
          <t>JÄMTLANDS LÄN</t>
        </is>
      </c>
      <c r="E1933" t="inlineStr">
        <is>
          <t>STRÖMSUND</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53338-2022</t>
        </is>
      </c>
      <c r="B1934" s="1" t="n">
        <v>44879</v>
      </c>
      <c r="C1934" s="1" t="n">
        <v>45740</v>
      </c>
      <c r="D1934" t="inlineStr">
        <is>
          <t>JÄMTLANDS LÄN</t>
        </is>
      </c>
      <c r="E1934" t="inlineStr">
        <is>
          <t>STRÖMSUND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53400-2022</t>
        </is>
      </c>
      <c r="B1935" s="1" t="n">
        <v>44879</v>
      </c>
      <c r="C1935" s="1" t="n">
        <v>45740</v>
      </c>
      <c r="D1935" t="inlineStr">
        <is>
          <t>JÄMTLANDS LÄN</t>
        </is>
      </c>
      <c r="E1935" t="inlineStr">
        <is>
          <t>STRÖMSUND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53396-2022</t>
        </is>
      </c>
      <c r="B1936" s="1" t="n">
        <v>44879</v>
      </c>
      <c r="C1936" s="1" t="n">
        <v>45740</v>
      </c>
      <c r="D1936" t="inlineStr">
        <is>
          <t>JÄMTLANDS LÄN</t>
        </is>
      </c>
      <c r="E1936" t="inlineStr">
        <is>
          <t>STRÖMSUND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54577-2022</t>
        </is>
      </c>
      <c r="B1937" s="1" t="n">
        <v>44882</v>
      </c>
      <c r="C1937" s="1" t="n">
        <v>45740</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54581-2022</t>
        </is>
      </c>
      <c r="B1938" s="1" t="n">
        <v>44882</v>
      </c>
      <c r="C1938" s="1" t="n">
        <v>45740</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55459-2022</t>
        </is>
      </c>
      <c r="B1939" s="1" t="n">
        <v>44882</v>
      </c>
      <c r="C1939" s="1" t="n">
        <v>45740</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55485-2022</t>
        </is>
      </c>
      <c r="B1940" s="1" t="n">
        <v>44882</v>
      </c>
      <c r="C1940" s="1" t="n">
        <v>45740</v>
      </c>
      <c r="D1940" t="inlineStr">
        <is>
          <t>JÄMTLANDS LÄN</t>
        </is>
      </c>
      <c r="E1940" t="inlineStr">
        <is>
          <t>STRÖMSUND</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54828-2022</t>
        </is>
      </c>
      <c r="B1941" s="1" t="n">
        <v>44883</v>
      </c>
      <c r="C1941" s="1" t="n">
        <v>45740</v>
      </c>
      <c r="D1941" t="inlineStr">
        <is>
          <t>JÄMTLANDS LÄN</t>
        </is>
      </c>
      <c r="E1941" t="inlineStr">
        <is>
          <t>STRÖMSUND</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54839-2022</t>
        </is>
      </c>
      <c r="B1942" s="1" t="n">
        <v>44883</v>
      </c>
      <c r="C1942" s="1" t="n">
        <v>45740</v>
      </c>
      <c r="D1942" t="inlineStr">
        <is>
          <t>JÄMTLANDS LÄN</t>
        </is>
      </c>
      <c r="E1942" t="inlineStr">
        <is>
          <t>STRÖMSUND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54843-2022</t>
        </is>
      </c>
      <c r="B1943" s="1" t="n">
        <v>44883</v>
      </c>
      <c r="C1943" s="1" t="n">
        <v>45740</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54844-2022</t>
        </is>
      </c>
      <c r="B1944" s="1" t="n">
        <v>44883</v>
      </c>
      <c r="C1944" s="1" t="n">
        <v>45740</v>
      </c>
      <c r="D1944" t="inlineStr">
        <is>
          <t>JÄMTLANDS LÄN</t>
        </is>
      </c>
      <c r="E1944" t="inlineStr">
        <is>
          <t>STRÖMSUND</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55525-2022</t>
        </is>
      </c>
      <c r="B1945" s="1" t="n">
        <v>44887</v>
      </c>
      <c r="C1945" s="1" t="n">
        <v>45740</v>
      </c>
      <c r="D1945" t="inlineStr">
        <is>
          <t>JÄMTLANDS LÄN</t>
        </is>
      </c>
      <c r="E1945" t="inlineStr">
        <is>
          <t>STRÖMSUND</t>
        </is>
      </c>
      <c r="F1945" t="inlineStr">
        <is>
          <t>SCA</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55524-2022</t>
        </is>
      </c>
      <c r="B1946" s="1" t="n">
        <v>44887</v>
      </c>
      <c r="C1946" s="1" t="n">
        <v>45740</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55531-2022</t>
        </is>
      </c>
      <c r="B1947" s="1" t="n">
        <v>44887</v>
      </c>
      <c r="C1947" s="1" t="n">
        <v>45740</v>
      </c>
      <c r="D1947" t="inlineStr">
        <is>
          <t>JÄMTLANDS LÄN</t>
        </is>
      </c>
      <c r="E1947" t="inlineStr">
        <is>
          <t>STRÖMSUND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55901-2022</t>
        </is>
      </c>
      <c r="B1948" s="1" t="n">
        <v>44888</v>
      </c>
      <c r="C1948" s="1" t="n">
        <v>45740</v>
      </c>
      <c r="D1948" t="inlineStr">
        <is>
          <t>JÄMTLANDS LÄN</t>
        </is>
      </c>
      <c r="E1948" t="inlineStr">
        <is>
          <t>STRÖMSUND</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56091-2022</t>
        </is>
      </c>
      <c r="B1949" s="1" t="n">
        <v>44889</v>
      </c>
      <c r="C1949" s="1" t="n">
        <v>45740</v>
      </c>
      <c r="D1949" t="inlineStr">
        <is>
          <t>JÄMTLANDS LÄN</t>
        </is>
      </c>
      <c r="E1949" t="inlineStr">
        <is>
          <t>STRÖMSUND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56171-2022</t>
        </is>
      </c>
      <c r="B1950" s="1" t="n">
        <v>44889</v>
      </c>
      <c r="C1950" s="1" t="n">
        <v>45740</v>
      </c>
      <c r="D1950" t="inlineStr">
        <is>
          <t>JÄMTLANDS LÄN</t>
        </is>
      </c>
      <c r="E1950" t="inlineStr">
        <is>
          <t>STRÖMSUND</t>
        </is>
      </c>
      <c r="F1950" t="inlineStr">
        <is>
          <t>SCA</t>
        </is>
      </c>
      <c r="G1950" t="n">
        <v>21.9</v>
      </c>
      <c r="H1950" t="n">
        <v>0</v>
      </c>
      <c r="I1950" t="n">
        <v>0</v>
      </c>
      <c r="J1950" t="n">
        <v>0</v>
      </c>
      <c r="K1950" t="n">
        <v>0</v>
      </c>
      <c r="L1950" t="n">
        <v>0</v>
      </c>
      <c r="M1950" t="n">
        <v>0</v>
      </c>
      <c r="N1950" t="n">
        <v>0</v>
      </c>
      <c r="O1950" t="n">
        <v>0</v>
      </c>
      <c r="P1950" t="n">
        <v>0</v>
      </c>
      <c r="Q1950" t="n">
        <v>0</v>
      </c>
      <c r="R1950" s="2" t="inlineStr"/>
    </row>
    <row r="1951" ht="15" customHeight="1">
      <c r="A1951" t="inlineStr">
        <is>
          <t>A 56196-2022</t>
        </is>
      </c>
      <c r="B1951" s="1" t="n">
        <v>44889</v>
      </c>
      <c r="C1951" s="1" t="n">
        <v>45740</v>
      </c>
      <c r="D1951" t="inlineStr">
        <is>
          <t>JÄMTLANDS LÄN</t>
        </is>
      </c>
      <c r="E1951" t="inlineStr">
        <is>
          <t>STRÖMSUND</t>
        </is>
      </c>
      <c r="F1951" t="inlineStr">
        <is>
          <t>SCA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56412-2022</t>
        </is>
      </c>
      <c r="B1952" s="1" t="n">
        <v>44890</v>
      </c>
      <c r="C1952" s="1" t="n">
        <v>45740</v>
      </c>
      <c r="D1952" t="inlineStr">
        <is>
          <t>JÄMTLANDS LÄN</t>
        </is>
      </c>
      <c r="E1952" t="inlineStr">
        <is>
          <t>STRÖMSUND</t>
        </is>
      </c>
      <c r="F1952" t="inlineStr">
        <is>
          <t>SCA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57740-2022</t>
        </is>
      </c>
      <c r="B1953" s="1" t="n">
        <v>44890</v>
      </c>
      <c r="C1953" s="1" t="n">
        <v>45740</v>
      </c>
      <c r="D1953" t="inlineStr">
        <is>
          <t>JÄMTLANDS LÄN</t>
        </is>
      </c>
      <c r="E1953" t="inlineStr">
        <is>
          <t>STRÖMSUND</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57762-2022</t>
        </is>
      </c>
      <c r="B1954" s="1" t="n">
        <v>44890</v>
      </c>
      <c r="C1954" s="1" t="n">
        <v>45740</v>
      </c>
      <c r="D1954" t="inlineStr">
        <is>
          <t>JÄMTLANDS LÄN</t>
        </is>
      </c>
      <c r="E1954" t="inlineStr">
        <is>
          <t>STRÖMSUND</t>
        </is>
      </c>
      <c r="F1954" t="inlineStr">
        <is>
          <t>Kyrkan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56413-2022</t>
        </is>
      </c>
      <c r="B1955" s="1" t="n">
        <v>44890</v>
      </c>
      <c r="C1955" s="1" t="n">
        <v>45740</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57754-2022</t>
        </is>
      </c>
      <c r="B1956" s="1" t="n">
        <v>44890</v>
      </c>
      <c r="C1956" s="1" t="n">
        <v>45740</v>
      </c>
      <c r="D1956" t="inlineStr">
        <is>
          <t>JÄMTLANDS LÄN</t>
        </is>
      </c>
      <c r="E1956" t="inlineStr">
        <is>
          <t>STRÖMSUND</t>
        </is>
      </c>
      <c r="F1956" t="inlineStr">
        <is>
          <t>Kyrkan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58031-2022</t>
        </is>
      </c>
      <c r="B1957" s="1" t="n">
        <v>44893</v>
      </c>
      <c r="C1957" s="1" t="n">
        <v>45740</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58037-2022</t>
        </is>
      </c>
      <c r="B1958" s="1" t="n">
        <v>44893</v>
      </c>
      <c r="C1958" s="1" t="n">
        <v>45740</v>
      </c>
      <c r="D1958" t="inlineStr">
        <is>
          <t>JÄMTLANDS LÄN</t>
        </is>
      </c>
      <c r="E1958" t="inlineStr">
        <is>
          <t>STRÖMSUND</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58025-2022</t>
        </is>
      </c>
      <c r="B1959" s="1" t="n">
        <v>44893</v>
      </c>
      <c r="C1959" s="1" t="n">
        <v>45740</v>
      </c>
      <c r="D1959" t="inlineStr">
        <is>
          <t>JÄMTLANDS LÄN</t>
        </is>
      </c>
      <c r="E1959" t="inlineStr">
        <is>
          <t>STRÖMSUND</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57005-2022</t>
        </is>
      </c>
      <c r="B1960" s="1" t="n">
        <v>44894</v>
      </c>
      <c r="C1960" s="1" t="n">
        <v>45740</v>
      </c>
      <c r="D1960" t="inlineStr">
        <is>
          <t>JÄMTLANDS LÄN</t>
        </is>
      </c>
      <c r="E1960" t="inlineStr">
        <is>
          <t>STRÖMSUND</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56999-2022</t>
        </is>
      </c>
      <c r="B1961" s="1" t="n">
        <v>44894</v>
      </c>
      <c r="C1961" s="1" t="n">
        <v>45740</v>
      </c>
      <c r="D1961" t="inlineStr">
        <is>
          <t>JÄMTLANDS LÄN</t>
        </is>
      </c>
      <c r="E1961" t="inlineStr">
        <is>
          <t>STRÖMSUND</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57012-2022</t>
        </is>
      </c>
      <c r="B1962" s="1" t="n">
        <v>44894</v>
      </c>
      <c r="C1962" s="1" t="n">
        <v>45740</v>
      </c>
      <c r="D1962" t="inlineStr">
        <is>
          <t>JÄMTLANDS LÄN</t>
        </is>
      </c>
      <c r="E1962" t="inlineStr">
        <is>
          <t>STRÖMSUND</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57017-2022</t>
        </is>
      </c>
      <c r="B1963" s="1" t="n">
        <v>44895</v>
      </c>
      <c r="C1963" s="1" t="n">
        <v>45740</v>
      </c>
      <c r="D1963" t="inlineStr">
        <is>
          <t>JÄMTLANDS LÄN</t>
        </is>
      </c>
      <c r="E1963" t="inlineStr">
        <is>
          <t>STRÖMSUND</t>
        </is>
      </c>
      <c r="F1963" t="inlineStr">
        <is>
          <t>SCA</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57021-2022</t>
        </is>
      </c>
      <c r="B1964" s="1" t="n">
        <v>44895</v>
      </c>
      <c r="C1964" s="1" t="n">
        <v>45740</v>
      </c>
      <c r="D1964" t="inlineStr">
        <is>
          <t>JÄMTLANDS LÄN</t>
        </is>
      </c>
      <c r="E1964" t="inlineStr">
        <is>
          <t>STRÖMSUND</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57018-2022</t>
        </is>
      </c>
      <c r="B1965" s="1" t="n">
        <v>44895</v>
      </c>
      <c r="C1965" s="1" t="n">
        <v>45740</v>
      </c>
      <c r="D1965" t="inlineStr">
        <is>
          <t>JÄMTLANDS LÄN</t>
        </is>
      </c>
      <c r="E1965" t="inlineStr">
        <is>
          <t>STRÖMSUND</t>
        </is>
      </c>
      <c r="F1965" t="inlineStr">
        <is>
          <t>SCA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57022-2022</t>
        </is>
      </c>
      <c r="B1966" s="1" t="n">
        <v>44895</v>
      </c>
      <c r="C1966" s="1" t="n">
        <v>45740</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56931-2022</t>
        </is>
      </c>
      <c r="B1967" s="1" t="n">
        <v>44894</v>
      </c>
      <c r="C1967" s="1" t="n">
        <v>45740</v>
      </c>
      <c r="D1967" t="inlineStr">
        <is>
          <t>JÄMTLANDS LÄN</t>
        </is>
      </c>
      <c r="E1967" t="inlineStr">
        <is>
          <t>STRÖMSUND</t>
        </is>
      </c>
      <c r="F1967" t="inlineStr">
        <is>
          <t>Holmen skog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57002-2022</t>
        </is>
      </c>
      <c r="B1968" s="1" t="n">
        <v>44894</v>
      </c>
      <c r="C1968" s="1" t="n">
        <v>45740</v>
      </c>
      <c r="D1968" t="inlineStr">
        <is>
          <t>JÄMTLANDS LÄN</t>
        </is>
      </c>
      <c r="E1968" t="inlineStr">
        <is>
          <t>STRÖMSUND</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57014-2022</t>
        </is>
      </c>
      <c r="B1969" s="1" t="n">
        <v>44894</v>
      </c>
      <c r="C1969" s="1" t="n">
        <v>45740</v>
      </c>
      <c r="D1969" t="inlineStr">
        <is>
          <t>JÄMTLANDS LÄN</t>
        </is>
      </c>
      <c r="E1969" t="inlineStr">
        <is>
          <t>STRÖMSUND</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57016-2022</t>
        </is>
      </c>
      <c r="B1970" s="1" t="n">
        <v>44894</v>
      </c>
      <c r="C1970" s="1" t="n">
        <v>45740</v>
      </c>
      <c r="D1970" t="inlineStr">
        <is>
          <t>JÄMTLANDS LÄN</t>
        </is>
      </c>
      <c r="E1970" t="inlineStr">
        <is>
          <t>STRÖMSUND</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57272-2022</t>
        </is>
      </c>
      <c r="B1971" s="1" t="n">
        <v>44895</v>
      </c>
      <c r="C1971" s="1" t="n">
        <v>45740</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57278-2022</t>
        </is>
      </c>
      <c r="B1972" s="1" t="n">
        <v>44895</v>
      </c>
      <c r="C1972" s="1" t="n">
        <v>45740</v>
      </c>
      <c r="D1972" t="inlineStr">
        <is>
          <t>JÄMTLANDS LÄN</t>
        </is>
      </c>
      <c r="E1972" t="inlineStr">
        <is>
          <t>STRÖMSUND</t>
        </is>
      </c>
      <c r="F1972" t="inlineStr">
        <is>
          <t>SCA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57274-2022</t>
        </is>
      </c>
      <c r="B1973" s="1" t="n">
        <v>44895</v>
      </c>
      <c r="C1973" s="1" t="n">
        <v>45740</v>
      </c>
      <c r="D1973" t="inlineStr">
        <is>
          <t>JÄMTLANDS LÄN</t>
        </is>
      </c>
      <c r="E1973" t="inlineStr">
        <is>
          <t>STRÖMSUND</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57280-2022</t>
        </is>
      </c>
      <c r="B1974" s="1" t="n">
        <v>44895</v>
      </c>
      <c r="C1974" s="1" t="n">
        <v>45740</v>
      </c>
      <c r="D1974" t="inlineStr">
        <is>
          <t>JÄMTLANDS LÄN</t>
        </is>
      </c>
      <c r="E1974" t="inlineStr">
        <is>
          <t>STRÖMSUND</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57277-2022</t>
        </is>
      </c>
      <c r="B1975" s="1" t="n">
        <v>44895</v>
      </c>
      <c r="C1975" s="1" t="n">
        <v>45740</v>
      </c>
      <c r="D1975" t="inlineStr">
        <is>
          <t>JÄMTLANDS LÄN</t>
        </is>
      </c>
      <c r="E1975" t="inlineStr">
        <is>
          <t>STRÖMSUND</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57297-2022</t>
        </is>
      </c>
      <c r="B1976" s="1" t="n">
        <v>44895</v>
      </c>
      <c r="C1976" s="1" t="n">
        <v>45740</v>
      </c>
      <c r="D1976" t="inlineStr">
        <is>
          <t>JÄMTLANDS LÄN</t>
        </is>
      </c>
      <c r="E1976" t="inlineStr">
        <is>
          <t>STRÖMSUND</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57626-2022</t>
        </is>
      </c>
      <c r="B1977" s="1" t="n">
        <v>44897</v>
      </c>
      <c r="C1977" s="1" t="n">
        <v>45740</v>
      </c>
      <c r="D1977" t="inlineStr">
        <is>
          <t>JÄMTLANDS LÄN</t>
        </is>
      </c>
      <c r="E1977" t="inlineStr">
        <is>
          <t>STRÖMSUND</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57829-2022</t>
        </is>
      </c>
      <c r="B1978" s="1" t="n">
        <v>44897</v>
      </c>
      <c r="C1978" s="1" t="n">
        <v>45740</v>
      </c>
      <c r="D1978" t="inlineStr">
        <is>
          <t>JÄMTLANDS LÄN</t>
        </is>
      </c>
      <c r="E1978" t="inlineStr">
        <is>
          <t>STRÖMSUND</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58179-2022</t>
        </is>
      </c>
      <c r="B1979" s="1" t="n">
        <v>44900</v>
      </c>
      <c r="C1979" s="1" t="n">
        <v>45740</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58170-2022</t>
        </is>
      </c>
      <c r="B1980" s="1" t="n">
        <v>44900</v>
      </c>
      <c r="C1980" s="1" t="n">
        <v>45740</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58183-2022</t>
        </is>
      </c>
      <c r="B1981" s="1" t="n">
        <v>44900</v>
      </c>
      <c r="C1981" s="1" t="n">
        <v>45740</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59725-2022</t>
        </is>
      </c>
      <c r="B1982" s="1" t="n">
        <v>44900</v>
      </c>
      <c r="C1982" s="1" t="n">
        <v>45740</v>
      </c>
      <c r="D1982" t="inlineStr">
        <is>
          <t>JÄMTLANDS LÄN</t>
        </is>
      </c>
      <c r="E1982" t="inlineStr">
        <is>
          <t>STRÖMSUND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58449-2022</t>
        </is>
      </c>
      <c r="B1983" s="1" t="n">
        <v>44901</v>
      </c>
      <c r="C1983" s="1" t="n">
        <v>45740</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58729-2022</t>
        </is>
      </c>
      <c r="B1984" s="1" t="n">
        <v>44902</v>
      </c>
      <c r="C1984" s="1" t="n">
        <v>45740</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58743-2022</t>
        </is>
      </c>
      <c r="B1985" s="1" t="n">
        <v>44902</v>
      </c>
      <c r="C1985" s="1" t="n">
        <v>45740</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59003-2022</t>
        </is>
      </c>
      <c r="B1986" s="1" t="n">
        <v>44903</v>
      </c>
      <c r="C1986" s="1" t="n">
        <v>45740</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58973-2022</t>
        </is>
      </c>
      <c r="B1987" s="1" t="n">
        <v>44903</v>
      </c>
      <c r="C1987" s="1" t="n">
        <v>45740</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58905-2022</t>
        </is>
      </c>
      <c r="B1988" s="1" t="n">
        <v>44903</v>
      </c>
      <c r="C1988" s="1" t="n">
        <v>45740</v>
      </c>
      <c r="D1988" t="inlineStr">
        <is>
          <t>JÄMTLANDS LÄN</t>
        </is>
      </c>
      <c r="E1988" t="inlineStr">
        <is>
          <t>STRÖMSUND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59035-2022</t>
        </is>
      </c>
      <c r="B1989" s="1" t="n">
        <v>44903</v>
      </c>
      <c r="C1989" s="1" t="n">
        <v>45740</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59367-2022</t>
        </is>
      </c>
      <c r="B1990" s="1" t="n">
        <v>44904</v>
      </c>
      <c r="C1990" s="1" t="n">
        <v>45740</v>
      </c>
      <c r="D1990" t="inlineStr">
        <is>
          <t>JÄMTLANDS LÄN</t>
        </is>
      </c>
      <c r="E1990" t="inlineStr">
        <is>
          <t>STRÖMSUND</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59372-2022</t>
        </is>
      </c>
      <c r="B1991" s="1" t="n">
        <v>44904</v>
      </c>
      <c r="C1991" s="1" t="n">
        <v>45740</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59376-2022</t>
        </is>
      </c>
      <c r="B1992" s="1" t="n">
        <v>44904</v>
      </c>
      <c r="C1992" s="1" t="n">
        <v>45740</v>
      </c>
      <c r="D1992" t="inlineStr">
        <is>
          <t>JÄMTLANDS LÄN</t>
        </is>
      </c>
      <c r="E1992" t="inlineStr">
        <is>
          <t>STRÖMSUND</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59461-2022</t>
        </is>
      </c>
      <c r="B1993" s="1" t="n">
        <v>44907</v>
      </c>
      <c r="C1993" s="1" t="n">
        <v>45740</v>
      </c>
      <c r="D1993" t="inlineStr">
        <is>
          <t>JÄMTLANDS LÄN</t>
        </is>
      </c>
      <c r="E1993" t="inlineStr">
        <is>
          <t>STRÖMSUND</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59637-2022</t>
        </is>
      </c>
      <c r="B1994" s="1" t="n">
        <v>44908</v>
      </c>
      <c r="C1994" s="1" t="n">
        <v>45740</v>
      </c>
      <c r="D1994" t="inlineStr">
        <is>
          <t>JÄMTLANDS LÄN</t>
        </is>
      </c>
      <c r="E1994" t="inlineStr">
        <is>
          <t>STRÖMSUND</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59645-2022</t>
        </is>
      </c>
      <c r="B1995" s="1" t="n">
        <v>44908</v>
      </c>
      <c r="C1995" s="1" t="n">
        <v>45740</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59646-2022</t>
        </is>
      </c>
      <c r="B1996" s="1" t="n">
        <v>44908</v>
      </c>
      <c r="C1996" s="1" t="n">
        <v>45740</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60639-2022</t>
        </is>
      </c>
      <c r="B1997" s="1" t="n">
        <v>44907</v>
      </c>
      <c r="C1997" s="1" t="n">
        <v>45740</v>
      </c>
      <c r="D1997" t="inlineStr">
        <is>
          <t>JÄMTLANDS LÄN</t>
        </is>
      </c>
      <c r="E1997" t="inlineStr">
        <is>
          <t>STRÖMSUND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60775-2022</t>
        </is>
      </c>
      <c r="B1998" s="1" t="n">
        <v>44907</v>
      </c>
      <c r="C1998" s="1" t="n">
        <v>45740</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60002-2022</t>
        </is>
      </c>
      <c r="B1999" s="1" t="n">
        <v>44909</v>
      </c>
      <c r="C1999" s="1" t="n">
        <v>45740</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60667-2022</t>
        </is>
      </c>
      <c r="B2000" s="1" t="n">
        <v>44911</v>
      </c>
      <c r="C2000" s="1" t="n">
        <v>45740</v>
      </c>
      <c r="D2000" t="inlineStr">
        <is>
          <t>JÄMTLANDS LÄN</t>
        </is>
      </c>
      <c r="E2000" t="inlineStr">
        <is>
          <t>STRÖMSUND</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60740-2022</t>
        </is>
      </c>
      <c r="B2001" s="1" t="n">
        <v>44913</v>
      </c>
      <c r="C2001" s="1" t="n">
        <v>45740</v>
      </c>
      <c r="D2001" t="inlineStr">
        <is>
          <t>JÄMTLANDS LÄN</t>
        </is>
      </c>
      <c r="E2001" t="inlineStr">
        <is>
          <t>STRÖMSUND</t>
        </is>
      </c>
      <c r="F2001" t="inlineStr">
        <is>
          <t>SCA</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60742-2022</t>
        </is>
      </c>
      <c r="B2002" s="1" t="n">
        <v>44913</v>
      </c>
      <c r="C2002" s="1" t="n">
        <v>45740</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60801-2022</t>
        </is>
      </c>
      <c r="B2003" s="1" t="n">
        <v>44914</v>
      </c>
      <c r="C2003" s="1" t="n">
        <v>45740</v>
      </c>
      <c r="D2003" t="inlineStr">
        <is>
          <t>JÄMTLANDS LÄN</t>
        </is>
      </c>
      <c r="E2003" t="inlineStr">
        <is>
          <t>STRÖMSUND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61038-2022</t>
        </is>
      </c>
      <c r="B2004" s="1" t="n">
        <v>44914</v>
      </c>
      <c r="C2004" s="1" t="n">
        <v>45740</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61374-2022</t>
        </is>
      </c>
      <c r="B2005" s="1" t="n">
        <v>44915</v>
      </c>
      <c r="C2005" s="1" t="n">
        <v>45740</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61380-2022</t>
        </is>
      </c>
      <c r="B2006" s="1" t="n">
        <v>44915</v>
      </c>
      <c r="C2006" s="1" t="n">
        <v>45740</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61375-2022</t>
        </is>
      </c>
      <c r="B2007" s="1" t="n">
        <v>44915</v>
      </c>
      <c r="C2007" s="1" t="n">
        <v>45740</v>
      </c>
      <c r="D2007" t="inlineStr">
        <is>
          <t>JÄMTLANDS LÄN</t>
        </is>
      </c>
      <c r="E2007" t="inlineStr">
        <is>
          <t>STRÖMSUND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61382-2022</t>
        </is>
      </c>
      <c r="B2008" s="1" t="n">
        <v>44915</v>
      </c>
      <c r="C2008" s="1" t="n">
        <v>45740</v>
      </c>
      <c r="D2008" t="inlineStr">
        <is>
          <t>JÄMTLANDS LÄN</t>
        </is>
      </c>
      <c r="E2008" t="inlineStr">
        <is>
          <t>STRÖMSUND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62211-2022</t>
        </is>
      </c>
      <c r="B2009" s="1" t="n">
        <v>44915</v>
      </c>
      <c r="C2009" s="1" t="n">
        <v>45740</v>
      </c>
      <c r="D2009" t="inlineStr">
        <is>
          <t>JÄMTLANDS LÄN</t>
        </is>
      </c>
      <c r="E2009" t="inlineStr">
        <is>
          <t>STRÖMSUND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62229-2022</t>
        </is>
      </c>
      <c r="B2010" s="1" t="n">
        <v>44916</v>
      </c>
      <c r="C2010" s="1" t="n">
        <v>45740</v>
      </c>
      <c r="D2010" t="inlineStr">
        <is>
          <t>JÄMTLANDS LÄN</t>
        </is>
      </c>
      <c r="E2010" t="inlineStr">
        <is>
          <t>STRÖMSUND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61921-2022</t>
        </is>
      </c>
      <c r="B2011" s="1" t="n">
        <v>44917</v>
      </c>
      <c r="C2011" s="1" t="n">
        <v>45740</v>
      </c>
      <c r="D2011" t="inlineStr">
        <is>
          <t>JÄMTLANDS LÄN</t>
        </is>
      </c>
      <c r="E2011" t="inlineStr">
        <is>
          <t>STRÖMSUND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31-2023</t>
        </is>
      </c>
      <c r="B2012" s="1" t="n">
        <v>44918</v>
      </c>
      <c r="C2012" s="1" t="n">
        <v>45740</v>
      </c>
      <c r="D2012" t="inlineStr">
        <is>
          <t>JÄMTLANDS LÄN</t>
        </is>
      </c>
      <c r="E2012" t="inlineStr">
        <is>
          <t>STRÖMSUND</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25-2023</t>
        </is>
      </c>
      <c r="B2013" s="1" t="n">
        <v>44928</v>
      </c>
      <c r="C2013" s="1" t="n">
        <v>45740</v>
      </c>
      <c r="D2013" t="inlineStr">
        <is>
          <t>JÄMTLANDS LÄN</t>
        </is>
      </c>
      <c r="E2013" t="inlineStr">
        <is>
          <t>STRÖMSUND</t>
        </is>
      </c>
      <c r="F2013" t="inlineStr">
        <is>
          <t>Sveaskog</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286-2023</t>
        </is>
      </c>
      <c r="B2014" s="1" t="n">
        <v>44928</v>
      </c>
      <c r="C2014" s="1" t="n">
        <v>45740</v>
      </c>
      <c r="D2014" t="inlineStr">
        <is>
          <t>JÄMTLANDS LÄN</t>
        </is>
      </c>
      <c r="E2014" t="inlineStr">
        <is>
          <t>STRÖMSUND</t>
        </is>
      </c>
      <c r="F2014" t="inlineStr">
        <is>
          <t>SCA</t>
        </is>
      </c>
      <c r="G2014" t="n">
        <v>40.5</v>
      </c>
      <c r="H2014" t="n">
        <v>0</v>
      </c>
      <c r="I2014" t="n">
        <v>0</v>
      </c>
      <c r="J2014" t="n">
        <v>0</v>
      </c>
      <c r="K2014" t="n">
        <v>0</v>
      </c>
      <c r="L2014" t="n">
        <v>0</v>
      </c>
      <c r="M2014" t="n">
        <v>0</v>
      </c>
      <c r="N2014" t="n">
        <v>0</v>
      </c>
      <c r="O2014" t="n">
        <v>0</v>
      </c>
      <c r="P2014" t="n">
        <v>0</v>
      </c>
      <c r="Q2014" t="n">
        <v>0</v>
      </c>
      <c r="R2014" s="2" t="inlineStr"/>
    </row>
    <row r="2015" ht="15" customHeight="1">
      <c r="A2015" t="inlineStr">
        <is>
          <t>A 536-2023</t>
        </is>
      </c>
      <c r="B2015" s="1" t="n">
        <v>44930</v>
      </c>
      <c r="C2015" s="1" t="n">
        <v>45740</v>
      </c>
      <c r="D2015" t="inlineStr">
        <is>
          <t>JÄMTLANDS LÄN</t>
        </is>
      </c>
      <c r="E2015" t="inlineStr">
        <is>
          <t>STRÖMSUND</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1187-2023</t>
        </is>
      </c>
      <c r="B2016" s="1" t="n">
        <v>44930</v>
      </c>
      <c r="C2016" s="1" t="n">
        <v>45740</v>
      </c>
      <c r="D2016" t="inlineStr">
        <is>
          <t>JÄMTLANDS LÄN</t>
        </is>
      </c>
      <c r="E2016" t="inlineStr">
        <is>
          <t>STRÖMSUND</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897-2023</t>
        </is>
      </c>
      <c r="B2017" s="1" t="n">
        <v>44931</v>
      </c>
      <c r="C2017" s="1" t="n">
        <v>45740</v>
      </c>
      <c r="D2017" t="inlineStr">
        <is>
          <t>JÄMTLANDS LÄN</t>
        </is>
      </c>
      <c r="E2017" t="inlineStr">
        <is>
          <t>STRÖMSUND</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1288-2023</t>
        </is>
      </c>
      <c r="B2018" s="1" t="n">
        <v>44931</v>
      </c>
      <c r="C2018" s="1" t="n">
        <v>45740</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1224-2023</t>
        </is>
      </c>
      <c r="B2019" s="1" t="n">
        <v>44935</v>
      </c>
      <c r="C2019" s="1" t="n">
        <v>45740</v>
      </c>
      <c r="D2019" t="inlineStr">
        <is>
          <t>JÄMTLANDS LÄN</t>
        </is>
      </c>
      <c r="E2019" t="inlineStr">
        <is>
          <t>STRÖMSUND</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1747-2023</t>
        </is>
      </c>
      <c r="B2020" s="1" t="n">
        <v>44936</v>
      </c>
      <c r="C2020" s="1" t="n">
        <v>45740</v>
      </c>
      <c r="D2020" t="inlineStr">
        <is>
          <t>JÄMTLANDS LÄN</t>
        </is>
      </c>
      <c r="E2020" t="inlineStr">
        <is>
          <t>STRÖMSUND</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1744-2023</t>
        </is>
      </c>
      <c r="B2021" s="1" t="n">
        <v>44936</v>
      </c>
      <c r="C2021" s="1" t="n">
        <v>45740</v>
      </c>
      <c r="D2021" t="inlineStr">
        <is>
          <t>JÄMTLANDS LÄN</t>
        </is>
      </c>
      <c r="E2021" t="inlineStr">
        <is>
          <t>STRÖMSUND</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1641-2023</t>
        </is>
      </c>
      <c r="B2022" s="1" t="n">
        <v>44937</v>
      </c>
      <c r="C2022" s="1" t="n">
        <v>45740</v>
      </c>
      <c r="D2022" t="inlineStr">
        <is>
          <t>JÄMTLANDS LÄN</t>
        </is>
      </c>
      <c r="E2022" t="inlineStr">
        <is>
          <t>STRÖMSUND</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1642-2023</t>
        </is>
      </c>
      <c r="B2023" s="1" t="n">
        <v>44937</v>
      </c>
      <c r="C2023" s="1" t="n">
        <v>45740</v>
      </c>
      <c r="D2023" t="inlineStr">
        <is>
          <t>JÄMTLANDS LÄN</t>
        </is>
      </c>
      <c r="E2023" t="inlineStr">
        <is>
          <t>STRÖMSUND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1952-2023</t>
        </is>
      </c>
      <c r="B2024" s="1" t="n">
        <v>44938</v>
      </c>
      <c r="C2024" s="1" t="n">
        <v>45740</v>
      </c>
      <c r="D2024" t="inlineStr">
        <is>
          <t>JÄMTLANDS LÄN</t>
        </is>
      </c>
      <c r="E2024" t="inlineStr">
        <is>
          <t>STRÖMSUND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2050-2023</t>
        </is>
      </c>
      <c r="B2025" s="1" t="n">
        <v>44939</v>
      </c>
      <c r="C2025" s="1" t="n">
        <v>45740</v>
      </c>
      <c r="D2025" t="inlineStr">
        <is>
          <t>JÄMTLANDS LÄN</t>
        </is>
      </c>
      <c r="E2025" t="inlineStr">
        <is>
          <t>STRÖMSUND</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2246-2023</t>
        </is>
      </c>
      <c r="B2026" s="1" t="n">
        <v>44939</v>
      </c>
      <c r="C2026" s="1" t="n">
        <v>45740</v>
      </c>
      <c r="D2026" t="inlineStr">
        <is>
          <t>JÄMTLANDS LÄN</t>
        </is>
      </c>
      <c r="E2026" t="inlineStr">
        <is>
          <t>STRÖMSUND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2296-2023</t>
        </is>
      </c>
      <c r="B2027" s="1" t="n">
        <v>44942</v>
      </c>
      <c r="C2027" s="1" t="n">
        <v>45740</v>
      </c>
      <c r="D2027" t="inlineStr">
        <is>
          <t>JÄMTLANDS LÄN</t>
        </is>
      </c>
      <c r="E2027" t="inlineStr">
        <is>
          <t>STRÖMSUND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2675-2023</t>
        </is>
      </c>
      <c r="B2028" s="1" t="n">
        <v>44942</v>
      </c>
      <c r="C2028" s="1" t="n">
        <v>45740</v>
      </c>
      <c r="D2028" t="inlineStr">
        <is>
          <t>JÄMTLANDS LÄN</t>
        </is>
      </c>
      <c r="E2028" t="inlineStr">
        <is>
          <t>STRÖMSUND</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3182-2023</t>
        </is>
      </c>
      <c r="B2029" s="1" t="n">
        <v>44942</v>
      </c>
      <c r="C2029" s="1" t="n">
        <v>45740</v>
      </c>
      <c r="D2029" t="inlineStr">
        <is>
          <t>JÄMTLANDS LÄN</t>
        </is>
      </c>
      <c r="E2029" t="inlineStr">
        <is>
          <t>STRÖMSUND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3027-2023</t>
        </is>
      </c>
      <c r="B2030" s="1" t="n">
        <v>44945</v>
      </c>
      <c r="C2030" s="1" t="n">
        <v>45740</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3481-2023</t>
        </is>
      </c>
      <c r="B2031" s="1" t="n">
        <v>44949</v>
      </c>
      <c r="C2031" s="1" t="n">
        <v>45740</v>
      </c>
      <c r="D2031" t="inlineStr">
        <is>
          <t>JÄMTLANDS LÄN</t>
        </is>
      </c>
      <c r="E2031" t="inlineStr">
        <is>
          <t>STRÖMSUND</t>
        </is>
      </c>
      <c r="G2031" t="n">
        <v>21.6</v>
      </c>
      <c r="H2031" t="n">
        <v>0</v>
      </c>
      <c r="I2031" t="n">
        <v>0</v>
      </c>
      <c r="J2031" t="n">
        <v>0</v>
      </c>
      <c r="K2031" t="n">
        <v>0</v>
      </c>
      <c r="L2031" t="n">
        <v>0</v>
      </c>
      <c r="M2031" t="n">
        <v>0</v>
      </c>
      <c r="N2031" t="n">
        <v>0</v>
      </c>
      <c r="O2031" t="n">
        <v>0</v>
      </c>
      <c r="P2031" t="n">
        <v>0</v>
      </c>
      <c r="Q2031" t="n">
        <v>0</v>
      </c>
      <c r="R2031" s="2" t="inlineStr"/>
    </row>
    <row r="2032" ht="15" customHeight="1">
      <c r="A2032" t="inlineStr">
        <is>
          <t>A 3693-2023</t>
        </is>
      </c>
      <c r="B2032" s="1" t="n">
        <v>44950</v>
      </c>
      <c r="C2032" s="1" t="n">
        <v>45740</v>
      </c>
      <c r="D2032" t="inlineStr">
        <is>
          <t>JÄMTLANDS LÄN</t>
        </is>
      </c>
      <c r="E2032" t="inlineStr">
        <is>
          <t>STRÖMSUND</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4045-2023</t>
        </is>
      </c>
      <c r="B2033" s="1" t="n">
        <v>44952</v>
      </c>
      <c r="C2033" s="1" t="n">
        <v>45740</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4537-2023</t>
        </is>
      </c>
      <c r="B2034" s="1" t="n">
        <v>44952</v>
      </c>
      <c r="C2034" s="1" t="n">
        <v>45740</v>
      </c>
      <c r="D2034" t="inlineStr">
        <is>
          <t>JÄMTLANDS LÄN</t>
        </is>
      </c>
      <c r="E2034" t="inlineStr">
        <is>
          <t>STRÖMSUND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4050-2023</t>
        </is>
      </c>
      <c r="B2035" s="1" t="n">
        <v>44952</v>
      </c>
      <c r="C2035" s="1" t="n">
        <v>45740</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4684-2023</t>
        </is>
      </c>
      <c r="B2036" s="1" t="n">
        <v>44952</v>
      </c>
      <c r="C2036" s="1" t="n">
        <v>45740</v>
      </c>
      <c r="D2036" t="inlineStr">
        <is>
          <t>JÄMTLANDS LÄN</t>
        </is>
      </c>
      <c r="E2036" t="inlineStr">
        <is>
          <t>STRÖMSUND</t>
        </is>
      </c>
      <c r="G2036" t="n">
        <v>24.1</v>
      </c>
      <c r="H2036" t="n">
        <v>0</v>
      </c>
      <c r="I2036" t="n">
        <v>0</v>
      </c>
      <c r="J2036" t="n">
        <v>0</v>
      </c>
      <c r="K2036" t="n">
        <v>0</v>
      </c>
      <c r="L2036" t="n">
        <v>0</v>
      </c>
      <c r="M2036" t="n">
        <v>0</v>
      </c>
      <c r="N2036" t="n">
        <v>0</v>
      </c>
      <c r="O2036" t="n">
        <v>0</v>
      </c>
      <c r="P2036" t="n">
        <v>0</v>
      </c>
      <c r="Q2036" t="n">
        <v>0</v>
      </c>
      <c r="R2036" s="2" t="inlineStr"/>
    </row>
    <row r="2037" ht="15" customHeight="1">
      <c r="A2037" t="inlineStr">
        <is>
          <t>A 4523-2023</t>
        </is>
      </c>
      <c r="B2037" s="1" t="n">
        <v>44952</v>
      </c>
      <c r="C2037" s="1" t="n">
        <v>45740</v>
      </c>
      <c r="D2037" t="inlineStr">
        <is>
          <t>JÄMTLANDS LÄN</t>
        </is>
      </c>
      <c r="E2037" t="inlineStr">
        <is>
          <t>STRÖMSUND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4388-2023</t>
        </is>
      </c>
      <c r="B2038" s="1" t="n">
        <v>44955</v>
      </c>
      <c r="C2038" s="1" t="n">
        <v>45740</v>
      </c>
      <c r="D2038" t="inlineStr">
        <is>
          <t>JÄMTLANDS LÄN</t>
        </is>
      </c>
      <c r="E2038" t="inlineStr">
        <is>
          <t>STRÖMSUND</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4621-2023</t>
        </is>
      </c>
      <c r="B2039" s="1" t="n">
        <v>44956</v>
      </c>
      <c r="C2039" s="1" t="n">
        <v>45740</v>
      </c>
      <c r="D2039" t="inlineStr">
        <is>
          <t>JÄMTLANDS LÄN</t>
        </is>
      </c>
      <c r="E2039" t="inlineStr">
        <is>
          <t>STRÖMSUND</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4988-2023</t>
        </is>
      </c>
      <c r="B2040" s="1" t="n">
        <v>44956</v>
      </c>
      <c r="C2040" s="1" t="n">
        <v>45740</v>
      </c>
      <c r="D2040" t="inlineStr">
        <is>
          <t>JÄMTLANDS LÄN</t>
        </is>
      </c>
      <c r="E2040" t="inlineStr">
        <is>
          <t>STRÖMSUND</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4981-2023</t>
        </is>
      </c>
      <c r="B2041" s="1" t="n">
        <v>44956</v>
      </c>
      <c r="C2041" s="1" t="n">
        <v>45740</v>
      </c>
      <c r="D2041" t="inlineStr">
        <is>
          <t>JÄMTLANDS LÄN</t>
        </is>
      </c>
      <c r="E2041" t="inlineStr">
        <is>
          <t>STRÖMSUND</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4880-2023</t>
        </is>
      </c>
      <c r="B2042" s="1" t="n">
        <v>44957</v>
      </c>
      <c r="C2042" s="1" t="n">
        <v>45740</v>
      </c>
      <c r="D2042" t="inlineStr">
        <is>
          <t>JÄMTLANDS LÄN</t>
        </is>
      </c>
      <c r="E2042" t="inlineStr">
        <is>
          <t>STRÖMSUND</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5154-2023</t>
        </is>
      </c>
      <c r="B2043" s="1" t="n">
        <v>44958</v>
      </c>
      <c r="C2043" s="1" t="n">
        <v>45740</v>
      </c>
      <c r="D2043" t="inlineStr">
        <is>
          <t>JÄMTLANDS LÄN</t>
        </is>
      </c>
      <c r="E2043" t="inlineStr">
        <is>
          <t>STRÖMSUND</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5174-2023</t>
        </is>
      </c>
      <c r="B2044" s="1" t="n">
        <v>44958</v>
      </c>
      <c r="C2044" s="1" t="n">
        <v>45740</v>
      </c>
      <c r="D2044" t="inlineStr">
        <is>
          <t>JÄMTLANDS LÄN</t>
        </is>
      </c>
      <c r="E2044" t="inlineStr">
        <is>
          <t>STRÖMSUND</t>
        </is>
      </c>
      <c r="F2044" t="inlineStr">
        <is>
          <t>SCA</t>
        </is>
      </c>
      <c r="G2044" t="n">
        <v>64.5</v>
      </c>
      <c r="H2044" t="n">
        <v>0</v>
      </c>
      <c r="I2044" t="n">
        <v>0</v>
      </c>
      <c r="J2044" t="n">
        <v>0</v>
      </c>
      <c r="K2044" t="n">
        <v>0</v>
      </c>
      <c r="L2044" t="n">
        <v>0</v>
      </c>
      <c r="M2044" t="n">
        <v>0</v>
      </c>
      <c r="N2044" t="n">
        <v>0</v>
      </c>
      <c r="O2044" t="n">
        <v>0</v>
      </c>
      <c r="P2044" t="n">
        <v>0</v>
      </c>
      <c r="Q2044" t="n">
        <v>0</v>
      </c>
      <c r="R2044" s="2" t="inlineStr"/>
    </row>
    <row r="2045" ht="15" customHeight="1">
      <c r="A2045" t="inlineStr">
        <is>
          <t>A 5155-2023</t>
        </is>
      </c>
      <c r="B2045" s="1" t="n">
        <v>44958</v>
      </c>
      <c r="C2045" s="1" t="n">
        <v>45740</v>
      </c>
      <c r="D2045" t="inlineStr">
        <is>
          <t>JÄMTLANDS LÄN</t>
        </is>
      </c>
      <c r="E2045" t="inlineStr">
        <is>
          <t>STRÖMSUND</t>
        </is>
      </c>
      <c r="F2045" t="inlineStr">
        <is>
          <t>SCA</t>
        </is>
      </c>
      <c r="G2045" t="n">
        <v>34.1</v>
      </c>
      <c r="H2045" t="n">
        <v>0</v>
      </c>
      <c r="I2045" t="n">
        <v>0</v>
      </c>
      <c r="J2045" t="n">
        <v>0</v>
      </c>
      <c r="K2045" t="n">
        <v>0</v>
      </c>
      <c r="L2045" t="n">
        <v>0</v>
      </c>
      <c r="M2045" t="n">
        <v>0</v>
      </c>
      <c r="N2045" t="n">
        <v>0</v>
      </c>
      <c r="O2045" t="n">
        <v>0</v>
      </c>
      <c r="P2045" t="n">
        <v>0</v>
      </c>
      <c r="Q2045" t="n">
        <v>0</v>
      </c>
      <c r="R2045" s="2" t="inlineStr"/>
    </row>
    <row r="2046" ht="15" customHeight="1">
      <c r="A2046" t="inlineStr">
        <is>
          <t>A 5162-2023</t>
        </is>
      </c>
      <c r="B2046" s="1" t="n">
        <v>44958</v>
      </c>
      <c r="C2046" s="1" t="n">
        <v>45740</v>
      </c>
      <c r="D2046" t="inlineStr">
        <is>
          <t>JÄMTLANDS LÄN</t>
        </is>
      </c>
      <c r="E2046" t="inlineStr">
        <is>
          <t>STRÖMSUND</t>
        </is>
      </c>
      <c r="F2046" t="inlineStr">
        <is>
          <t>SCA</t>
        </is>
      </c>
      <c r="G2046" t="n">
        <v>62.1</v>
      </c>
      <c r="H2046" t="n">
        <v>0</v>
      </c>
      <c r="I2046" t="n">
        <v>0</v>
      </c>
      <c r="J2046" t="n">
        <v>0</v>
      </c>
      <c r="K2046" t="n">
        <v>0</v>
      </c>
      <c r="L2046" t="n">
        <v>0</v>
      </c>
      <c r="M2046" t="n">
        <v>0</v>
      </c>
      <c r="N2046" t="n">
        <v>0</v>
      </c>
      <c r="O2046" t="n">
        <v>0</v>
      </c>
      <c r="P2046" t="n">
        <v>0</v>
      </c>
      <c r="Q2046" t="n">
        <v>0</v>
      </c>
      <c r="R2046" s="2" t="inlineStr"/>
    </row>
    <row r="2047" ht="15" customHeight="1">
      <c r="A2047" t="inlineStr">
        <is>
          <t>A 5279-2023</t>
        </is>
      </c>
      <c r="B2047" s="1" t="n">
        <v>44959</v>
      </c>
      <c r="C2047" s="1" t="n">
        <v>45740</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5277-2023</t>
        </is>
      </c>
      <c r="B2048" s="1" t="n">
        <v>44959</v>
      </c>
      <c r="C2048" s="1" t="n">
        <v>45740</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5278-2023</t>
        </is>
      </c>
      <c r="B2049" s="1" t="n">
        <v>44959</v>
      </c>
      <c r="C2049" s="1" t="n">
        <v>45740</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5397-2023</t>
        </is>
      </c>
      <c r="B2050" s="1" t="n">
        <v>44959</v>
      </c>
      <c r="C2050" s="1" t="n">
        <v>45740</v>
      </c>
      <c r="D2050" t="inlineStr">
        <is>
          <t>JÄMTLANDS LÄN</t>
        </is>
      </c>
      <c r="E2050" t="inlineStr">
        <is>
          <t>STRÖMSUND</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5452-2023</t>
        </is>
      </c>
      <c r="B2051" s="1" t="n">
        <v>44959</v>
      </c>
      <c r="C2051" s="1" t="n">
        <v>45740</v>
      </c>
      <c r="D2051" t="inlineStr">
        <is>
          <t>JÄMTLANDS LÄN</t>
        </is>
      </c>
      <c r="E2051" t="inlineStr">
        <is>
          <t>STRÖMSUND</t>
        </is>
      </c>
      <c r="F2051" t="inlineStr">
        <is>
          <t>SCA</t>
        </is>
      </c>
      <c r="G2051" t="n">
        <v>33.6</v>
      </c>
      <c r="H2051" t="n">
        <v>0</v>
      </c>
      <c r="I2051" t="n">
        <v>0</v>
      </c>
      <c r="J2051" t="n">
        <v>0</v>
      </c>
      <c r="K2051" t="n">
        <v>0</v>
      </c>
      <c r="L2051" t="n">
        <v>0</v>
      </c>
      <c r="M2051" t="n">
        <v>0</v>
      </c>
      <c r="N2051" t="n">
        <v>0</v>
      </c>
      <c r="O2051" t="n">
        <v>0</v>
      </c>
      <c r="P2051" t="n">
        <v>0</v>
      </c>
      <c r="Q2051" t="n">
        <v>0</v>
      </c>
      <c r="R2051" s="2" t="inlineStr"/>
      <c r="U2051">
        <f>HYPERLINK("https://klasma.github.io/Logging_2313/knärot/A 5452-2023 karta knärot.png", "A 5452-2023")</f>
        <v/>
      </c>
      <c r="V2051">
        <f>HYPERLINK("https://klasma.github.io/Logging_2313/klagomål/A 5452-2023 FSC-klagomål.docx", "A 5452-2023")</f>
        <v/>
      </c>
      <c r="W2051">
        <f>HYPERLINK("https://klasma.github.io/Logging_2313/klagomålsmail/A 5452-2023 FSC-klagomål mail.docx", "A 5452-2023")</f>
        <v/>
      </c>
      <c r="X2051">
        <f>HYPERLINK("https://klasma.github.io/Logging_2313/tillsyn/A 5452-2023 tillsynsbegäran.docx", "A 5452-2023")</f>
        <v/>
      </c>
      <c r="Y2051">
        <f>HYPERLINK("https://klasma.github.io/Logging_2313/tillsynsmail/A 5452-2023 tillsynsbegäran mail.docx", "A 5452-2023")</f>
        <v/>
      </c>
    </row>
    <row r="2052" ht="15" customHeight="1">
      <c r="A2052" t="inlineStr">
        <is>
          <t>A 5714-2023</t>
        </is>
      </c>
      <c r="B2052" s="1" t="n">
        <v>44960</v>
      </c>
      <c r="C2052" s="1" t="n">
        <v>45740</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6267-2023</t>
        </is>
      </c>
      <c r="B2053" s="1" t="n">
        <v>44960</v>
      </c>
      <c r="C2053" s="1" t="n">
        <v>45740</v>
      </c>
      <c r="D2053" t="inlineStr">
        <is>
          <t>JÄMTLANDS LÄN</t>
        </is>
      </c>
      <c r="E2053" t="inlineStr">
        <is>
          <t>STRÖMSUND</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6581-2023</t>
        </is>
      </c>
      <c r="B2054" s="1" t="n">
        <v>44963</v>
      </c>
      <c r="C2054" s="1" t="n">
        <v>45740</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6583-2023</t>
        </is>
      </c>
      <c r="B2055" s="1" t="n">
        <v>44963</v>
      </c>
      <c r="C2055" s="1" t="n">
        <v>45740</v>
      </c>
      <c r="D2055" t="inlineStr">
        <is>
          <t>JÄMTLANDS LÄN</t>
        </is>
      </c>
      <c r="E2055" t="inlineStr">
        <is>
          <t>STRÖMSUND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5956-2023</t>
        </is>
      </c>
      <c r="B2056" s="1" t="n">
        <v>44963</v>
      </c>
      <c r="C2056" s="1" t="n">
        <v>45740</v>
      </c>
      <c r="D2056" t="inlineStr">
        <is>
          <t>JÄMTLANDS LÄN</t>
        </is>
      </c>
      <c r="E2056" t="inlineStr">
        <is>
          <t>STRÖMSUND</t>
        </is>
      </c>
      <c r="F2056" t="inlineStr">
        <is>
          <t>SCA</t>
        </is>
      </c>
      <c r="G2056" t="n">
        <v>20.2</v>
      </c>
      <c r="H2056" t="n">
        <v>0</v>
      </c>
      <c r="I2056" t="n">
        <v>0</v>
      </c>
      <c r="J2056" t="n">
        <v>0</v>
      </c>
      <c r="K2056" t="n">
        <v>0</v>
      </c>
      <c r="L2056" t="n">
        <v>0</v>
      </c>
      <c r="M2056" t="n">
        <v>0</v>
      </c>
      <c r="N2056" t="n">
        <v>0</v>
      </c>
      <c r="O2056" t="n">
        <v>0</v>
      </c>
      <c r="P2056" t="n">
        <v>0</v>
      </c>
      <c r="Q2056" t="n">
        <v>0</v>
      </c>
      <c r="R2056" s="2" t="inlineStr"/>
    </row>
    <row r="2057" ht="15" customHeight="1">
      <c r="A2057" t="inlineStr">
        <is>
          <t>A 6234-2023</t>
        </is>
      </c>
      <c r="B2057" s="1" t="n">
        <v>44964</v>
      </c>
      <c r="C2057" s="1" t="n">
        <v>45740</v>
      </c>
      <c r="D2057" t="inlineStr">
        <is>
          <t>JÄMTLANDS LÄN</t>
        </is>
      </c>
      <c r="E2057" t="inlineStr">
        <is>
          <t>STRÖMSUND</t>
        </is>
      </c>
      <c r="F2057" t="inlineStr">
        <is>
          <t>SCA</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6928-2023</t>
        </is>
      </c>
      <c r="B2058" s="1" t="n">
        <v>44964</v>
      </c>
      <c r="C2058" s="1" t="n">
        <v>45740</v>
      </c>
      <c r="D2058" t="inlineStr">
        <is>
          <t>JÄMTLANDS LÄN</t>
        </is>
      </c>
      <c r="E2058" t="inlineStr">
        <is>
          <t>STRÖMSUND</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6932-2023</t>
        </is>
      </c>
      <c r="B2059" s="1" t="n">
        <v>44964</v>
      </c>
      <c r="C2059" s="1" t="n">
        <v>45740</v>
      </c>
      <c r="D2059" t="inlineStr">
        <is>
          <t>JÄMTLANDS LÄN</t>
        </is>
      </c>
      <c r="E2059" t="inlineStr">
        <is>
          <t>STRÖMSUND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6455-2023</t>
        </is>
      </c>
      <c r="B2060" s="1" t="n">
        <v>44965</v>
      </c>
      <c r="C2060" s="1" t="n">
        <v>45740</v>
      </c>
      <c r="D2060" t="inlineStr">
        <is>
          <t>JÄMTLANDS LÄN</t>
        </is>
      </c>
      <c r="E2060" t="inlineStr">
        <is>
          <t>STRÖMSUND</t>
        </is>
      </c>
      <c r="F2060" t="inlineStr">
        <is>
          <t>SCA</t>
        </is>
      </c>
      <c r="G2060" t="n">
        <v>74.7</v>
      </c>
      <c r="H2060" t="n">
        <v>0</v>
      </c>
      <c r="I2060" t="n">
        <v>0</v>
      </c>
      <c r="J2060" t="n">
        <v>0</v>
      </c>
      <c r="K2060" t="n">
        <v>0</v>
      </c>
      <c r="L2060" t="n">
        <v>0</v>
      </c>
      <c r="M2060" t="n">
        <v>0</v>
      </c>
      <c r="N2060" t="n">
        <v>0</v>
      </c>
      <c r="O2060" t="n">
        <v>0</v>
      </c>
      <c r="P2060" t="n">
        <v>0</v>
      </c>
      <c r="Q2060" t="n">
        <v>0</v>
      </c>
      <c r="R2060" s="2" t="inlineStr"/>
    </row>
    <row r="2061" ht="15" customHeight="1">
      <c r="A2061" t="inlineStr">
        <is>
          <t>A 6462-2023</t>
        </is>
      </c>
      <c r="B2061" s="1" t="n">
        <v>44965</v>
      </c>
      <c r="C2061" s="1" t="n">
        <v>45740</v>
      </c>
      <c r="D2061" t="inlineStr">
        <is>
          <t>JÄMTLANDS LÄN</t>
        </is>
      </c>
      <c r="E2061" t="inlineStr">
        <is>
          <t>STRÖMSUND</t>
        </is>
      </c>
      <c r="F2061" t="inlineStr">
        <is>
          <t>SCA</t>
        </is>
      </c>
      <c r="G2061" t="n">
        <v>14.4</v>
      </c>
      <c r="H2061" t="n">
        <v>0</v>
      </c>
      <c r="I2061" t="n">
        <v>0</v>
      </c>
      <c r="J2061" t="n">
        <v>0</v>
      </c>
      <c r="K2061" t="n">
        <v>0</v>
      </c>
      <c r="L2061" t="n">
        <v>0</v>
      </c>
      <c r="M2061" t="n">
        <v>0</v>
      </c>
      <c r="N2061" t="n">
        <v>0</v>
      </c>
      <c r="O2061" t="n">
        <v>0</v>
      </c>
      <c r="P2061" t="n">
        <v>0</v>
      </c>
      <c r="Q2061" t="n">
        <v>0</v>
      </c>
      <c r="R2061" s="2" t="inlineStr"/>
    </row>
    <row r="2062" ht="15" customHeight="1">
      <c r="A2062" t="inlineStr">
        <is>
          <t>A 6773-2023</t>
        </is>
      </c>
      <c r="B2062" s="1" t="n">
        <v>44966</v>
      </c>
      <c r="C2062" s="1" t="n">
        <v>45740</v>
      </c>
      <c r="D2062" t="inlineStr">
        <is>
          <t>JÄMTLANDS LÄN</t>
        </is>
      </c>
      <c r="E2062" t="inlineStr">
        <is>
          <t>STRÖMSUND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6798-2023</t>
        </is>
      </c>
      <c r="B2063" s="1" t="n">
        <v>44966</v>
      </c>
      <c r="C2063" s="1" t="n">
        <v>45740</v>
      </c>
      <c r="D2063" t="inlineStr">
        <is>
          <t>JÄMTLANDS LÄN</t>
        </is>
      </c>
      <c r="E2063" t="inlineStr">
        <is>
          <t>STRÖMSUND</t>
        </is>
      </c>
      <c r="F2063" t="inlineStr">
        <is>
          <t>SCA</t>
        </is>
      </c>
      <c r="G2063" t="n">
        <v>70.3</v>
      </c>
      <c r="H2063" t="n">
        <v>0</v>
      </c>
      <c r="I2063" t="n">
        <v>0</v>
      </c>
      <c r="J2063" t="n">
        <v>0</v>
      </c>
      <c r="K2063" t="n">
        <v>0</v>
      </c>
      <c r="L2063" t="n">
        <v>0</v>
      </c>
      <c r="M2063" t="n">
        <v>0</v>
      </c>
      <c r="N2063" t="n">
        <v>0</v>
      </c>
      <c r="O2063" t="n">
        <v>0</v>
      </c>
      <c r="P2063" t="n">
        <v>0</v>
      </c>
      <c r="Q2063" t="n">
        <v>0</v>
      </c>
      <c r="R2063" s="2" t="inlineStr"/>
    </row>
    <row r="2064" ht="15" customHeight="1">
      <c r="A2064" t="inlineStr">
        <is>
          <t>A 6780-2023</t>
        </is>
      </c>
      <c r="B2064" s="1" t="n">
        <v>44966</v>
      </c>
      <c r="C2064" s="1" t="n">
        <v>45740</v>
      </c>
      <c r="D2064" t="inlineStr">
        <is>
          <t>JÄMTLANDS LÄN</t>
        </is>
      </c>
      <c r="E2064" t="inlineStr">
        <is>
          <t>STRÖMSUND</t>
        </is>
      </c>
      <c r="F2064" t="inlineStr">
        <is>
          <t>SCA</t>
        </is>
      </c>
      <c r="G2064" t="n">
        <v>38.5</v>
      </c>
      <c r="H2064" t="n">
        <v>0</v>
      </c>
      <c r="I2064" t="n">
        <v>0</v>
      </c>
      <c r="J2064" t="n">
        <v>0</v>
      </c>
      <c r="K2064" t="n">
        <v>0</v>
      </c>
      <c r="L2064" t="n">
        <v>0</v>
      </c>
      <c r="M2064" t="n">
        <v>0</v>
      </c>
      <c r="N2064" t="n">
        <v>0</v>
      </c>
      <c r="O2064" t="n">
        <v>0</v>
      </c>
      <c r="P2064" t="n">
        <v>0</v>
      </c>
      <c r="Q2064" t="n">
        <v>0</v>
      </c>
      <c r="R2064" s="2" t="inlineStr"/>
    </row>
    <row r="2065" ht="15" customHeight="1">
      <c r="A2065" t="inlineStr">
        <is>
          <t>A 7489-2023</t>
        </is>
      </c>
      <c r="B2065" s="1" t="n">
        <v>44966</v>
      </c>
      <c r="C2065" s="1" t="n">
        <v>45740</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7020-2023</t>
        </is>
      </c>
      <c r="B2066" s="1" t="n">
        <v>44967</v>
      </c>
      <c r="C2066" s="1" t="n">
        <v>45740</v>
      </c>
      <c r="D2066" t="inlineStr">
        <is>
          <t>JÄMTLANDS LÄN</t>
        </is>
      </c>
      <c r="E2066" t="inlineStr">
        <is>
          <t>STRÖMSUND</t>
        </is>
      </c>
      <c r="F2066" t="inlineStr">
        <is>
          <t>SCA</t>
        </is>
      </c>
      <c r="G2066" t="n">
        <v>33.9</v>
      </c>
      <c r="H2066" t="n">
        <v>0</v>
      </c>
      <c r="I2066" t="n">
        <v>0</v>
      </c>
      <c r="J2066" t="n">
        <v>0</v>
      </c>
      <c r="K2066" t="n">
        <v>0</v>
      </c>
      <c r="L2066" t="n">
        <v>0</v>
      </c>
      <c r="M2066" t="n">
        <v>0</v>
      </c>
      <c r="N2066" t="n">
        <v>0</v>
      </c>
      <c r="O2066" t="n">
        <v>0</v>
      </c>
      <c r="P2066" t="n">
        <v>0</v>
      </c>
      <c r="Q2066" t="n">
        <v>0</v>
      </c>
      <c r="R2066" s="2" t="inlineStr"/>
    </row>
    <row r="2067" ht="15" customHeight="1">
      <c r="A2067" t="inlineStr">
        <is>
          <t>A 7015-2023</t>
        </is>
      </c>
      <c r="B2067" s="1" t="n">
        <v>44967</v>
      </c>
      <c r="C2067" s="1" t="n">
        <v>45740</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7326-2023</t>
        </is>
      </c>
      <c r="B2068" s="1" t="n">
        <v>44971</v>
      </c>
      <c r="C2068" s="1" t="n">
        <v>45740</v>
      </c>
      <c r="D2068" t="inlineStr">
        <is>
          <t>JÄMTLANDS LÄN</t>
        </is>
      </c>
      <c r="E2068" t="inlineStr">
        <is>
          <t>STRÖMSUND</t>
        </is>
      </c>
      <c r="F2068" t="inlineStr">
        <is>
          <t>SCA</t>
        </is>
      </c>
      <c r="G2068" t="n">
        <v>15.7</v>
      </c>
      <c r="H2068" t="n">
        <v>0</v>
      </c>
      <c r="I2068" t="n">
        <v>0</v>
      </c>
      <c r="J2068" t="n">
        <v>0</v>
      </c>
      <c r="K2068" t="n">
        <v>0</v>
      </c>
      <c r="L2068" t="n">
        <v>0</v>
      </c>
      <c r="M2068" t="n">
        <v>0</v>
      </c>
      <c r="N2068" t="n">
        <v>0</v>
      </c>
      <c r="O2068" t="n">
        <v>0</v>
      </c>
      <c r="P2068" t="n">
        <v>0</v>
      </c>
      <c r="Q2068" t="n">
        <v>0</v>
      </c>
      <c r="R2068" s="2" t="inlineStr"/>
    </row>
    <row r="2069" ht="15" customHeight="1">
      <c r="A2069" t="inlineStr">
        <is>
          <t>A 7334-2023</t>
        </is>
      </c>
      <c r="B2069" s="1" t="n">
        <v>44971</v>
      </c>
      <c r="C2069" s="1" t="n">
        <v>45740</v>
      </c>
      <c r="D2069" t="inlineStr">
        <is>
          <t>JÄMTLANDS LÄN</t>
        </is>
      </c>
      <c r="E2069" t="inlineStr">
        <is>
          <t>STRÖMSUND</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8031-2023</t>
        </is>
      </c>
      <c r="B2070" s="1" t="n">
        <v>44973</v>
      </c>
      <c r="C2070" s="1" t="n">
        <v>45740</v>
      </c>
      <c r="D2070" t="inlineStr">
        <is>
          <t>JÄMTLANDS LÄN</t>
        </is>
      </c>
      <c r="E2070" t="inlineStr">
        <is>
          <t>STRÖMSUND</t>
        </is>
      </c>
      <c r="F2070" t="inlineStr">
        <is>
          <t>SCA</t>
        </is>
      </c>
      <c r="G2070" t="n">
        <v>39.1</v>
      </c>
      <c r="H2070" t="n">
        <v>0</v>
      </c>
      <c r="I2070" t="n">
        <v>0</v>
      </c>
      <c r="J2070" t="n">
        <v>0</v>
      </c>
      <c r="K2070" t="n">
        <v>0</v>
      </c>
      <c r="L2070" t="n">
        <v>0</v>
      </c>
      <c r="M2070" t="n">
        <v>0</v>
      </c>
      <c r="N2070" t="n">
        <v>0</v>
      </c>
      <c r="O2070" t="n">
        <v>0</v>
      </c>
      <c r="P2070" t="n">
        <v>0</v>
      </c>
      <c r="Q2070" t="n">
        <v>0</v>
      </c>
      <c r="R2070" s="2" t="inlineStr"/>
    </row>
    <row r="2071" ht="15" customHeight="1">
      <c r="A2071" t="inlineStr">
        <is>
          <t>A 8647-2023</t>
        </is>
      </c>
      <c r="B2071" s="1" t="n">
        <v>44977</v>
      </c>
      <c r="C2071" s="1" t="n">
        <v>45740</v>
      </c>
      <c r="D2071" t="inlineStr">
        <is>
          <t>JÄMTLANDS LÄN</t>
        </is>
      </c>
      <c r="E2071" t="inlineStr">
        <is>
          <t>STRÖMSUND</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8676-2023</t>
        </is>
      </c>
      <c r="B2072" s="1" t="n">
        <v>44978</v>
      </c>
      <c r="C2072" s="1" t="n">
        <v>45740</v>
      </c>
      <c r="D2072" t="inlineStr">
        <is>
          <t>JÄMTLANDS LÄN</t>
        </is>
      </c>
      <c r="E2072" t="inlineStr">
        <is>
          <t>STRÖMSUND</t>
        </is>
      </c>
      <c r="F2072" t="inlineStr">
        <is>
          <t>SCA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9301-2023</t>
        </is>
      </c>
      <c r="B2073" s="1" t="n">
        <v>44977</v>
      </c>
      <c r="C2073" s="1" t="n">
        <v>45740</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9716-2023</t>
        </is>
      </c>
      <c r="B2074" s="1" t="n">
        <v>44978</v>
      </c>
      <c r="C2074" s="1" t="n">
        <v>45740</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9089-2023</t>
        </is>
      </c>
      <c r="B2075" s="1" t="n">
        <v>44979</v>
      </c>
      <c r="C2075" s="1" t="n">
        <v>45740</v>
      </c>
      <c r="D2075" t="inlineStr">
        <is>
          <t>JÄMTLANDS LÄN</t>
        </is>
      </c>
      <c r="E2075" t="inlineStr">
        <is>
          <t>STRÖMSUND</t>
        </is>
      </c>
      <c r="F2075" t="inlineStr">
        <is>
          <t>SCA</t>
        </is>
      </c>
      <c r="G2075" t="n">
        <v>41.2</v>
      </c>
      <c r="H2075" t="n">
        <v>0</v>
      </c>
      <c r="I2075" t="n">
        <v>0</v>
      </c>
      <c r="J2075" t="n">
        <v>0</v>
      </c>
      <c r="K2075" t="n">
        <v>0</v>
      </c>
      <c r="L2075" t="n">
        <v>0</v>
      </c>
      <c r="M2075" t="n">
        <v>0</v>
      </c>
      <c r="N2075" t="n">
        <v>0</v>
      </c>
      <c r="O2075" t="n">
        <v>0</v>
      </c>
      <c r="P2075" t="n">
        <v>0</v>
      </c>
      <c r="Q2075" t="n">
        <v>0</v>
      </c>
      <c r="R2075" s="2" t="inlineStr"/>
    </row>
    <row r="2076" ht="15" customHeight="1">
      <c r="A2076" t="inlineStr">
        <is>
          <t>A 9354-2023</t>
        </is>
      </c>
      <c r="B2076" s="1" t="n">
        <v>44980</v>
      </c>
      <c r="C2076" s="1" t="n">
        <v>45740</v>
      </c>
      <c r="D2076" t="inlineStr">
        <is>
          <t>JÄMTLANDS LÄN</t>
        </is>
      </c>
      <c r="E2076" t="inlineStr">
        <is>
          <t>STRÖMSUND</t>
        </is>
      </c>
      <c r="F2076" t="inlineStr">
        <is>
          <t>SCA</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9353-2023</t>
        </is>
      </c>
      <c r="B2077" s="1" t="n">
        <v>44980</v>
      </c>
      <c r="C2077" s="1" t="n">
        <v>45740</v>
      </c>
      <c r="D2077" t="inlineStr">
        <is>
          <t>JÄMTLANDS LÄN</t>
        </is>
      </c>
      <c r="E2077" t="inlineStr">
        <is>
          <t>STRÖMSUND</t>
        </is>
      </c>
      <c r="F2077" t="inlineStr">
        <is>
          <t>SCA</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9555-2023</t>
        </is>
      </c>
      <c r="B2078" s="1" t="n">
        <v>44981</v>
      </c>
      <c r="C2078" s="1" t="n">
        <v>45740</v>
      </c>
      <c r="D2078" t="inlineStr">
        <is>
          <t>JÄMTLANDS LÄN</t>
        </is>
      </c>
      <c r="E2078" t="inlineStr">
        <is>
          <t>STRÖMSUND</t>
        </is>
      </c>
      <c r="F2078" t="inlineStr">
        <is>
          <t>SCA</t>
        </is>
      </c>
      <c r="G2078" t="n">
        <v>18.8</v>
      </c>
      <c r="H2078" t="n">
        <v>0</v>
      </c>
      <c r="I2078" t="n">
        <v>0</v>
      </c>
      <c r="J2078" t="n">
        <v>0</v>
      </c>
      <c r="K2078" t="n">
        <v>0</v>
      </c>
      <c r="L2078" t="n">
        <v>0</v>
      </c>
      <c r="M2078" t="n">
        <v>0</v>
      </c>
      <c r="N2078" t="n">
        <v>0</v>
      </c>
      <c r="O2078" t="n">
        <v>0</v>
      </c>
      <c r="P2078" t="n">
        <v>0</v>
      </c>
      <c r="Q2078" t="n">
        <v>0</v>
      </c>
      <c r="R2078" s="2" t="inlineStr"/>
    </row>
    <row r="2079" ht="15" customHeight="1">
      <c r="A2079" t="inlineStr">
        <is>
          <t>A 9554-2023</t>
        </is>
      </c>
      <c r="B2079" s="1" t="n">
        <v>44981</v>
      </c>
      <c r="C2079" s="1" t="n">
        <v>45740</v>
      </c>
      <c r="D2079" t="inlineStr">
        <is>
          <t>JÄMTLANDS LÄN</t>
        </is>
      </c>
      <c r="E2079" t="inlineStr">
        <is>
          <t>STRÖMSUND</t>
        </is>
      </c>
      <c r="F2079" t="inlineStr">
        <is>
          <t>SCA</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9678-2023</t>
        </is>
      </c>
      <c r="B2080" s="1" t="n">
        <v>44984</v>
      </c>
      <c r="C2080" s="1" t="n">
        <v>45740</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9851-2023</t>
        </is>
      </c>
      <c r="B2081" s="1" t="n">
        <v>44984</v>
      </c>
      <c r="C2081" s="1" t="n">
        <v>45740</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10738-2023</t>
        </is>
      </c>
      <c r="B2082" s="1" t="n">
        <v>44984</v>
      </c>
      <c r="C2082" s="1" t="n">
        <v>45740</v>
      </c>
      <c r="D2082" t="inlineStr">
        <is>
          <t>JÄMTLANDS LÄN</t>
        </is>
      </c>
      <c r="E2082" t="inlineStr">
        <is>
          <t>STRÖMSUND</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10101-2023</t>
        </is>
      </c>
      <c r="B2083" s="1" t="n">
        <v>44985</v>
      </c>
      <c r="C2083" s="1" t="n">
        <v>45740</v>
      </c>
      <c r="D2083" t="inlineStr">
        <is>
          <t>JÄMTLANDS LÄN</t>
        </is>
      </c>
      <c r="E2083" t="inlineStr">
        <is>
          <t>STRÖMSUND</t>
        </is>
      </c>
      <c r="F2083" t="inlineStr">
        <is>
          <t>SCA</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10102-2023</t>
        </is>
      </c>
      <c r="B2084" s="1" t="n">
        <v>44985</v>
      </c>
      <c r="C2084" s="1" t="n">
        <v>45740</v>
      </c>
      <c r="D2084" t="inlineStr">
        <is>
          <t>JÄMTLANDS LÄN</t>
        </is>
      </c>
      <c r="E2084" t="inlineStr">
        <is>
          <t>STRÖMSUND</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10074-2023</t>
        </is>
      </c>
      <c r="B2085" s="1" t="n">
        <v>44985</v>
      </c>
      <c r="C2085" s="1" t="n">
        <v>45740</v>
      </c>
      <c r="D2085" t="inlineStr">
        <is>
          <t>JÄMTLANDS LÄN</t>
        </is>
      </c>
      <c r="E2085" t="inlineStr">
        <is>
          <t>STRÖMSUND</t>
        </is>
      </c>
      <c r="F2085" t="inlineStr">
        <is>
          <t>SCA</t>
        </is>
      </c>
      <c r="G2085" t="n">
        <v>58.9</v>
      </c>
      <c r="H2085" t="n">
        <v>0</v>
      </c>
      <c r="I2085" t="n">
        <v>0</v>
      </c>
      <c r="J2085" t="n">
        <v>0</v>
      </c>
      <c r="K2085" t="n">
        <v>0</v>
      </c>
      <c r="L2085" t="n">
        <v>0</v>
      </c>
      <c r="M2085" t="n">
        <v>0</v>
      </c>
      <c r="N2085" t="n">
        <v>0</v>
      </c>
      <c r="O2085" t="n">
        <v>0</v>
      </c>
      <c r="P2085" t="n">
        <v>0</v>
      </c>
      <c r="Q2085" t="n">
        <v>0</v>
      </c>
      <c r="R2085" s="2" t="inlineStr"/>
    </row>
    <row r="2086" ht="15" customHeight="1">
      <c r="A2086" t="inlineStr">
        <is>
          <t>A 10944-2023</t>
        </is>
      </c>
      <c r="B2086" s="1" t="n">
        <v>44985</v>
      </c>
      <c r="C2086" s="1" t="n">
        <v>45740</v>
      </c>
      <c r="D2086" t="inlineStr">
        <is>
          <t>JÄMTLANDS LÄN</t>
        </is>
      </c>
      <c r="E2086" t="inlineStr">
        <is>
          <t>STRÖMSUND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10537-2023</t>
        </is>
      </c>
      <c r="B2087" s="1" t="n">
        <v>44987</v>
      </c>
      <c r="C2087" s="1" t="n">
        <v>45740</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10826-2023</t>
        </is>
      </c>
      <c r="B2088" s="1" t="n">
        <v>44990</v>
      </c>
      <c r="C2088" s="1" t="n">
        <v>45740</v>
      </c>
      <c r="D2088" t="inlineStr">
        <is>
          <t>JÄMTLANDS LÄN</t>
        </is>
      </c>
      <c r="E2088" t="inlineStr">
        <is>
          <t>STRÖMSUND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11058-2023</t>
        </is>
      </c>
      <c r="B2089" s="1" t="n">
        <v>44991</v>
      </c>
      <c r="C2089" s="1" t="n">
        <v>45740</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11061-2023</t>
        </is>
      </c>
      <c r="B2090" s="1" t="n">
        <v>44991</v>
      </c>
      <c r="C2090" s="1" t="n">
        <v>45740</v>
      </c>
      <c r="D2090" t="inlineStr">
        <is>
          <t>JÄMTLANDS LÄN</t>
        </is>
      </c>
      <c r="E2090" t="inlineStr">
        <is>
          <t>STRÖMSUND</t>
        </is>
      </c>
      <c r="F2090" t="inlineStr">
        <is>
          <t>SCA</t>
        </is>
      </c>
      <c r="G2090" t="n">
        <v>26.7</v>
      </c>
      <c r="H2090" t="n">
        <v>0</v>
      </c>
      <c r="I2090" t="n">
        <v>0</v>
      </c>
      <c r="J2090" t="n">
        <v>0</v>
      </c>
      <c r="K2090" t="n">
        <v>0</v>
      </c>
      <c r="L2090" t="n">
        <v>0</v>
      </c>
      <c r="M2090" t="n">
        <v>0</v>
      </c>
      <c r="N2090" t="n">
        <v>0</v>
      </c>
      <c r="O2090" t="n">
        <v>0</v>
      </c>
      <c r="P2090" t="n">
        <v>0</v>
      </c>
      <c r="Q2090" t="n">
        <v>0</v>
      </c>
      <c r="R2090" s="2" t="inlineStr"/>
    </row>
    <row r="2091" ht="15" customHeight="1">
      <c r="A2091" t="inlineStr">
        <is>
          <t>A 11458-2023</t>
        </is>
      </c>
      <c r="B2091" s="1" t="n">
        <v>44991</v>
      </c>
      <c r="C2091" s="1" t="n">
        <v>45740</v>
      </c>
      <c r="D2091" t="inlineStr">
        <is>
          <t>JÄMTLANDS LÄN</t>
        </is>
      </c>
      <c r="E2091" t="inlineStr">
        <is>
          <t>STRÖMSUND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11444-2023</t>
        </is>
      </c>
      <c r="B2092" s="1" t="n">
        <v>44991</v>
      </c>
      <c r="C2092" s="1" t="n">
        <v>45740</v>
      </c>
      <c r="D2092" t="inlineStr">
        <is>
          <t>JÄMTLANDS LÄN</t>
        </is>
      </c>
      <c r="E2092" t="inlineStr">
        <is>
          <t>STRÖMSUND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11303-2023</t>
        </is>
      </c>
      <c r="B2093" s="1" t="n">
        <v>44993</v>
      </c>
      <c r="C2093" s="1" t="n">
        <v>45740</v>
      </c>
      <c r="D2093" t="inlineStr">
        <is>
          <t>JÄMTLANDS LÄN</t>
        </is>
      </c>
      <c r="E2093" t="inlineStr">
        <is>
          <t>STRÖMSUND</t>
        </is>
      </c>
      <c r="F2093" t="inlineStr">
        <is>
          <t>SCA</t>
        </is>
      </c>
      <c r="G2093" t="n">
        <v>39.2</v>
      </c>
      <c r="H2093" t="n">
        <v>0</v>
      </c>
      <c r="I2093" t="n">
        <v>0</v>
      </c>
      <c r="J2093" t="n">
        <v>0</v>
      </c>
      <c r="K2093" t="n">
        <v>0</v>
      </c>
      <c r="L2093" t="n">
        <v>0</v>
      </c>
      <c r="M2093" t="n">
        <v>0</v>
      </c>
      <c r="N2093" t="n">
        <v>0</v>
      </c>
      <c r="O2093" t="n">
        <v>0</v>
      </c>
      <c r="P2093" t="n">
        <v>0</v>
      </c>
      <c r="Q2093" t="n">
        <v>0</v>
      </c>
      <c r="R2093" s="2" t="inlineStr"/>
    </row>
    <row r="2094" ht="15" customHeight="1">
      <c r="A2094" t="inlineStr">
        <is>
          <t>A 11302-2023</t>
        </is>
      </c>
      <c r="B2094" s="1" t="n">
        <v>44993</v>
      </c>
      <c r="C2094" s="1" t="n">
        <v>45740</v>
      </c>
      <c r="D2094" t="inlineStr">
        <is>
          <t>JÄMTLANDS LÄN</t>
        </is>
      </c>
      <c r="E2094" t="inlineStr">
        <is>
          <t>STRÖMSUND</t>
        </is>
      </c>
      <c r="F2094" t="inlineStr">
        <is>
          <t>SCA</t>
        </is>
      </c>
      <c r="G2094" t="n">
        <v>67.40000000000001</v>
      </c>
      <c r="H2094" t="n">
        <v>0</v>
      </c>
      <c r="I2094" t="n">
        <v>0</v>
      </c>
      <c r="J2094" t="n">
        <v>0</v>
      </c>
      <c r="K2094" t="n">
        <v>0</v>
      </c>
      <c r="L2094" t="n">
        <v>0</v>
      </c>
      <c r="M2094" t="n">
        <v>0</v>
      </c>
      <c r="N2094" t="n">
        <v>0</v>
      </c>
      <c r="O2094" t="n">
        <v>0</v>
      </c>
      <c r="P2094" t="n">
        <v>0</v>
      </c>
      <c r="Q2094" t="n">
        <v>0</v>
      </c>
      <c r="R2094" s="2" t="inlineStr"/>
    </row>
    <row r="2095" ht="15" customHeight="1">
      <c r="A2095" t="inlineStr">
        <is>
          <t>A 11324-2023</t>
        </is>
      </c>
      <c r="B2095" s="1" t="n">
        <v>44993</v>
      </c>
      <c r="C2095" s="1" t="n">
        <v>45740</v>
      </c>
      <c r="D2095" t="inlineStr">
        <is>
          <t>JÄMTLANDS LÄN</t>
        </is>
      </c>
      <c r="E2095" t="inlineStr">
        <is>
          <t>STRÖMSUND</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12042-2023</t>
        </is>
      </c>
      <c r="B2096" s="1" t="n">
        <v>44996</v>
      </c>
      <c r="C2096" s="1" t="n">
        <v>45740</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12644-2023</t>
        </is>
      </c>
      <c r="B2097" s="1" t="n">
        <v>45000</v>
      </c>
      <c r="C2097" s="1" t="n">
        <v>45740</v>
      </c>
      <c r="D2097" t="inlineStr">
        <is>
          <t>JÄMTLANDS LÄN</t>
        </is>
      </c>
      <c r="E2097" t="inlineStr">
        <is>
          <t>STRÖMSUND</t>
        </is>
      </c>
      <c r="F2097" t="inlineStr">
        <is>
          <t>Kyrkan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12731-2023</t>
        </is>
      </c>
      <c r="B2098" s="1" t="n">
        <v>45000</v>
      </c>
      <c r="C2098" s="1" t="n">
        <v>45740</v>
      </c>
      <c r="D2098" t="inlineStr">
        <is>
          <t>JÄMTLANDS LÄN</t>
        </is>
      </c>
      <c r="E2098" t="inlineStr">
        <is>
          <t>STRÖMSUND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12971-2023</t>
        </is>
      </c>
      <c r="B2099" s="1" t="n">
        <v>45001</v>
      </c>
      <c r="C2099" s="1" t="n">
        <v>45740</v>
      </c>
      <c r="D2099" t="inlineStr">
        <is>
          <t>JÄMTLANDS LÄN</t>
        </is>
      </c>
      <c r="E2099" t="inlineStr">
        <is>
          <t>STRÖMSUND</t>
        </is>
      </c>
      <c r="G2099" t="n">
        <v>15.7</v>
      </c>
      <c r="H2099" t="n">
        <v>0</v>
      </c>
      <c r="I2099" t="n">
        <v>0</v>
      </c>
      <c r="J2099" t="n">
        <v>0</v>
      </c>
      <c r="K2099" t="n">
        <v>0</v>
      </c>
      <c r="L2099" t="n">
        <v>0</v>
      </c>
      <c r="M2099" t="n">
        <v>0</v>
      </c>
      <c r="N2099" t="n">
        <v>0</v>
      </c>
      <c r="O2099" t="n">
        <v>0</v>
      </c>
      <c r="P2099" t="n">
        <v>0</v>
      </c>
      <c r="Q2099" t="n">
        <v>0</v>
      </c>
      <c r="R2099" s="2" t="inlineStr"/>
    </row>
    <row r="2100" ht="15" customHeight="1">
      <c r="A2100" t="inlineStr">
        <is>
          <t>A 12993-2023</t>
        </is>
      </c>
      <c r="B2100" s="1" t="n">
        <v>45002</v>
      </c>
      <c r="C2100" s="1" t="n">
        <v>45740</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12994-2023</t>
        </is>
      </c>
      <c r="B2101" s="1" t="n">
        <v>45002</v>
      </c>
      <c r="C2101" s="1" t="n">
        <v>45740</v>
      </c>
      <c r="D2101" t="inlineStr">
        <is>
          <t>JÄMTLANDS LÄN</t>
        </is>
      </c>
      <c r="E2101" t="inlineStr">
        <is>
          <t>STRÖMSUND</t>
        </is>
      </c>
      <c r="F2101" t="inlineStr">
        <is>
          <t>SCA</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13685-2023</t>
        </is>
      </c>
      <c r="B2102" s="1" t="n">
        <v>45006</v>
      </c>
      <c r="C2102" s="1" t="n">
        <v>45740</v>
      </c>
      <c r="D2102" t="inlineStr">
        <is>
          <t>JÄMTLANDS LÄN</t>
        </is>
      </c>
      <c r="E2102" t="inlineStr">
        <is>
          <t>STRÖMSUND</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13684-2023</t>
        </is>
      </c>
      <c r="B2103" s="1" t="n">
        <v>45006</v>
      </c>
      <c r="C2103" s="1" t="n">
        <v>45740</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13687-2023</t>
        </is>
      </c>
      <c r="B2104" s="1" t="n">
        <v>45006</v>
      </c>
      <c r="C2104" s="1" t="n">
        <v>45740</v>
      </c>
      <c r="D2104" t="inlineStr">
        <is>
          <t>JÄMTLANDS LÄN</t>
        </is>
      </c>
      <c r="E2104" t="inlineStr">
        <is>
          <t>STRÖMSUND</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13686-2023</t>
        </is>
      </c>
      <c r="B2105" s="1" t="n">
        <v>45006</v>
      </c>
      <c r="C2105" s="1" t="n">
        <v>45740</v>
      </c>
      <c r="D2105" t="inlineStr">
        <is>
          <t>JÄMTLANDS LÄN</t>
        </is>
      </c>
      <c r="E2105" t="inlineStr">
        <is>
          <t>STRÖMSUND</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14070-2023</t>
        </is>
      </c>
      <c r="B2106" s="1" t="n">
        <v>45008</v>
      </c>
      <c r="C2106" s="1" t="n">
        <v>45740</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14069-2023</t>
        </is>
      </c>
      <c r="B2107" s="1" t="n">
        <v>45008</v>
      </c>
      <c r="C2107" s="1" t="n">
        <v>45740</v>
      </c>
      <c r="D2107" t="inlineStr">
        <is>
          <t>JÄMTLANDS LÄN</t>
        </is>
      </c>
      <c r="E2107" t="inlineStr">
        <is>
          <t>STRÖMSUND</t>
        </is>
      </c>
      <c r="G2107" t="n">
        <v>28.2</v>
      </c>
      <c r="H2107" t="n">
        <v>0</v>
      </c>
      <c r="I2107" t="n">
        <v>0</v>
      </c>
      <c r="J2107" t="n">
        <v>0</v>
      </c>
      <c r="K2107" t="n">
        <v>0</v>
      </c>
      <c r="L2107" t="n">
        <v>0</v>
      </c>
      <c r="M2107" t="n">
        <v>0</v>
      </c>
      <c r="N2107" t="n">
        <v>0</v>
      </c>
      <c r="O2107" t="n">
        <v>0</v>
      </c>
      <c r="P2107" t="n">
        <v>0</v>
      </c>
      <c r="Q2107" t="n">
        <v>0</v>
      </c>
      <c r="R2107" s="2" t="inlineStr"/>
    </row>
    <row r="2108" ht="15" customHeight="1">
      <c r="A2108" t="inlineStr">
        <is>
          <t>A 14068-2023</t>
        </is>
      </c>
      <c r="B2108" s="1" t="n">
        <v>45009</v>
      </c>
      <c r="C2108" s="1" t="n">
        <v>45740</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14072-2023</t>
        </is>
      </c>
      <c r="B2109" s="1" t="n">
        <v>45009</v>
      </c>
      <c r="C2109" s="1" t="n">
        <v>45740</v>
      </c>
      <c r="D2109" t="inlineStr">
        <is>
          <t>JÄMTLANDS LÄN</t>
        </is>
      </c>
      <c r="E2109" t="inlineStr">
        <is>
          <t>STRÖMSUND</t>
        </is>
      </c>
      <c r="F2109" t="inlineStr">
        <is>
          <t>SCA</t>
        </is>
      </c>
      <c r="G2109" t="n">
        <v>24.8</v>
      </c>
      <c r="H2109" t="n">
        <v>0</v>
      </c>
      <c r="I2109" t="n">
        <v>0</v>
      </c>
      <c r="J2109" t="n">
        <v>0</v>
      </c>
      <c r="K2109" t="n">
        <v>0</v>
      </c>
      <c r="L2109" t="n">
        <v>0</v>
      </c>
      <c r="M2109" t="n">
        <v>0</v>
      </c>
      <c r="N2109" t="n">
        <v>0</v>
      </c>
      <c r="O2109" t="n">
        <v>0</v>
      </c>
      <c r="P2109" t="n">
        <v>0</v>
      </c>
      <c r="Q2109" t="n">
        <v>0</v>
      </c>
      <c r="R2109" s="2" t="inlineStr"/>
    </row>
    <row r="2110" ht="15" customHeight="1">
      <c r="A2110" t="inlineStr">
        <is>
          <t>A 14338-2023</t>
        </is>
      </c>
      <c r="B2110" s="1" t="n">
        <v>45012</v>
      </c>
      <c r="C2110" s="1" t="n">
        <v>45740</v>
      </c>
      <c r="D2110" t="inlineStr">
        <is>
          <t>JÄMTLANDS LÄN</t>
        </is>
      </c>
      <c r="E2110" t="inlineStr">
        <is>
          <t>STRÖMSUND</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14344-2023</t>
        </is>
      </c>
      <c r="B2111" s="1" t="n">
        <v>45012</v>
      </c>
      <c r="C2111" s="1" t="n">
        <v>45740</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14371-2023</t>
        </is>
      </c>
      <c r="B2112" s="1" t="n">
        <v>45012</v>
      </c>
      <c r="C2112" s="1" t="n">
        <v>45740</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14347-2023</t>
        </is>
      </c>
      <c r="B2113" s="1" t="n">
        <v>45012</v>
      </c>
      <c r="C2113" s="1" t="n">
        <v>45740</v>
      </c>
      <c r="D2113" t="inlineStr">
        <is>
          <t>JÄMTLANDS LÄN</t>
        </is>
      </c>
      <c r="E2113" t="inlineStr">
        <is>
          <t>STRÖMSUND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14528-2023</t>
        </is>
      </c>
      <c r="B2114" s="1" t="n">
        <v>45012</v>
      </c>
      <c r="C2114" s="1" t="n">
        <v>45740</v>
      </c>
      <c r="D2114" t="inlineStr">
        <is>
          <t>JÄMTLANDS LÄN</t>
        </is>
      </c>
      <c r="E2114" t="inlineStr">
        <is>
          <t>STRÖMSUND</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14975-2023</t>
        </is>
      </c>
      <c r="B2115" s="1" t="n">
        <v>45013</v>
      </c>
      <c r="C2115" s="1" t="n">
        <v>45740</v>
      </c>
      <c r="D2115" t="inlineStr">
        <is>
          <t>JÄMTLANDS LÄN</t>
        </is>
      </c>
      <c r="E2115" t="inlineStr">
        <is>
          <t>STRÖMSUND</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14821-2023</t>
        </is>
      </c>
      <c r="B2116" s="1" t="n">
        <v>45013</v>
      </c>
      <c r="C2116" s="1" t="n">
        <v>45740</v>
      </c>
      <c r="D2116" t="inlineStr">
        <is>
          <t>JÄMTLANDS LÄN</t>
        </is>
      </c>
      <c r="E2116" t="inlineStr">
        <is>
          <t>STRÖMSUND</t>
        </is>
      </c>
      <c r="G2116" t="n">
        <v>39.3</v>
      </c>
      <c r="H2116" t="n">
        <v>0</v>
      </c>
      <c r="I2116" t="n">
        <v>0</v>
      </c>
      <c r="J2116" t="n">
        <v>0</v>
      </c>
      <c r="K2116" t="n">
        <v>0</v>
      </c>
      <c r="L2116" t="n">
        <v>0</v>
      </c>
      <c r="M2116" t="n">
        <v>0</v>
      </c>
      <c r="N2116" t="n">
        <v>0</v>
      </c>
      <c r="O2116" t="n">
        <v>0</v>
      </c>
      <c r="P2116" t="n">
        <v>0</v>
      </c>
      <c r="Q2116" t="n">
        <v>0</v>
      </c>
      <c r="R2116" s="2" t="inlineStr"/>
    </row>
    <row r="2117" ht="15" customHeight="1">
      <c r="A2117" t="inlineStr">
        <is>
          <t>A 14861-2023</t>
        </is>
      </c>
      <c r="B2117" s="1" t="n">
        <v>45015</v>
      </c>
      <c r="C2117" s="1" t="n">
        <v>45740</v>
      </c>
      <c r="D2117" t="inlineStr">
        <is>
          <t>JÄMTLANDS LÄN</t>
        </is>
      </c>
      <c r="E2117" t="inlineStr">
        <is>
          <t>STRÖMSUND</t>
        </is>
      </c>
      <c r="F2117" t="inlineStr">
        <is>
          <t>SCA</t>
        </is>
      </c>
      <c r="G2117" t="n">
        <v>26.3</v>
      </c>
      <c r="H2117" t="n">
        <v>0</v>
      </c>
      <c r="I2117" t="n">
        <v>0</v>
      </c>
      <c r="J2117" t="n">
        <v>0</v>
      </c>
      <c r="K2117" t="n">
        <v>0</v>
      </c>
      <c r="L2117" t="n">
        <v>0</v>
      </c>
      <c r="M2117" t="n">
        <v>0</v>
      </c>
      <c r="N2117" t="n">
        <v>0</v>
      </c>
      <c r="O2117" t="n">
        <v>0</v>
      </c>
      <c r="P2117" t="n">
        <v>0</v>
      </c>
      <c r="Q2117" t="n">
        <v>0</v>
      </c>
      <c r="R2117" s="2" t="inlineStr"/>
    </row>
    <row r="2118" ht="15" customHeight="1">
      <c r="A2118" t="inlineStr">
        <is>
          <t>A 14867-2023</t>
        </is>
      </c>
      <c r="B2118" s="1" t="n">
        <v>45015</v>
      </c>
      <c r="C2118" s="1" t="n">
        <v>45740</v>
      </c>
      <c r="D2118" t="inlineStr">
        <is>
          <t>JÄMTLANDS LÄN</t>
        </is>
      </c>
      <c r="E2118" t="inlineStr">
        <is>
          <t>STRÖMSUND</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14866-2023</t>
        </is>
      </c>
      <c r="B2119" s="1" t="n">
        <v>45015</v>
      </c>
      <c r="C2119" s="1" t="n">
        <v>45740</v>
      </c>
      <c r="D2119" t="inlineStr">
        <is>
          <t>JÄMTLANDS LÄN</t>
        </is>
      </c>
      <c r="E2119" t="inlineStr">
        <is>
          <t>STRÖMSUND</t>
        </is>
      </c>
      <c r="F2119" t="inlineStr">
        <is>
          <t>SCA</t>
        </is>
      </c>
      <c r="G2119" t="n">
        <v>64.90000000000001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15064-2023</t>
        </is>
      </c>
      <c r="B2120" s="1" t="n">
        <v>45015</v>
      </c>
      <c r="C2120" s="1" t="n">
        <v>45740</v>
      </c>
      <c r="D2120" t="inlineStr">
        <is>
          <t>JÄMTLANDS LÄN</t>
        </is>
      </c>
      <c r="E2120" t="inlineStr">
        <is>
          <t>STRÖMSUND</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15207-2023</t>
        </is>
      </c>
      <c r="B2121" s="1" t="n">
        <v>45018</v>
      </c>
      <c r="C2121" s="1" t="n">
        <v>45740</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15455-2023</t>
        </is>
      </c>
      <c r="B2122" s="1" t="n">
        <v>45019</v>
      </c>
      <c r="C2122" s="1" t="n">
        <v>45740</v>
      </c>
      <c r="D2122" t="inlineStr">
        <is>
          <t>JÄMTLANDS LÄN</t>
        </is>
      </c>
      <c r="E2122" t="inlineStr">
        <is>
          <t>STRÖMSUND</t>
        </is>
      </c>
      <c r="G2122" t="n">
        <v>20.3</v>
      </c>
      <c r="H2122" t="n">
        <v>0</v>
      </c>
      <c r="I2122" t="n">
        <v>0</v>
      </c>
      <c r="J2122" t="n">
        <v>0</v>
      </c>
      <c r="K2122" t="n">
        <v>0</v>
      </c>
      <c r="L2122" t="n">
        <v>0</v>
      </c>
      <c r="M2122" t="n">
        <v>0</v>
      </c>
      <c r="N2122" t="n">
        <v>0</v>
      </c>
      <c r="O2122" t="n">
        <v>0</v>
      </c>
      <c r="P2122" t="n">
        <v>0</v>
      </c>
      <c r="Q2122" t="n">
        <v>0</v>
      </c>
      <c r="R2122" s="2" t="inlineStr"/>
    </row>
    <row r="2123" ht="15" customHeight="1">
      <c r="A2123" t="inlineStr">
        <is>
          <t>A 15818-2023</t>
        </is>
      </c>
      <c r="B2123" s="1" t="n">
        <v>45021</v>
      </c>
      <c r="C2123" s="1" t="n">
        <v>45740</v>
      </c>
      <c r="D2123" t="inlineStr">
        <is>
          <t>JÄMTLANDS LÄN</t>
        </is>
      </c>
      <c r="E2123" t="inlineStr">
        <is>
          <t>STRÖMSUND</t>
        </is>
      </c>
      <c r="G2123" t="n">
        <v>17.9</v>
      </c>
      <c r="H2123" t="n">
        <v>0</v>
      </c>
      <c r="I2123" t="n">
        <v>0</v>
      </c>
      <c r="J2123" t="n">
        <v>0</v>
      </c>
      <c r="K2123" t="n">
        <v>0</v>
      </c>
      <c r="L2123" t="n">
        <v>0</v>
      </c>
      <c r="M2123" t="n">
        <v>0</v>
      </c>
      <c r="N2123" t="n">
        <v>0</v>
      </c>
      <c r="O2123" t="n">
        <v>0</v>
      </c>
      <c r="P2123" t="n">
        <v>0</v>
      </c>
      <c r="Q2123" t="n">
        <v>0</v>
      </c>
      <c r="R2123" s="2" t="inlineStr"/>
    </row>
    <row r="2124" ht="15" customHeight="1">
      <c r="A2124" t="inlineStr">
        <is>
          <t>A 16780-2023</t>
        </is>
      </c>
      <c r="B2124" s="1" t="n">
        <v>45032</v>
      </c>
      <c r="C2124" s="1" t="n">
        <v>45740</v>
      </c>
      <c r="D2124" t="inlineStr">
        <is>
          <t>JÄMTLANDS LÄN</t>
        </is>
      </c>
      <c r="E2124" t="inlineStr">
        <is>
          <t>STRÖMSUND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17334-2023</t>
        </is>
      </c>
      <c r="B2125" s="1" t="n">
        <v>45033</v>
      </c>
      <c r="C2125" s="1" t="n">
        <v>45740</v>
      </c>
      <c r="D2125" t="inlineStr">
        <is>
          <t>JÄMTLANDS LÄN</t>
        </is>
      </c>
      <c r="E2125" t="inlineStr">
        <is>
          <t>STRÖMSUND</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17006-2023</t>
        </is>
      </c>
      <c r="B2126" s="1" t="n">
        <v>45033</v>
      </c>
      <c r="C2126" s="1" t="n">
        <v>45740</v>
      </c>
      <c r="D2126" t="inlineStr">
        <is>
          <t>JÄMTLANDS LÄN</t>
        </is>
      </c>
      <c r="E2126" t="inlineStr">
        <is>
          <t>STRÖMSUND</t>
        </is>
      </c>
      <c r="F2126" t="inlineStr">
        <is>
          <t>SCA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17337-2023</t>
        </is>
      </c>
      <c r="B2127" s="1" t="n">
        <v>45033</v>
      </c>
      <c r="C2127" s="1" t="n">
        <v>45740</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17338-2023</t>
        </is>
      </c>
      <c r="B2128" s="1" t="n">
        <v>45033</v>
      </c>
      <c r="C2128" s="1" t="n">
        <v>45740</v>
      </c>
      <c r="D2128" t="inlineStr">
        <is>
          <t>JÄMTLANDS LÄN</t>
        </is>
      </c>
      <c r="E2128" t="inlineStr">
        <is>
          <t>STRÖMSUND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17222-2023</t>
        </is>
      </c>
      <c r="B2129" s="1" t="n">
        <v>45035</v>
      </c>
      <c r="C2129" s="1" t="n">
        <v>45740</v>
      </c>
      <c r="D2129" t="inlineStr">
        <is>
          <t>JÄMTLANDS LÄN</t>
        </is>
      </c>
      <c r="E2129" t="inlineStr">
        <is>
          <t>STRÖMSUND</t>
        </is>
      </c>
      <c r="F2129" t="inlineStr">
        <is>
          <t>SCA</t>
        </is>
      </c>
      <c r="G2129" t="n">
        <v>25.2</v>
      </c>
      <c r="H2129" t="n">
        <v>0</v>
      </c>
      <c r="I2129" t="n">
        <v>0</v>
      </c>
      <c r="J2129" t="n">
        <v>0</v>
      </c>
      <c r="K2129" t="n">
        <v>0</v>
      </c>
      <c r="L2129" t="n">
        <v>0</v>
      </c>
      <c r="M2129" t="n">
        <v>0</v>
      </c>
      <c r="N2129" t="n">
        <v>0</v>
      </c>
      <c r="O2129" t="n">
        <v>0</v>
      </c>
      <c r="P2129" t="n">
        <v>0</v>
      </c>
      <c r="Q2129" t="n">
        <v>0</v>
      </c>
      <c r="R2129" s="2" t="inlineStr"/>
    </row>
    <row r="2130" ht="15" customHeight="1">
      <c r="A2130" t="inlineStr">
        <is>
          <t>A 17220-2023</t>
        </is>
      </c>
      <c r="B2130" s="1" t="n">
        <v>45035</v>
      </c>
      <c r="C2130" s="1" t="n">
        <v>45740</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17433-2023</t>
        </is>
      </c>
      <c r="B2131" s="1" t="n">
        <v>45035</v>
      </c>
      <c r="C2131" s="1" t="n">
        <v>45740</v>
      </c>
      <c r="D2131" t="inlineStr">
        <is>
          <t>JÄMTLANDS LÄN</t>
        </is>
      </c>
      <c r="E2131" t="inlineStr">
        <is>
          <t>STRÖMSUND</t>
        </is>
      </c>
      <c r="G2131" t="n">
        <v>15.6</v>
      </c>
      <c r="H2131" t="n">
        <v>0</v>
      </c>
      <c r="I2131" t="n">
        <v>0</v>
      </c>
      <c r="J2131" t="n">
        <v>0</v>
      </c>
      <c r="K2131" t="n">
        <v>0</v>
      </c>
      <c r="L2131" t="n">
        <v>0</v>
      </c>
      <c r="M2131" t="n">
        <v>0</v>
      </c>
      <c r="N2131" t="n">
        <v>0</v>
      </c>
      <c r="O2131" t="n">
        <v>0</v>
      </c>
      <c r="P2131" t="n">
        <v>0</v>
      </c>
      <c r="Q2131" t="n">
        <v>0</v>
      </c>
      <c r="R2131" s="2" t="inlineStr"/>
    </row>
    <row r="2132" ht="15" customHeight="1">
      <c r="A2132" t="inlineStr">
        <is>
          <t>A 17663-2023</t>
        </is>
      </c>
      <c r="B2132" s="1" t="n">
        <v>45037</v>
      </c>
      <c r="C2132" s="1" t="n">
        <v>45740</v>
      </c>
      <c r="D2132" t="inlineStr">
        <is>
          <t>JÄMTLANDS LÄN</t>
        </is>
      </c>
      <c r="E2132" t="inlineStr">
        <is>
          <t>STRÖMSUND</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17662-2023</t>
        </is>
      </c>
      <c r="B2133" s="1" t="n">
        <v>45037</v>
      </c>
      <c r="C2133" s="1" t="n">
        <v>45740</v>
      </c>
      <c r="D2133" t="inlineStr">
        <is>
          <t>JÄMTLANDS LÄN</t>
        </is>
      </c>
      <c r="E2133" t="inlineStr">
        <is>
          <t>STRÖMSUND</t>
        </is>
      </c>
      <c r="F2133" t="inlineStr">
        <is>
          <t>SCA</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17798-2023</t>
        </is>
      </c>
      <c r="B2134" s="1" t="n">
        <v>45036</v>
      </c>
      <c r="C2134" s="1" t="n">
        <v>45740</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17789-2023</t>
        </is>
      </c>
      <c r="B2135" s="1" t="n">
        <v>45036</v>
      </c>
      <c r="C2135" s="1" t="n">
        <v>45740</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18158-2023</t>
        </is>
      </c>
      <c r="B2136" s="1" t="n">
        <v>45040</v>
      </c>
      <c r="C2136" s="1" t="n">
        <v>45740</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18369-2023</t>
        </is>
      </c>
      <c r="B2137" s="1" t="n">
        <v>45042</v>
      </c>
      <c r="C2137" s="1" t="n">
        <v>45740</v>
      </c>
      <c r="D2137" t="inlineStr">
        <is>
          <t>JÄMTLANDS LÄN</t>
        </is>
      </c>
      <c r="E2137" t="inlineStr">
        <is>
          <t>STRÖMSUND</t>
        </is>
      </c>
      <c r="F2137" t="inlineStr">
        <is>
          <t>SCA</t>
        </is>
      </c>
      <c r="G2137" t="n">
        <v>100.1</v>
      </c>
      <c r="H2137" t="n">
        <v>0</v>
      </c>
      <c r="I2137" t="n">
        <v>0</v>
      </c>
      <c r="J2137" t="n">
        <v>0</v>
      </c>
      <c r="K2137" t="n">
        <v>0</v>
      </c>
      <c r="L2137" t="n">
        <v>0</v>
      </c>
      <c r="M2137" t="n">
        <v>0</v>
      </c>
      <c r="N2137" t="n">
        <v>0</v>
      </c>
      <c r="O2137" t="n">
        <v>0</v>
      </c>
      <c r="P2137" t="n">
        <v>0</v>
      </c>
      <c r="Q2137" t="n">
        <v>0</v>
      </c>
      <c r="R2137" s="2" t="inlineStr"/>
    </row>
    <row r="2138" ht="15" customHeight="1">
      <c r="A2138" t="inlineStr">
        <is>
          <t>A 18374-2023</t>
        </is>
      </c>
      <c r="B2138" s="1" t="n">
        <v>45041</v>
      </c>
      <c r="C2138" s="1" t="n">
        <v>45740</v>
      </c>
      <c r="D2138" t="inlineStr">
        <is>
          <t>JÄMTLANDS LÄN</t>
        </is>
      </c>
      <c r="E2138" t="inlineStr">
        <is>
          <t>STRÖMSUND</t>
        </is>
      </c>
      <c r="F2138" t="inlineStr">
        <is>
          <t>SCA</t>
        </is>
      </c>
      <c r="G2138" t="n">
        <v>29.7</v>
      </c>
      <c r="H2138" t="n">
        <v>0</v>
      </c>
      <c r="I2138" t="n">
        <v>0</v>
      </c>
      <c r="J2138" t="n">
        <v>0</v>
      </c>
      <c r="K2138" t="n">
        <v>0</v>
      </c>
      <c r="L2138" t="n">
        <v>0</v>
      </c>
      <c r="M2138" t="n">
        <v>0</v>
      </c>
      <c r="N2138" t="n">
        <v>0</v>
      </c>
      <c r="O2138" t="n">
        <v>0</v>
      </c>
      <c r="P2138" t="n">
        <v>0</v>
      </c>
      <c r="Q2138" t="n">
        <v>0</v>
      </c>
      <c r="R2138" s="2" t="inlineStr"/>
    </row>
    <row r="2139" ht="15" customHeight="1">
      <c r="A2139" t="inlineStr">
        <is>
          <t>A 18553-2023</t>
        </is>
      </c>
      <c r="B2139" s="1" t="n">
        <v>45042</v>
      </c>
      <c r="C2139" s="1" t="n">
        <v>45740</v>
      </c>
      <c r="D2139" t="inlineStr">
        <is>
          <t>JÄMTLANDS LÄN</t>
        </is>
      </c>
      <c r="E2139" t="inlineStr">
        <is>
          <t>STRÖMSUND</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18564-2023</t>
        </is>
      </c>
      <c r="B2140" s="1" t="n">
        <v>45043</v>
      </c>
      <c r="C2140" s="1" t="n">
        <v>45740</v>
      </c>
      <c r="D2140" t="inlineStr">
        <is>
          <t>JÄMTLANDS LÄN</t>
        </is>
      </c>
      <c r="E2140" t="inlineStr">
        <is>
          <t>STRÖMSUND</t>
        </is>
      </c>
      <c r="F2140" t="inlineStr">
        <is>
          <t>SCA</t>
        </is>
      </c>
      <c r="G2140" t="n">
        <v>40.5</v>
      </c>
      <c r="H2140" t="n">
        <v>0</v>
      </c>
      <c r="I2140" t="n">
        <v>0</v>
      </c>
      <c r="J2140" t="n">
        <v>0</v>
      </c>
      <c r="K2140" t="n">
        <v>0</v>
      </c>
      <c r="L2140" t="n">
        <v>0</v>
      </c>
      <c r="M2140" t="n">
        <v>0</v>
      </c>
      <c r="N2140" t="n">
        <v>0</v>
      </c>
      <c r="O2140" t="n">
        <v>0</v>
      </c>
      <c r="P2140" t="n">
        <v>0</v>
      </c>
      <c r="Q2140" t="n">
        <v>0</v>
      </c>
      <c r="R2140" s="2" t="inlineStr"/>
    </row>
    <row r="2141" ht="15" customHeight="1">
      <c r="A2141" t="inlineStr">
        <is>
          <t>A 18775-2023</t>
        </is>
      </c>
      <c r="B2141" s="1" t="n">
        <v>45044</v>
      </c>
      <c r="C2141" s="1" t="n">
        <v>45740</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18773-2023</t>
        </is>
      </c>
      <c r="B2142" s="1" t="n">
        <v>45044</v>
      </c>
      <c r="C2142" s="1" t="n">
        <v>45740</v>
      </c>
      <c r="D2142" t="inlineStr">
        <is>
          <t>JÄMTLANDS LÄN</t>
        </is>
      </c>
      <c r="E2142" t="inlineStr">
        <is>
          <t>STRÖMSUND</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18783-2023</t>
        </is>
      </c>
      <c r="B2143" s="1" t="n">
        <v>45043</v>
      </c>
      <c r="C2143" s="1" t="n">
        <v>45740</v>
      </c>
      <c r="D2143" t="inlineStr">
        <is>
          <t>JÄMTLANDS LÄN</t>
        </is>
      </c>
      <c r="E2143" t="inlineStr">
        <is>
          <t>STRÖMSUND</t>
        </is>
      </c>
      <c r="F2143" t="inlineStr">
        <is>
          <t>SCA</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18768-2023</t>
        </is>
      </c>
      <c r="B2144" s="1" t="n">
        <v>45043</v>
      </c>
      <c r="C2144" s="1" t="n">
        <v>45740</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18777-2023</t>
        </is>
      </c>
      <c r="B2145" s="1" t="n">
        <v>45044</v>
      </c>
      <c r="C2145" s="1" t="n">
        <v>45740</v>
      </c>
      <c r="D2145" t="inlineStr">
        <is>
          <t>JÄMTLANDS LÄN</t>
        </is>
      </c>
      <c r="E2145" t="inlineStr">
        <is>
          <t>STRÖMSUND</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18774-2023</t>
        </is>
      </c>
      <c r="B2146" s="1" t="n">
        <v>45044</v>
      </c>
      <c r="C2146" s="1" t="n">
        <v>45740</v>
      </c>
      <c r="D2146" t="inlineStr">
        <is>
          <t>JÄMTLANDS LÄN</t>
        </is>
      </c>
      <c r="E2146" t="inlineStr">
        <is>
          <t>STRÖMSUND</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18788-2023</t>
        </is>
      </c>
      <c r="B2147" s="1" t="n">
        <v>45044</v>
      </c>
      <c r="C2147" s="1" t="n">
        <v>45740</v>
      </c>
      <c r="D2147" t="inlineStr">
        <is>
          <t>JÄMTLANDS LÄN</t>
        </is>
      </c>
      <c r="E2147" t="inlineStr">
        <is>
          <t>STRÖMSUND</t>
        </is>
      </c>
      <c r="F2147" t="inlineStr">
        <is>
          <t>SCA</t>
        </is>
      </c>
      <c r="G2147" t="n">
        <v>69.09999999999999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18992-2023</t>
        </is>
      </c>
      <c r="B2148" s="1" t="n">
        <v>45044</v>
      </c>
      <c r="C2148" s="1" t="n">
        <v>45740</v>
      </c>
      <c r="D2148" t="inlineStr">
        <is>
          <t>JÄMTLANDS LÄN</t>
        </is>
      </c>
      <c r="E2148" t="inlineStr">
        <is>
          <t>STRÖMSUND</t>
        </is>
      </c>
      <c r="F2148" t="inlineStr">
        <is>
          <t>SCA</t>
        </is>
      </c>
      <c r="G2148" t="n">
        <v>25.7</v>
      </c>
      <c r="H2148" t="n">
        <v>0</v>
      </c>
      <c r="I2148" t="n">
        <v>0</v>
      </c>
      <c r="J2148" t="n">
        <v>0</v>
      </c>
      <c r="K2148" t="n">
        <v>0</v>
      </c>
      <c r="L2148" t="n">
        <v>0</v>
      </c>
      <c r="M2148" t="n">
        <v>0</v>
      </c>
      <c r="N2148" t="n">
        <v>0</v>
      </c>
      <c r="O2148" t="n">
        <v>0</v>
      </c>
      <c r="P2148" t="n">
        <v>0</v>
      </c>
      <c r="Q2148" t="n">
        <v>0</v>
      </c>
      <c r="R2148" s="2" t="inlineStr"/>
    </row>
    <row r="2149" ht="15" customHeight="1">
      <c r="A2149" t="inlineStr">
        <is>
          <t>A 18993-2023</t>
        </is>
      </c>
      <c r="B2149" s="1" t="n">
        <v>45044</v>
      </c>
      <c r="C2149" s="1" t="n">
        <v>45740</v>
      </c>
      <c r="D2149" t="inlineStr">
        <is>
          <t>JÄMTLANDS LÄN</t>
        </is>
      </c>
      <c r="E2149" t="inlineStr">
        <is>
          <t>STRÖMSUND</t>
        </is>
      </c>
      <c r="F2149" t="inlineStr">
        <is>
          <t>SCA</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18997-2023</t>
        </is>
      </c>
      <c r="B2150" s="1" t="n">
        <v>45044</v>
      </c>
      <c r="C2150" s="1" t="n">
        <v>45740</v>
      </c>
      <c r="D2150" t="inlineStr">
        <is>
          <t>JÄMTLANDS LÄN</t>
        </is>
      </c>
      <c r="E2150" t="inlineStr">
        <is>
          <t>STRÖMSUND</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18994-2023</t>
        </is>
      </c>
      <c r="B2151" s="1" t="n">
        <v>45045</v>
      </c>
      <c r="C2151" s="1" t="n">
        <v>45740</v>
      </c>
      <c r="D2151" t="inlineStr">
        <is>
          <t>JÄMTLANDS LÄN</t>
        </is>
      </c>
      <c r="E2151" t="inlineStr">
        <is>
          <t>STRÖMSUND</t>
        </is>
      </c>
      <c r="F2151" t="inlineStr">
        <is>
          <t>SCA</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19029-2023</t>
        </is>
      </c>
      <c r="B2152" s="1" t="n">
        <v>45047</v>
      </c>
      <c r="C2152" s="1" t="n">
        <v>45740</v>
      </c>
      <c r="D2152" t="inlineStr">
        <is>
          <t>JÄMTLANDS LÄN</t>
        </is>
      </c>
      <c r="E2152" t="inlineStr">
        <is>
          <t>STRÖMSUND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19027-2023</t>
        </is>
      </c>
      <c r="B2153" s="1" t="n">
        <v>45047</v>
      </c>
      <c r="C2153" s="1" t="n">
        <v>45740</v>
      </c>
      <c r="D2153" t="inlineStr">
        <is>
          <t>JÄMTLANDS LÄN</t>
        </is>
      </c>
      <c r="E2153" t="inlineStr">
        <is>
          <t>STRÖMSUND</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19026-2023</t>
        </is>
      </c>
      <c r="B2154" s="1" t="n">
        <v>45047</v>
      </c>
      <c r="C2154" s="1" t="n">
        <v>45740</v>
      </c>
      <c r="D2154" t="inlineStr">
        <is>
          <t>JÄMTLANDS LÄN</t>
        </is>
      </c>
      <c r="E2154" t="inlineStr">
        <is>
          <t>STRÖMSUND</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19239-2023</t>
        </is>
      </c>
      <c r="B2155" s="1" t="n">
        <v>45048</v>
      </c>
      <c r="C2155" s="1" t="n">
        <v>45740</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19261-2023</t>
        </is>
      </c>
      <c r="B2156" s="1" t="n">
        <v>45048</v>
      </c>
      <c r="C2156" s="1" t="n">
        <v>45740</v>
      </c>
      <c r="D2156" t="inlineStr">
        <is>
          <t>JÄMTLANDS LÄN</t>
        </is>
      </c>
      <c r="E2156" t="inlineStr">
        <is>
          <t>STRÖMSUND</t>
        </is>
      </c>
      <c r="G2156" t="n">
        <v>17.2</v>
      </c>
      <c r="H2156" t="n">
        <v>0</v>
      </c>
      <c r="I2156" t="n">
        <v>0</v>
      </c>
      <c r="J2156" t="n">
        <v>0</v>
      </c>
      <c r="K2156" t="n">
        <v>0</v>
      </c>
      <c r="L2156" t="n">
        <v>0</v>
      </c>
      <c r="M2156" t="n">
        <v>0</v>
      </c>
      <c r="N2156" t="n">
        <v>0</v>
      </c>
      <c r="O2156" t="n">
        <v>0</v>
      </c>
      <c r="P2156" t="n">
        <v>0</v>
      </c>
      <c r="Q2156" t="n">
        <v>0</v>
      </c>
      <c r="R2156" s="2" t="inlineStr"/>
    </row>
    <row r="2157" ht="15" customHeight="1">
      <c r="A2157" t="inlineStr">
        <is>
          <t>A 19621-2023</t>
        </is>
      </c>
      <c r="B2157" s="1" t="n">
        <v>45051</v>
      </c>
      <c r="C2157" s="1" t="n">
        <v>45740</v>
      </c>
      <c r="D2157" t="inlineStr">
        <is>
          <t>JÄMTLANDS LÄN</t>
        </is>
      </c>
      <c r="E2157" t="inlineStr">
        <is>
          <t>STRÖMSUND</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19658-2023</t>
        </is>
      </c>
      <c r="B2158" s="1" t="n">
        <v>45050</v>
      </c>
      <c r="C2158" s="1" t="n">
        <v>45740</v>
      </c>
      <c r="D2158" t="inlineStr">
        <is>
          <t>JÄMTLANDS LÄN</t>
        </is>
      </c>
      <c r="E2158" t="inlineStr">
        <is>
          <t>STRÖMSUND</t>
        </is>
      </c>
      <c r="F2158" t="inlineStr">
        <is>
          <t>Kommuner</t>
        </is>
      </c>
      <c r="G2158" t="n">
        <v>23.7</v>
      </c>
      <c r="H2158" t="n">
        <v>0</v>
      </c>
      <c r="I2158" t="n">
        <v>0</v>
      </c>
      <c r="J2158" t="n">
        <v>0</v>
      </c>
      <c r="K2158" t="n">
        <v>0</v>
      </c>
      <c r="L2158" t="n">
        <v>0</v>
      </c>
      <c r="M2158" t="n">
        <v>0</v>
      </c>
      <c r="N2158" t="n">
        <v>0</v>
      </c>
      <c r="O2158" t="n">
        <v>0</v>
      </c>
      <c r="P2158" t="n">
        <v>0</v>
      </c>
      <c r="Q2158" t="n">
        <v>0</v>
      </c>
      <c r="R2158" s="2" t="inlineStr"/>
    </row>
    <row r="2159" ht="15" customHeight="1">
      <c r="A2159" t="inlineStr">
        <is>
          <t>A 19652-2023</t>
        </is>
      </c>
      <c r="B2159" s="1" t="n">
        <v>45050</v>
      </c>
      <c r="C2159" s="1" t="n">
        <v>45740</v>
      </c>
      <c r="D2159" t="inlineStr">
        <is>
          <t>JÄMTLANDS LÄN</t>
        </is>
      </c>
      <c r="E2159" t="inlineStr">
        <is>
          <t>STRÖMSUND</t>
        </is>
      </c>
      <c r="F2159" t="inlineStr">
        <is>
          <t>Kommuner</t>
        </is>
      </c>
      <c r="G2159" t="n">
        <v>14.2</v>
      </c>
      <c r="H2159" t="n">
        <v>0</v>
      </c>
      <c r="I2159" t="n">
        <v>0</v>
      </c>
      <c r="J2159" t="n">
        <v>0</v>
      </c>
      <c r="K2159" t="n">
        <v>0</v>
      </c>
      <c r="L2159" t="n">
        <v>0</v>
      </c>
      <c r="M2159" t="n">
        <v>0</v>
      </c>
      <c r="N2159" t="n">
        <v>0</v>
      </c>
      <c r="O2159" t="n">
        <v>0</v>
      </c>
      <c r="P2159" t="n">
        <v>0</v>
      </c>
      <c r="Q2159" t="n">
        <v>0</v>
      </c>
      <c r="R2159" s="2" t="inlineStr"/>
    </row>
    <row r="2160" ht="15" customHeight="1">
      <c r="A2160" t="inlineStr">
        <is>
          <t>A 19656-2023</t>
        </is>
      </c>
      <c r="B2160" s="1" t="n">
        <v>45050</v>
      </c>
      <c r="C2160" s="1" t="n">
        <v>45740</v>
      </c>
      <c r="D2160" t="inlineStr">
        <is>
          <t>JÄMTLANDS LÄN</t>
        </is>
      </c>
      <c r="E2160" t="inlineStr">
        <is>
          <t>STRÖMSUND</t>
        </is>
      </c>
      <c r="F2160" t="inlineStr">
        <is>
          <t>Kommuner</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19826-2023</t>
        </is>
      </c>
      <c r="B2161" s="1" t="n">
        <v>45052</v>
      </c>
      <c r="C2161" s="1" t="n">
        <v>45740</v>
      </c>
      <c r="D2161" t="inlineStr">
        <is>
          <t>JÄMTLANDS LÄN</t>
        </is>
      </c>
      <c r="E2161" t="inlineStr">
        <is>
          <t>STRÖMSUND</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19831-2023</t>
        </is>
      </c>
      <c r="B2162" s="1" t="n">
        <v>45052</v>
      </c>
      <c r="C2162" s="1" t="n">
        <v>45740</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20590-2023</t>
        </is>
      </c>
      <c r="B2163" s="1" t="n">
        <v>45058</v>
      </c>
      <c r="C2163" s="1" t="n">
        <v>45740</v>
      </c>
      <c r="D2163" t="inlineStr">
        <is>
          <t>JÄMTLANDS LÄN</t>
        </is>
      </c>
      <c r="E2163" t="inlineStr">
        <is>
          <t>STRÖMSUND</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20631-2023</t>
        </is>
      </c>
      <c r="B2164" s="1" t="n">
        <v>45057</v>
      </c>
      <c r="C2164" s="1" t="n">
        <v>45740</v>
      </c>
      <c r="D2164" t="inlineStr">
        <is>
          <t>JÄMTLANDS LÄN</t>
        </is>
      </c>
      <c r="E2164" t="inlineStr">
        <is>
          <t>STRÖMSUND</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21146-2023</t>
        </is>
      </c>
      <c r="B2165" s="1" t="n">
        <v>45057</v>
      </c>
      <c r="C2165" s="1" t="n">
        <v>45740</v>
      </c>
      <c r="D2165" t="inlineStr">
        <is>
          <t>JÄMTLANDS LÄN</t>
        </is>
      </c>
      <c r="E2165" t="inlineStr">
        <is>
          <t>STRÖMSUND</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20597-2023</t>
        </is>
      </c>
      <c r="B2166" s="1" t="n">
        <v>45058</v>
      </c>
      <c r="C2166" s="1" t="n">
        <v>45740</v>
      </c>
      <c r="D2166" t="inlineStr">
        <is>
          <t>JÄMTLANDS LÄN</t>
        </is>
      </c>
      <c r="E2166" t="inlineStr">
        <is>
          <t>STRÖMSUND</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20592-2023</t>
        </is>
      </c>
      <c r="B2167" s="1" t="n">
        <v>45057</v>
      </c>
      <c r="C2167" s="1" t="n">
        <v>45740</v>
      </c>
      <c r="D2167" t="inlineStr">
        <is>
          <t>JÄMTLANDS LÄN</t>
        </is>
      </c>
      <c r="E2167" t="inlineStr">
        <is>
          <t>STRÖMSUND</t>
        </is>
      </c>
      <c r="F2167" t="inlineStr">
        <is>
          <t>SCA</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20887-2023</t>
        </is>
      </c>
      <c r="B2168" s="1" t="n">
        <v>45058</v>
      </c>
      <c r="C2168" s="1" t="n">
        <v>45740</v>
      </c>
      <c r="D2168" t="inlineStr">
        <is>
          <t>JÄMTLANDS LÄN</t>
        </is>
      </c>
      <c r="E2168" t="inlineStr">
        <is>
          <t>STRÖMSUND</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21115-2023</t>
        </is>
      </c>
      <c r="B2169" s="1" t="n">
        <v>45061</v>
      </c>
      <c r="C2169" s="1" t="n">
        <v>45740</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21110-2023</t>
        </is>
      </c>
      <c r="B2170" s="1" t="n">
        <v>45061</v>
      </c>
      <c r="C2170" s="1" t="n">
        <v>45740</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21358-2023</t>
        </is>
      </c>
      <c r="B2171" s="1" t="n">
        <v>45063</v>
      </c>
      <c r="C2171" s="1" t="n">
        <v>45740</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21338-2023</t>
        </is>
      </c>
      <c r="B2172" s="1" t="n">
        <v>45062</v>
      </c>
      <c r="C2172" s="1" t="n">
        <v>45740</v>
      </c>
      <c r="D2172" t="inlineStr">
        <is>
          <t>JÄMTLANDS LÄN</t>
        </is>
      </c>
      <c r="E2172" t="inlineStr">
        <is>
          <t>STRÖMSUND</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21339-2023</t>
        </is>
      </c>
      <c r="B2173" s="1" t="n">
        <v>45063</v>
      </c>
      <c r="C2173" s="1" t="n">
        <v>45740</v>
      </c>
      <c r="D2173" t="inlineStr">
        <is>
          <t>JÄMTLANDS LÄN</t>
        </is>
      </c>
      <c r="E2173" t="inlineStr">
        <is>
          <t>STRÖMSUND</t>
        </is>
      </c>
      <c r="F2173" t="inlineStr">
        <is>
          <t>SCA</t>
        </is>
      </c>
      <c r="G2173" t="n">
        <v>22.5</v>
      </c>
      <c r="H2173" t="n">
        <v>0</v>
      </c>
      <c r="I2173" t="n">
        <v>0</v>
      </c>
      <c r="J2173" t="n">
        <v>0</v>
      </c>
      <c r="K2173" t="n">
        <v>0</v>
      </c>
      <c r="L2173" t="n">
        <v>0</v>
      </c>
      <c r="M2173" t="n">
        <v>0</v>
      </c>
      <c r="N2173" t="n">
        <v>0</v>
      </c>
      <c r="O2173" t="n">
        <v>0</v>
      </c>
      <c r="P2173" t="n">
        <v>0</v>
      </c>
      <c r="Q2173" t="n">
        <v>0</v>
      </c>
      <c r="R2173" s="2" t="inlineStr"/>
    </row>
    <row r="2174" ht="15" customHeight="1">
      <c r="A2174" t="inlineStr">
        <is>
          <t>A 21687-2023</t>
        </is>
      </c>
      <c r="B2174" s="1" t="n">
        <v>45063</v>
      </c>
      <c r="C2174" s="1" t="n">
        <v>45740</v>
      </c>
      <c r="D2174" t="inlineStr">
        <is>
          <t>JÄMTLANDS LÄN</t>
        </is>
      </c>
      <c r="E2174" t="inlineStr">
        <is>
          <t>STRÖMSUND</t>
        </is>
      </c>
      <c r="F2174" t="inlineStr">
        <is>
          <t>SCA</t>
        </is>
      </c>
      <c r="G2174" t="n">
        <v>38.4</v>
      </c>
      <c r="H2174" t="n">
        <v>0</v>
      </c>
      <c r="I2174" t="n">
        <v>0</v>
      </c>
      <c r="J2174" t="n">
        <v>0</v>
      </c>
      <c r="K2174" t="n">
        <v>0</v>
      </c>
      <c r="L2174" t="n">
        <v>0</v>
      </c>
      <c r="M2174" t="n">
        <v>0</v>
      </c>
      <c r="N2174" t="n">
        <v>0</v>
      </c>
      <c r="O2174" t="n">
        <v>0</v>
      </c>
      <c r="P2174" t="n">
        <v>0</v>
      </c>
      <c r="Q2174" t="n">
        <v>0</v>
      </c>
      <c r="R2174" s="2" t="inlineStr"/>
    </row>
    <row r="2175" ht="15" customHeight="1">
      <c r="A2175" t="inlineStr">
        <is>
          <t>A 21685-2023</t>
        </is>
      </c>
      <c r="B2175" s="1" t="n">
        <v>45064</v>
      </c>
      <c r="C2175" s="1" t="n">
        <v>45740</v>
      </c>
      <c r="D2175" t="inlineStr">
        <is>
          <t>JÄMTLANDS LÄN</t>
        </is>
      </c>
      <c r="E2175" t="inlineStr">
        <is>
          <t>STRÖMSUND</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21711-2023</t>
        </is>
      </c>
      <c r="B2176" s="1" t="n">
        <v>45065</v>
      </c>
      <c r="C2176" s="1" t="n">
        <v>45740</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22223-2023</t>
        </is>
      </c>
      <c r="B2177" s="1" t="n">
        <v>45069</v>
      </c>
      <c r="C2177" s="1" t="n">
        <v>45740</v>
      </c>
      <c r="D2177" t="inlineStr">
        <is>
          <t>JÄMTLANDS LÄN</t>
        </is>
      </c>
      <c r="E2177" t="inlineStr">
        <is>
          <t>STRÖMSUND</t>
        </is>
      </c>
      <c r="F2177" t="inlineStr">
        <is>
          <t>SCA</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22475-2023</t>
        </is>
      </c>
      <c r="B2178" s="1" t="n">
        <v>45071</v>
      </c>
      <c r="C2178" s="1" t="n">
        <v>45740</v>
      </c>
      <c r="D2178" t="inlineStr">
        <is>
          <t>JÄMTLANDS LÄN</t>
        </is>
      </c>
      <c r="E2178" t="inlineStr">
        <is>
          <t>STRÖMSUND</t>
        </is>
      </c>
      <c r="F2178" t="inlineStr">
        <is>
          <t>SCA</t>
        </is>
      </c>
      <c r="G2178" t="n">
        <v>35.1</v>
      </c>
      <c r="H2178" t="n">
        <v>0</v>
      </c>
      <c r="I2178" t="n">
        <v>0</v>
      </c>
      <c r="J2178" t="n">
        <v>0</v>
      </c>
      <c r="K2178" t="n">
        <v>0</v>
      </c>
      <c r="L2178" t="n">
        <v>0</v>
      </c>
      <c r="M2178" t="n">
        <v>0</v>
      </c>
      <c r="N2178" t="n">
        <v>0</v>
      </c>
      <c r="O2178" t="n">
        <v>0</v>
      </c>
      <c r="P2178" t="n">
        <v>0</v>
      </c>
      <c r="Q2178" t="n">
        <v>0</v>
      </c>
      <c r="R2178" s="2" t="inlineStr"/>
    </row>
    <row r="2179" ht="15" customHeight="1">
      <c r="A2179" t="inlineStr">
        <is>
          <t>A 22346-2023</t>
        </is>
      </c>
      <c r="B2179" s="1" t="n">
        <v>45070</v>
      </c>
      <c r="C2179" s="1" t="n">
        <v>45740</v>
      </c>
      <c r="D2179" t="inlineStr">
        <is>
          <t>JÄMTLANDS LÄN</t>
        </is>
      </c>
      <c r="E2179" t="inlineStr">
        <is>
          <t>STRÖMSUND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22468-2023</t>
        </is>
      </c>
      <c r="B2180" s="1" t="n">
        <v>45070</v>
      </c>
      <c r="C2180" s="1" t="n">
        <v>45740</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22478-2023</t>
        </is>
      </c>
      <c r="B2181" s="1" t="n">
        <v>45071</v>
      </c>
      <c r="C2181" s="1" t="n">
        <v>45740</v>
      </c>
      <c r="D2181" t="inlineStr">
        <is>
          <t>JÄMTLANDS LÄN</t>
        </is>
      </c>
      <c r="E2181" t="inlineStr">
        <is>
          <t>STRÖMSUND</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22476-2023</t>
        </is>
      </c>
      <c r="B2182" s="1" t="n">
        <v>45070</v>
      </c>
      <c r="C2182" s="1" t="n">
        <v>45740</v>
      </c>
      <c r="D2182" t="inlineStr">
        <is>
          <t>JÄMTLANDS LÄN</t>
        </is>
      </c>
      <c r="E2182" t="inlineStr">
        <is>
          <t>STRÖMSUND</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22477-2023</t>
        </is>
      </c>
      <c r="B2183" s="1" t="n">
        <v>45070</v>
      </c>
      <c r="C2183" s="1" t="n">
        <v>45740</v>
      </c>
      <c r="D2183" t="inlineStr">
        <is>
          <t>JÄMTLANDS LÄN</t>
        </is>
      </c>
      <c r="E2183" t="inlineStr">
        <is>
          <t>STRÖMSUND</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22745-2023</t>
        </is>
      </c>
      <c r="B2184" s="1" t="n">
        <v>45072</v>
      </c>
      <c r="C2184" s="1" t="n">
        <v>45740</v>
      </c>
      <c r="D2184" t="inlineStr">
        <is>
          <t>JÄMTLANDS LÄN</t>
        </is>
      </c>
      <c r="E2184" t="inlineStr">
        <is>
          <t>STRÖMSUND</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23303-2023</t>
        </is>
      </c>
      <c r="B2185" s="1" t="n">
        <v>45076</v>
      </c>
      <c r="C2185" s="1" t="n">
        <v>45740</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23310-2023</t>
        </is>
      </c>
      <c r="B2186" s="1" t="n">
        <v>45075</v>
      </c>
      <c r="C2186" s="1" t="n">
        <v>45740</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23309-2023</t>
        </is>
      </c>
      <c r="B2187" s="1" t="n">
        <v>45075</v>
      </c>
      <c r="C2187" s="1" t="n">
        <v>45740</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23311-2023</t>
        </is>
      </c>
      <c r="B2188" s="1" t="n">
        <v>45075</v>
      </c>
      <c r="C2188" s="1" t="n">
        <v>45740</v>
      </c>
      <c r="D2188" t="inlineStr">
        <is>
          <t>JÄMTLANDS LÄN</t>
        </is>
      </c>
      <c r="E2188" t="inlineStr">
        <is>
          <t>STRÖMSUND</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23906-2023</t>
        </is>
      </c>
      <c r="B2189" s="1" t="n">
        <v>45075</v>
      </c>
      <c r="C2189" s="1" t="n">
        <v>45740</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23839-2023</t>
        </is>
      </c>
      <c r="B2190" s="1" t="n">
        <v>45075</v>
      </c>
      <c r="C2190" s="1" t="n">
        <v>45740</v>
      </c>
      <c r="D2190" t="inlineStr">
        <is>
          <t>JÄMTLANDS LÄN</t>
        </is>
      </c>
      <c r="E2190" t="inlineStr">
        <is>
          <t>STRÖMSUND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23446-2023</t>
        </is>
      </c>
      <c r="B2191" s="1" t="n">
        <v>45076</v>
      </c>
      <c r="C2191" s="1" t="n">
        <v>45740</v>
      </c>
      <c r="D2191" t="inlineStr">
        <is>
          <t>JÄMTLANDS LÄN</t>
        </is>
      </c>
      <c r="E2191" t="inlineStr">
        <is>
          <t>STRÖMSUND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23406-2023</t>
        </is>
      </c>
      <c r="B2192" s="1" t="n">
        <v>45076</v>
      </c>
      <c r="C2192" s="1" t="n">
        <v>45740</v>
      </c>
      <c r="D2192" t="inlineStr">
        <is>
          <t>JÄMTLANDS LÄN</t>
        </is>
      </c>
      <c r="E2192" t="inlineStr">
        <is>
          <t>STRÖMSUND</t>
        </is>
      </c>
      <c r="G2192" t="n">
        <v>11.7</v>
      </c>
      <c r="H2192" t="n">
        <v>0</v>
      </c>
      <c r="I2192" t="n">
        <v>0</v>
      </c>
      <c r="J2192" t="n">
        <v>0</v>
      </c>
      <c r="K2192" t="n">
        <v>0</v>
      </c>
      <c r="L2192" t="n">
        <v>0</v>
      </c>
      <c r="M2192" t="n">
        <v>0</v>
      </c>
      <c r="N2192" t="n">
        <v>0</v>
      </c>
      <c r="O2192" t="n">
        <v>0</v>
      </c>
      <c r="P2192" t="n">
        <v>0</v>
      </c>
      <c r="Q2192" t="n">
        <v>0</v>
      </c>
      <c r="R2192" s="2" t="inlineStr"/>
    </row>
    <row r="2193" ht="15" customHeight="1">
      <c r="A2193" t="inlineStr">
        <is>
          <t>A 23528-2023</t>
        </is>
      </c>
      <c r="B2193" s="1" t="n">
        <v>45076</v>
      </c>
      <c r="C2193" s="1" t="n">
        <v>45740</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23518-2023</t>
        </is>
      </c>
      <c r="B2194" s="1" t="n">
        <v>45077</v>
      </c>
      <c r="C2194" s="1" t="n">
        <v>45740</v>
      </c>
      <c r="D2194" t="inlineStr">
        <is>
          <t>JÄMTLANDS LÄN</t>
        </is>
      </c>
      <c r="E2194" t="inlineStr">
        <is>
          <t>STRÖMSUND</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23525-2023</t>
        </is>
      </c>
      <c r="B2195" s="1" t="n">
        <v>45076</v>
      </c>
      <c r="C2195" s="1" t="n">
        <v>45740</v>
      </c>
      <c r="D2195" t="inlineStr">
        <is>
          <t>JÄMTLANDS LÄN</t>
        </is>
      </c>
      <c r="E2195" t="inlineStr">
        <is>
          <t>STRÖMSUND</t>
        </is>
      </c>
      <c r="F2195" t="inlineStr">
        <is>
          <t>SCA</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23748-2023</t>
        </is>
      </c>
      <c r="B2196" s="1" t="n">
        <v>45077</v>
      </c>
      <c r="C2196" s="1" t="n">
        <v>45740</v>
      </c>
      <c r="D2196" t="inlineStr">
        <is>
          <t>JÄMTLANDS LÄN</t>
        </is>
      </c>
      <c r="E2196" t="inlineStr">
        <is>
          <t>STRÖMSUND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23777-2023</t>
        </is>
      </c>
      <c r="B2197" s="1" t="n">
        <v>45078</v>
      </c>
      <c r="C2197" s="1" t="n">
        <v>45740</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23770-2023</t>
        </is>
      </c>
      <c r="B2198" s="1" t="n">
        <v>45078</v>
      </c>
      <c r="C2198" s="1" t="n">
        <v>45740</v>
      </c>
      <c r="D2198" t="inlineStr">
        <is>
          <t>JÄMTLANDS LÄN</t>
        </is>
      </c>
      <c r="E2198" t="inlineStr">
        <is>
          <t>STRÖMSUND</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23780-2023</t>
        </is>
      </c>
      <c r="B2199" s="1" t="n">
        <v>45078</v>
      </c>
      <c r="C2199" s="1" t="n">
        <v>45740</v>
      </c>
      <c r="D2199" t="inlineStr">
        <is>
          <t>JÄMTLANDS LÄN</t>
        </is>
      </c>
      <c r="E2199" t="inlineStr">
        <is>
          <t>STRÖMSUND</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23779-2023</t>
        </is>
      </c>
      <c r="B2200" s="1" t="n">
        <v>45078</v>
      </c>
      <c r="C2200" s="1" t="n">
        <v>45740</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23783-2023</t>
        </is>
      </c>
      <c r="B2201" s="1" t="n">
        <v>45078</v>
      </c>
      <c r="C2201" s="1" t="n">
        <v>45740</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24073-2023</t>
        </is>
      </c>
      <c r="B2202" s="1" t="n">
        <v>45079</v>
      </c>
      <c r="C2202" s="1" t="n">
        <v>45740</v>
      </c>
      <c r="D2202" t="inlineStr">
        <is>
          <t>JÄMTLANDS LÄN</t>
        </is>
      </c>
      <c r="E2202" t="inlineStr">
        <is>
          <t>STRÖMSUND</t>
        </is>
      </c>
      <c r="F2202" t="inlineStr">
        <is>
          <t>SCA</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24071-2023</t>
        </is>
      </c>
      <c r="B2203" s="1" t="n">
        <v>45079</v>
      </c>
      <c r="C2203" s="1" t="n">
        <v>45740</v>
      </c>
      <c r="D2203" t="inlineStr">
        <is>
          <t>JÄMTLANDS LÄN</t>
        </is>
      </c>
      <c r="E2203" t="inlineStr">
        <is>
          <t>STRÖMSUND</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24070-2023</t>
        </is>
      </c>
      <c r="B2204" s="1" t="n">
        <v>45078</v>
      </c>
      <c r="C2204" s="1" t="n">
        <v>45740</v>
      </c>
      <c r="D2204" t="inlineStr">
        <is>
          <t>JÄMTLANDS LÄN</t>
        </is>
      </c>
      <c r="E2204" t="inlineStr">
        <is>
          <t>STRÖMSUND</t>
        </is>
      </c>
      <c r="F2204" t="inlineStr">
        <is>
          <t>SCA</t>
        </is>
      </c>
      <c r="G2204" t="n">
        <v>25.2</v>
      </c>
      <c r="H2204" t="n">
        <v>0</v>
      </c>
      <c r="I2204" t="n">
        <v>0</v>
      </c>
      <c r="J2204" t="n">
        <v>0</v>
      </c>
      <c r="K2204" t="n">
        <v>0</v>
      </c>
      <c r="L2204" t="n">
        <v>0</v>
      </c>
      <c r="M2204" t="n">
        <v>0</v>
      </c>
      <c r="N2204" t="n">
        <v>0</v>
      </c>
      <c r="O2204" t="n">
        <v>0</v>
      </c>
      <c r="P2204" t="n">
        <v>0</v>
      </c>
      <c r="Q2204" t="n">
        <v>0</v>
      </c>
      <c r="R2204" s="2" t="inlineStr"/>
    </row>
    <row r="2205" ht="15" customHeight="1">
      <c r="A2205" t="inlineStr">
        <is>
          <t>A 24315-2023</t>
        </is>
      </c>
      <c r="B2205" s="1" t="n">
        <v>45079</v>
      </c>
      <c r="C2205" s="1" t="n">
        <v>45740</v>
      </c>
      <c r="D2205" t="inlineStr">
        <is>
          <t>JÄMTLANDS LÄN</t>
        </is>
      </c>
      <c r="E2205" t="inlineStr">
        <is>
          <t>STRÖMSUND</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24303-2023</t>
        </is>
      </c>
      <c r="B2206" s="1" t="n">
        <v>45079</v>
      </c>
      <c r="C2206" s="1" t="n">
        <v>45740</v>
      </c>
      <c r="D2206" t="inlineStr">
        <is>
          <t>JÄMTLANDS LÄN</t>
        </is>
      </c>
      <c r="E2206" t="inlineStr">
        <is>
          <t>STRÖMSUND</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24301-2023</t>
        </is>
      </c>
      <c r="B2207" s="1" t="n">
        <v>45080</v>
      </c>
      <c r="C2207" s="1" t="n">
        <v>45740</v>
      </c>
      <c r="D2207" t="inlineStr">
        <is>
          <t>JÄMTLANDS LÄN</t>
        </is>
      </c>
      <c r="E2207" t="inlineStr">
        <is>
          <t>STRÖMSUND</t>
        </is>
      </c>
      <c r="F2207" t="inlineStr">
        <is>
          <t>SCA</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24308-2023</t>
        </is>
      </c>
      <c r="B2208" s="1" t="n">
        <v>45080</v>
      </c>
      <c r="C2208" s="1" t="n">
        <v>45740</v>
      </c>
      <c r="D2208" t="inlineStr">
        <is>
          <t>JÄMTLANDS LÄN</t>
        </is>
      </c>
      <c r="E2208" t="inlineStr">
        <is>
          <t>STRÖMSUND</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24313-2023</t>
        </is>
      </c>
      <c r="B2209" s="1" t="n">
        <v>45080</v>
      </c>
      <c r="C2209" s="1" t="n">
        <v>45740</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24317-2023</t>
        </is>
      </c>
      <c r="B2210" s="1" t="n">
        <v>45080</v>
      </c>
      <c r="C2210" s="1" t="n">
        <v>45740</v>
      </c>
      <c r="D2210" t="inlineStr">
        <is>
          <t>JÄMTLANDS LÄN</t>
        </is>
      </c>
      <c r="E2210" t="inlineStr">
        <is>
          <t>STRÖMSUND</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24312-2023</t>
        </is>
      </c>
      <c r="B2211" s="1" t="n">
        <v>45080</v>
      </c>
      <c r="C2211" s="1" t="n">
        <v>45740</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24316-2023</t>
        </is>
      </c>
      <c r="B2212" s="1" t="n">
        <v>45079</v>
      </c>
      <c r="C2212" s="1" t="n">
        <v>45740</v>
      </c>
      <c r="D2212" t="inlineStr">
        <is>
          <t>JÄMTLANDS LÄN</t>
        </is>
      </c>
      <c r="E2212" t="inlineStr">
        <is>
          <t>STRÖMSUND</t>
        </is>
      </c>
      <c r="F2212" t="inlineStr">
        <is>
          <t>SCA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24397-2023</t>
        </is>
      </c>
      <c r="B2213" s="1" t="n">
        <v>45082</v>
      </c>
      <c r="C2213" s="1" t="n">
        <v>45740</v>
      </c>
      <c r="D2213" t="inlineStr">
        <is>
          <t>JÄMTLANDS LÄN</t>
        </is>
      </c>
      <c r="E2213" t="inlineStr">
        <is>
          <t>STRÖMSUND</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24599-2023</t>
        </is>
      </c>
      <c r="B2214" s="1" t="n">
        <v>45084</v>
      </c>
      <c r="C2214" s="1" t="n">
        <v>45740</v>
      </c>
      <c r="D2214" t="inlineStr">
        <is>
          <t>JÄMTLANDS LÄN</t>
        </is>
      </c>
      <c r="E2214" t="inlineStr">
        <is>
          <t>STRÖMSUND</t>
        </is>
      </c>
      <c r="F2214" t="inlineStr">
        <is>
          <t>SCA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24602-2023</t>
        </is>
      </c>
      <c r="B2215" s="1" t="n">
        <v>45083</v>
      </c>
      <c r="C2215" s="1" t="n">
        <v>45740</v>
      </c>
      <c r="D2215" t="inlineStr">
        <is>
          <t>JÄMTLANDS LÄN</t>
        </is>
      </c>
      <c r="E2215" t="inlineStr">
        <is>
          <t>STRÖMSUND</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24601-2023</t>
        </is>
      </c>
      <c r="B2216" s="1" t="n">
        <v>45084</v>
      </c>
      <c r="C2216" s="1" t="n">
        <v>45740</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24600-2023</t>
        </is>
      </c>
      <c r="B2217" s="1" t="n">
        <v>45084</v>
      </c>
      <c r="C2217" s="1" t="n">
        <v>45740</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24831-2023</t>
        </is>
      </c>
      <c r="B2218" s="1" t="n">
        <v>45085</v>
      </c>
      <c r="C2218" s="1" t="n">
        <v>45740</v>
      </c>
      <c r="D2218" t="inlineStr">
        <is>
          <t>JÄMTLANDS LÄN</t>
        </is>
      </c>
      <c r="E2218" t="inlineStr">
        <is>
          <t>STRÖMSUND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24833-2023</t>
        </is>
      </c>
      <c r="B2219" s="1" t="n">
        <v>45084</v>
      </c>
      <c r="C2219" s="1" t="n">
        <v>45740</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24830-2023</t>
        </is>
      </c>
      <c r="B2220" s="1" t="n">
        <v>45085</v>
      </c>
      <c r="C2220" s="1" t="n">
        <v>45740</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25052-2023</t>
        </is>
      </c>
      <c r="B2221" s="1" t="n">
        <v>45086</v>
      </c>
      <c r="C2221" s="1" t="n">
        <v>45740</v>
      </c>
      <c r="D2221" t="inlineStr">
        <is>
          <t>JÄMTLANDS LÄN</t>
        </is>
      </c>
      <c r="E2221" t="inlineStr">
        <is>
          <t>STRÖMSUND</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25026-2023</t>
        </is>
      </c>
      <c r="B2222" s="1" t="n">
        <v>45085</v>
      </c>
      <c r="C2222" s="1" t="n">
        <v>45740</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25066-2023</t>
        </is>
      </c>
      <c r="B2223" s="1" t="n">
        <v>45085</v>
      </c>
      <c r="C2223" s="1" t="n">
        <v>45740</v>
      </c>
      <c r="D2223" t="inlineStr">
        <is>
          <t>JÄMTLANDS LÄN</t>
        </is>
      </c>
      <c r="E2223" t="inlineStr">
        <is>
          <t>STRÖMSUND</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25328-2023</t>
        </is>
      </c>
      <c r="B2224" s="1" t="n">
        <v>45087</v>
      </c>
      <c r="C2224" s="1" t="n">
        <v>45740</v>
      </c>
      <c r="D2224" t="inlineStr">
        <is>
          <t>JÄMTLANDS LÄN</t>
        </is>
      </c>
      <c r="E2224" t="inlineStr">
        <is>
          <t>STRÖMSUND</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26226-2023</t>
        </is>
      </c>
      <c r="B2225" s="1" t="n">
        <v>45086</v>
      </c>
      <c r="C2225" s="1" t="n">
        <v>45740</v>
      </c>
      <c r="D2225" t="inlineStr">
        <is>
          <t>JÄMTLANDS LÄN</t>
        </is>
      </c>
      <c r="E2225" t="inlineStr">
        <is>
          <t>STRÖMSUND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25326-2023</t>
        </is>
      </c>
      <c r="B2226" s="1" t="n">
        <v>45087</v>
      </c>
      <c r="C2226" s="1" t="n">
        <v>45740</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25673-2023</t>
        </is>
      </c>
      <c r="B2227" s="1" t="n">
        <v>45090</v>
      </c>
      <c r="C2227" s="1" t="n">
        <v>45740</v>
      </c>
      <c r="D2227" t="inlineStr">
        <is>
          <t>JÄMTLANDS LÄN</t>
        </is>
      </c>
      <c r="E2227" t="inlineStr">
        <is>
          <t>STRÖMSUND</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25682-2023</t>
        </is>
      </c>
      <c r="B2228" s="1" t="n">
        <v>45089</v>
      </c>
      <c r="C2228" s="1" t="n">
        <v>45740</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26346-2023</t>
        </is>
      </c>
      <c r="B2229" s="1" t="n">
        <v>45092</v>
      </c>
      <c r="C2229" s="1" t="n">
        <v>45740</v>
      </c>
      <c r="D2229" t="inlineStr">
        <is>
          <t>JÄMTLANDS LÄN</t>
        </is>
      </c>
      <c r="E2229" t="inlineStr">
        <is>
          <t>STRÖMSUND</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26349-2023</t>
        </is>
      </c>
      <c r="B2230" s="1" t="n">
        <v>45092</v>
      </c>
      <c r="C2230" s="1" t="n">
        <v>45740</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26348-2023</t>
        </is>
      </c>
      <c r="B2231" s="1" t="n">
        <v>45092</v>
      </c>
      <c r="C2231" s="1" t="n">
        <v>45740</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26368-2023</t>
        </is>
      </c>
      <c r="B2232" s="1" t="n">
        <v>45091</v>
      </c>
      <c r="C2232" s="1" t="n">
        <v>45740</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26666-2023</t>
        </is>
      </c>
      <c r="B2233" s="1" t="n">
        <v>45093</v>
      </c>
      <c r="C2233" s="1" t="n">
        <v>45740</v>
      </c>
      <c r="D2233" t="inlineStr">
        <is>
          <t>JÄMTLANDS LÄN</t>
        </is>
      </c>
      <c r="E2233" t="inlineStr">
        <is>
          <t>STRÖMSUND</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26665-2023</t>
        </is>
      </c>
      <c r="B2234" s="1" t="n">
        <v>45093</v>
      </c>
      <c r="C2234" s="1" t="n">
        <v>45740</v>
      </c>
      <c r="D2234" t="inlineStr">
        <is>
          <t>JÄMTLANDS LÄN</t>
        </is>
      </c>
      <c r="E2234" t="inlineStr">
        <is>
          <t>STRÖMSUND</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26650-2023</t>
        </is>
      </c>
      <c r="B2235" s="1" t="n">
        <v>45093</v>
      </c>
      <c r="C2235" s="1" t="n">
        <v>45740</v>
      </c>
      <c r="D2235" t="inlineStr">
        <is>
          <t>JÄMTLANDS LÄN</t>
        </is>
      </c>
      <c r="E2235" t="inlineStr">
        <is>
          <t>STRÖMSUND</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26659-2023</t>
        </is>
      </c>
      <c r="B2236" s="1" t="n">
        <v>45092</v>
      </c>
      <c r="C2236" s="1" t="n">
        <v>45740</v>
      </c>
      <c r="D2236" t="inlineStr">
        <is>
          <t>JÄMTLANDS LÄN</t>
        </is>
      </c>
      <c r="E2236" t="inlineStr">
        <is>
          <t>STRÖMSUND</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26660-2023</t>
        </is>
      </c>
      <c r="B2237" s="1" t="n">
        <v>45092</v>
      </c>
      <c r="C2237" s="1" t="n">
        <v>45740</v>
      </c>
      <c r="D2237" t="inlineStr">
        <is>
          <t>JÄMTLANDS LÄN</t>
        </is>
      </c>
      <c r="E2237" t="inlineStr">
        <is>
          <t>STRÖMSUND</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26799-2023</t>
        </is>
      </c>
      <c r="B2238" s="1" t="n">
        <v>45093</v>
      </c>
      <c r="C2238" s="1" t="n">
        <v>45740</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26735-2023</t>
        </is>
      </c>
      <c r="B2239" s="1" t="n">
        <v>45093</v>
      </c>
      <c r="C2239" s="1" t="n">
        <v>45740</v>
      </c>
      <c r="D2239" t="inlineStr">
        <is>
          <t>JÄMTLANDS LÄN</t>
        </is>
      </c>
      <c r="E2239" t="inlineStr">
        <is>
          <t>STRÖMSUND</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27389-2023</t>
        </is>
      </c>
      <c r="B2240" s="1" t="n">
        <v>45096</v>
      </c>
      <c r="C2240" s="1" t="n">
        <v>45740</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27366-2023</t>
        </is>
      </c>
      <c r="B2241" s="1" t="n">
        <v>45096</v>
      </c>
      <c r="C2241" s="1" t="n">
        <v>45740</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27386-2023</t>
        </is>
      </c>
      <c r="B2242" s="1" t="n">
        <v>45097</v>
      </c>
      <c r="C2242" s="1" t="n">
        <v>45740</v>
      </c>
      <c r="D2242" t="inlineStr">
        <is>
          <t>JÄMTLANDS LÄN</t>
        </is>
      </c>
      <c r="E2242" t="inlineStr">
        <is>
          <t>STRÖMSUND</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27374-2023</t>
        </is>
      </c>
      <c r="B2243" s="1" t="n">
        <v>45097</v>
      </c>
      <c r="C2243" s="1" t="n">
        <v>45740</v>
      </c>
      <c r="D2243" t="inlineStr">
        <is>
          <t>JÄMTLANDS LÄN</t>
        </is>
      </c>
      <c r="E2243" t="inlineStr">
        <is>
          <t>STRÖMSUND</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27388-2023</t>
        </is>
      </c>
      <c r="B2244" s="1" t="n">
        <v>45097</v>
      </c>
      <c r="C2244" s="1" t="n">
        <v>45740</v>
      </c>
      <c r="D2244" t="inlineStr">
        <is>
          <t>JÄMTLANDS LÄN</t>
        </is>
      </c>
      <c r="E2244" t="inlineStr">
        <is>
          <t>STRÖMSUND</t>
        </is>
      </c>
      <c r="F2244" t="inlineStr">
        <is>
          <t>SCA</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27368-2023</t>
        </is>
      </c>
      <c r="B2245" s="1" t="n">
        <v>45096</v>
      </c>
      <c r="C2245" s="1" t="n">
        <v>45740</v>
      </c>
      <c r="D2245" t="inlineStr">
        <is>
          <t>JÄMTLANDS LÄN</t>
        </is>
      </c>
      <c r="E2245" t="inlineStr">
        <is>
          <t>STRÖMSUND</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27365-2023</t>
        </is>
      </c>
      <c r="B2246" s="1" t="n">
        <v>45097</v>
      </c>
      <c r="C2246" s="1" t="n">
        <v>45740</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27387-2023</t>
        </is>
      </c>
      <c r="B2247" s="1" t="n">
        <v>45097</v>
      </c>
      <c r="C2247" s="1" t="n">
        <v>45740</v>
      </c>
      <c r="D2247" t="inlineStr">
        <is>
          <t>JÄMTLANDS LÄN</t>
        </is>
      </c>
      <c r="E2247" t="inlineStr">
        <is>
          <t>STRÖMSUND</t>
        </is>
      </c>
      <c r="F2247" t="inlineStr">
        <is>
          <t>SCA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27375-2023</t>
        </is>
      </c>
      <c r="B2248" s="1" t="n">
        <v>45097</v>
      </c>
      <c r="C2248" s="1" t="n">
        <v>45740</v>
      </c>
      <c r="D2248" t="inlineStr">
        <is>
          <t>JÄMTLANDS LÄN</t>
        </is>
      </c>
      <c r="E2248" t="inlineStr">
        <is>
          <t>STRÖMSUND</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28660-2023</t>
        </is>
      </c>
      <c r="B2249" s="1" t="n">
        <v>45096</v>
      </c>
      <c r="C2249" s="1" t="n">
        <v>45740</v>
      </c>
      <c r="D2249" t="inlineStr">
        <is>
          <t>JÄMTLANDS LÄN</t>
        </is>
      </c>
      <c r="E2249" t="inlineStr">
        <is>
          <t>STRÖMSUND</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27679-2023</t>
        </is>
      </c>
      <c r="B2250" s="1" t="n">
        <v>45098</v>
      </c>
      <c r="C2250" s="1" t="n">
        <v>45740</v>
      </c>
      <c r="D2250" t="inlineStr">
        <is>
          <t>JÄMTLANDS LÄN</t>
        </is>
      </c>
      <c r="E2250" t="inlineStr">
        <is>
          <t>STRÖMSUND</t>
        </is>
      </c>
      <c r="G2250" t="n">
        <v>12.7</v>
      </c>
      <c r="H2250" t="n">
        <v>0</v>
      </c>
      <c r="I2250" t="n">
        <v>0</v>
      </c>
      <c r="J2250" t="n">
        <v>0</v>
      </c>
      <c r="K2250" t="n">
        <v>0</v>
      </c>
      <c r="L2250" t="n">
        <v>0</v>
      </c>
      <c r="M2250" t="n">
        <v>0</v>
      </c>
      <c r="N2250" t="n">
        <v>0</v>
      </c>
      <c r="O2250" t="n">
        <v>0</v>
      </c>
      <c r="P2250" t="n">
        <v>0</v>
      </c>
      <c r="Q2250" t="n">
        <v>0</v>
      </c>
      <c r="R2250" s="2" t="inlineStr"/>
    </row>
    <row r="2251" ht="15" customHeight="1">
      <c r="A2251" t="inlineStr">
        <is>
          <t>A 28005-2023</t>
        </is>
      </c>
      <c r="B2251" s="1" t="n">
        <v>45099</v>
      </c>
      <c r="C2251" s="1" t="n">
        <v>45740</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28006-2023</t>
        </is>
      </c>
      <c r="B2252" s="1" t="n">
        <v>45099</v>
      </c>
      <c r="C2252" s="1" t="n">
        <v>45740</v>
      </c>
      <c r="D2252" t="inlineStr">
        <is>
          <t>JÄMTLANDS LÄN</t>
        </is>
      </c>
      <c r="E2252" t="inlineStr">
        <is>
          <t>STRÖMSUND</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28014-2023</t>
        </is>
      </c>
      <c r="B2253" s="1" t="n">
        <v>45098</v>
      </c>
      <c r="C2253" s="1" t="n">
        <v>45740</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28003-2023</t>
        </is>
      </c>
      <c r="B2254" s="1" t="n">
        <v>45099</v>
      </c>
      <c r="C2254" s="1" t="n">
        <v>45740</v>
      </c>
      <c r="D2254" t="inlineStr">
        <is>
          <t>JÄMTLANDS LÄN</t>
        </is>
      </c>
      <c r="E2254" t="inlineStr">
        <is>
          <t>STRÖMSUND</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28004-2023</t>
        </is>
      </c>
      <c r="B2255" s="1" t="n">
        <v>45099</v>
      </c>
      <c r="C2255" s="1" t="n">
        <v>45740</v>
      </c>
      <c r="D2255" t="inlineStr">
        <is>
          <t>JÄMTLANDS LÄN</t>
        </is>
      </c>
      <c r="E2255" t="inlineStr">
        <is>
          <t>STRÖMSUND</t>
        </is>
      </c>
      <c r="F2255" t="inlineStr">
        <is>
          <t>SCA</t>
        </is>
      </c>
      <c r="G2255" t="n">
        <v>20.1</v>
      </c>
      <c r="H2255" t="n">
        <v>0</v>
      </c>
      <c r="I2255" t="n">
        <v>0</v>
      </c>
      <c r="J2255" t="n">
        <v>0</v>
      </c>
      <c r="K2255" t="n">
        <v>0</v>
      </c>
      <c r="L2255" t="n">
        <v>0</v>
      </c>
      <c r="M2255" t="n">
        <v>0</v>
      </c>
      <c r="N2255" t="n">
        <v>0</v>
      </c>
      <c r="O2255" t="n">
        <v>0</v>
      </c>
      <c r="P2255" t="n">
        <v>0</v>
      </c>
      <c r="Q2255" t="n">
        <v>0</v>
      </c>
      <c r="R2255" s="2" t="inlineStr"/>
    </row>
    <row r="2256" ht="15" customHeight="1">
      <c r="A2256" t="inlineStr">
        <is>
          <t>A 28016-2023</t>
        </is>
      </c>
      <c r="B2256" s="1" t="n">
        <v>45099</v>
      </c>
      <c r="C2256" s="1" t="n">
        <v>45740</v>
      </c>
      <c r="D2256" t="inlineStr">
        <is>
          <t>JÄMTLANDS LÄN</t>
        </is>
      </c>
      <c r="E2256" t="inlineStr">
        <is>
          <t>STRÖMSUND</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29593-2023</t>
        </is>
      </c>
      <c r="B2257" s="1" t="n">
        <v>45098</v>
      </c>
      <c r="C2257" s="1" t="n">
        <v>45740</v>
      </c>
      <c r="D2257" t="inlineStr">
        <is>
          <t>JÄMTLANDS LÄN</t>
        </is>
      </c>
      <c r="E2257" t="inlineStr">
        <is>
          <t>STRÖMSUND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28297-2023</t>
        </is>
      </c>
      <c r="B2258" s="1" t="n">
        <v>45099</v>
      </c>
      <c r="C2258" s="1" t="n">
        <v>45740</v>
      </c>
      <c r="D2258" t="inlineStr">
        <is>
          <t>JÄMTLANDS LÄN</t>
        </is>
      </c>
      <c r="E2258" t="inlineStr">
        <is>
          <t>STRÖMSUND</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28365-2023</t>
        </is>
      </c>
      <c r="B2259" s="1" t="n">
        <v>45100</v>
      </c>
      <c r="C2259" s="1" t="n">
        <v>45740</v>
      </c>
      <c r="D2259" t="inlineStr">
        <is>
          <t>JÄMTLANDS LÄN</t>
        </is>
      </c>
      <c r="E2259" t="inlineStr">
        <is>
          <t>STRÖMSUND</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28376-2023</t>
        </is>
      </c>
      <c r="B2260" s="1" t="n">
        <v>45100</v>
      </c>
      <c r="C2260" s="1" t="n">
        <v>45740</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28364-2023</t>
        </is>
      </c>
      <c r="B2261" s="1" t="n">
        <v>45100</v>
      </c>
      <c r="C2261" s="1" t="n">
        <v>45740</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28362-2023</t>
        </is>
      </c>
      <c r="B2262" s="1" t="n">
        <v>45100</v>
      </c>
      <c r="C2262" s="1" t="n">
        <v>45740</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28377-2023</t>
        </is>
      </c>
      <c r="B2263" s="1" t="n">
        <v>45100</v>
      </c>
      <c r="C2263" s="1" t="n">
        <v>45740</v>
      </c>
      <c r="D2263" t="inlineStr">
        <is>
          <t>JÄMTLANDS LÄN</t>
        </is>
      </c>
      <c r="E2263" t="inlineStr">
        <is>
          <t>STRÖMSUND</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28405-2023</t>
        </is>
      </c>
      <c r="B2264" s="1" t="n">
        <v>45101</v>
      </c>
      <c r="C2264" s="1" t="n">
        <v>45740</v>
      </c>
      <c r="D2264" t="inlineStr">
        <is>
          <t>JÄMTLANDS LÄN</t>
        </is>
      </c>
      <c r="E2264" t="inlineStr">
        <is>
          <t>STRÖMSUND</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28715-2023</t>
        </is>
      </c>
      <c r="B2265" s="1" t="n">
        <v>45103</v>
      </c>
      <c r="C2265" s="1" t="n">
        <v>45740</v>
      </c>
      <c r="D2265" t="inlineStr">
        <is>
          <t>JÄMTLANDS LÄN</t>
        </is>
      </c>
      <c r="E2265" t="inlineStr">
        <is>
          <t>STRÖMSUND</t>
        </is>
      </c>
      <c r="F2265" t="inlineStr">
        <is>
          <t>Sveaskog</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28740-2023</t>
        </is>
      </c>
      <c r="B2266" s="1" t="n">
        <v>45104</v>
      </c>
      <c r="C2266" s="1" t="n">
        <v>45740</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28744-2023</t>
        </is>
      </c>
      <c r="B2267" s="1" t="n">
        <v>45104</v>
      </c>
      <c r="C2267" s="1" t="n">
        <v>45740</v>
      </c>
      <c r="D2267" t="inlineStr">
        <is>
          <t>JÄMTLANDS LÄN</t>
        </is>
      </c>
      <c r="E2267" t="inlineStr">
        <is>
          <t>STRÖMSUND</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28753-2023</t>
        </is>
      </c>
      <c r="B2268" s="1" t="n">
        <v>45104</v>
      </c>
      <c r="C2268" s="1" t="n">
        <v>45740</v>
      </c>
      <c r="D2268" t="inlineStr">
        <is>
          <t>JÄMTLANDS LÄN</t>
        </is>
      </c>
      <c r="E2268" t="inlineStr">
        <is>
          <t>STRÖMSUND</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28766-2023</t>
        </is>
      </c>
      <c r="B2269" s="1" t="n">
        <v>45104</v>
      </c>
      <c r="C2269" s="1" t="n">
        <v>45740</v>
      </c>
      <c r="D2269" t="inlineStr">
        <is>
          <t>JÄMTLANDS LÄN</t>
        </is>
      </c>
      <c r="E2269" t="inlineStr">
        <is>
          <t>STRÖMSUND</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28713-2023</t>
        </is>
      </c>
      <c r="B2270" s="1" t="n">
        <v>45103</v>
      </c>
      <c r="C2270" s="1" t="n">
        <v>45740</v>
      </c>
      <c r="D2270" t="inlineStr">
        <is>
          <t>JÄMTLANDS LÄN</t>
        </is>
      </c>
      <c r="E2270" t="inlineStr">
        <is>
          <t>STRÖMSUND</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28741-2023</t>
        </is>
      </c>
      <c r="B2271" s="1" t="n">
        <v>45103</v>
      </c>
      <c r="C2271" s="1" t="n">
        <v>45740</v>
      </c>
      <c r="D2271" t="inlineStr">
        <is>
          <t>JÄMTLANDS LÄN</t>
        </is>
      </c>
      <c r="E2271" t="inlineStr">
        <is>
          <t>STRÖMSUND</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28754-2023</t>
        </is>
      </c>
      <c r="B2272" s="1" t="n">
        <v>45104</v>
      </c>
      <c r="C2272" s="1" t="n">
        <v>45740</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28767-2023</t>
        </is>
      </c>
      <c r="B2273" s="1" t="n">
        <v>45104</v>
      </c>
      <c r="C2273" s="1" t="n">
        <v>45740</v>
      </c>
      <c r="D2273" t="inlineStr">
        <is>
          <t>JÄMTLANDS LÄN</t>
        </is>
      </c>
      <c r="E2273" t="inlineStr">
        <is>
          <t>STRÖMSUND</t>
        </is>
      </c>
      <c r="F2273" t="inlineStr">
        <is>
          <t>SCA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31156-2023</t>
        </is>
      </c>
      <c r="B2274" s="1" t="n">
        <v>45103</v>
      </c>
      <c r="C2274" s="1" t="n">
        <v>45740</v>
      </c>
      <c r="D2274" t="inlineStr">
        <is>
          <t>JÄMTLANDS LÄN</t>
        </is>
      </c>
      <c r="E2274" t="inlineStr">
        <is>
          <t>STRÖMSUND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28714-2023</t>
        </is>
      </c>
      <c r="B2275" s="1" t="n">
        <v>45103</v>
      </c>
      <c r="C2275" s="1" t="n">
        <v>45740</v>
      </c>
      <c r="D2275" t="inlineStr">
        <is>
          <t>JÄMTLANDS LÄN</t>
        </is>
      </c>
      <c r="E2275" t="inlineStr">
        <is>
          <t>STRÖMSUND</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28735-2023</t>
        </is>
      </c>
      <c r="B2276" s="1" t="n">
        <v>45104</v>
      </c>
      <c r="C2276" s="1" t="n">
        <v>45740</v>
      </c>
      <c r="D2276" t="inlineStr">
        <is>
          <t>JÄMTLANDS LÄN</t>
        </is>
      </c>
      <c r="E2276" t="inlineStr">
        <is>
          <t>STRÖMSUND</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28743-2023</t>
        </is>
      </c>
      <c r="B2277" s="1" t="n">
        <v>45103</v>
      </c>
      <c r="C2277" s="1" t="n">
        <v>45740</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28752-2023</t>
        </is>
      </c>
      <c r="B2278" s="1" t="n">
        <v>45104</v>
      </c>
      <c r="C2278" s="1" t="n">
        <v>45740</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29039-2023</t>
        </is>
      </c>
      <c r="B2279" s="1" t="n">
        <v>45104</v>
      </c>
      <c r="C2279" s="1" t="n">
        <v>45740</v>
      </c>
      <c r="D2279" t="inlineStr">
        <is>
          <t>JÄMTLANDS LÄN</t>
        </is>
      </c>
      <c r="E2279" t="inlineStr">
        <is>
          <t>STRÖMSUND</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29069-2023</t>
        </is>
      </c>
      <c r="B2280" s="1" t="n">
        <v>45105</v>
      </c>
      <c r="C2280" s="1" t="n">
        <v>45740</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29040-2023</t>
        </is>
      </c>
      <c r="B2281" s="1" t="n">
        <v>45104</v>
      </c>
      <c r="C2281" s="1" t="n">
        <v>45740</v>
      </c>
      <c r="D2281" t="inlineStr">
        <is>
          <t>JÄMTLANDS LÄN</t>
        </is>
      </c>
      <c r="E2281" t="inlineStr">
        <is>
          <t>STRÖMSUND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29305-2023</t>
        </is>
      </c>
      <c r="B2282" s="1" t="n">
        <v>45106</v>
      </c>
      <c r="C2282" s="1" t="n">
        <v>45740</v>
      </c>
      <c r="D2282" t="inlineStr">
        <is>
          <t>JÄMTLANDS LÄN</t>
        </is>
      </c>
      <c r="E2282" t="inlineStr">
        <is>
          <t>STRÖMSUND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29329-2023</t>
        </is>
      </c>
      <c r="B2283" s="1" t="n">
        <v>45106</v>
      </c>
      <c r="C2283" s="1" t="n">
        <v>45740</v>
      </c>
      <c r="D2283" t="inlineStr">
        <is>
          <t>JÄMTLANDS LÄN</t>
        </is>
      </c>
      <c r="E2283" t="inlineStr">
        <is>
          <t>STRÖMSUND</t>
        </is>
      </c>
      <c r="F2283" t="inlineStr">
        <is>
          <t>SCA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29328-2023</t>
        </is>
      </c>
      <c r="B2284" s="1" t="n">
        <v>45106</v>
      </c>
      <c r="C2284" s="1" t="n">
        <v>45740</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29335-2023</t>
        </is>
      </c>
      <c r="B2285" s="1" t="n">
        <v>45106</v>
      </c>
      <c r="C2285" s="1" t="n">
        <v>45740</v>
      </c>
      <c r="D2285" t="inlineStr">
        <is>
          <t>JÄMTLANDS LÄN</t>
        </is>
      </c>
      <c r="E2285" t="inlineStr">
        <is>
          <t>STRÖMSUND</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29343-2023</t>
        </is>
      </c>
      <c r="B2286" s="1" t="n">
        <v>45106</v>
      </c>
      <c r="C2286" s="1" t="n">
        <v>45740</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29605-2023</t>
        </is>
      </c>
      <c r="B2287" s="1" t="n">
        <v>45107</v>
      </c>
      <c r="C2287" s="1" t="n">
        <v>45740</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29632-2023</t>
        </is>
      </c>
      <c r="B2288" s="1" t="n">
        <v>45107</v>
      </c>
      <c r="C2288" s="1" t="n">
        <v>45740</v>
      </c>
      <c r="D2288" t="inlineStr">
        <is>
          <t>JÄMTLANDS LÄN</t>
        </is>
      </c>
      <c r="E2288" t="inlineStr">
        <is>
          <t>STRÖMSUND</t>
        </is>
      </c>
      <c r="F2288" t="inlineStr">
        <is>
          <t>SCA</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29631-2023</t>
        </is>
      </c>
      <c r="B2289" s="1" t="n">
        <v>45107</v>
      </c>
      <c r="C2289" s="1" t="n">
        <v>45740</v>
      </c>
      <c r="D2289" t="inlineStr">
        <is>
          <t>JÄMTLANDS LÄN</t>
        </is>
      </c>
      <c r="E2289" t="inlineStr">
        <is>
          <t>STRÖMSUND</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29635-2023</t>
        </is>
      </c>
      <c r="B2290" s="1" t="n">
        <v>45107</v>
      </c>
      <c r="C2290" s="1" t="n">
        <v>45740</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29965-2023</t>
        </is>
      </c>
      <c r="B2291" s="1" t="n">
        <v>45107</v>
      </c>
      <c r="C2291" s="1" t="n">
        <v>45740</v>
      </c>
      <c r="D2291" t="inlineStr">
        <is>
          <t>JÄMTLANDS LÄN</t>
        </is>
      </c>
      <c r="E2291" t="inlineStr">
        <is>
          <t>STRÖMSUND</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29959-2023</t>
        </is>
      </c>
      <c r="B2292" s="1" t="n">
        <v>45108</v>
      </c>
      <c r="C2292" s="1" t="n">
        <v>45740</v>
      </c>
      <c r="D2292" t="inlineStr">
        <is>
          <t>JÄMTLANDS LÄN</t>
        </is>
      </c>
      <c r="E2292" t="inlineStr">
        <is>
          <t>STRÖMSUND</t>
        </is>
      </c>
      <c r="F2292" t="inlineStr">
        <is>
          <t>SCA</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30170-2023</t>
        </is>
      </c>
      <c r="B2293" s="1" t="n">
        <v>45110</v>
      </c>
      <c r="C2293" s="1" t="n">
        <v>45740</v>
      </c>
      <c r="D2293" t="inlineStr">
        <is>
          <t>JÄMTLANDS LÄN</t>
        </is>
      </c>
      <c r="E2293" t="inlineStr">
        <is>
          <t>STRÖMSUND</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32379-2023</t>
        </is>
      </c>
      <c r="B2294" s="1" t="n">
        <v>45110</v>
      </c>
      <c r="C2294" s="1" t="n">
        <v>45740</v>
      </c>
      <c r="D2294" t="inlineStr">
        <is>
          <t>JÄMTLANDS LÄN</t>
        </is>
      </c>
      <c r="E2294" t="inlineStr">
        <is>
          <t>STRÖMSUND</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30284-2023</t>
        </is>
      </c>
      <c r="B2295" s="1" t="n">
        <v>45110</v>
      </c>
      <c r="C2295" s="1" t="n">
        <v>45740</v>
      </c>
      <c r="D2295" t="inlineStr">
        <is>
          <t>JÄMTLANDS LÄN</t>
        </is>
      </c>
      <c r="E2295" t="inlineStr">
        <is>
          <t>STRÖMSUND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30285-2023</t>
        </is>
      </c>
      <c r="B2296" s="1" t="n">
        <v>45110</v>
      </c>
      <c r="C2296" s="1" t="n">
        <v>45740</v>
      </c>
      <c r="D2296" t="inlineStr">
        <is>
          <t>JÄMTLANDS LÄN</t>
        </is>
      </c>
      <c r="E2296" t="inlineStr">
        <is>
          <t>STRÖMSUND</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30565-2023</t>
        </is>
      </c>
      <c r="B2297" s="1" t="n">
        <v>45112</v>
      </c>
      <c r="C2297" s="1" t="n">
        <v>45740</v>
      </c>
      <c r="D2297" t="inlineStr">
        <is>
          <t>JÄMTLANDS LÄN</t>
        </is>
      </c>
      <c r="E2297" t="inlineStr">
        <is>
          <t>STRÖMSUND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32530-2023</t>
        </is>
      </c>
      <c r="B2298" s="1" t="n">
        <v>45111</v>
      </c>
      <c r="C2298" s="1" t="n">
        <v>45740</v>
      </c>
      <c r="D2298" t="inlineStr">
        <is>
          <t>JÄMTLANDS LÄN</t>
        </is>
      </c>
      <c r="E2298" t="inlineStr">
        <is>
          <t>STRÖMSUND</t>
        </is>
      </c>
      <c r="F2298" t="inlineStr">
        <is>
          <t>Kommuner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32572-2023</t>
        </is>
      </c>
      <c r="B2299" s="1" t="n">
        <v>45111</v>
      </c>
      <c r="C2299" s="1" t="n">
        <v>45740</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32546-2023</t>
        </is>
      </c>
      <c r="B2300" s="1" t="n">
        <v>45111</v>
      </c>
      <c r="C2300" s="1" t="n">
        <v>45740</v>
      </c>
      <c r="D2300" t="inlineStr">
        <is>
          <t>JÄMTLANDS LÄN</t>
        </is>
      </c>
      <c r="E2300" t="inlineStr">
        <is>
          <t>STRÖMSUND</t>
        </is>
      </c>
      <c r="F2300" t="inlineStr">
        <is>
          <t>Kommuner</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32538-2023</t>
        </is>
      </c>
      <c r="B2301" s="1" t="n">
        <v>45111</v>
      </c>
      <c r="C2301" s="1" t="n">
        <v>45740</v>
      </c>
      <c r="D2301" t="inlineStr">
        <is>
          <t>JÄMTLANDS LÄN</t>
        </is>
      </c>
      <c r="E2301" t="inlineStr">
        <is>
          <t>STRÖMSUND</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32550-2023</t>
        </is>
      </c>
      <c r="B2302" s="1" t="n">
        <v>45111</v>
      </c>
      <c r="C2302" s="1" t="n">
        <v>45740</v>
      </c>
      <c r="D2302" t="inlineStr">
        <is>
          <t>JÄMTLANDS LÄN</t>
        </is>
      </c>
      <c r="E2302" t="inlineStr">
        <is>
          <t>STRÖMSUND</t>
        </is>
      </c>
      <c r="F2302" t="inlineStr">
        <is>
          <t>Kommuner</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30818-2023</t>
        </is>
      </c>
      <c r="B2303" s="1" t="n">
        <v>45112</v>
      </c>
      <c r="C2303" s="1" t="n">
        <v>45740</v>
      </c>
      <c r="D2303" t="inlineStr">
        <is>
          <t>JÄMTLANDS LÄN</t>
        </is>
      </c>
      <c r="E2303" t="inlineStr">
        <is>
          <t>STRÖMSUND</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30830-2023</t>
        </is>
      </c>
      <c r="B2304" s="1" t="n">
        <v>45113</v>
      </c>
      <c r="C2304" s="1" t="n">
        <v>45740</v>
      </c>
      <c r="D2304" t="inlineStr">
        <is>
          <t>JÄMTLANDS LÄN</t>
        </is>
      </c>
      <c r="E2304" t="inlineStr">
        <is>
          <t>STRÖMSUND</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30842-2023</t>
        </is>
      </c>
      <c r="B2305" s="1" t="n">
        <v>45113</v>
      </c>
      <c r="C2305" s="1" t="n">
        <v>45740</v>
      </c>
      <c r="D2305" t="inlineStr">
        <is>
          <t>JÄMTLANDS LÄN</t>
        </is>
      </c>
      <c r="E2305" t="inlineStr">
        <is>
          <t>STRÖMSUND</t>
        </is>
      </c>
      <c r="F2305" t="inlineStr">
        <is>
          <t>SCA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30849-2023</t>
        </is>
      </c>
      <c r="B2306" s="1" t="n">
        <v>45113</v>
      </c>
      <c r="C2306" s="1" t="n">
        <v>45740</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30819-2023</t>
        </is>
      </c>
      <c r="B2307" s="1" t="n">
        <v>45113</v>
      </c>
      <c r="C2307" s="1" t="n">
        <v>45740</v>
      </c>
      <c r="D2307" t="inlineStr">
        <is>
          <t>JÄMTLANDS LÄN</t>
        </is>
      </c>
      <c r="E2307" t="inlineStr">
        <is>
          <t>STRÖMSUND</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30831-2023</t>
        </is>
      </c>
      <c r="B2308" s="1" t="n">
        <v>45113</v>
      </c>
      <c r="C2308" s="1" t="n">
        <v>45740</v>
      </c>
      <c r="D2308" t="inlineStr">
        <is>
          <t>JÄMTLANDS LÄN</t>
        </is>
      </c>
      <c r="E2308" t="inlineStr">
        <is>
          <t>STRÖMSUND</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30816-2023</t>
        </is>
      </c>
      <c r="B2309" s="1" t="n">
        <v>45112</v>
      </c>
      <c r="C2309" s="1" t="n">
        <v>45740</v>
      </c>
      <c r="D2309" t="inlineStr">
        <is>
          <t>JÄMTLANDS LÄN</t>
        </is>
      </c>
      <c r="E2309" t="inlineStr">
        <is>
          <t>STRÖMSUND</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30828-2023</t>
        </is>
      </c>
      <c r="B2310" s="1" t="n">
        <v>45113</v>
      </c>
      <c r="C2310" s="1" t="n">
        <v>45740</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30832-2023</t>
        </is>
      </c>
      <c r="B2311" s="1" t="n">
        <v>45112</v>
      </c>
      <c r="C2311" s="1" t="n">
        <v>45740</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30836-2023</t>
        </is>
      </c>
      <c r="B2312" s="1" t="n">
        <v>45113</v>
      </c>
      <c r="C2312" s="1" t="n">
        <v>45740</v>
      </c>
      <c r="D2312" t="inlineStr">
        <is>
          <t>JÄMTLANDS LÄN</t>
        </is>
      </c>
      <c r="E2312" t="inlineStr">
        <is>
          <t>STRÖMSUND</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32871-2023</t>
        </is>
      </c>
      <c r="B2313" s="1" t="n">
        <v>45112</v>
      </c>
      <c r="C2313" s="1" t="n">
        <v>45740</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32873-2023</t>
        </is>
      </c>
      <c r="B2314" s="1" t="n">
        <v>45112</v>
      </c>
      <c r="C2314" s="1" t="n">
        <v>45740</v>
      </c>
      <c r="D2314" t="inlineStr">
        <is>
          <t>JÄMTLANDS LÄN</t>
        </is>
      </c>
      <c r="E2314" t="inlineStr">
        <is>
          <t>STRÖMSUND</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32882-2023</t>
        </is>
      </c>
      <c r="B2315" s="1" t="n">
        <v>45112</v>
      </c>
      <c r="C2315" s="1" t="n">
        <v>45740</v>
      </c>
      <c r="D2315" t="inlineStr">
        <is>
          <t>JÄMTLANDS LÄN</t>
        </is>
      </c>
      <c r="E2315" t="inlineStr">
        <is>
          <t>STRÖMSUND</t>
        </is>
      </c>
      <c r="F2315" t="inlineStr">
        <is>
          <t>Kommuner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32883-2023</t>
        </is>
      </c>
      <c r="B2316" s="1" t="n">
        <v>45112</v>
      </c>
      <c r="C2316" s="1" t="n">
        <v>45740</v>
      </c>
      <c r="D2316" t="inlineStr">
        <is>
          <t>JÄMTLANDS LÄN</t>
        </is>
      </c>
      <c r="E2316" t="inlineStr">
        <is>
          <t>STRÖMSUND</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32884-2023</t>
        </is>
      </c>
      <c r="B2317" s="1" t="n">
        <v>45112</v>
      </c>
      <c r="C2317" s="1" t="n">
        <v>45740</v>
      </c>
      <c r="D2317" t="inlineStr">
        <is>
          <t>JÄMTLANDS LÄN</t>
        </is>
      </c>
      <c r="E2317" t="inlineStr">
        <is>
          <t>STRÖMSUND</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31201-2023</t>
        </is>
      </c>
      <c r="B2318" s="1" t="n">
        <v>45113</v>
      </c>
      <c r="C2318" s="1" t="n">
        <v>45740</v>
      </c>
      <c r="D2318" t="inlineStr">
        <is>
          <t>JÄMTLANDS LÄN</t>
        </is>
      </c>
      <c r="E2318" t="inlineStr">
        <is>
          <t>STRÖMSUND</t>
        </is>
      </c>
      <c r="F2318" t="inlineStr">
        <is>
          <t>SCA</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31210-2023</t>
        </is>
      </c>
      <c r="B2319" s="1" t="n">
        <v>45114</v>
      </c>
      <c r="C2319" s="1" t="n">
        <v>45740</v>
      </c>
      <c r="D2319" t="inlineStr">
        <is>
          <t>JÄMTLANDS LÄN</t>
        </is>
      </c>
      <c r="E2319" t="inlineStr">
        <is>
          <t>STRÖMSUND</t>
        </is>
      </c>
      <c r="F2319" t="inlineStr">
        <is>
          <t>SCA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31182-2023</t>
        </is>
      </c>
      <c r="B2320" s="1" t="n">
        <v>45113</v>
      </c>
      <c r="C2320" s="1" t="n">
        <v>45740</v>
      </c>
      <c r="D2320" t="inlineStr">
        <is>
          <t>JÄMTLANDS LÄN</t>
        </is>
      </c>
      <c r="E2320" t="inlineStr">
        <is>
          <t>STRÖMSUND</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31491-2023</t>
        </is>
      </c>
      <c r="B2321" s="1" t="n">
        <v>45114</v>
      </c>
      <c r="C2321" s="1" t="n">
        <v>45740</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31497-2023</t>
        </is>
      </c>
      <c r="B2322" s="1" t="n">
        <v>45115</v>
      </c>
      <c r="C2322" s="1" t="n">
        <v>45740</v>
      </c>
      <c r="D2322" t="inlineStr">
        <is>
          <t>JÄMTLANDS LÄN</t>
        </is>
      </c>
      <c r="E2322" t="inlineStr">
        <is>
          <t>STRÖMSUND</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31929-2023</t>
        </is>
      </c>
      <c r="B2323" s="1" t="n">
        <v>45118</v>
      </c>
      <c r="C2323" s="1" t="n">
        <v>45740</v>
      </c>
      <c r="D2323" t="inlineStr">
        <is>
          <t>JÄMTLANDS LÄN</t>
        </is>
      </c>
      <c r="E2323" t="inlineStr">
        <is>
          <t>STRÖMSUND</t>
        </is>
      </c>
      <c r="F2323" t="inlineStr">
        <is>
          <t>SCA</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32210-2023</t>
        </is>
      </c>
      <c r="B2324" s="1" t="n">
        <v>45120</v>
      </c>
      <c r="C2324" s="1" t="n">
        <v>45740</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32220-2023</t>
        </is>
      </c>
      <c r="B2325" s="1" t="n">
        <v>45120</v>
      </c>
      <c r="C2325" s="1" t="n">
        <v>45740</v>
      </c>
      <c r="D2325" t="inlineStr">
        <is>
          <t>JÄMTLANDS LÄN</t>
        </is>
      </c>
      <c r="E2325" t="inlineStr">
        <is>
          <t>STRÖMSUND</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32231-2023</t>
        </is>
      </c>
      <c r="B2326" s="1" t="n">
        <v>45120</v>
      </c>
      <c r="C2326" s="1" t="n">
        <v>45740</v>
      </c>
      <c r="D2326" t="inlineStr">
        <is>
          <t>JÄMTLANDS LÄN</t>
        </is>
      </c>
      <c r="E2326" t="inlineStr">
        <is>
          <t>STRÖMSUND</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32730-2023</t>
        </is>
      </c>
      <c r="B2327" s="1" t="n">
        <v>45122</v>
      </c>
      <c r="C2327" s="1" t="n">
        <v>45740</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32724-2023</t>
        </is>
      </c>
      <c r="B2328" s="1" t="n">
        <v>45121</v>
      </c>
      <c r="C2328" s="1" t="n">
        <v>45740</v>
      </c>
      <c r="D2328" t="inlineStr">
        <is>
          <t>JÄMTLANDS LÄN</t>
        </is>
      </c>
      <c r="E2328" t="inlineStr">
        <is>
          <t>STRÖMSUND</t>
        </is>
      </c>
      <c r="F2328" t="inlineStr">
        <is>
          <t>SCA</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32729-2023</t>
        </is>
      </c>
      <c r="B2329" s="1" t="n">
        <v>45122</v>
      </c>
      <c r="C2329" s="1" t="n">
        <v>45740</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32731-2023</t>
        </is>
      </c>
      <c r="B2330" s="1" t="n">
        <v>45122</v>
      </c>
      <c r="C2330" s="1" t="n">
        <v>45740</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32907-2023</t>
        </is>
      </c>
      <c r="B2331" s="1" t="n">
        <v>45124</v>
      </c>
      <c r="C2331" s="1" t="n">
        <v>45740</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32911-2023</t>
        </is>
      </c>
      <c r="B2332" s="1" t="n">
        <v>45125</v>
      </c>
      <c r="C2332" s="1" t="n">
        <v>45740</v>
      </c>
      <c r="D2332" t="inlineStr">
        <is>
          <t>JÄMTLANDS LÄN</t>
        </is>
      </c>
      <c r="E2332" t="inlineStr">
        <is>
          <t>STRÖMSUND</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32906-2023</t>
        </is>
      </c>
      <c r="B2333" s="1" t="n">
        <v>45125</v>
      </c>
      <c r="C2333" s="1" t="n">
        <v>45740</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32910-2023</t>
        </is>
      </c>
      <c r="B2334" s="1" t="n">
        <v>45125</v>
      </c>
      <c r="C2334" s="1" t="n">
        <v>45740</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33045-2023</t>
        </is>
      </c>
      <c r="B2335" s="1" t="n">
        <v>45126</v>
      </c>
      <c r="C2335" s="1" t="n">
        <v>45740</v>
      </c>
      <c r="D2335" t="inlineStr">
        <is>
          <t>JÄMTLANDS LÄN</t>
        </is>
      </c>
      <c r="E2335" t="inlineStr">
        <is>
          <t>STRÖMSUND</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33176-2023</t>
        </is>
      </c>
      <c r="B2336" s="1" t="n">
        <v>45127</v>
      </c>
      <c r="C2336" s="1" t="n">
        <v>45740</v>
      </c>
      <c r="D2336" t="inlineStr">
        <is>
          <t>JÄMTLANDS LÄN</t>
        </is>
      </c>
      <c r="E2336" t="inlineStr">
        <is>
          <t>STRÖMSUND</t>
        </is>
      </c>
      <c r="F2336" t="inlineStr">
        <is>
          <t>SCA</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33426-2023</t>
        </is>
      </c>
      <c r="B2337" s="1" t="n">
        <v>45129</v>
      </c>
      <c r="C2337" s="1" t="n">
        <v>45740</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33427-2023</t>
        </is>
      </c>
      <c r="B2338" s="1" t="n">
        <v>45128</v>
      </c>
      <c r="C2338" s="1" t="n">
        <v>45740</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33433-2023</t>
        </is>
      </c>
      <c r="B2339" s="1" t="n">
        <v>45129</v>
      </c>
      <c r="C2339" s="1" t="n">
        <v>45740</v>
      </c>
      <c r="D2339" t="inlineStr">
        <is>
          <t>JÄMTLANDS LÄN</t>
        </is>
      </c>
      <c r="E2339" t="inlineStr">
        <is>
          <t>STRÖMSUND</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33453-2023</t>
        </is>
      </c>
      <c r="B2340" s="1" t="n">
        <v>45130</v>
      </c>
      <c r="C2340" s="1" t="n">
        <v>45740</v>
      </c>
      <c r="D2340" t="inlineStr">
        <is>
          <t>JÄMTLANDS LÄN</t>
        </is>
      </c>
      <c r="E2340" t="inlineStr">
        <is>
          <t>STRÖMSUND</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33532-2023</t>
        </is>
      </c>
      <c r="B2341" s="1" t="n">
        <v>45131</v>
      </c>
      <c r="C2341" s="1" t="n">
        <v>45740</v>
      </c>
      <c r="D2341" t="inlineStr">
        <is>
          <t>JÄMTLANDS LÄN</t>
        </is>
      </c>
      <c r="E2341" t="inlineStr">
        <is>
          <t>STRÖMSUND</t>
        </is>
      </c>
      <c r="F2341" t="inlineStr">
        <is>
          <t>Kyrkan</t>
        </is>
      </c>
      <c r="G2341" t="n">
        <v>20.3</v>
      </c>
      <c r="H2341" t="n">
        <v>0</v>
      </c>
      <c r="I2341" t="n">
        <v>0</v>
      </c>
      <c r="J2341" t="n">
        <v>0</v>
      </c>
      <c r="K2341" t="n">
        <v>0</v>
      </c>
      <c r="L2341" t="n">
        <v>0</v>
      </c>
      <c r="M2341" t="n">
        <v>0</v>
      </c>
      <c r="N2341" t="n">
        <v>0</v>
      </c>
      <c r="O2341" t="n">
        <v>0</v>
      </c>
      <c r="P2341" t="n">
        <v>0</v>
      </c>
      <c r="Q2341" t="n">
        <v>0</v>
      </c>
      <c r="R2341" s="2" t="inlineStr"/>
    </row>
    <row r="2342" ht="15" customHeight="1">
      <c r="A2342" t="inlineStr">
        <is>
          <t>A 33590-2023</t>
        </is>
      </c>
      <c r="B2342" s="1" t="n">
        <v>45132</v>
      </c>
      <c r="C2342" s="1" t="n">
        <v>45740</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33718-2023</t>
        </is>
      </c>
      <c r="B2343" s="1" t="n">
        <v>45133</v>
      </c>
      <c r="C2343" s="1" t="n">
        <v>45740</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34002-2023</t>
        </is>
      </c>
      <c r="B2344" s="1" t="n">
        <v>45135</v>
      </c>
      <c r="C2344" s="1" t="n">
        <v>45740</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34010-2023</t>
        </is>
      </c>
      <c r="B2345" s="1" t="n">
        <v>45134</v>
      </c>
      <c r="C2345" s="1" t="n">
        <v>45740</v>
      </c>
      <c r="D2345" t="inlineStr">
        <is>
          <t>JÄMTLANDS LÄN</t>
        </is>
      </c>
      <c r="E2345" t="inlineStr">
        <is>
          <t>STRÖMSUND</t>
        </is>
      </c>
      <c r="F2345" t="inlineStr">
        <is>
          <t>SCA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34001-2023</t>
        </is>
      </c>
      <c r="B2346" s="1" t="n">
        <v>45135</v>
      </c>
      <c r="C2346" s="1" t="n">
        <v>45740</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34005-2023</t>
        </is>
      </c>
      <c r="B2347" s="1" t="n">
        <v>45134</v>
      </c>
      <c r="C2347" s="1" t="n">
        <v>45740</v>
      </c>
      <c r="D2347" t="inlineStr">
        <is>
          <t>JÄMTLANDS LÄN</t>
        </is>
      </c>
      <c r="E2347" t="inlineStr">
        <is>
          <t>STRÖMSUND</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34003-2023</t>
        </is>
      </c>
      <c r="B2348" s="1" t="n">
        <v>45135</v>
      </c>
      <c r="C2348" s="1" t="n">
        <v>45740</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34007-2023</t>
        </is>
      </c>
      <c r="B2349" s="1" t="n">
        <v>45135</v>
      </c>
      <c r="C2349" s="1" t="n">
        <v>45740</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34009-2023</t>
        </is>
      </c>
      <c r="B2350" s="1" t="n">
        <v>45135</v>
      </c>
      <c r="C2350" s="1" t="n">
        <v>45740</v>
      </c>
      <c r="D2350" t="inlineStr">
        <is>
          <t>JÄMTLANDS LÄN</t>
        </is>
      </c>
      <c r="E2350" t="inlineStr">
        <is>
          <t>STRÖMSUND</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34004-2023</t>
        </is>
      </c>
      <c r="B2351" s="1" t="n">
        <v>45135</v>
      </c>
      <c r="C2351" s="1" t="n">
        <v>45740</v>
      </c>
      <c r="D2351" t="inlineStr">
        <is>
          <t>JÄMTLANDS LÄN</t>
        </is>
      </c>
      <c r="E2351" t="inlineStr">
        <is>
          <t>STRÖMSUND</t>
        </is>
      </c>
      <c r="F2351" t="inlineStr">
        <is>
          <t>SCA</t>
        </is>
      </c>
      <c r="G2351" t="n">
        <v>10.8</v>
      </c>
      <c r="H2351" t="n">
        <v>0</v>
      </c>
      <c r="I2351" t="n">
        <v>0</v>
      </c>
      <c r="J2351" t="n">
        <v>0</v>
      </c>
      <c r="K2351" t="n">
        <v>0</v>
      </c>
      <c r="L2351" t="n">
        <v>0</v>
      </c>
      <c r="M2351" t="n">
        <v>0</v>
      </c>
      <c r="N2351" t="n">
        <v>0</v>
      </c>
      <c r="O2351" t="n">
        <v>0</v>
      </c>
      <c r="P2351" t="n">
        <v>0</v>
      </c>
      <c r="Q2351" t="n">
        <v>0</v>
      </c>
      <c r="R2351" s="2" t="inlineStr"/>
    </row>
    <row r="2352" ht="15" customHeight="1">
      <c r="A2352" t="inlineStr">
        <is>
          <t>A 34008-2023</t>
        </is>
      </c>
      <c r="B2352" s="1" t="n">
        <v>45134</v>
      </c>
      <c r="C2352" s="1" t="n">
        <v>45740</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34479-2023</t>
        </is>
      </c>
      <c r="B2353" s="1" t="n">
        <v>45139</v>
      </c>
      <c r="C2353" s="1" t="n">
        <v>45740</v>
      </c>
      <c r="D2353" t="inlineStr">
        <is>
          <t>JÄMTLANDS LÄN</t>
        </is>
      </c>
      <c r="E2353" t="inlineStr">
        <is>
          <t>STRÖMSUND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34480-2023</t>
        </is>
      </c>
      <c r="B2354" s="1" t="n">
        <v>45140</v>
      </c>
      <c r="C2354" s="1" t="n">
        <v>45740</v>
      </c>
      <c r="D2354" t="inlineStr">
        <is>
          <t>JÄMTLANDS LÄN</t>
        </is>
      </c>
      <c r="E2354" t="inlineStr">
        <is>
          <t>STRÖMSUND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34824-2023</t>
        </is>
      </c>
      <c r="B2355" s="1" t="n">
        <v>45141</v>
      </c>
      <c r="C2355" s="1" t="n">
        <v>45740</v>
      </c>
      <c r="D2355" t="inlineStr">
        <is>
          <t>JÄMTLANDS LÄN</t>
        </is>
      </c>
      <c r="E2355" t="inlineStr">
        <is>
          <t>STRÖMSUND</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34907-2023</t>
        </is>
      </c>
      <c r="B2356" s="1" t="n">
        <v>45141</v>
      </c>
      <c r="C2356" s="1" t="n">
        <v>45740</v>
      </c>
      <c r="D2356" t="inlineStr">
        <is>
          <t>JÄMTLANDS LÄN</t>
        </is>
      </c>
      <c r="E2356" t="inlineStr">
        <is>
          <t>STRÖMSUND</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35004-2023</t>
        </is>
      </c>
      <c r="B2357" s="1" t="n">
        <v>45143</v>
      </c>
      <c r="C2357" s="1" t="n">
        <v>45740</v>
      </c>
      <c r="D2357" t="inlineStr">
        <is>
          <t>JÄMTLANDS LÄN</t>
        </is>
      </c>
      <c r="E2357" t="inlineStr">
        <is>
          <t>STRÖMSUND</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35007-2023</t>
        </is>
      </c>
      <c r="B2358" s="1" t="n">
        <v>45143</v>
      </c>
      <c r="C2358" s="1" t="n">
        <v>45740</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35012-2023</t>
        </is>
      </c>
      <c r="B2359" s="1" t="n">
        <v>45143</v>
      </c>
      <c r="C2359" s="1" t="n">
        <v>45740</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35011-2023</t>
        </is>
      </c>
      <c r="B2360" s="1" t="n">
        <v>45143</v>
      </c>
      <c r="C2360" s="1" t="n">
        <v>45740</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35279-2023</t>
        </is>
      </c>
      <c r="B2361" s="1" t="n">
        <v>45146</v>
      </c>
      <c r="C2361" s="1" t="n">
        <v>45740</v>
      </c>
      <c r="D2361" t="inlineStr">
        <is>
          <t>JÄMTLANDS LÄN</t>
        </is>
      </c>
      <c r="E2361" t="inlineStr">
        <is>
          <t>STRÖMSUND</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35385-2023</t>
        </is>
      </c>
      <c r="B2362" s="1" t="n">
        <v>45145</v>
      </c>
      <c r="C2362" s="1" t="n">
        <v>45740</v>
      </c>
      <c r="D2362" t="inlineStr">
        <is>
          <t>JÄMTLANDS LÄN</t>
        </is>
      </c>
      <c r="E2362" t="inlineStr">
        <is>
          <t>STRÖMSUND</t>
        </is>
      </c>
      <c r="G2362" t="n">
        <v>29.8</v>
      </c>
      <c r="H2362" t="n">
        <v>0</v>
      </c>
      <c r="I2362" t="n">
        <v>0</v>
      </c>
      <c r="J2362" t="n">
        <v>0</v>
      </c>
      <c r="K2362" t="n">
        <v>0</v>
      </c>
      <c r="L2362" t="n">
        <v>0</v>
      </c>
      <c r="M2362" t="n">
        <v>0</v>
      </c>
      <c r="N2362" t="n">
        <v>0</v>
      </c>
      <c r="O2362" t="n">
        <v>0</v>
      </c>
      <c r="P2362" t="n">
        <v>0</v>
      </c>
      <c r="Q2362" t="n">
        <v>0</v>
      </c>
      <c r="R2362" s="2" t="inlineStr"/>
    </row>
    <row r="2363" ht="15" customHeight="1">
      <c r="A2363" t="inlineStr">
        <is>
          <t>A 35278-2023</t>
        </is>
      </c>
      <c r="B2363" s="1" t="n">
        <v>45146</v>
      </c>
      <c r="C2363" s="1" t="n">
        <v>45740</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35461-2023</t>
        </is>
      </c>
      <c r="B2364" s="1" t="n">
        <v>45146</v>
      </c>
      <c r="C2364" s="1" t="n">
        <v>45740</v>
      </c>
      <c r="D2364" t="inlineStr">
        <is>
          <t>JÄMTLANDS LÄN</t>
        </is>
      </c>
      <c r="E2364" t="inlineStr">
        <is>
          <t>STRÖMSUND</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35897-2023</t>
        </is>
      </c>
      <c r="B2365" s="1" t="n">
        <v>45148</v>
      </c>
      <c r="C2365" s="1" t="n">
        <v>45740</v>
      </c>
      <c r="D2365" t="inlineStr">
        <is>
          <t>JÄMTLANDS LÄN</t>
        </is>
      </c>
      <c r="E2365" t="inlineStr">
        <is>
          <t>STRÖMSUND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36503-2023</t>
        </is>
      </c>
      <c r="B2366" s="1" t="n">
        <v>45153</v>
      </c>
      <c r="C2366" s="1" t="n">
        <v>45740</v>
      </c>
      <c r="D2366" t="inlineStr">
        <is>
          <t>JÄMTLANDS LÄN</t>
        </is>
      </c>
      <c r="E2366" t="inlineStr">
        <is>
          <t>STRÖMSUND</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36507-2023</t>
        </is>
      </c>
      <c r="B2367" s="1" t="n">
        <v>45152</v>
      </c>
      <c r="C2367" s="1" t="n">
        <v>45740</v>
      </c>
      <c r="D2367" t="inlineStr">
        <is>
          <t>JÄMTLANDS LÄN</t>
        </is>
      </c>
      <c r="E2367" t="inlineStr">
        <is>
          <t>STRÖMSUND</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36524-2023</t>
        </is>
      </c>
      <c r="B2368" s="1" t="n">
        <v>45152</v>
      </c>
      <c r="C2368" s="1" t="n">
        <v>45740</v>
      </c>
      <c r="D2368" t="inlineStr">
        <is>
          <t>JÄMTLANDS LÄN</t>
        </is>
      </c>
      <c r="E2368" t="inlineStr">
        <is>
          <t>STRÖMSUND</t>
        </is>
      </c>
      <c r="G2368" t="n">
        <v>20.7</v>
      </c>
      <c r="H2368" t="n">
        <v>0</v>
      </c>
      <c r="I2368" t="n">
        <v>0</v>
      </c>
      <c r="J2368" t="n">
        <v>0</v>
      </c>
      <c r="K2368" t="n">
        <v>0</v>
      </c>
      <c r="L2368" t="n">
        <v>0</v>
      </c>
      <c r="M2368" t="n">
        <v>0</v>
      </c>
      <c r="N2368" t="n">
        <v>0</v>
      </c>
      <c r="O2368" t="n">
        <v>0</v>
      </c>
      <c r="P2368" t="n">
        <v>0</v>
      </c>
      <c r="Q2368" t="n">
        <v>0</v>
      </c>
      <c r="R2368" s="2" t="inlineStr"/>
    </row>
    <row r="2369" ht="15" customHeight="1">
      <c r="A2369" t="inlineStr">
        <is>
          <t>A 36394-2023</t>
        </is>
      </c>
      <c r="B2369" s="1" t="n">
        <v>45152</v>
      </c>
      <c r="C2369" s="1" t="n">
        <v>45740</v>
      </c>
      <c r="D2369" t="inlineStr">
        <is>
          <t>JÄMTLANDS LÄN</t>
        </is>
      </c>
      <c r="E2369" t="inlineStr">
        <is>
          <t>STRÖMSUND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36502-2023</t>
        </is>
      </c>
      <c r="B2370" s="1" t="n">
        <v>45153</v>
      </c>
      <c r="C2370" s="1" t="n">
        <v>45740</v>
      </c>
      <c r="D2370" t="inlineStr">
        <is>
          <t>JÄMTLANDS LÄN</t>
        </is>
      </c>
      <c r="E2370" t="inlineStr">
        <is>
          <t>STRÖMSUND</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36764-2023</t>
        </is>
      </c>
      <c r="B2371" s="1" t="n">
        <v>45154</v>
      </c>
      <c r="C2371" s="1" t="n">
        <v>45740</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36749-2023</t>
        </is>
      </c>
      <c r="B2372" s="1" t="n">
        <v>45154</v>
      </c>
      <c r="C2372" s="1" t="n">
        <v>45740</v>
      </c>
      <c r="D2372" t="inlineStr">
        <is>
          <t>JÄMTLANDS LÄN</t>
        </is>
      </c>
      <c r="E2372" t="inlineStr">
        <is>
          <t>STRÖMSUND</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36773-2023</t>
        </is>
      </c>
      <c r="B2373" s="1" t="n">
        <v>45154</v>
      </c>
      <c r="C2373" s="1" t="n">
        <v>45740</v>
      </c>
      <c r="D2373" t="inlineStr">
        <is>
          <t>JÄMTLANDS LÄN</t>
        </is>
      </c>
      <c r="E2373" t="inlineStr">
        <is>
          <t>STRÖMSUND</t>
        </is>
      </c>
      <c r="F2373" t="inlineStr">
        <is>
          <t>Holmen skog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36968-2023</t>
        </is>
      </c>
      <c r="B2374" s="1" t="n">
        <v>45155</v>
      </c>
      <c r="C2374" s="1" t="n">
        <v>45740</v>
      </c>
      <c r="D2374" t="inlineStr">
        <is>
          <t>JÄMTLANDS LÄN</t>
        </is>
      </c>
      <c r="E2374" t="inlineStr">
        <is>
          <t>STRÖMSUND</t>
        </is>
      </c>
      <c r="F2374" t="inlineStr">
        <is>
          <t>SCA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36993-2023</t>
        </is>
      </c>
      <c r="B2375" s="1" t="n">
        <v>45155</v>
      </c>
      <c r="C2375" s="1" t="n">
        <v>45740</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36959-2023</t>
        </is>
      </c>
      <c r="B2376" s="1" t="n">
        <v>45155</v>
      </c>
      <c r="C2376" s="1" t="n">
        <v>45740</v>
      </c>
      <c r="D2376" t="inlineStr">
        <is>
          <t>JÄMTLANDS LÄN</t>
        </is>
      </c>
      <c r="E2376" t="inlineStr">
        <is>
          <t>STRÖMSUND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37146-2023</t>
        </is>
      </c>
      <c r="B2377" s="1" t="n">
        <v>45155</v>
      </c>
      <c r="C2377" s="1" t="n">
        <v>45740</v>
      </c>
      <c r="D2377" t="inlineStr">
        <is>
          <t>JÄMTLANDS LÄN</t>
        </is>
      </c>
      <c r="E2377" t="inlineStr">
        <is>
          <t>STRÖMSUND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37261-2023</t>
        </is>
      </c>
      <c r="B2378" s="1" t="n">
        <v>45155</v>
      </c>
      <c r="C2378" s="1" t="n">
        <v>45740</v>
      </c>
      <c r="D2378" t="inlineStr">
        <is>
          <t>JÄMTLANDS LÄN</t>
        </is>
      </c>
      <c r="E2378" t="inlineStr">
        <is>
          <t>STRÖMSUND</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37143-2023</t>
        </is>
      </c>
      <c r="B2379" s="1" t="n">
        <v>45155</v>
      </c>
      <c r="C2379" s="1" t="n">
        <v>45740</v>
      </c>
      <c r="D2379" t="inlineStr">
        <is>
          <t>JÄMTLANDS LÄN</t>
        </is>
      </c>
      <c r="E2379" t="inlineStr">
        <is>
          <t>STRÖMSUND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37260-2023</t>
        </is>
      </c>
      <c r="B2380" s="1" t="n">
        <v>45155</v>
      </c>
      <c r="C2380" s="1" t="n">
        <v>45740</v>
      </c>
      <c r="D2380" t="inlineStr">
        <is>
          <t>JÄMTLANDS LÄN</t>
        </is>
      </c>
      <c r="E2380" t="inlineStr">
        <is>
          <t>STRÖMSUND</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37258-2023</t>
        </is>
      </c>
      <c r="B2381" s="1" t="n">
        <v>45156</v>
      </c>
      <c r="C2381" s="1" t="n">
        <v>45740</v>
      </c>
      <c r="D2381" t="inlineStr">
        <is>
          <t>JÄMTLANDS LÄN</t>
        </is>
      </c>
      <c r="E2381" t="inlineStr">
        <is>
          <t>STRÖMSUND</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37469-2023</t>
        </is>
      </c>
      <c r="B2382" s="1" t="n">
        <v>45157</v>
      </c>
      <c r="C2382" s="1" t="n">
        <v>45740</v>
      </c>
      <c r="D2382" t="inlineStr">
        <is>
          <t>JÄMTLANDS LÄN</t>
        </is>
      </c>
      <c r="E2382" t="inlineStr">
        <is>
          <t>STRÖMSUND</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37490-2023</t>
        </is>
      </c>
      <c r="B2383" s="1" t="n">
        <v>45157</v>
      </c>
      <c r="C2383" s="1" t="n">
        <v>45740</v>
      </c>
      <c r="D2383" t="inlineStr">
        <is>
          <t>JÄMTLANDS LÄN</t>
        </is>
      </c>
      <c r="E2383" t="inlineStr">
        <is>
          <t>STRÖMSUND</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37803-2023</t>
        </is>
      </c>
      <c r="B2384" s="1" t="n">
        <v>45160</v>
      </c>
      <c r="C2384" s="1" t="n">
        <v>45740</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37809-2023</t>
        </is>
      </c>
      <c r="B2385" s="1" t="n">
        <v>45160</v>
      </c>
      <c r="C2385" s="1" t="n">
        <v>45740</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38418-2023</t>
        </is>
      </c>
      <c r="B2386" s="1" t="n">
        <v>45160</v>
      </c>
      <c r="C2386" s="1" t="n">
        <v>45740</v>
      </c>
      <c r="D2386" t="inlineStr">
        <is>
          <t>JÄMTLANDS LÄN</t>
        </is>
      </c>
      <c r="E2386" t="inlineStr">
        <is>
          <t>STRÖMSUND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38248-2023</t>
        </is>
      </c>
      <c r="B2387" s="1" t="n">
        <v>45161</v>
      </c>
      <c r="C2387" s="1" t="n">
        <v>45740</v>
      </c>
      <c r="D2387" t="inlineStr">
        <is>
          <t>JÄMTLANDS LÄN</t>
        </is>
      </c>
      <c r="E2387" t="inlineStr">
        <is>
          <t>STRÖMSUND</t>
        </is>
      </c>
      <c r="F2387" t="inlineStr">
        <is>
          <t>Holmen skog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38374-2023</t>
        </is>
      </c>
      <c r="B2388" s="1" t="n">
        <v>45162</v>
      </c>
      <c r="C2388" s="1" t="n">
        <v>45740</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38642-2023</t>
        </is>
      </c>
      <c r="B2389" s="1" t="n">
        <v>45162</v>
      </c>
      <c r="C2389" s="1" t="n">
        <v>45740</v>
      </c>
      <c r="D2389" t="inlineStr">
        <is>
          <t>JÄMTLANDS LÄN</t>
        </is>
      </c>
      <c r="E2389" t="inlineStr">
        <is>
          <t>STRÖMSUND</t>
        </is>
      </c>
      <c r="F2389" t="inlineStr">
        <is>
          <t>Holmen skog AB</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38842-2023</t>
        </is>
      </c>
      <c r="B2390" s="1" t="n">
        <v>45163</v>
      </c>
      <c r="C2390" s="1" t="n">
        <v>45740</v>
      </c>
      <c r="D2390" t="inlineStr">
        <is>
          <t>JÄMTLANDS LÄN</t>
        </is>
      </c>
      <c r="E2390" t="inlineStr">
        <is>
          <t>STRÖMSUND</t>
        </is>
      </c>
      <c r="F2390" t="inlineStr">
        <is>
          <t>Holmen skog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39051-2023</t>
        </is>
      </c>
      <c r="B2391" s="1" t="n">
        <v>45163</v>
      </c>
      <c r="C2391" s="1" t="n">
        <v>45740</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39054-2023</t>
        </is>
      </c>
      <c r="B2392" s="1" t="n">
        <v>45164</v>
      </c>
      <c r="C2392" s="1" t="n">
        <v>45740</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39066-2023</t>
        </is>
      </c>
      <c r="B2393" s="1" t="n">
        <v>45164</v>
      </c>
      <c r="C2393" s="1" t="n">
        <v>45740</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38698-2023</t>
        </is>
      </c>
      <c r="B2394" s="1" t="n">
        <v>45163</v>
      </c>
      <c r="C2394" s="1" t="n">
        <v>45740</v>
      </c>
      <c r="D2394" t="inlineStr">
        <is>
          <t>JÄMTLANDS LÄN</t>
        </is>
      </c>
      <c r="E2394" t="inlineStr">
        <is>
          <t>STRÖMSUND</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39064-2023</t>
        </is>
      </c>
      <c r="B2395" s="1" t="n">
        <v>45163</v>
      </c>
      <c r="C2395" s="1" t="n">
        <v>45740</v>
      </c>
      <c r="D2395" t="inlineStr">
        <is>
          <t>JÄMTLANDS LÄN</t>
        </is>
      </c>
      <c r="E2395" t="inlineStr">
        <is>
          <t>STRÖMSUND</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39080-2023</t>
        </is>
      </c>
      <c r="B2396" s="1" t="n">
        <v>45164</v>
      </c>
      <c r="C2396" s="1" t="n">
        <v>45740</v>
      </c>
      <c r="D2396" t="inlineStr">
        <is>
          <t>JÄMTLANDS LÄN</t>
        </is>
      </c>
      <c r="E2396" t="inlineStr">
        <is>
          <t>STRÖMSUND</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38740-2023</t>
        </is>
      </c>
      <c r="B2397" s="1" t="n">
        <v>45163</v>
      </c>
      <c r="C2397" s="1" t="n">
        <v>45740</v>
      </c>
      <c r="D2397" t="inlineStr">
        <is>
          <t>JÄMTLANDS LÄN</t>
        </is>
      </c>
      <c r="E2397" t="inlineStr">
        <is>
          <t>STRÖMSUND</t>
        </is>
      </c>
      <c r="F2397" t="inlineStr">
        <is>
          <t>Holmen skog AB</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39480-2023</t>
        </is>
      </c>
      <c r="B2398" s="1" t="n">
        <v>45167</v>
      </c>
      <c r="C2398" s="1" t="n">
        <v>45740</v>
      </c>
      <c r="D2398" t="inlineStr">
        <is>
          <t>JÄMTLANDS LÄN</t>
        </is>
      </c>
      <c r="E2398" t="inlineStr">
        <is>
          <t>STRÖMSUND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39479-2023</t>
        </is>
      </c>
      <c r="B2399" s="1" t="n">
        <v>45167</v>
      </c>
      <c r="C2399" s="1" t="n">
        <v>45740</v>
      </c>
      <c r="D2399" t="inlineStr">
        <is>
          <t>JÄMTLANDS LÄN</t>
        </is>
      </c>
      <c r="E2399" t="inlineStr">
        <is>
          <t>STRÖMSUND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39490-2023</t>
        </is>
      </c>
      <c r="B2400" s="1" t="n">
        <v>45166</v>
      </c>
      <c r="C2400" s="1" t="n">
        <v>45740</v>
      </c>
      <c r="D2400" t="inlineStr">
        <is>
          <t>JÄMTLANDS LÄN</t>
        </is>
      </c>
      <c r="E2400" t="inlineStr">
        <is>
          <t>STRÖMSUND</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39671-2023</t>
        </is>
      </c>
      <c r="B2401" s="1" t="n">
        <v>45167</v>
      </c>
      <c r="C2401" s="1" t="n">
        <v>45740</v>
      </c>
      <c r="D2401" t="inlineStr">
        <is>
          <t>JÄMTLANDS LÄN</t>
        </is>
      </c>
      <c r="E2401" t="inlineStr">
        <is>
          <t>STRÖMSUND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39799-2023</t>
        </is>
      </c>
      <c r="B2402" s="1" t="n">
        <v>45168</v>
      </c>
      <c r="C2402" s="1" t="n">
        <v>45740</v>
      </c>
      <c r="D2402" t="inlineStr">
        <is>
          <t>JÄMTLANDS LÄN</t>
        </is>
      </c>
      <c r="E2402" t="inlineStr">
        <is>
          <t>STRÖMSUND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39817-2023</t>
        </is>
      </c>
      <c r="B2403" s="1" t="n">
        <v>45168</v>
      </c>
      <c r="C2403" s="1" t="n">
        <v>45740</v>
      </c>
      <c r="D2403" t="inlineStr">
        <is>
          <t>JÄMTLANDS LÄN</t>
        </is>
      </c>
      <c r="E2403" t="inlineStr">
        <is>
          <t>STRÖMSUND</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39792-2023</t>
        </is>
      </c>
      <c r="B2404" s="1" t="n">
        <v>45168</v>
      </c>
      <c r="C2404" s="1" t="n">
        <v>45740</v>
      </c>
      <c r="D2404" t="inlineStr">
        <is>
          <t>JÄMTLANDS LÄN</t>
        </is>
      </c>
      <c r="E2404" t="inlineStr">
        <is>
          <t>STRÖMSUND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39800-2023</t>
        </is>
      </c>
      <c r="B2405" s="1" t="n">
        <v>45168</v>
      </c>
      <c r="C2405" s="1" t="n">
        <v>45740</v>
      </c>
      <c r="D2405" t="inlineStr">
        <is>
          <t>JÄMTLANDS LÄN</t>
        </is>
      </c>
      <c r="E2405" t="inlineStr">
        <is>
          <t>STRÖMSUND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39870-2023</t>
        </is>
      </c>
      <c r="B2406" s="1" t="n">
        <v>45168</v>
      </c>
      <c r="C2406" s="1" t="n">
        <v>45740</v>
      </c>
      <c r="D2406" t="inlineStr">
        <is>
          <t>JÄMTLANDS LÄN</t>
        </is>
      </c>
      <c r="E2406" t="inlineStr">
        <is>
          <t>STRÖMSUND</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39922-2023</t>
        </is>
      </c>
      <c r="B2407" s="1" t="n">
        <v>45168</v>
      </c>
      <c r="C2407" s="1" t="n">
        <v>45740</v>
      </c>
      <c r="D2407" t="inlineStr">
        <is>
          <t>JÄMTLANDS LÄN</t>
        </is>
      </c>
      <c r="E2407" t="inlineStr">
        <is>
          <t>STRÖMSUND</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39946-2023</t>
        </is>
      </c>
      <c r="B2408" s="1" t="n">
        <v>45168</v>
      </c>
      <c r="C2408" s="1" t="n">
        <v>45740</v>
      </c>
      <c r="D2408" t="inlineStr">
        <is>
          <t>JÄMTLANDS LÄN</t>
        </is>
      </c>
      <c r="E2408" t="inlineStr">
        <is>
          <t>STRÖMSUND</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40104-2023</t>
        </is>
      </c>
      <c r="B2409" s="1" t="n">
        <v>45169</v>
      </c>
      <c r="C2409" s="1" t="n">
        <v>45740</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40102-2023</t>
        </is>
      </c>
      <c r="B2410" s="1" t="n">
        <v>45169</v>
      </c>
      <c r="C2410" s="1" t="n">
        <v>45740</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40110-2023</t>
        </is>
      </c>
      <c r="B2411" s="1" t="n">
        <v>45168</v>
      </c>
      <c r="C2411" s="1" t="n">
        <v>45740</v>
      </c>
      <c r="D2411" t="inlineStr">
        <is>
          <t>JÄMTLANDS LÄN</t>
        </is>
      </c>
      <c r="E2411" t="inlineStr">
        <is>
          <t>STRÖMSUND</t>
        </is>
      </c>
      <c r="F2411" t="inlineStr">
        <is>
          <t>SCA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40103-2023</t>
        </is>
      </c>
      <c r="B2412" s="1" t="n">
        <v>45169</v>
      </c>
      <c r="C2412" s="1" t="n">
        <v>45740</v>
      </c>
      <c r="D2412" t="inlineStr">
        <is>
          <t>JÄMTLANDS LÄN</t>
        </is>
      </c>
      <c r="E2412" t="inlineStr">
        <is>
          <t>STRÖMSUND</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40101-2023</t>
        </is>
      </c>
      <c r="B2413" s="1" t="n">
        <v>45169</v>
      </c>
      <c r="C2413" s="1" t="n">
        <v>45740</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40105-2023</t>
        </is>
      </c>
      <c r="B2414" s="1" t="n">
        <v>45169</v>
      </c>
      <c r="C2414" s="1" t="n">
        <v>45740</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40109-2023</t>
        </is>
      </c>
      <c r="B2415" s="1" t="n">
        <v>45168</v>
      </c>
      <c r="C2415" s="1" t="n">
        <v>45740</v>
      </c>
      <c r="D2415" t="inlineStr">
        <is>
          <t>JÄMTLANDS LÄN</t>
        </is>
      </c>
      <c r="E2415" t="inlineStr">
        <is>
          <t>STRÖMSUND</t>
        </is>
      </c>
      <c r="F2415" t="inlineStr">
        <is>
          <t>SCA</t>
        </is>
      </c>
      <c r="G2415" t="n">
        <v>55.1</v>
      </c>
      <c r="H2415" t="n">
        <v>0</v>
      </c>
      <c r="I2415" t="n">
        <v>0</v>
      </c>
      <c r="J2415" t="n">
        <v>0</v>
      </c>
      <c r="K2415" t="n">
        <v>0</v>
      </c>
      <c r="L2415" t="n">
        <v>0</v>
      </c>
      <c r="M2415" t="n">
        <v>0</v>
      </c>
      <c r="N2415" t="n">
        <v>0</v>
      </c>
      <c r="O2415" t="n">
        <v>0</v>
      </c>
      <c r="P2415" t="n">
        <v>0</v>
      </c>
      <c r="Q2415" t="n">
        <v>0</v>
      </c>
      <c r="R2415" s="2" t="inlineStr"/>
    </row>
    <row r="2416" ht="15" customHeight="1">
      <c r="A2416" t="inlineStr">
        <is>
          <t>A 40395-2023</t>
        </is>
      </c>
      <c r="B2416" s="1" t="n">
        <v>45170</v>
      </c>
      <c r="C2416" s="1" t="n">
        <v>45740</v>
      </c>
      <c r="D2416" t="inlineStr">
        <is>
          <t>JÄMTLANDS LÄN</t>
        </is>
      </c>
      <c r="E2416" t="inlineStr">
        <is>
          <t>STRÖMSUND</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40399-2023</t>
        </is>
      </c>
      <c r="B2417" s="1" t="n">
        <v>45170</v>
      </c>
      <c r="C2417" s="1" t="n">
        <v>45740</v>
      </c>
      <c r="D2417" t="inlineStr">
        <is>
          <t>JÄMTLANDS LÄN</t>
        </is>
      </c>
      <c r="E2417" t="inlineStr">
        <is>
          <t>STRÖMSUND</t>
        </is>
      </c>
      <c r="F2417" t="inlineStr">
        <is>
          <t>SCA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40407-2023</t>
        </is>
      </c>
      <c r="B2418" s="1" t="n">
        <v>45170</v>
      </c>
      <c r="C2418" s="1" t="n">
        <v>45740</v>
      </c>
      <c r="D2418" t="inlineStr">
        <is>
          <t>JÄMTLANDS LÄN</t>
        </is>
      </c>
      <c r="E2418" t="inlineStr">
        <is>
          <t>STRÖMSUND</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40398-2023</t>
        </is>
      </c>
      <c r="B2419" s="1" t="n">
        <v>45170</v>
      </c>
      <c r="C2419" s="1" t="n">
        <v>45740</v>
      </c>
      <c r="D2419" t="inlineStr">
        <is>
          <t>JÄMTLANDS LÄN</t>
        </is>
      </c>
      <c r="E2419" t="inlineStr">
        <is>
          <t>STRÖMSUND</t>
        </is>
      </c>
      <c r="F2419" t="inlineStr">
        <is>
          <t>SCA</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40440-2023</t>
        </is>
      </c>
      <c r="B2420" s="1" t="n">
        <v>45170</v>
      </c>
      <c r="C2420" s="1" t="n">
        <v>45740</v>
      </c>
      <c r="D2420" t="inlineStr">
        <is>
          <t>JÄMTLANDS LÄN</t>
        </is>
      </c>
      <c r="E2420" t="inlineStr">
        <is>
          <t>STRÖMSUND</t>
        </is>
      </c>
      <c r="F2420" t="inlineStr">
        <is>
          <t>SCA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40427-2023</t>
        </is>
      </c>
      <c r="B2421" s="1" t="n">
        <v>45170</v>
      </c>
      <c r="C2421" s="1" t="n">
        <v>45740</v>
      </c>
      <c r="D2421" t="inlineStr">
        <is>
          <t>JÄMTLANDS LÄN</t>
        </is>
      </c>
      <c r="E2421" t="inlineStr">
        <is>
          <t>STRÖMSUND</t>
        </is>
      </c>
      <c r="F2421" t="inlineStr">
        <is>
          <t>SCA</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40402-2023</t>
        </is>
      </c>
      <c r="B2422" s="1" t="n">
        <v>45170</v>
      </c>
      <c r="C2422" s="1" t="n">
        <v>45740</v>
      </c>
      <c r="D2422" t="inlineStr">
        <is>
          <t>JÄMTLANDS LÄN</t>
        </is>
      </c>
      <c r="E2422" t="inlineStr">
        <is>
          <t>STRÖMSUND</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40396-2023</t>
        </is>
      </c>
      <c r="B2423" s="1" t="n">
        <v>45170</v>
      </c>
      <c r="C2423" s="1" t="n">
        <v>45740</v>
      </c>
      <c r="D2423" t="inlineStr">
        <is>
          <t>JÄMTLANDS LÄN</t>
        </is>
      </c>
      <c r="E2423" t="inlineStr">
        <is>
          <t>STRÖMSUND</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40439-2023</t>
        </is>
      </c>
      <c r="B2424" s="1" t="n">
        <v>45169</v>
      </c>
      <c r="C2424" s="1" t="n">
        <v>45740</v>
      </c>
      <c r="D2424" t="inlineStr">
        <is>
          <t>JÄMTLANDS LÄN</t>
        </is>
      </c>
      <c r="E2424" t="inlineStr">
        <is>
          <t>STRÖMSUND</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40408-2023</t>
        </is>
      </c>
      <c r="B2425" s="1" t="n">
        <v>45170</v>
      </c>
      <c r="C2425" s="1" t="n">
        <v>45740</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40424-2023</t>
        </is>
      </c>
      <c r="B2426" s="1" t="n">
        <v>45170</v>
      </c>
      <c r="C2426" s="1" t="n">
        <v>45740</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40441-2023</t>
        </is>
      </c>
      <c r="B2427" s="1" t="n">
        <v>45169</v>
      </c>
      <c r="C2427" s="1" t="n">
        <v>45740</v>
      </c>
      <c r="D2427" t="inlineStr">
        <is>
          <t>JÄMTLANDS LÄN</t>
        </is>
      </c>
      <c r="E2427" t="inlineStr">
        <is>
          <t>STRÖMSUND</t>
        </is>
      </c>
      <c r="F2427" t="inlineStr">
        <is>
          <t>SCA</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40625-2023</t>
        </is>
      </c>
      <c r="B2428" s="1" t="n">
        <v>45169</v>
      </c>
      <c r="C2428" s="1" t="n">
        <v>45740</v>
      </c>
      <c r="D2428" t="inlineStr">
        <is>
          <t>JÄMTLANDS LÄN</t>
        </is>
      </c>
      <c r="E2428" t="inlineStr">
        <is>
          <t>STRÖMSUND</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41150-2023</t>
        </is>
      </c>
      <c r="B2429" s="1" t="n">
        <v>45174</v>
      </c>
      <c r="C2429" s="1" t="n">
        <v>45740</v>
      </c>
      <c r="D2429" t="inlineStr">
        <is>
          <t>JÄMTLANDS LÄN</t>
        </is>
      </c>
      <c r="E2429" t="inlineStr">
        <is>
          <t>STRÖMSUND</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41536-2023</t>
        </is>
      </c>
      <c r="B2430" s="1" t="n">
        <v>45173</v>
      </c>
      <c r="C2430" s="1" t="n">
        <v>45740</v>
      </c>
      <c r="D2430" t="inlineStr">
        <is>
          <t>JÄMTLANDS LÄN</t>
        </is>
      </c>
      <c r="E2430" t="inlineStr">
        <is>
          <t>STRÖMSUND</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41268-2023</t>
        </is>
      </c>
      <c r="B2431" s="1" t="n">
        <v>45174</v>
      </c>
      <c r="C2431" s="1" t="n">
        <v>45740</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41970-2023</t>
        </is>
      </c>
      <c r="B2432" s="1" t="n">
        <v>45174</v>
      </c>
      <c r="C2432" s="1" t="n">
        <v>45740</v>
      </c>
      <c r="D2432" t="inlineStr">
        <is>
          <t>JÄMTLANDS LÄN</t>
        </is>
      </c>
      <c r="E2432" t="inlineStr">
        <is>
          <t>STRÖMSUND</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41978-2023</t>
        </is>
      </c>
      <c r="B2433" s="1" t="n">
        <v>45174</v>
      </c>
      <c r="C2433" s="1" t="n">
        <v>45740</v>
      </c>
      <c r="D2433" t="inlineStr">
        <is>
          <t>JÄMTLANDS LÄN</t>
        </is>
      </c>
      <c r="E2433" t="inlineStr">
        <is>
          <t>STRÖMSUND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41644-2023</t>
        </is>
      </c>
      <c r="B2434" s="1" t="n">
        <v>45175</v>
      </c>
      <c r="C2434" s="1" t="n">
        <v>45740</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41902-2023</t>
        </is>
      </c>
      <c r="B2435" s="1" t="n">
        <v>45176</v>
      </c>
      <c r="C2435" s="1" t="n">
        <v>45740</v>
      </c>
      <c r="D2435" t="inlineStr">
        <is>
          <t>JÄMTLANDS LÄN</t>
        </is>
      </c>
      <c r="E2435" t="inlineStr">
        <is>
          <t>STRÖMSUND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41917-2023</t>
        </is>
      </c>
      <c r="B2436" s="1" t="n">
        <v>45177</v>
      </c>
      <c r="C2436" s="1" t="n">
        <v>45740</v>
      </c>
      <c r="D2436" t="inlineStr">
        <is>
          <t>JÄMTLANDS LÄN</t>
        </is>
      </c>
      <c r="E2436" t="inlineStr">
        <is>
          <t>STRÖMSUND</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41921-2023</t>
        </is>
      </c>
      <c r="B2437" s="1" t="n">
        <v>45177</v>
      </c>
      <c r="C2437" s="1" t="n">
        <v>45740</v>
      </c>
      <c r="D2437" t="inlineStr">
        <is>
          <t>JÄMTLANDS LÄN</t>
        </is>
      </c>
      <c r="E2437" t="inlineStr">
        <is>
          <t>STRÖMSUND</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41903-2023</t>
        </is>
      </c>
      <c r="B2438" s="1" t="n">
        <v>45176</v>
      </c>
      <c r="C2438" s="1" t="n">
        <v>45740</v>
      </c>
      <c r="D2438" t="inlineStr">
        <is>
          <t>JÄMTLANDS LÄN</t>
        </is>
      </c>
      <c r="E2438" t="inlineStr">
        <is>
          <t>STRÖMSUND</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41916-2023</t>
        </is>
      </c>
      <c r="B2439" s="1" t="n">
        <v>45177</v>
      </c>
      <c r="C2439" s="1" t="n">
        <v>45740</v>
      </c>
      <c r="D2439" t="inlineStr">
        <is>
          <t>JÄMTLANDS LÄN</t>
        </is>
      </c>
      <c r="E2439" t="inlineStr">
        <is>
          <t>STRÖMSUND</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41939-2023</t>
        </is>
      </c>
      <c r="B2440" s="1" t="n">
        <v>45177</v>
      </c>
      <c r="C2440" s="1" t="n">
        <v>45740</v>
      </c>
      <c r="D2440" t="inlineStr">
        <is>
          <t>JÄMTLANDS LÄN</t>
        </is>
      </c>
      <c r="E2440" t="inlineStr">
        <is>
          <t>STRÖMSUND</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41940-2023</t>
        </is>
      </c>
      <c r="B2441" s="1" t="n">
        <v>45176</v>
      </c>
      <c r="C2441" s="1" t="n">
        <v>45740</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42284-2023</t>
        </is>
      </c>
      <c r="B2442" s="1" t="n">
        <v>45180</v>
      </c>
      <c r="C2442" s="1" t="n">
        <v>45740</v>
      </c>
      <c r="D2442" t="inlineStr">
        <is>
          <t>JÄMTLANDS LÄN</t>
        </is>
      </c>
      <c r="E2442" t="inlineStr">
        <is>
          <t>STRÖMSUND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42502-2023</t>
        </is>
      </c>
      <c r="B2443" s="1" t="n">
        <v>45181</v>
      </c>
      <c r="C2443" s="1" t="n">
        <v>45740</v>
      </c>
      <c r="D2443" t="inlineStr">
        <is>
          <t>JÄMTLANDS LÄN</t>
        </is>
      </c>
      <c r="E2443" t="inlineStr">
        <is>
          <t>STRÖMSUND</t>
        </is>
      </c>
      <c r="F2443" t="inlineStr">
        <is>
          <t>SCA</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42287-2023</t>
        </is>
      </c>
      <c r="B2444" s="1" t="n">
        <v>45180</v>
      </c>
      <c r="C2444" s="1" t="n">
        <v>45740</v>
      </c>
      <c r="D2444" t="inlineStr">
        <is>
          <t>JÄMTLANDS LÄN</t>
        </is>
      </c>
      <c r="E2444" t="inlineStr">
        <is>
          <t>STRÖMSUND</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42291-2023</t>
        </is>
      </c>
      <c r="B2445" s="1" t="n">
        <v>45180</v>
      </c>
      <c r="C2445" s="1" t="n">
        <v>45740</v>
      </c>
      <c r="D2445" t="inlineStr">
        <is>
          <t>JÄMTLANDS LÄN</t>
        </is>
      </c>
      <c r="E2445" t="inlineStr">
        <is>
          <t>STRÖMSUND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42428-2023</t>
        </is>
      </c>
      <c r="B2446" s="1" t="n">
        <v>45180</v>
      </c>
      <c r="C2446" s="1" t="n">
        <v>45740</v>
      </c>
      <c r="D2446" t="inlineStr">
        <is>
          <t>JÄMTLANDS LÄN</t>
        </is>
      </c>
      <c r="E2446" t="inlineStr">
        <is>
          <t>STRÖMSUND</t>
        </is>
      </c>
      <c r="F2446" t="inlineStr">
        <is>
          <t>Holmen skog AB</t>
        </is>
      </c>
      <c r="G2446" t="n">
        <v>15.6</v>
      </c>
      <c r="H2446" t="n">
        <v>0</v>
      </c>
      <c r="I2446" t="n">
        <v>0</v>
      </c>
      <c r="J2446" t="n">
        <v>0</v>
      </c>
      <c r="K2446" t="n">
        <v>0</v>
      </c>
      <c r="L2446" t="n">
        <v>0</v>
      </c>
      <c r="M2446" t="n">
        <v>0</v>
      </c>
      <c r="N2446" t="n">
        <v>0</v>
      </c>
      <c r="O2446" t="n">
        <v>0</v>
      </c>
      <c r="P2446" t="n">
        <v>0</v>
      </c>
      <c r="Q2446" t="n">
        <v>0</v>
      </c>
      <c r="R2446" s="2" t="inlineStr"/>
    </row>
    <row r="2447" ht="15" customHeight="1">
      <c r="A2447" t="inlineStr">
        <is>
          <t>A 42448-2023</t>
        </is>
      </c>
      <c r="B2447" s="1" t="n">
        <v>45180</v>
      </c>
      <c r="C2447" s="1" t="n">
        <v>45740</v>
      </c>
      <c r="D2447" t="inlineStr">
        <is>
          <t>JÄMTLANDS LÄN</t>
        </is>
      </c>
      <c r="E2447" t="inlineStr">
        <is>
          <t>STRÖMSUND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43565-2023</t>
        </is>
      </c>
      <c r="B2448" s="1" t="n">
        <v>45181</v>
      </c>
      <c r="C2448" s="1" t="n">
        <v>45740</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43558-2023</t>
        </is>
      </c>
      <c r="B2449" s="1" t="n">
        <v>45181</v>
      </c>
      <c r="C2449" s="1" t="n">
        <v>45740</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42966-2023</t>
        </is>
      </c>
      <c r="B2450" s="1" t="n">
        <v>45182</v>
      </c>
      <c r="C2450" s="1" t="n">
        <v>45740</v>
      </c>
      <c r="D2450" t="inlineStr">
        <is>
          <t>JÄMTLANDS LÄN</t>
        </is>
      </c>
      <c r="E2450" t="inlineStr">
        <is>
          <t>STRÖMSUND</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42964-2023</t>
        </is>
      </c>
      <c r="B2451" s="1" t="n">
        <v>45182</v>
      </c>
      <c r="C2451" s="1" t="n">
        <v>45740</v>
      </c>
      <c r="D2451" t="inlineStr">
        <is>
          <t>JÄMTLANDS LÄN</t>
        </is>
      </c>
      <c r="E2451" t="inlineStr">
        <is>
          <t>STRÖMSUND</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43112-2023</t>
        </is>
      </c>
      <c r="B2452" s="1" t="n">
        <v>45183</v>
      </c>
      <c r="C2452" s="1" t="n">
        <v>45740</v>
      </c>
      <c r="D2452" t="inlineStr">
        <is>
          <t>JÄMTLANDS LÄN</t>
        </is>
      </c>
      <c r="E2452" t="inlineStr">
        <is>
          <t>STRÖMSUND</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43421-2023</t>
        </is>
      </c>
      <c r="B2453" s="1" t="n">
        <v>45184</v>
      </c>
      <c r="C2453" s="1" t="n">
        <v>45740</v>
      </c>
      <c r="D2453" t="inlineStr">
        <is>
          <t>JÄMTLANDS LÄN</t>
        </is>
      </c>
      <c r="E2453" t="inlineStr">
        <is>
          <t>STRÖMSUND</t>
        </is>
      </c>
      <c r="F2453" t="inlineStr">
        <is>
          <t>SCA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44642-2023</t>
        </is>
      </c>
      <c r="B2454" s="1" t="n">
        <v>45184</v>
      </c>
      <c r="C2454" s="1" t="n">
        <v>45740</v>
      </c>
      <c r="D2454" t="inlineStr">
        <is>
          <t>JÄMTLANDS LÄN</t>
        </is>
      </c>
      <c r="E2454" t="inlineStr">
        <is>
          <t>STRÖMSUND</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43947-2023</t>
        </is>
      </c>
      <c r="B2455" s="1" t="n">
        <v>45188</v>
      </c>
      <c r="C2455" s="1" t="n">
        <v>45740</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43955-2023</t>
        </is>
      </c>
      <c r="B2456" s="1" t="n">
        <v>45188</v>
      </c>
      <c r="C2456" s="1" t="n">
        <v>45740</v>
      </c>
      <c r="D2456" t="inlineStr">
        <is>
          <t>JÄMTLANDS LÄN</t>
        </is>
      </c>
      <c r="E2456" t="inlineStr">
        <is>
          <t>STRÖMSUND</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43953-2023</t>
        </is>
      </c>
      <c r="B2457" s="1" t="n">
        <v>45187</v>
      </c>
      <c r="C2457" s="1" t="n">
        <v>45740</v>
      </c>
      <c r="D2457" t="inlineStr">
        <is>
          <t>JÄMTLANDS LÄN</t>
        </is>
      </c>
      <c r="E2457" t="inlineStr">
        <is>
          <t>STRÖMSUND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43956-2023</t>
        </is>
      </c>
      <c r="B2458" s="1" t="n">
        <v>45188</v>
      </c>
      <c r="C2458" s="1" t="n">
        <v>45740</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43976-2023</t>
        </is>
      </c>
      <c r="B2459" s="1" t="n">
        <v>45187</v>
      </c>
      <c r="C2459" s="1" t="n">
        <v>45740</v>
      </c>
      <c r="D2459" t="inlineStr">
        <is>
          <t>JÄMTLANDS LÄN</t>
        </is>
      </c>
      <c r="E2459" t="inlineStr">
        <is>
          <t>STRÖMSUND</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44385-2023</t>
        </is>
      </c>
      <c r="B2460" s="1" t="n">
        <v>45189</v>
      </c>
      <c r="C2460" s="1" t="n">
        <v>45740</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44384-2023</t>
        </is>
      </c>
      <c r="B2461" s="1" t="n">
        <v>45189</v>
      </c>
      <c r="C2461" s="1" t="n">
        <v>45740</v>
      </c>
      <c r="D2461" t="inlineStr">
        <is>
          <t>JÄMTLANDS LÄN</t>
        </is>
      </c>
      <c r="E2461" t="inlineStr">
        <is>
          <t>STRÖMSUND</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44411-2023</t>
        </is>
      </c>
      <c r="B2462" s="1" t="n">
        <v>45189</v>
      </c>
      <c r="C2462" s="1" t="n">
        <v>45740</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44390-2023</t>
        </is>
      </c>
      <c r="B2463" s="1" t="n">
        <v>45189</v>
      </c>
      <c r="C2463" s="1" t="n">
        <v>45740</v>
      </c>
      <c r="D2463" t="inlineStr">
        <is>
          <t>JÄMTLANDS LÄN</t>
        </is>
      </c>
      <c r="E2463" t="inlineStr">
        <is>
          <t>STRÖMSUND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44402-2023</t>
        </is>
      </c>
      <c r="B2464" s="1" t="n">
        <v>45188</v>
      </c>
      <c r="C2464" s="1" t="n">
        <v>45740</v>
      </c>
      <c r="D2464" t="inlineStr">
        <is>
          <t>JÄMTLANDS LÄN</t>
        </is>
      </c>
      <c r="E2464" t="inlineStr">
        <is>
          <t>STRÖMSUND</t>
        </is>
      </c>
      <c r="F2464" t="inlineStr">
        <is>
          <t>SCA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45928-2023</t>
        </is>
      </c>
      <c r="B2465" s="1" t="n">
        <v>45189</v>
      </c>
      <c r="C2465" s="1" t="n">
        <v>45740</v>
      </c>
      <c r="D2465" t="inlineStr">
        <is>
          <t>JÄMTLANDS LÄN</t>
        </is>
      </c>
      <c r="E2465" t="inlineStr">
        <is>
          <t>STRÖMSUND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44995-2023</t>
        </is>
      </c>
      <c r="B2466" s="1" t="n">
        <v>45191</v>
      </c>
      <c r="C2466" s="1" t="n">
        <v>45740</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44813-2023</t>
        </is>
      </c>
      <c r="B2467" s="1" t="n">
        <v>45190</v>
      </c>
      <c r="C2467" s="1" t="n">
        <v>45740</v>
      </c>
      <c r="D2467" t="inlineStr">
        <is>
          <t>JÄMTLANDS LÄN</t>
        </is>
      </c>
      <c r="E2467" t="inlineStr">
        <is>
          <t>STRÖMSUND</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44969-2023</t>
        </is>
      </c>
      <c r="B2468" s="1" t="n">
        <v>45191</v>
      </c>
      <c r="C2468" s="1" t="n">
        <v>45740</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45091-2023</t>
        </is>
      </c>
      <c r="B2469" s="1" t="n">
        <v>45191</v>
      </c>
      <c r="C2469" s="1" t="n">
        <v>45740</v>
      </c>
      <c r="D2469" t="inlineStr">
        <is>
          <t>JÄMTLANDS LÄN</t>
        </is>
      </c>
      <c r="E2469" t="inlineStr">
        <is>
          <t>STRÖMSUND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45329-2023</t>
        </is>
      </c>
      <c r="B2470" s="1" t="n">
        <v>45192</v>
      </c>
      <c r="C2470" s="1" t="n">
        <v>45740</v>
      </c>
      <c r="D2470" t="inlineStr">
        <is>
          <t>JÄMTLANDS LÄN</t>
        </is>
      </c>
      <c r="E2470" t="inlineStr">
        <is>
          <t>STRÖMSUND</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45341-2023</t>
        </is>
      </c>
      <c r="B2471" s="1" t="n">
        <v>45192</v>
      </c>
      <c r="C2471" s="1" t="n">
        <v>45740</v>
      </c>
      <c r="D2471" t="inlineStr">
        <is>
          <t>JÄMTLANDS LÄN</t>
        </is>
      </c>
      <c r="E2471" t="inlineStr">
        <is>
          <t>STRÖMSUND</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45340-2023</t>
        </is>
      </c>
      <c r="B2472" s="1" t="n">
        <v>45192</v>
      </c>
      <c r="C2472" s="1" t="n">
        <v>45740</v>
      </c>
      <c r="D2472" t="inlineStr">
        <is>
          <t>JÄMTLANDS LÄN</t>
        </is>
      </c>
      <c r="E2472" t="inlineStr">
        <is>
          <t>STRÖMSUND</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45315-2023</t>
        </is>
      </c>
      <c r="B2473" s="1" t="n">
        <v>45191</v>
      </c>
      <c r="C2473" s="1" t="n">
        <v>45740</v>
      </c>
      <c r="D2473" t="inlineStr">
        <is>
          <t>JÄMTLANDS LÄN</t>
        </is>
      </c>
      <c r="E2473" t="inlineStr">
        <is>
          <t>STRÖMSUND</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45339-2023</t>
        </is>
      </c>
      <c r="B2474" s="1" t="n">
        <v>45192</v>
      </c>
      <c r="C2474" s="1" t="n">
        <v>45740</v>
      </c>
      <c r="D2474" t="inlineStr">
        <is>
          <t>JÄMTLANDS LÄN</t>
        </is>
      </c>
      <c r="E2474" t="inlineStr">
        <is>
          <t>STRÖMSUND</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45366-2023</t>
        </is>
      </c>
      <c r="B2475" s="1" t="n">
        <v>45192</v>
      </c>
      <c r="C2475" s="1" t="n">
        <v>45740</v>
      </c>
      <c r="D2475" t="inlineStr">
        <is>
          <t>JÄMTLANDS LÄN</t>
        </is>
      </c>
      <c r="E2475" t="inlineStr">
        <is>
          <t>STRÖMSUND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45497-2023</t>
        </is>
      </c>
      <c r="B2476" s="1" t="n">
        <v>45194</v>
      </c>
      <c r="C2476" s="1" t="n">
        <v>45740</v>
      </c>
      <c r="D2476" t="inlineStr">
        <is>
          <t>JÄMTLANDS LÄN</t>
        </is>
      </c>
      <c r="E2476" t="inlineStr">
        <is>
          <t>STRÖMSUND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45566-2023</t>
        </is>
      </c>
      <c r="B2477" s="1" t="n">
        <v>45194</v>
      </c>
      <c r="C2477" s="1" t="n">
        <v>45740</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45506-2023</t>
        </is>
      </c>
      <c r="B2478" s="1" t="n">
        <v>45194</v>
      </c>
      <c r="C2478" s="1" t="n">
        <v>45740</v>
      </c>
      <c r="D2478" t="inlineStr">
        <is>
          <t>JÄMTLANDS LÄN</t>
        </is>
      </c>
      <c r="E2478" t="inlineStr">
        <is>
          <t>STRÖMSUND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45584-2023</t>
        </is>
      </c>
      <c r="B2479" s="1" t="n">
        <v>45194</v>
      </c>
      <c r="C2479" s="1" t="n">
        <v>45740</v>
      </c>
      <c r="D2479" t="inlineStr">
        <is>
          <t>JÄMTLANDS LÄN</t>
        </is>
      </c>
      <c r="E2479" t="inlineStr">
        <is>
          <t>STRÖMSUND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45502-2023</t>
        </is>
      </c>
      <c r="B2480" s="1" t="n">
        <v>45194</v>
      </c>
      <c r="C2480" s="1" t="n">
        <v>45740</v>
      </c>
      <c r="D2480" t="inlineStr">
        <is>
          <t>JÄMTLANDS LÄN</t>
        </is>
      </c>
      <c r="E2480" t="inlineStr">
        <is>
          <t>STRÖMSUND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45809-2023</t>
        </is>
      </c>
      <c r="B2481" s="1" t="n">
        <v>45195</v>
      </c>
      <c r="C2481" s="1" t="n">
        <v>45740</v>
      </c>
      <c r="D2481" t="inlineStr">
        <is>
          <t>JÄMTLANDS LÄN</t>
        </is>
      </c>
      <c r="E2481" t="inlineStr">
        <is>
          <t>STRÖMSUND</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45938-2023</t>
        </is>
      </c>
      <c r="B2482" s="1" t="n">
        <v>45196</v>
      </c>
      <c r="C2482" s="1" t="n">
        <v>45740</v>
      </c>
      <c r="D2482" t="inlineStr">
        <is>
          <t>JÄMTLANDS LÄN</t>
        </is>
      </c>
      <c r="E2482" t="inlineStr">
        <is>
          <t>STRÖMSUND</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46788-2023</t>
        </is>
      </c>
      <c r="B2483" s="1" t="n">
        <v>45195</v>
      </c>
      <c r="C2483" s="1" t="n">
        <v>45740</v>
      </c>
      <c r="D2483" t="inlineStr">
        <is>
          <t>JÄMTLANDS LÄN</t>
        </is>
      </c>
      <c r="E2483" t="inlineStr">
        <is>
          <t>STRÖMSUND</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45975-2023</t>
        </is>
      </c>
      <c r="B2484" s="1" t="n">
        <v>45196</v>
      </c>
      <c r="C2484" s="1" t="n">
        <v>45740</v>
      </c>
      <c r="D2484" t="inlineStr">
        <is>
          <t>JÄMTLANDS LÄN</t>
        </is>
      </c>
      <c r="E2484" t="inlineStr">
        <is>
          <t>STRÖMSUND</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46789-2023</t>
        </is>
      </c>
      <c r="B2485" s="1" t="n">
        <v>45195</v>
      </c>
      <c r="C2485" s="1" t="n">
        <v>45740</v>
      </c>
      <c r="D2485" t="inlineStr">
        <is>
          <t>JÄMTLANDS LÄN</t>
        </is>
      </c>
      <c r="E2485" t="inlineStr">
        <is>
          <t>STRÖMSUND</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46776-2023</t>
        </is>
      </c>
      <c r="B2486" s="1" t="n">
        <v>45195</v>
      </c>
      <c r="C2486" s="1" t="n">
        <v>45740</v>
      </c>
      <c r="D2486" t="inlineStr">
        <is>
          <t>JÄMTLANDS LÄN</t>
        </is>
      </c>
      <c r="E2486" t="inlineStr">
        <is>
          <t>STRÖMSUND</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46794-2023</t>
        </is>
      </c>
      <c r="B2487" s="1" t="n">
        <v>45195</v>
      </c>
      <c r="C2487" s="1" t="n">
        <v>45740</v>
      </c>
      <c r="D2487" t="inlineStr">
        <is>
          <t>JÄMTLANDS LÄN</t>
        </is>
      </c>
      <c r="E2487" t="inlineStr">
        <is>
          <t>STRÖMSUND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46793-2023</t>
        </is>
      </c>
      <c r="B2488" s="1" t="n">
        <v>45195</v>
      </c>
      <c r="C2488" s="1" t="n">
        <v>45740</v>
      </c>
      <c r="D2488" t="inlineStr">
        <is>
          <t>JÄMTLANDS LÄN</t>
        </is>
      </c>
      <c r="E2488" t="inlineStr">
        <is>
          <t>STRÖMSUND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46258-2023</t>
        </is>
      </c>
      <c r="B2489" s="1" t="n">
        <v>45197</v>
      </c>
      <c r="C2489" s="1" t="n">
        <v>45740</v>
      </c>
      <c r="D2489" t="inlineStr">
        <is>
          <t>JÄMTLANDS LÄN</t>
        </is>
      </c>
      <c r="E2489" t="inlineStr">
        <is>
          <t>STRÖMSUND</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46265-2023</t>
        </is>
      </c>
      <c r="B2490" s="1" t="n">
        <v>45196</v>
      </c>
      <c r="C2490" s="1" t="n">
        <v>45740</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46259-2023</t>
        </is>
      </c>
      <c r="B2491" s="1" t="n">
        <v>45197</v>
      </c>
      <c r="C2491" s="1" t="n">
        <v>45740</v>
      </c>
      <c r="D2491" t="inlineStr">
        <is>
          <t>JÄMTLANDS LÄN</t>
        </is>
      </c>
      <c r="E2491" t="inlineStr">
        <is>
          <t>STRÖMSUND</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46365-2023</t>
        </is>
      </c>
      <c r="B2492" s="1" t="n">
        <v>45197</v>
      </c>
      <c r="C2492" s="1" t="n">
        <v>45740</v>
      </c>
      <c r="D2492" t="inlineStr">
        <is>
          <t>JÄMTLANDS LÄN</t>
        </is>
      </c>
      <c r="E2492" t="inlineStr">
        <is>
          <t>STRÖMSUND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46545-2023</t>
        </is>
      </c>
      <c r="B2493" s="1" t="n">
        <v>45198</v>
      </c>
      <c r="C2493" s="1" t="n">
        <v>45740</v>
      </c>
      <c r="D2493" t="inlineStr">
        <is>
          <t>JÄMTLANDS LÄN</t>
        </is>
      </c>
      <c r="E2493" t="inlineStr">
        <is>
          <t>STRÖMSUND</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46556-2023</t>
        </is>
      </c>
      <c r="B2494" s="1" t="n">
        <v>45198</v>
      </c>
      <c r="C2494" s="1" t="n">
        <v>45740</v>
      </c>
      <c r="D2494" t="inlineStr">
        <is>
          <t>JÄMTLANDS LÄN</t>
        </is>
      </c>
      <c r="E2494" t="inlineStr">
        <is>
          <t>STRÖMSUND</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46557-2023</t>
        </is>
      </c>
      <c r="B2495" s="1" t="n">
        <v>45197</v>
      </c>
      <c r="C2495" s="1" t="n">
        <v>45740</v>
      </c>
      <c r="D2495" t="inlineStr">
        <is>
          <t>JÄMTLANDS LÄN</t>
        </is>
      </c>
      <c r="E2495" t="inlineStr">
        <is>
          <t>STRÖMSUND</t>
        </is>
      </c>
      <c r="F2495" t="inlineStr">
        <is>
          <t>SCA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46807-2023</t>
        </is>
      </c>
      <c r="B2496" s="1" t="n">
        <v>45199</v>
      </c>
      <c r="C2496" s="1" t="n">
        <v>45740</v>
      </c>
      <c r="D2496" t="inlineStr">
        <is>
          <t>JÄMTLANDS LÄN</t>
        </is>
      </c>
      <c r="E2496" t="inlineStr">
        <is>
          <t>STRÖMSUND</t>
        </is>
      </c>
      <c r="F2496" t="inlineStr">
        <is>
          <t>SCA</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46811-2023</t>
        </is>
      </c>
      <c r="B2497" s="1" t="n">
        <v>45199</v>
      </c>
      <c r="C2497" s="1" t="n">
        <v>45740</v>
      </c>
      <c r="D2497" t="inlineStr">
        <is>
          <t>JÄMTLANDS LÄN</t>
        </is>
      </c>
      <c r="E2497" t="inlineStr">
        <is>
          <t>STRÖMSUND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46813-2023</t>
        </is>
      </c>
      <c r="B2498" s="1" t="n">
        <v>45199</v>
      </c>
      <c r="C2498" s="1" t="n">
        <v>45740</v>
      </c>
      <c r="D2498" t="inlineStr">
        <is>
          <t>JÄMTLANDS LÄN</t>
        </is>
      </c>
      <c r="E2498" t="inlineStr">
        <is>
          <t>STRÖMSUND</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46770-2023</t>
        </is>
      </c>
      <c r="B2499" s="1" t="n">
        <v>45198</v>
      </c>
      <c r="C2499" s="1" t="n">
        <v>45740</v>
      </c>
      <c r="D2499" t="inlineStr">
        <is>
          <t>JÄMTLANDS LÄN</t>
        </is>
      </c>
      <c r="E2499" t="inlineStr">
        <is>
          <t>STRÖMSUND</t>
        </is>
      </c>
      <c r="F2499" t="inlineStr">
        <is>
          <t>Sveaskog</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46774-2023</t>
        </is>
      </c>
      <c r="B2500" s="1" t="n">
        <v>45198</v>
      </c>
      <c r="C2500" s="1" t="n">
        <v>45740</v>
      </c>
      <c r="D2500" t="inlineStr">
        <is>
          <t>JÄMTLANDS LÄN</t>
        </is>
      </c>
      <c r="E2500" t="inlineStr">
        <is>
          <t>STRÖMSUND</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47151-2023</t>
        </is>
      </c>
      <c r="B2501" s="1" t="n">
        <v>45201</v>
      </c>
      <c r="C2501" s="1" t="n">
        <v>45740</v>
      </c>
      <c r="D2501" t="inlineStr">
        <is>
          <t>JÄMTLANDS LÄN</t>
        </is>
      </c>
      <c r="E2501" t="inlineStr">
        <is>
          <t>STRÖMSUND</t>
        </is>
      </c>
      <c r="F2501" t="inlineStr">
        <is>
          <t>Holmen skog AB</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47178-2023</t>
        </is>
      </c>
      <c r="B2502" s="1" t="n">
        <v>45201</v>
      </c>
      <c r="C2502" s="1" t="n">
        <v>45740</v>
      </c>
      <c r="D2502" t="inlineStr">
        <is>
          <t>JÄMTLANDS LÄN</t>
        </is>
      </c>
      <c r="E2502" t="inlineStr">
        <is>
          <t>STRÖMSUND</t>
        </is>
      </c>
      <c r="F2502" t="inlineStr">
        <is>
          <t>SCA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47182-2023</t>
        </is>
      </c>
      <c r="B2503" s="1" t="n">
        <v>45202</v>
      </c>
      <c r="C2503" s="1" t="n">
        <v>45740</v>
      </c>
      <c r="D2503" t="inlineStr">
        <is>
          <t>JÄMTLANDS LÄN</t>
        </is>
      </c>
      <c r="E2503" t="inlineStr">
        <is>
          <t>STRÖMSUND</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47116-2023</t>
        </is>
      </c>
      <c r="B2504" s="1" t="n">
        <v>45201</v>
      </c>
      <c r="C2504" s="1" t="n">
        <v>45740</v>
      </c>
      <c r="D2504" t="inlineStr">
        <is>
          <t>JÄMTLANDS LÄN</t>
        </is>
      </c>
      <c r="E2504" t="inlineStr">
        <is>
          <t>STRÖMSUND</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48328-2023</t>
        </is>
      </c>
      <c r="B2505" s="1" t="n">
        <v>45201</v>
      </c>
      <c r="C2505" s="1" t="n">
        <v>45740</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47491-2023</t>
        </is>
      </c>
      <c r="B2506" s="1" t="n">
        <v>45203</v>
      </c>
      <c r="C2506" s="1" t="n">
        <v>45740</v>
      </c>
      <c r="D2506" t="inlineStr">
        <is>
          <t>JÄMTLANDS LÄN</t>
        </is>
      </c>
      <c r="E2506" t="inlineStr">
        <is>
          <t>STRÖMSUND</t>
        </is>
      </c>
      <c r="F2506" t="inlineStr">
        <is>
          <t>SCA</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47843-2023</t>
        </is>
      </c>
      <c r="B2507" s="1" t="n">
        <v>45204</v>
      </c>
      <c r="C2507" s="1" t="n">
        <v>45740</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48038-2023</t>
        </is>
      </c>
      <c r="B2508" s="1" t="n">
        <v>45204</v>
      </c>
      <c r="C2508" s="1" t="n">
        <v>45740</v>
      </c>
      <c r="D2508" t="inlineStr">
        <is>
          <t>JÄMTLANDS LÄN</t>
        </is>
      </c>
      <c r="E2508" t="inlineStr">
        <is>
          <t>STRÖMSUND</t>
        </is>
      </c>
      <c r="F2508" t="inlineStr">
        <is>
          <t>Holmen skog AB</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48042-2023</t>
        </is>
      </c>
      <c r="B2509" s="1" t="n">
        <v>45204</v>
      </c>
      <c r="C2509" s="1" t="n">
        <v>45740</v>
      </c>
      <c r="D2509" t="inlineStr">
        <is>
          <t>JÄMTLANDS LÄN</t>
        </is>
      </c>
      <c r="E2509" t="inlineStr">
        <is>
          <t>STRÖMSUND</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48071-2023</t>
        </is>
      </c>
      <c r="B2510" s="1" t="n">
        <v>45205</v>
      </c>
      <c r="C2510" s="1" t="n">
        <v>45740</v>
      </c>
      <c r="D2510" t="inlineStr">
        <is>
          <t>JÄMTLANDS LÄN</t>
        </is>
      </c>
      <c r="E2510" t="inlineStr">
        <is>
          <t>STRÖMSUND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48070-2023</t>
        </is>
      </c>
      <c r="B2511" s="1" t="n">
        <v>45204</v>
      </c>
      <c r="C2511" s="1" t="n">
        <v>45740</v>
      </c>
      <c r="D2511" t="inlineStr">
        <is>
          <t>JÄMTLANDS LÄN</t>
        </is>
      </c>
      <c r="E2511" t="inlineStr">
        <is>
          <t>STRÖMSUND</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48982-2023</t>
        </is>
      </c>
      <c r="B2512" s="1" t="n">
        <v>45204</v>
      </c>
      <c r="C2512" s="1" t="n">
        <v>45740</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48994-2023</t>
        </is>
      </c>
      <c r="B2513" s="1" t="n">
        <v>45204</v>
      </c>
      <c r="C2513" s="1" t="n">
        <v>45740</v>
      </c>
      <c r="D2513" t="inlineStr">
        <is>
          <t>JÄMTLANDS LÄN</t>
        </is>
      </c>
      <c r="E2513" t="inlineStr">
        <is>
          <t>STRÖMSUND</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49008-2023</t>
        </is>
      </c>
      <c r="B2514" s="1" t="n">
        <v>45204</v>
      </c>
      <c r="C2514" s="1" t="n">
        <v>45740</v>
      </c>
      <c r="D2514" t="inlineStr">
        <is>
          <t>JÄMTLANDS LÄN</t>
        </is>
      </c>
      <c r="E2514" t="inlineStr">
        <is>
          <t>STRÖMSUND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48976-2023</t>
        </is>
      </c>
      <c r="B2515" s="1" t="n">
        <v>45204</v>
      </c>
      <c r="C2515" s="1" t="n">
        <v>45740</v>
      </c>
      <c r="D2515" t="inlineStr">
        <is>
          <t>JÄMTLANDS LÄN</t>
        </is>
      </c>
      <c r="E2515" t="inlineStr">
        <is>
          <t>STRÖMSUND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48991-2023</t>
        </is>
      </c>
      <c r="B2516" s="1" t="n">
        <v>45204</v>
      </c>
      <c r="C2516" s="1" t="n">
        <v>45740</v>
      </c>
      <c r="D2516" t="inlineStr">
        <is>
          <t>JÄMTLANDS LÄN</t>
        </is>
      </c>
      <c r="E2516" t="inlineStr">
        <is>
          <t>STRÖMSUND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48988-2023</t>
        </is>
      </c>
      <c r="B2517" s="1" t="n">
        <v>45204</v>
      </c>
      <c r="C2517" s="1" t="n">
        <v>45740</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48997-2023</t>
        </is>
      </c>
      <c r="B2518" s="1" t="n">
        <v>45204</v>
      </c>
      <c r="C2518" s="1" t="n">
        <v>45740</v>
      </c>
      <c r="D2518" t="inlineStr">
        <is>
          <t>JÄMTLANDS LÄN</t>
        </is>
      </c>
      <c r="E2518" t="inlineStr">
        <is>
          <t>STRÖMSUND</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49091-2023</t>
        </is>
      </c>
      <c r="B2519" s="1" t="n">
        <v>45204</v>
      </c>
      <c r="C2519" s="1" t="n">
        <v>45740</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48388-2023</t>
        </is>
      </c>
      <c r="B2520" s="1" t="n">
        <v>45205</v>
      </c>
      <c r="C2520" s="1" t="n">
        <v>45740</v>
      </c>
      <c r="D2520" t="inlineStr">
        <is>
          <t>JÄMTLANDS LÄN</t>
        </is>
      </c>
      <c r="E2520" t="inlineStr">
        <is>
          <t>STRÖMSUND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48420-2023</t>
        </is>
      </c>
      <c r="B2521" s="1" t="n">
        <v>45205</v>
      </c>
      <c r="C2521" s="1" t="n">
        <v>45740</v>
      </c>
      <c r="D2521" t="inlineStr">
        <is>
          <t>JÄMTLANDS LÄN</t>
        </is>
      </c>
      <c r="E2521" t="inlineStr">
        <is>
          <t>STRÖMSUND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48476-2023</t>
        </is>
      </c>
      <c r="B2522" s="1" t="n">
        <v>45206</v>
      </c>
      <c r="C2522" s="1" t="n">
        <v>45740</v>
      </c>
      <c r="D2522" t="inlineStr">
        <is>
          <t>JÄMTLANDS LÄN</t>
        </is>
      </c>
      <c r="E2522" t="inlineStr">
        <is>
          <t>STRÖMSUND</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48775-2023</t>
        </is>
      </c>
      <c r="B2523" s="1" t="n">
        <v>45209</v>
      </c>
      <c r="C2523" s="1" t="n">
        <v>45740</v>
      </c>
      <c r="D2523" t="inlineStr">
        <is>
          <t>JÄMTLANDS LÄN</t>
        </is>
      </c>
      <c r="E2523" t="inlineStr">
        <is>
          <t>STRÖMSUND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48637-2023</t>
        </is>
      </c>
      <c r="B2524" s="1" t="n">
        <v>45208</v>
      </c>
      <c r="C2524" s="1" t="n">
        <v>45740</v>
      </c>
      <c r="D2524" t="inlineStr">
        <is>
          <t>JÄMTLANDS LÄN</t>
        </is>
      </c>
      <c r="E2524" t="inlineStr">
        <is>
          <t>STRÖMSUND</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49763-2023</t>
        </is>
      </c>
      <c r="B2525" s="1" t="n">
        <v>45208</v>
      </c>
      <c r="C2525" s="1" t="n">
        <v>45740</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49147-2023</t>
        </is>
      </c>
      <c r="B2526" s="1" t="n">
        <v>45210</v>
      </c>
      <c r="C2526" s="1" t="n">
        <v>45740</v>
      </c>
      <c r="D2526" t="inlineStr">
        <is>
          <t>JÄMTLANDS LÄN</t>
        </is>
      </c>
      <c r="E2526" t="inlineStr">
        <is>
          <t>STRÖMSUND</t>
        </is>
      </c>
      <c r="F2526" t="inlineStr">
        <is>
          <t>Holmen skog AB</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50647-2023</t>
        </is>
      </c>
      <c r="B2527" s="1" t="n">
        <v>45210</v>
      </c>
      <c r="C2527" s="1" t="n">
        <v>45740</v>
      </c>
      <c r="D2527" t="inlineStr">
        <is>
          <t>JÄMTLANDS LÄN</t>
        </is>
      </c>
      <c r="E2527" t="inlineStr">
        <is>
          <t>STRÖMSUND</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49377-2023</t>
        </is>
      </c>
      <c r="B2528" s="1" t="n">
        <v>45211</v>
      </c>
      <c r="C2528" s="1" t="n">
        <v>45740</v>
      </c>
      <c r="D2528" t="inlineStr">
        <is>
          <t>JÄMTLANDS LÄN</t>
        </is>
      </c>
      <c r="E2528" t="inlineStr">
        <is>
          <t>STRÖMSUND</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49415-2023</t>
        </is>
      </c>
      <c r="B2529" s="1" t="n">
        <v>45211</v>
      </c>
      <c r="C2529" s="1" t="n">
        <v>45740</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51074-2023</t>
        </is>
      </c>
      <c r="B2530" s="1" t="n">
        <v>45211</v>
      </c>
      <c r="C2530" s="1" t="n">
        <v>45740</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51077-2023</t>
        </is>
      </c>
      <c r="B2531" s="1" t="n">
        <v>45211</v>
      </c>
      <c r="C2531" s="1" t="n">
        <v>45740</v>
      </c>
      <c r="D2531" t="inlineStr">
        <is>
          <t>JÄMTLANDS LÄN</t>
        </is>
      </c>
      <c r="E2531" t="inlineStr">
        <is>
          <t>STRÖMSUND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51075-2023</t>
        </is>
      </c>
      <c r="B2532" s="1" t="n">
        <v>45211</v>
      </c>
      <c r="C2532" s="1" t="n">
        <v>45740</v>
      </c>
      <c r="D2532" t="inlineStr">
        <is>
          <t>JÄMTLANDS LÄN</t>
        </is>
      </c>
      <c r="E2532" t="inlineStr">
        <is>
          <t>STRÖMSUND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49861-2023</t>
        </is>
      </c>
      <c r="B2533" s="1" t="n">
        <v>45212</v>
      </c>
      <c r="C2533" s="1" t="n">
        <v>45740</v>
      </c>
      <c r="D2533" t="inlineStr">
        <is>
          <t>JÄMTLANDS LÄN</t>
        </is>
      </c>
      <c r="E2533" t="inlineStr">
        <is>
          <t>STRÖMSUND</t>
        </is>
      </c>
      <c r="F2533" t="inlineStr">
        <is>
          <t>SCA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50203-2023</t>
        </is>
      </c>
      <c r="B2534" s="1" t="n">
        <v>45216</v>
      </c>
      <c r="C2534" s="1" t="n">
        <v>45740</v>
      </c>
      <c r="D2534" t="inlineStr">
        <is>
          <t>JÄMTLANDS LÄN</t>
        </is>
      </c>
      <c r="E2534" t="inlineStr">
        <is>
          <t>STRÖMSUND</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50495-2023</t>
        </is>
      </c>
      <c r="B2535" s="1" t="n">
        <v>45216</v>
      </c>
      <c r="C2535" s="1" t="n">
        <v>45740</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52303-2023</t>
        </is>
      </c>
      <c r="B2536" s="1" t="n">
        <v>45217</v>
      </c>
      <c r="C2536" s="1" t="n">
        <v>45740</v>
      </c>
      <c r="D2536" t="inlineStr">
        <is>
          <t>JÄMTLANDS LÄN</t>
        </is>
      </c>
      <c r="E2536" t="inlineStr">
        <is>
          <t>STRÖMSUND</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51429-2023</t>
        </is>
      </c>
      <c r="B2537" s="1" t="n">
        <v>45220</v>
      </c>
      <c r="C2537" s="1" t="n">
        <v>45740</v>
      </c>
      <c r="D2537" t="inlineStr">
        <is>
          <t>JÄMTLANDS LÄN</t>
        </is>
      </c>
      <c r="E2537" t="inlineStr">
        <is>
          <t>STRÖMSUND</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51795-2023</t>
        </is>
      </c>
      <c r="B2538" s="1" t="n">
        <v>45222</v>
      </c>
      <c r="C2538" s="1" t="n">
        <v>45740</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51799-2023</t>
        </is>
      </c>
      <c r="B2539" s="1" t="n">
        <v>45223</v>
      </c>
      <c r="C2539" s="1" t="n">
        <v>45740</v>
      </c>
      <c r="D2539" t="inlineStr">
        <is>
          <t>JÄMTLANDS LÄN</t>
        </is>
      </c>
      <c r="E2539" t="inlineStr">
        <is>
          <t>STRÖMSUND</t>
        </is>
      </c>
      <c r="F2539" t="inlineStr">
        <is>
          <t>SCA</t>
        </is>
      </c>
      <c r="G2539" t="n">
        <v>42.6</v>
      </c>
      <c r="H2539" t="n">
        <v>0</v>
      </c>
      <c r="I2539" t="n">
        <v>0</v>
      </c>
      <c r="J2539" t="n">
        <v>0</v>
      </c>
      <c r="K2539" t="n">
        <v>0</v>
      </c>
      <c r="L2539" t="n">
        <v>0</v>
      </c>
      <c r="M2539" t="n">
        <v>0</v>
      </c>
      <c r="N2539" t="n">
        <v>0</v>
      </c>
      <c r="O2539" t="n">
        <v>0</v>
      </c>
      <c r="P2539" t="n">
        <v>0</v>
      </c>
      <c r="Q2539" t="n">
        <v>0</v>
      </c>
      <c r="R2539" s="2" t="inlineStr"/>
    </row>
    <row r="2540" ht="15" customHeight="1">
      <c r="A2540" t="inlineStr">
        <is>
          <t>A 51796-2023</t>
        </is>
      </c>
      <c r="B2540" s="1" t="n">
        <v>45222</v>
      </c>
      <c r="C2540" s="1" t="n">
        <v>45740</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53025-2023</t>
        </is>
      </c>
      <c r="B2541" s="1" t="n">
        <v>45222</v>
      </c>
      <c r="C2541" s="1" t="n">
        <v>45740</v>
      </c>
      <c r="D2541" t="inlineStr">
        <is>
          <t>JÄMTLANDS LÄN</t>
        </is>
      </c>
      <c r="E2541" t="inlineStr">
        <is>
          <t>STRÖMSUND</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53024-2023</t>
        </is>
      </c>
      <c r="B2542" s="1" t="n">
        <v>45222</v>
      </c>
      <c r="C2542" s="1" t="n">
        <v>45740</v>
      </c>
      <c r="D2542" t="inlineStr">
        <is>
          <t>JÄMTLANDS LÄN</t>
        </is>
      </c>
      <c r="E2542" t="inlineStr">
        <is>
          <t>STRÖMSUND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51786-2023</t>
        </is>
      </c>
      <c r="B2543" s="1" t="n">
        <v>45222</v>
      </c>
      <c r="C2543" s="1" t="n">
        <v>45740</v>
      </c>
      <c r="D2543" t="inlineStr">
        <is>
          <t>JÄMTLANDS LÄN</t>
        </is>
      </c>
      <c r="E2543" t="inlineStr">
        <is>
          <t>STRÖMSUND</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52139-2023</t>
        </is>
      </c>
      <c r="B2544" s="1" t="n">
        <v>45223</v>
      </c>
      <c r="C2544" s="1" t="n">
        <v>45740</v>
      </c>
      <c r="D2544" t="inlineStr">
        <is>
          <t>JÄMTLANDS LÄN</t>
        </is>
      </c>
      <c r="E2544" t="inlineStr">
        <is>
          <t>STRÖMSUND</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52108-2023</t>
        </is>
      </c>
      <c r="B2545" s="1" t="n">
        <v>45224</v>
      </c>
      <c r="C2545" s="1" t="n">
        <v>45740</v>
      </c>
      <c r="D2545" t="inlineStr">
        <is>
          <t>JÄMTLANDS LÄN</t>
        </is>
      </c>
      <c r="E2545" t="inlineStr">
        <is>
          <t>STRÖMSUND</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52113-2023</t>
        </is>
      </c>
      <c r="B2546" s="1" t="n">
        <v>45224</v>
      </c>
      <c r="C2546" s="1" t="n">
        <v>45740</v>
      </c>
      <c r="D2546" t="inlineStr">
        <is>
          <t>JÄMTLANDS LÄN</t>
        </is>
      </c>
      <c r="E2546" t="inlineStr">
        <is>
          <t>STRÖMSUND</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52121-2023</t>
        </is>
      </c>
      <c r="B2547" s="1" t="n">
        <v>45223</v>
      </c>
      <c r="C2547" s="1" t="n">
        <v>45740</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52134-2023</t>
        </is>
      </c>
      <c r="B2548" s="1" t="n">
        <v>45223</v>
      </c>
      <c r="C2548" s="1" t="n">
        <v>45740</v>
      </c>
      <c r="D2548" t="inlineStr">
        <is>
          <t>JÄMTLANDS LÄN</t>
        </is>
      </c>
      <c r="E2548" t="inlineStr">
        <is>
          <t>STRÖMSUND</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52402-2023</t>
        </is>
      </c>
      <c r="B2549" s="1" t="n">
        <v>45225</v>
      </c>
      <c r="C2549" s="1" t="n">
        <v>45740</v>
      </c>
      <c r="D2549" t="inlineStr">
        <is>
          <t>JÄMTLANDS LÄN</t>
        </is>
      </c>
      <c r="E2549" t="inlineStr">
        <is>
          <t>STRÖMSUND</t>
        </is>
      </c>
      <c r="F2549" t="inlineStr">
        <is>
          <t>SCA</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52478-2023</t>
        </is>
      </c>
      <c r="B2550" s="1" t="n">
        <v>45225</v>
      </c>
      <c r="C2550" s="1" t="n">
        <v>45740</v>
      </c>
      <c r="D2550" t="inlineStr">
        <is>
          <t>JÄMTLANDS LÄN</t>
        </is>
      </c>
      <c r="E2550" t="inlineStr">
        <is>
          <t>STRÖMSUND</t>
        </is>
      </c>
      <c r="F2550" t="inlineStr">
        <is>
          <t>Holmen skog AB</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52725-2023</t>
        </is>
      </c>
      <c r="B2551" s="1" t="n">
        <v>45226</v>
      </c>
      <c r="C2551" s="1" t="n">
        <v>45740</v>
      </c>
      <c r="D2551" t="inlineStr">
        <is>
          <t>JÄMTLANDS LÄN</t>
        </is>
      </c>
      <c r="E2551" t="inlineStr">
        <is>
          <t>STRÖMSUND</t>
        </is>
      </c>
      <c r="G2551" t="n">
        <v>17.2</v>
      </c>
      <c r="H2551" t="n">
        <v>0</v>
      </c>
      <c r="I2551" t="n">
        <v>0</v>
      </c>
      <c r="J2551" t="n">
        <v>0</v>
      </c>
      <c r="K2551" t="n">
        <v>0</v>
      </c>
      <c r="L2551" t="n">
        <v>0</v>
      </c>
      <c r="M2551" t="n">
        <v>0</v>
      </c>
      <c r="N2551" t="n">
        <v>0</v>
      </c>
      <c r="O2551" t="n">
        <v>0</v>
      </c>
      <c r="P2551" t="n">
        <v>0</v>
      </c>
      <c r="Q2551" t="n">
        <v>0</v>
      </c>
      <c r="R2551" s="2" t="inlineStr"/>
    </row>
    <row r="2552" ht="15" customHeight="1">
      <c r="A2552" t="inlineStr">
        <is>
          <t>A 52733-2023</t>
        </is>
      </c>
      <c r="B2552" s="1" t="n">
        <v>45226</v>
      </c>
      <c r="C2552" s="1" t="n">
        <v>45740</v>
      </c>
      <c r="D2552" t="inlineStr">
        <is>
          <t>JÄMTLANDS LÄN</t>
        </is>
      </c>
      <c r="E2552" t="inlineStr">
        <is>
          <t>STRÖMSUND</t>
        </is>
      </c>
      <c r="F2552" t="inlineStr">
        <is>
          <t>SCA</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52737-2023</t>
        </is>
      </c>
      <c r="B2553" s="1" t="n">
        <v>45226</v>
      </c>
      <c r="C2553" s="1" t="n">
        <v>45740</v>
      </c>
      <c r="D2553" t="inlineStr">
        <is>
          <t>JÄMTLANDS LÄN</t>
        </is>
      </c>
      <c r="E2553" t="inlineStr">
        <is>
          <t>STRÖMSUND</t>
        </is>
      </c>
      <c r="F2553" t="inlineStr">
        <is>
          <t>SCA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52735-2023</t>
        </is>
      </c>
      <c r="B2554" s="1" t="n">
        <v>45225</v>
      </c>
      <c r="C2554" s="1" t="n">
        <v>45740</v>
      </c>
      <c r="D2554" t="inlineStr">
        <is>
          <t>JÄMTLANDS LÄN</t>
        </is>
      </c>
      <c r="E2554" t="inlineStr">
        <is>
          <t>STRÖMSUND</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52736-2023</t>
        </is>
      </c>
      <c r="B2555" s="1" t="n">
        <v>45226</v>
      </c>
      <c r="C2555" s="1" t="n">
        <v>45740</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52726-2023</t>
        </is>
      </c>
      <c r="B2556" s="1" t="n">
        <v>45225</v>
      </c>
      <c r="C2556" s="1" t="n">
        <v>45740</v>
      </c>
      <c r="D2556" t="inlineStr">
        <is>
          <t>JÄMTLANDS LÄN</t>
        </is>
      </c>
      <c r="E2556" t="inlineStr">
        <is>
          <t>STRÖMSUND</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52734-2023</t>
        </is>
      </c>
      <c r="B2557" s="1" t="n">
        <v>45225</v>
      </c>
      <c r="C2557" s="1" t="n">
        <v>45740</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52756-2023</t>
        </is>
      </c>
      <c r="B2558" s="1" t="n">
        <v>45225</v>
      </c>
      <c r="C2558" s="1" t="n">
        <v>45740</v>
      </c>
      <c r="D2558" t="inlineStr">
        <is>
          <t>JÄMTLANDS LÄN</t>
        </is>
      </c>
      <c r="E2558" t="inlineStr">
        <is>
          <t>STRÖMSUND</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54549-2023</t>
        </is>
      </c>
      <c r="B2559" s="1" t="n">
        <v>45226</v>
      </c>
      <c r="C2559" s="1" t="n">
        <v>45740</v>
      </c>
      <c r="D2559" t="inlineStr">
        <is>
          <t>JÄMTLANDS LÄN</t>
        </is>
      </c>
      <c r="E2559" t="inlineStr">
        <is>
          <t>STRÖMSUND</t>
        </is>
      </c>
      <c r="G2559" t="n">
        <v>29.2</v>
      </c>
      <c r="H2559" t="n">
        <v>0</v>
      </c>
      <c r="I2559" t="n">
        <v>0</v>
      </c>
      <c r="J2559" t="n">
        <v>0</v>
      </c>
      <c r="K2559" t="n">
        <v>0</v>
      </c>
      <c r="L2559" t="n">
        <v>0</v>
      </c>
      <c r="M2559" t="n">
        <v>0</v>
      </c>
      <c r="N2559" t="n">
        <v>0</v>
      </c>
      <c r="O2559" t="n">
        <v>0</v>
      </c>
      <c r="P2559" t="n">
        <v>0</v>
      </c>
      <c r="Q2559" t="n">
        <v>0</v>
      </c>
      <c r="R2559" s="2" t="inlineStr"/>
    </row>
    <row r="2560" ht="15" customHeight="1">
      <c r="A2560" t="inlineStr">
        <is>
          <t>A 53050-2023</t>
        </is>
      </c>
      <c r="B2560" s="1" t="n">
        <v>45227</v>
      </c>
      <c r="C2560" s="1" t="n">
        <v>45740</v>
      </c>
      <c r="D2560" t="inlineStr">
        <is>
          <t>JÄMTLANDS LÄN</t>
        </is>
      </c>
      <c r="E2560" t="inlineStr">
        <is>
          <t>STRÖMSUND</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52855-2023</t>
        </is>
      </c>
      <c r="B2561" s="1" t="n">
        <v>45226</v>
      </c>
      <c r="C2561" s="1" t="n">
        <v>45740</v>
      </c>
      <c r="D2561" t="inlineStr">
        <is>
          <t>JÄMTLANDS LÄN</t>
        </is>
      </c>
      <c r="E2561" t="inlineStr">
        <is>
          <t>STRÖMSUND</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52850-2023</t>
        </is>
      </c>
      <c r="B2562" s="1" t="n">
        <v>45226</v>
      </c>
      <c r="C2562" s="1" t="n">
        <v>45740</v>
      </c>
      <c r="D2562" t="inlineStr">
        <is>
          <t>JÄMTLANDS LÄN</t>
        </is>
      </c>
      <c r="E2562" t="inlineStr">
        <is>
          <t>STRÖMSUND</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52826-2023</t>
        </is>
      </c>
      <c r="B2563" s="1" t="n">
        <v>45226</v>
      </c>
      <c r="C2563" s="1" t="n">
        <v>45740</v>
      </c>
      <c r="D2563" t="inlineStr">
        <is>
          <t>JÄMTLANDS LÄN</t>
        </is>
      </c>
      <c r="E2563" t="inlineStr">
        <is>
          <t>STRÖMSUND</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52818-2023</t>
        </is>
      </c>
      <c r="B2564" s="1" t="n">
        <v>45226</v>
      </c>
      <c r="C2564" s="1" t="n">
        <v>45740</v>
      </c>
      <c r="D2564" t="inlineStr">
        <is>
          <t>JÄMTLANDS LÄN</t>
        </is>
      </c>
      <c r="E2564" t="inlineStr">
        <is>
          <t>STRÖMSUND</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53051-2023</t>
        </is>
      </c>
      <c r="B2565" s="1" t="n">
        <v>45227</v>
      </c>
      <c r="C2565" s="1" t="n">
        <v>45740</v>
      </c>
      <c r="D2565" t="inlineStr">
        <is>
          <t>JÄMTLANDS LÄN</t>
        </is>
      </c>
      <c r="E2565" t="inlineStr">
        <is>
          <t>STRÖMSUND</t>
        </is>
      </c>
      <c r="F2565" t="inlineStr">
        <is>
          <t>SCA</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53053-2023</t>
        </is>
      </c>
      <c r="B2566" s="1" t="n">
        <v>45226</v>
      </c>
      <c r="C2566" s="1" t="n">
        <v>45740</v>
      </c>
      <c r="D2566" t="inlineStr">
        <is>
          <t>JÄMTLANDS LÄN</t>
        </is>
      </c>
      <c r="E2566" t="inlineStr">
        <is>
          <t>STRÖMSUND</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53052-2023</t>
        </is>
      </c>
      <c r="B2567" s="1" t="n">
        <v>45226</v>
      </c>
      <c r="C2567" s="1" t="n">
        <v>45740</v>
      </c>
      <c r="D2567" t="inlineStr">
        <is>
          <t>JÄMTLANDS LÄN</t>
        </is>
      </c>
      <c r="E2567" t="inlineStr">
        <is>
          <t>STRÖMSUND</t>
        </is>
      </c>
      <c r="F2567" t="inlineStr">
        <is>
          <t>SCA</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53142-2023</t>
        </is>
      </c>
      <c r="B2568" s="1" t="n">
        <v>45229</v>
      </c>
      <c r="C2568" s="1" t="n">
        <v>45740</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54899-2023</t>
        </is>
      </c>
      <c r="B2569" s="1" t="n">
        <v>45229</v>
      </c>
      <c r="C2569" s="1" t="n">
        <v>45740</v>
      </c>
      <c r="D2569" t="inlineStr">
        <is>
          <t>JÄMTLANDS LÄN</t>
        </is>
      </c>
      <c r="E2569" t="inlineStr">
        <is>
          <t>STRÖMSUND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54063-2023</t>
        </is>
      </c>
      <c r="B2570" s="1" t="n">
        <v>45231</v>
      </c>
      <c r="C2570" s="1" t="n">
        <v>45740</v>
      </c>
      <c r="D2570" t="inlineStr">
        <is>
          <t>JÄMTLANDS LÄN</t>
        </is>
      </c>
      <c r="E2570" t="inlineStr">
        <is>
          <t>STRÖMSUND</t>
        </is>
      </c>
      <c r="F2570" t="inlineStr">
        <is>
          <t>SCA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54038-2023</t>
        </is>
      </c>
      <c r="B2571" s="1" t="n">
        <v>45231</v>
      </c>
      <c r="C2571" s="1" t="n">
        <v>45740</v>
      </c>
      <c r="D2571" t="inlineStr">
        <is>
          <t>JÄMTLANDS LÄN</t>
        </is>
      </c>
      <c r="E2571" t="inlineStr">
        <is>
          <t>STRÖMSUND</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54042-2023</t>
        </is>
      </c>
      <c r="B2572" s="1" t="n">
        <v>45232</v>
      </c>
      <c r="C2572" s="1" t="n">
        <v>45740</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54066-2023</t>
        </is>
      </c>
      <c r="B2573" s="1" t="n">
        <v>45231</v>
      </c>
      <c r="C2573" s="1" t="n">
        <v>45740</v>
      </c>
      <c r="D2573" t="inlineStr">
        <is>
          <t>JÄMTLANDS LÄN</t>
        </is>
      </c>
      <c r="E2573" t="inlineStr">
        <is>
          <t>STRÖMSUND</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54031-2023</t>
        </is>
      </c>
      <c r="B2574" s="1" t="n">
        <v>45231</v>
      </c>
      <c r="C2574" s="1" t="n">
        <v>45740</v>
      </c>
      <c r="D2574" t="inlineStr">
        <is>
          <t>JÄMTLANDS LÄN</t>
        </is>
      </c>
      <c r="E2574" t="inlineStr">
        <is>
          <t>STRÖMSUND</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54028-2023</t>
        </is>
      </c>
      <c r="B2575" s="1" t="n">
        <v>45231</v>
      </c>
      <c r="C2575" s="1" t="n">
        <v>45740</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54032-2023</t>
        </is>
      </c>
      <c r="B2576" s="1" t="n">
        <v>45231</v>
      </c>
      <c r="C2576" s="1" t="n">
        <v>45740</v>
      </c>
      <c r="D2576" t="inlineStr">
        <is>
          <t>JÄMTLANDS LÄN</t>
        </is>
      </c>
      <c r="E2576" t="inlineStr">
        <is>
          <t>STRÖMSUND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54061-2023</t>
        </is>
      </c>
      <c r="B2577" s="1" t="n">
        <v>45232</v>
      </c>
      <c r="C2577" s="1" t="n">
        <v>45740</v>
      </c>
      <c r="D2577" t="inlineStr">
        <is>
          <t>JÄMTLANDS LÄN</t>
        </is>
      </c>
      <c r="E2577" t="inlineStr">
        <is>
          <t>STRÖMSUND</t>
        </is>
      </c>
      <c r="F2577" t="inlineStr">
        <is>
          <t>SCA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54077-2023</t>
        </is>
      </c>
      <c r="B2578" s="1" t="n">
        <v>45231</v>
      </c>
      <c r="C2578" s="1" t="n">
        <v>45740</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54315-2023</t>
        </is>
      </c>
      <c r="B2579" s="1" t="n">
        <v>45232</v>
      </c>
      <c r="C2579" s="1" t="n">
        <v>45740</v>
      </c>
      <c r="D2579" t="inlineStr">
        <is>
          <t>JÄMTLANDS LÄN</t>
        </is>
      </c>
      <c r="E2579" t="inlineStr">
        <is>
          <t>STRÖMSUND</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54319-2023</t>
        </is>
      </c>
      <c r="B2580" s="1" t="n">
        <v>45232</v>
      </c>
      <c r="C2580" s="1" t="n">
        <v>45740</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56074-2023</t>
        </is>
      </c>
      <c r="B2581" s="1" t="n">
        <v>45233</v>
      </c>
      <c r="C2581" s="1" t="n">
        <v>45740</v>
      </c>
      <c r="D2581" t="inlineStr">
        <is>
          <t>JÄMTLANDS LÄN</t>
        </is>
      </c>
      <c r="E2581" t="inlineStr">
        <is>
          <t>STRÖMSUND</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54482-2023</t>
        </is>
      </c>
      <c r="B2582" s="1" t="n">
        <v>45233</v>
      </c>
      <c r="C2582" s="1" t="n">
        <v>45740</v>
      </c>
      <c r="D2582" t="inlineStr">
        <is>
          <t>JÄMTLANDS LÄN</t>
        </is>
      </c>
      <c r="E2582" t="inlineStr">
        <is>
          <t>STRÖMSUND</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54478-2023</t>
        </is>
      </c>
      <c r="B2583" s="1" t="n">
        <v>45233</v>
      </c>
      <c r="C2583" s="1" t="n">
        <v>45740</v>
      </c>
      <c r="D2583" t="inlineStr">
        <is>
          <t>JÄMTLANDS LÄN</t>
        </is>
      </c>
      <c r="E2583" t="inlineStr">
        <is>
          <t>STRÖMSUND</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54598-2023</t>
        </is>
      </c>
      <c r="B2584" s="1" t="n">
        <v>45233</v>
      </c>
      <c r="C2584" s="1" t="n">
        <v>45740</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54479-2023</t>
        </is>
      </c>
      <c r="B2585" s="1" t="n">
        <v>45233</v>
      </c>
      <c r="C2585" s="1" t="n">
        <v>45740</v>
      </c>
      <c r="D2585" t="inlineStr">
        <is>
          <t>JÄMTLANDS LÄN</t>
        </is>
      </c>
      <c r="E2585" t="inlineStr">
        <is>
          <t>STRÖMSUND</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54753-2023</t>
        </is>
      </c>
      <c r="B2586" s="1" t="n">
        <v>45236</v>
      </c>
      <c r="C2586" s="1" t="n">
        <v>45740</v>
      </c>
      <c r="D2586" t="inlineStr">
        <is>
          <t>JÄMTLANDS LÄN</t>
        </is>
      </c>
      <c r="E2586" t="inlineStr">
        <is>
          <t>STRÖMSUND</t>
        </is>
      </c>
      <c r="F2586" t="inlineStr">
        <is>
          <t>Sveaskog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54980-2023</t>
        </is>
      </c>
      <c r="B2587" s="1" t="n">
        <v>45237</v>
      </c>
      <c r="C2587" s="1" t="n">
        <v>45740</v>
      </c>
      <c r="D2587" t="inlineStr">
        <is>
          <t>JÄMTLANDS LÄN</t>
        </is>
      </c>
      <c r="E2587" t="inlineStr">
        <is>
          <t>STRÖMSUND</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54974-2023</t>
        </is>
      </c>
      <c r="B2588" s="1" t="n">
        <v>45236</v>
      </c>
      <c r="C2588" s="1" t="n">
        <v>45740</v>
      </c>
      <c r="D2588" t="inlineStr">
        <is>
          <t>JÄMTLANDS LÄN</t>
        </is>
      </c>
      <c r="E2588" t="inlineStr">
        <is>
          <t>STRÖMSUND</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55073-2023</t>
        </is>
      </c>
      <c r="B2589" s="1" t="n">
        <v>45237</v>
      </c>
      <c r="C2589" s="1" t="n">
        <v>45740</v>
      </c>
      <c r="D2589" t="inlineStr">
        <is>
          <t>JÄMTLANDS LÄN</t>
        </is>
      </c>
      <c r="E2589" t="inlineStr">
        <is>
          <t>STRÖMSUND</t>
        </is>
      </c>
      <c r="G2589" t="n">
        <v>20.5</v>
      </c>
      <c r="H2589" t="n">
        <v>0</v>
      </c>
      <c r="I2589" t="n">
        <v>0</v>
      </c>
      <c r="J2589" t="n">
        <v>0</v>
      </c>
      <c r="K2589" t="n">
        <v>0</v>
      </c>
      <c r="L2589" t="n">
        <v>0</v>
      </c>
      <c r="M2589" t="n">
        <v>0</v>
      </c>
      <c r="N2589" t="n">
        <v>0</v>
      </c>
      <c r="O2589" t="n">
        <v>0</v>
      </c>
      <c r="P2589" t="n">
        <v>0</v>
      </c>
      <c r="Q2589" t="n">
        <v>0</v>
      </c>
      <c r="R2589" s="2" t="inlineStr"/>
    </row>
    <row r="2590" ht="15" customHeight="1">
      <c r="A2590" t="inlineStr">
        <is>
          <t>A 55177-2023</t>
        </is>
      </c>
      <c r="B2590" s="1" t="n">
        <v>45237</v>
      </c>
      <c r="C2590" s="1" t="n">
        <v>45740</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55067-2023</t>
        </is>
      </c>
      <c r="B2591" s="1" t="n">
        <v>45237</v>
      </c>
      <c r="C2591" s="1" t="n">
        <v>45740</v>
      </c>
      <c r="D2591" t="inlineStr">
        <is>
          <t>JÄMTLANDS LÄN</t>
        </is>
      </c>
      <c r="E2591" t="inlineStr">
        <is>
          <t>STRÖMSUND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55156-2023</t>
        </is>
      </c>
      <c r="B2592" s="1" t="n">
        <v>45237</v>
      </c>
      <c r="C2592" s="1" t="n">
        <v>45740</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55321-2023</t>
        </is>
      </c>
      <c r="B2593" s="1" t="n">
        <v>45237</v>
      </c>
      <c r="C2593" s="1" t="n">
        <v>45740</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55322-2023</t>
        </is>
      </c>
      <c r="B2594" s="1" t="n">
        <v>45237</v>
      </c>
      <c r="C2594" s="1" t="n">
        <v>45740</v>
      </c>
      <c r="D2594" t="inlineStr">
        <is>
          <t>JÄMTLANDS LÄN</t>
        </is>
      </c>
      <c r="E2594" t="inlineStr">
        <is>
          <t>STRÖMSUND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56468-2023</t>
        </is>
      </c>
      <c r="B2595" s="1" t="n">
        <v>45237</v>
      </c>
      <c r="C2595" s="1" t="n">
        <v>45740</v>
      </c>
      <c r="D2595" t="inlineStr">
        <is>
          <t>JÄMTLANDS LÄN</t>
        </is>
      </c>
      <c r="E2595" t="inlineStr">
        <is>
          <t>STRÖMSUND</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55340-2023</t>
        </is>
      </c>
      <c r="B2596" s="1" t="n">
        <v>45237</v>
      </c>
      <c r="C2596" s="1" t="n">
        <v>45740</v>
      </c>
      <c r="D2596" t="inlineStr">
        <is>
          <t>JÄMTLANDS LÄN</t>
        </is>
      </c>
      <c r="E2596" t="inlineStr">
        <is>
          <t>STRÖMSUND</t>
        </is>
      </c>
      <c r="F2596" t="inlineStr">
        <is>
          <t>SCA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56422-2023</t>
        </is>
      </c>
      <c r="B2597" s="1" t="n">
        <v>45237</v>
      </c>
      <c r="C2597" s="1" t="n">
        <v>45740</v>
      </c>
      <c r="D2597" t="inlineStr">
        <is>
          <t>JÄMTLANDS LÄN</t>
        </is>
      </c>
      <c r="E2597" t="inlineStr">
        <is>
          <t>STRÖMSUND</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56437-2023</t>
        </is>
      </c>
      <c r="B2598" s="1" t="n">
        <v>45237</v>
      </c>
      <c r="C2598" s="1" t="n">
        <v>45740</v>
      </c>
      <c r="D2598" t="inlineStr">
        <is>
          <t>JÄMTLANDS LÄN</t>
        </is>
      </c>
      <c r="E2598" t="inlineStr">
        <is>
          <t>STRÖMSUND</t>
        </is>
      </c>
      <c r="G2598" t="n">
        <v>35.8</v>
      </c>
      <c r="H2598" t="n">
        <v>0</v>
      </c>
      <c r="I2598" t="n">
        <v>0</v>
      </c>
      <c r="J2598" t="n">
        <v>0</v>
      </c>
      <c r="K2598" t="n">
        <v>0</v>
      </c>
      <c r="L2598" t="n">
        <v>0</v>
      </c>
      <c r="M2598" t="n">
        <v>0</v>
      </c>
      <c r="N2598" t="n">
        <v>0</v>
      </c>
      <c r="O2598" t="n">
        <v>0</v>
      </c>
      <c r="P2598" t="n">
        <v>0</v>
      </c>
      <c r="Q2598" t="n">
        <v>0</v>
      </c>
      <c r="R2598" s="2" t="inlineStr"/>
    </row>
    <row r="2599" ht="15" customHeight="1">
      <c r="A2599" t="inlineStr">
        <is>
          <t>A 55323-2023</t>
        </is>
      </c>
      <c r="B2599" s="1" t="n">
        <v>45237</v>
      </c>
      <c r="C2599" s="1" t="n">
        <v>45740</v>
      </c>
      <c r="D2599" t="inlineStr">
        <is>
          <t>JÄMTLANDS LÄN</t>
        </is>
      </c>
      <c r="E2599" t="inlineStr">
        <is>
          <t>STRÖMSUND</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56484-2023</t>
        </is>
      </c>
      <c r="B2600" s="1" t="n">
        <v>45237</v>
      </c>
      <c r="C2600" s="1" t="n">
        <v>45740</v>
      </c>
      <c r="D2600" t="inlineStr">
        <is>
          <t>JÄMTLANDS LÄN</t>
        </is>
      </c>
      <c r="E2600" t="inlineStr">
        <is>
          <t>STRÖMSUND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56480-2023</t>
        </is>
      </c>
      <c r="B2601" s="1" t="n">
        <v>45237</v>
      </c>
      <c r="C2601" s="1" t="n">
        <v>45740</v>
      </c>
      <c r="D2601" t="inlineStr">
        <is>
          <t>JÄMTLANDS LÄN</t>
        </is>
      </c>
      <c r="E2601" t="inlineStr">
        <is>
          <t>STRÖMSUND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56490-2023</t>
        </is>
      </c>
      <c r="B2602" s="1" t="n">
        <v>45237</v>
      </c>
      <c r="C2602" s="1" t="n">
        <v>45740</v>
      </c>
      <c r="D2602" t="inlineStr">
        <is>
          <t>JÄMTLANDS LÄN</t>
        </is>
      </c>
      <c r="E2602" t="inlineStr">
        <is>
          <t>STRÖMSUND</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55657-2023</t>
        </is>
      </c>
      <c r="B2603" s="1" t="n">
        <v>45238</v>
      </c>
      <c r="C2603" s="1" t="n">
        <v>45740</v>
      </c>
      <c r="D2603" t="inlineStr">
        <is>
          <t>JÄMTLANDS LÄN</t>
        </is>
      </c>
      <c r="E2603" t="inlineStr">
        <is>
          <t>STRÖMSUND</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55656-2023</t>
        </is>
      </c>
      <c r="B2604" s="1" t="n">
        <v>45239</v>
      </c>
      <c r="C2604" s="1" t="n">
        <v>45740</v>
      </c>
      <c r="D2604" t="inlineStr">
        <is>
          <t>JÄMTLANDS LÄN</t>
        </is>
      </c>
      <c r="E2604" t="inlineStr">
        <is>
          <t>STRÖMSUND</t>
        </is>
      </c>
      <c r="F2604" t="inlineStr">
        <is>
          <t>SCA</t>
        </is>
      </c>
      <c r="G2604" t="n">
        <v>11.1</v>
      </c>
      <c r="H2604" t="n">
        <v>0</v>
      </c>
      <c r="I2604" t="n">
        <v>0</v>
      </c>
      <c r="J2604" t="n">
        <v>0</v>
      </c>
      <c r="K2604" t="n">
        <v>0</v>
      </c>
      <c r="L2604" t="n">
        <v>0</v>
      </c>
      <c r="M2604" t="n">
        <v>0</v>
      </c>
      <c r="N2604" t="n">
        <v>0</v>
      </c>
      <c r="O2604" t="n">
        <v>0</v>
      </c>
      <c r="P2604" t="n">
        <v>0</v>
      </c>
      <c r="Q2604" t="n">
        <v>0</v>
      </c>
      <c r="R2604" s="2" t="inlineStr"/>
    </row>
    <row r="2605" ht="15" customHeight="1">
      <c r="A2605" t="inlineStr">
        <is>
          <t>A 55655-2023</t>
        </is>
      </c>
      <c r="B2605" s="1" t="n">
        <v>45239</v>
      </c>
      <c r="C2605" s="1" t="n">
        <v>45740</v>
      </c>
      <c r="D2605" t="inlineStr">
        <is>
          <t>JÄMTLANDS LÄN</t>
        </is>
      </c>
      <c r="E2605" t="inlineStr">
        <is>
          <t>STRÖMSUND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57476-2023</t>
        </is>
      </c>
      <c r="B2606" s="1" t="n">
        <v>45240</v>
      </c>
      <c r="C2606" s="1" t="n">
        <v>45740</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57348-2023</t>
        </is>
      </c>
      <c r="B2607" s="1" t="n">
        <v>45240</v>
      </c>
      <c r="C2607" s="1" t="n">
        <v>45740</v>
      </c>
      <c r="D2607" t="inlineStr">
        <is>
          <t>JÄMTLANDS LÄN</t>
        </is>
      </c>
      <c r="E2607" t="inlineStr">
        <is>
          <t>STRÖMSUND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57361-2023</t>
        </is>
      </c>
      <c r="B2608" s="1" t="n">
        <v>45240</v>
      </c>
      <c r="C2608" s="1" t="n">
        <v>45740</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57431-2023</t>
        </is>
      </c>
      <c r="B2609" s="1" t="n">
        <v>45240</v>
      </c>
      <c r="C2609" s="1" t="n">
        <v>45740</v>
      </c>
      <c r="D2609" t="inlineStr">
        <is>
          <t>JÄMTLANDS LÄN</t>
        </is>
      </c>
      <c r="E2609" t="inlineStr">
        <is>
          <t>STRÖMSUND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57429-2023</t>
        </is>
      </c>
      <c r="B2610" s="1" t="n">
        <v>45240</v>
      </c>
      <c r="C2610" s="1" t="n">
        <v>45740</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56312-2023</t>
        </is>
      </c>
      <c r="B2611" s="1" t="n">
        <v>45242</v>
      </c>
      <c r="C2611" s="1" t="n">
        <v>45740</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56313-2023</t>
        </is>
      </c>
      <c r="B2612" s="1" t="n">
        <v>45243</v>
      </c>
      <c r="C2612" s="1" t="n">
        <v>45740</v>
      </c>
      <c r="D2612" t="inlineStr">
        <is>
          <t>JÄMTLANDS LÄN</t>
        </is>
      </c>
      <c r="E2612" t="inlineStr">
        <is>
          <t>STRÖMSUND</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56314-2023</t>
        </is>
      </c>
      <c r="B2613" s="1" t="n">
        <v>45243</v>
      </c>
      <c r="C2613" s="1" t="n">
        <v>45740</v>
      </c>
      <c r="D2613" t="inlineStr">
        <is>
          <t>JÄMTLANDS LÄN</t>
        </is>
      </c>
      <c r="E2613" t="inlineStr">
        <is>
          <t>STRÖMSUND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56691-2023</t>
        </is>
      </c>
      <c r="B2614" s="1" t="n">
        <v>45244</v>
      </c>
      <c r="C2614" s="1" t="n">
        <v>45740</v>
      </c>
      <c r="D2614" t="inlineStr">
        <is>
          <t>JÄMTLANDS LÄN</t>
        </is>
      </c>
      <c r="E2614" t="inlineStr">
        <is>
          <t>STRÖMSUND</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57805-2023</t>
        </is>
      </c>
      <c r="B2615" s="1" t="n">
        <v>45243</v>
      </c>
      <c r="C2615" s="1" t="n">
        <v>45740</v>
      </c>
      <c r="D2615" t="inlineStr">
        <is>
          <t>JÄMTLANDS LÄN</t>
        </is>
      </c>
      <c r="E2615" t="inlineStr">
        <is>
          <t>STRÖMSUND</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57729-2023</t>
        </is>
      </c>
      <c r="B2616" s="1" t="n">
        <v>45243</v>
      </c>
      <c r="C2616" s="1" t="n">
        <v>45740</v>
      </c>
      <c r="D2616" t="inlineStr">
        <is>
          <t>JÄMTLANDS LÄN</t>
        </is>
      </c>
      <c r="E2616" t="inlineStr">
        <is>
          <t>STRÖMSUND</t>
        </is>
      </c>
      <c r="G2616" t="n">
        <v>14.8</v>
      </c>
      <c r="H2616" t="n">
        <v>0</v>
      </c>
      <c r="I2616" t="n">
        <v>0</v>
      </c>
      <c r="J2616" t="n">
        <v>0</v>
      </c>
      <c r="K2616" t="n">
        <v>0</v>
      </c>
      <c r="L2616" t="n">
        <v>0</v>
      </c>
      <c r="M2616" t="n">
        <v>0</v>
      </c>
      <c r="N2616" t="n">
        <v>0</v>
      </c>
      <c r="O2616" t="n">
        <v>0</v>
      </c>
      <c r="P2616" t="n">
        <v>0</v>
      </c>
      <c r="Q2616" t="n">
        <v>0</v>
      </c>
      <c r="R2616" s="2" t="inlineStr"/>
    </row>
    <row r="2617" ht="15" customHeight="1">
      <c r="A2617" t="inlineStr">
        <is>
          <t>A 57804-2023</t>
        </is>
      </c>
      <c r="B2617" s="1" t="n">
        <v>45243</v>
      </c>
      <c r="C2617" s="1" t="n">
        <v>45740</v>
      </c>
      <c r="D2617" t="inlineStr">
        <is>
          <t>JÄMTLANDS LÄN</t>
        </is>
      </c>
      <c r="E2617" t="inlineStr">
        <is>
          <t>STRÖMSUND</t>
        </is>
      </c>
      <c r="F2617" t="inlineStr">
        <is>
          <t>SCA</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57055-2023</t>
        </is>
      </c>
      <c r="B2618" s="1" t="n">
        <v>45244</v>
      </c>
      <c r="C2618" s="1" t="n">
        <v>45740</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57048-2023</t>
        </is>
      </c>
      <c r="B2619" s="1" t="n">
        <v>45244</v>
      </c>
      <c r="C2619" s="1" t="n">
        <v>45740</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57068-2023</t>
        </is>
      </c>
      <c r="B2620" s="1" t="n">
        <v>45244</v>
      </c>
      <c r="C2620" s="1" t="n">
        <v>45740</v>
      </c>
      <c r="D2620" t="inlineStr">
        <is>
          <t>JÄMTLANDS LÄN</t>
        </is>
      </c>
      <c r="E2620" t="inlineStr">
        <is>
          <t>STRÖMSUND</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57084-2023</t>
        </is>
      </c>
      <c r="B2621" s="1" t="n">
        <v>45245</v>
      </c>
      <c r="C2621" s="1" t="n">
        <v>45740</v>
      </c>
      <c r="D2621" t="inlineStr">
        <is>
          <t>JÄMTLANDS LÄN</t>
        </is>
      </c>
      <c r="E2621" t="inlineStr">
        <is>
          <t>STRÖMSUND</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57083-2023</t>
        </is>
      </c>
      <c r="B2622" s="1" t="n">
        <v>45244</v>
      </c>
      <c r="C2622" s="1" t="n">
        <v>45740</v>
      </c>
      <c r="D2622" t="inlineStr">
        <is>
          <t>JÄMTLANDS LÄN</t>
        </is>
      </c>
      <c r="E2622" t="inlineStr">
        <is>
          <t>STRÖMSUND</t>
        </is>
      </c>
      <c r="F2622" t="inlineStr">
        <is>
          <t>SCA</t>
        </is>
      </c>
      <c r="G2622" t="n">
        <v>31.1</v>
      </c>
      <c r="H2622" t="n">
        <v>0</v>
      </c>
      <c r="I2622" t="n">
        <v>0</v>
      </c>
      <c r="J2622" t="n">
        <v>0</v>
      </c>
      <c r="K2622" t="n">
        <v>0</v>
      </c>
      <c r="L2622" t="n">
        <v>0</v>
      </c>
      <c r="M2622" t="n">
        <v>0</v>
      </c>
      <c r="N2622" t="n">
        <v>0</v>
      </c>
      <c r="O2622" t="n">
        <v>0</v>
      </c>
      <c r="P2622" t="n">
        <v>0</v>
      </c>
      <c r="Q2622" t="n">
        <v>0</v>
      </c>
      <c r="R2622" s="2" t="inlineStr"/>
    </row>
    <row r="2623" ht="15" customHeight="1">
      <c r="A2623" t="inlineStr">
        <is>
          <t>A 57082-2023</t>
        </is>
      </c>
      <c r="B2623" s="1" t="n">
        <v>45245</v>
      </c>
      <c r="C2623" s="1" t="n">
        <v>45740</v>
      </c>
      <c r="D2623" t="inlineStr">
        <is>
          <t>JÄMTLANDS LÄN</t>
        </is>
      </c>
      <c r="E2623" t="inlineStr">
        <is>
          <t>STRÖMSUND</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57049-2023</t>
        </is>
      </c>
      <c r="B2624" s="1" t="n">
        <v>45244</v>
      </c>
      <c r="C2624" s="1" t="n">
        <v>45740</v>
      </c>
      <c r="D2624" t="inlineStr">
        <is>
          <t>JÄMTLANDS LÄN</t>
        </is>
      </c>
      <c r="E2624" t="inlineStr">
        <is>
          <t>STRÖMSUND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57069-2023</t>
        </is>
      </c>
      <c r="B2625" s="1" t="n">
        <v>45244</v>
      </c>
      <c r="C2625" s="1" t="n">
        <v>45740</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57077-2023</t>
        </is>
      </c>
      <c r="B2626" s="1" t="n">
        <v>45245</v>
      </c>
      <c r="C2626" s="1" t="n">
        <v>45740</v>
      </c>
      <c r="D2626" t="inlineStr">
        <is>
          <t>JÄMTLANDS LÄN</t>
        </is>
      </c>
      <c r="E2626" t="inlineStr">
        <is>
          <t>STRÖMSUND</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57081-2023</t>
        </is>
      </c>
      <c r="B2627" s="1" t="n">
        <v>45244</v>
      </c>
      <c r="C2627" s="1" t="n">
        <v>45740</v>
      </c>
      <c r="D2627" t="inlineStr">
        <is>
          <t>JÄMTLANDS LÄN</t>
        </is>
      </c>
      <c r="E2627" t="inlineStr">
        <is>
          <t>STRÖMSUND</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57416-2023</t>
        </is>
      </c>
      <c r="B2628" s="1" t="n">
        <v>45245</v>
      </c>
      <c r="C2628" s="1" t="n">
        <v>45740</v>
      </c>
      <c r="D2628" t="inlineStr">
        <is>
          <t>JÄMTLANDS LÄN</t>
        </is>
      </c>
      <c r="E2628" t="inlineStr">
        <is>
          <t>STRÖMSUND</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57382-2023</t>
        </is>
      </c>
      <c r="B2629" s="1" t="n">
        <v>45245</v>
      </c>
      <c r="C2629" s="1" t="n">
        <v>45740</v>
      </c>
      <c r="D2629" t="inlineStr">
        <is>
          <t>JÄMTLANDS LÄN</t>
        </is>
      </c>
      <c r="E2629" t="inlineStr">
        <is>
          <t>STRÖMSUND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57385-2023</t>
        </is>
      </c>
      <c r="B2630" s="1" t="n">
        <v>45245</v>
      </c>
      <c r="C2630" s="1" t="n">
        <v>45740</v>
      </c>
      <c r="D2630" t="inlineStr">
        <is>
          <t>JÄMTLANDS LÄN</t>
        </is>
      </c>
      <c r="E2630" t="inlineStr">
        <is>
          <t>STRÖMSUND</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57383-2023</t>
        </is>
      </c>
      <c r="B2631" s="1" t="n">
        <v>45245</v>
      </c>
      <c r="C2631" s="1" t="n">
        <v>45740</v>
      </c>
      <c r="D2631" t="inlineStr">
        <is>
          <t>JÄMTLANDS LÄN</t>
        </is>
      </c>
      <c r="E2631" t="inlineStr">
        <is>
          <t>STRÖMSUND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57387-2023</t>
        </is>
      </c>
      <c r="B2632" s="1" t="n">
        <v>45245</v>
      </c>
      <c r="C2632" s="1" t="n">
        <v>45740</v>
      </c>
      <c r="D2632" t="inlineStr">
        <is>
          <t>JÄMTLANDS LÄN</t>
        </is>
      </c>
      <c r="E2632" t="inlineStr">
        <is>
          <t>STRÖMSUND</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57415-2023</t>
        </is>
      </c>
      <c r="B2633" s="1" t="n">
        <v>45246</v>
      </c>
      <c r="C2633" s="1" t="n">
        <v>45740</v>
      </c>
      <c r="D2633" t="inlineStr">
        <is>
          <t>JÄMTLANDS LÄN</t>
        </is>
      </c>
      <c r="E2633" t="inlineStr">
        <is>
          <t>STRÖMSUND</t>
        </is>
      </c>
      <c r="F2633" t="inlineStr">
        <is>
          <t>SCA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57501-2023</t>
        </is>
      </c>
      <c r="B2634" s="1" t="n">
        <v>45246</v>
      </c>
      <c r="C2634" s="1" t="n">
        <v>45740</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57581-2023</t>
        </is>
      </c>
      <c r="B2635" s="1" t="n">
        <v>45246</v>
      </c>
      <c r="C2635" s="1" t="n">
        <v>45740</v>
      </c>
      <c r="D2635" t="inlineStr">
        <is>
          <t>JÄMTLANDS LÄN</t>
        </is>
      </c>
      <c r="E2635" t="inlineStr">
        <is>
          <t>STRÖMSUND</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57450-2023</t>
        </is>
      </c>
      <c r="B2636" s="1" t="n">
        <v>45246</v>
      </c>
      <c r="C2636" s="1" t="n">
        <v>45740</v>
      </c>
      <c r="D2636" t="inlineStr">
        <is>
          <t>JÄMTLANDS LÄN</t>
        </is>
      </c>
      <c r="E2636" t="inlineStr">
        <is>
          <t>STRÖMSUND</t>
        </is>
      </c>
      <c r="F2636" t="inlineStr">
        <is>
          <t>Holmen skog AB</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57454-2023</t>
        </is>
      </c>
      <c r="B2637" s="1" t="n">
        <v>45246</v>
      </c>
      <c r="C2637" s="1" t="n">
        <v>45740</v>
      </c>
      <c r="D2637" t="inlineStr">
        <is>
          <t>JÄMTLANDS LÄN</t>
        </is>
      </c>
      <c r="E2637" t="inlineStr">
        <is>
          <t>STRÖMSUND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57499-2023</t>
        </is>
      </c>
      <c r="B2638" s="1" t="n">
        <v>45246</v>
      </c>
      <c r="C2638" s="1" t="n">
        <v>45740</v>
      </c>
      <c r="D2638" t="inlineStr">
        <is>
          <t>JÄMTLANDS LÄN</t>
        </is>
      </c>
      <c r="E2638" t="inlineStr">
        <is>
          <t>STRÖMSUND</t>
        </is>
      </c>
      <c r="F2638" t="inlineStr">
        <is>
          <t>Holmen skog AB</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57504-2023</t>
        </is>
      </c>
      <c r="B2639" s="1" t="n">
        <v>45246</v>
      </c>
      <c r="C2639" s="1" t="n">
        <v>45740</v>
      </c>
      <c r="D2639" t="inlineStr">
        <is>
          <t>JÄMTLANDS LÄN</t>
        </is>
      </c>
      <c r="E2639" t="inlineStr">
        <is>
          <t>STRÖMSUND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57507-2023</t>
        </is>
      </c>
      <c r="B2640" s="1" t="n">
        <v>45246</v>
      </c>
      <c r="C2640" s="1" t="n">
        <v>45740</v>
      </c>
      <c r="D2640" t="inlineStr">
        <is>
          <t>JÄMTLANDS LÄN</t>
        </is>
      </c>
      <c r="E2640" t="inlineStr">
        <is>
          <t>STRÖMSUND</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57540-2023</t>
        </is>
      </c>
      <c r="B2641" s="1" t="n">
        <v>45246</v>
      </c>
      <c r="C2641" s="1" t="n">
        <v>45740</v>
      </c>
      <c r="D2641" t="inlineStr">
        <is>
          <t>JÄMTLANDS LÄN</t>
        </is>
      </c>
      <c r="E2641" t="inlineStr">
        <is>
          <t>STRÖMSUND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57549-2023</t>
        </is>
      </c>
      <c r="B2642" s="1" t="n">
        <v>45246</v>
      </c>
      <c r="C2642" s="1" t="n">
        <v>45740</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57445-2023</t>
        </is>
      </c>
      <c r="B2643" s="1" t="n">
        <v>45246</v>
      </c>
      <c r="C2643" s="1" t="n">
        <v>45740</v>
      </c>
      <c r="D2643" t="inlineStr">
        <is>
          <t>JÄMTLANDS LÄN</t>
        </is>
      </c>
      <c r="E2643" t="inlineStr">
        <is>
          <t>STRÖMSUND</t>
        </is>
      </c>
      <c r="F2643" t="inlineStr">
        <is>
          <t>Holmen skog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57537-2023</t>
        </is>
      </c>
      <c r="B2644" s="1" t="n">
        <v>45246</v>
      </c>
      <c r="C2644" s="1" t="n">
        <v>45740</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57542-2023</t>
        </is>
      </c>
      <c r="B2645" s="1" t="n">
        <v>45246</v>
      </c>
      <c r="C2645" s="1" t="n">
        <v>45740</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57748-2023</t>
        </is>
      </c>
      <c r="B2646" s="1" t="n">
        <v>45246</v>
      </c>
      <c r="C2646" s="1" t="n">
        <v>45740</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57596-2023</t>
        </is>
      </c>
      <c r="B2647" s="1" t="n">
        <v>45246</v>
      </c>
      <c r="C2647" s="1" t="n">
        <v>45740</v>
      </c>
      <c r="D2647" t="inlineStr">
        <is>
          <t>JÄMTLANDS LÄN</t>
        </is>
      </c>
      <c r="E2647" t="inlineStr">
        <is>
          <t>STRÖMSUND</t>
        </is>
      </c>
      <c r="F2647" t="inlineStr">
        <is>
          <t>Holmen skog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57789-2023</t>
        </is>
      </c>
      <c r="B2648" s="1" t="n">
        <v>45247</v>
      </c>
      <c r="C2648" s="1" t="n">
        <v>45740</v>
      </c>
      <c r="D2648" t="inlineStr">
        <is>
          <t>JÄMTLANDS LÄN</t>
        </is>
      </c>
      <c r="E2648" t="inlineStr">
        <is>
          <t>STRÖMSUND</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58584-2023</t>
        </is>
      </c>
      <c r="B2649" s="1" t="n">
        <v>45246</v>
      </c>
      <c r="C2649" s="1" t="n">
        <v>45740</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57907-2023</t>
        </is>
      </c>
      <c r="B2650" s="1" t="n">
        <v>45247</v>
      </c>
      <c r="C2650" s="1" t="n">
        <v>45740</v>
      </c>
      <c r="D2650" t="inlineStr">
        <is>
          <t>JÄMTLANDS LÄN</t>
        </is>
      </c>
      <c r="E2650" t="inlineStr">
        <is>
          <t>STRÖMSUND</t>
        </is>
      </c>
      <c r="F2650" t="inlineStr">
        <is>
          <t>Kyrkan</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57912-2023</t>
        </is>
      </c>
      <c r="B2651" s="1" t="n">
        <v>45247</v>
      </c>
      <c r="C2651" s="1" t="n">
        <v>45740</v>
      </c>
      <c r="D2651" t="inlineStr">
        <is>
          <t>JÄMTLANDS LÄN</t>
        </is>
      </c>
      <c r="E2651" t="inlineStr">
        <is>
          <t>STRÖMSUND</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57894-2023</t>
        </is>
      </c>
      <c r="B2652" s="1" t="n">
        <v>45247</v>
      </c>
      <c r="C2652" s="1" t="n">
        <v>45740</v>
      </c>
      <c r="D2652" t="inlineStr">
        <is>
          <t>JÄMTLANDS LÄN</t>
        </is>
      </c>
      <c r="E2652" t="inlineStr">
        <is>
          <t>STRÖMSUND</t>
        </is>
      </c>
      <c r="F2652" t="inlineStr">
        <is>
          <t>Kyrkan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57905-2023</t>
        </is>
      </c>
      <c r="B2653" s="1" t="n">
        <v>45247</v>
      </c>
      <c r="C2653" s="1" t="n">
        <v>45740</v>
      </c>
      <c r="D2653" t="inlineStr">
        <is>
          <t>JÄMTLANDS LÄN</t>
        </is>
      </c>
      <c r="E2653" t="inlineStr">
        <is>
          <t>STRÖMSUND</t>
        </is>
      </c>
      <c r="F2653" t="inlineStr">
        <is>
          <t>Kyrkan</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58076-2023</t>
        </is>
      </c>
      <c r="B2654" s="1" t="n">
        <v>45247</v>
      </c>
      <c r="C2654" s="1" t="n">
        <v>45740</v>
      </c>
      <c r="D2654" t="inlineStr">
        <is>
          <t>JÄMTLANDS LÄN</t>
        </is>
      </c>
      <c r="E2654" t="inlineStr">
        <is>
          <t>STRÖMSUND</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58152-2023</t>
        </is>
      </c>
      <c r="B2655" s="1" t="n">
        <v>45250</v>
      </c>
      <c r="C2655" s="1" t="n">
        <v>45740</v>
      </c>
      <c r="D2655" t="inlineStr">
        <is>
          <t>JÄMTLANDS LÄN</t>
        </is>
      </c>
      <c r="E2655" t="inlineStr">
        <is>
          <t>STRÖMSUND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58446-2023</t>
        </is>
      </c>
      <c r="B2656" s="1" t="n">
        <v>45250</v>
      </c>
      <c r="C2656" s="1" t="n">
        <v>45740</v>
      </c>
      <c r="D2656" t="inlineStr">
        <is>
          <t>JÄMTLANDS LÄN</t>
        </is>
      </c>
      <c r="E2656" t="inlineStr">
        <is>
          <t>STRÖMSUND</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58445-2023</t>
        </is>
      </c>
      <c r="B2657" s="1" t="n">
        <v>45250</v>
      </c>
      <c r="C2657" s="1" t="n">
        <v>45740</v>
      </c>
      <c r="D2657" t="inlineStr">
        <is>
          <t>JÄMTLANDS LÄN</t>
        </is>
      </c>
      <c r="E2657" t="inlineStr">
        <is>
          <t>STRÖMSUND</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58580-2023</t>
        </is>
      </c>
      <c r="B2658" s="1" t="n">
        <v>45251</v>
      </c>
      <c r="C2658" s="1" t="n">
        <v>45740</v>
      </c>
      <c r="D2658" t="inlineStr">
        <is>
          <t>JÄMTLANDS LÄN</t>
        </is>
      </c>
      <c r="E2658" t="inlineStr">
        <is>
          <t>STRÖMSUND</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58587-2023</t>
        </is>
      </c>
      <c r="B2659" s="1" t="n">
        <v>45251</v>
      </c>
      <c r="C2659" s="1" t="n">
        <v>45740</v>
      </c>
      <c r="D2659" t="inlineStr">
        <is>
          <t>JÄMTLANDS LÄN</t>
        </is>
      </c>
      <c r="E2659" t="inlineStr">
        <is>
          <t>STRÖMSUND</t>
        </is>
      </c>
      <c r="F2659" t="inlineStr">
        <is>
          <t>Holmen skog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59108-2023</t>
        </is>
      </c>
      <c r="B2660" s="1" t="n">
        <v>45251</v>
      </c>
      <c r="C2660" s="1" t="n">
        <v>45740</v>
      </c>
      <c r="D2660" t="inlineStr">
        <is>
          <t>JÄMTLANDS LÄN</t>
        </is>
      </c>
      <c r="E2660" t="inlineStr">
        <is>
          <t>STRÖMSUND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59149-2023</t>
        </is>
      </c>
      <c r="B2661" s="1" t="n">
        <v>45251</v>
      </c>
      <c r="C2661" s="1" t="n">
        <v>45740</v>
      </c>
      <c r="D2661" t="inlineStr">
        <is>
          <t>JÄMTLANDS LÄN</t>
        </is>
      </c>
      <c r="E2661" t="inlineStr">
        <is>
          <t>STRÖMSUND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58871-2023</t>
        </is>
      </c>
      <c r="B2662" s="1" t="n">
        <v>45252</v>
      </c>
      <c r="C2662" s="1" t="n">
        <v>45740</v>
      </c>
      <c r="D2662" t="inlineStr">
        <is>
          <t>JÄMTLANDS LÄN</t>
        </is>
      </c>
      <c r="E2662" t="inlineStr">
        <is>
          <t>STRÖMSUND</t>
        </is>
      </c>
      <c r="F2662" t="inlineStr">
        <is>
          <t>Holmen skog AB</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58881-2023</t>
        </is>
      </c>
      <c r="B2663" s="1" t="n">
        <v>45252</v>
      </c>
      <c r="C2663" s="1" t="n">
        <v>45740</v>
      </c>
      <c r="D2663" t="inlineStr">
        <is>
          <t>JÄMTLANDS LÄN</t>
        </is>
      </c>
      <c r="E2663" t="inlineStr">
        <is>
          <t>STRÖMSUND</t>
        </is>
      </c>
      <c r="F2663" t="inlineStr">
        <is>
          <t>Holmen skog AB</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59097-2023</t>
        </is>
      </c>
      <c r="B2664" s="1" t="n">
        <v>45253</v>
      </c>
      <c r="C2664" s="1" t="n">
        <v>45740</v>
      </c>
      <c r="D2664" t="inlineStr">
        <is>
          <t>JÄMTLANDS LÄN</t>
        </is>
      </c>
      <c r="E2664" t="inlineStr">
        <is>
          <t>STRÖMSUND</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59334-2023</t>
        </is>
      </c>
      <c r="B2665" s="1" t="n">
        <v>45252</v>
      </c>
      <c r="C2665" s="1" t="n">
        <v>45740</v>
      </c>
      <c r="D2665" t="inlineStr">
        <is>
          <t>JÄMTLANDS LÄN</t>
        </is>
      </c>
      <c r="E2665" t="inlineStr">
        <is>
          <t>STRÖMSUND</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59360-2023</t>
        </is>
      </c>
      <c r="B2666" s="1" t="n">
        <v>45253</v>
      </c>
      <c r="C2666" s="1" t="n">
        <v>45740</v>
      </c>
      <c r="D2666" t="inlineStr">
        <is>
          <t>JÄMTLANDS LÄN</t>
        </is>
      </c>
      <c r="E2666" t="inlineStr">
        <is>
          <t>STRÖMSUND</t>
        </is>
      </c>
      <c r="F2666" t="inlineStr">
        <is>
          <t>Holmen skog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59358-2023</t>
        </is>
      </c>
      <c r="B2667" s="1" t="n">
        <v>45253</v>
      </c>
      <c r="C2667" s="1" t="n">
        <v>45740</v>
      </c>
      <c r="D2667" t="inlineStr">
        <is>
          <t>JÄMTLANDS LÄN</t>
        </is>
      </c>
      <c r="E2667" t="inlineStr">
        <is>
          <t>STRÖMSUND</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59403-2023</t>
        </is>
      </c>
      <c r="B2668" s="1" t="n">
        <v>45253</v>
      </c>
      <c r="C2668" s="1" t="n">
        <v>45740</v>
      </c>
      <c r="D2668" t="inlineStr">
        <is>
          <t>JÄMTLANDS LÄN</t>
        </is>
      </c>
      <c r="E2668" t="inlineStr">
        <is>
          <t>STRÖMSUND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59436-2023</t>
        </is>
      </c>
      <c r="B2669" s="1" t="n">
        <v>45253</v>
      </c>
      <c r="C2669" s="1" t="n">
        <v>45740</v>
      </c>
      <c r="D2669" t="inlineStr">
        <is>
          <t>JÄMTLANDS LÄN</t>
        </is>
      </c>
      <c r="E2669" t="inlineStr">
        <is>
          <t>STRÖMSUND</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59506-2023</t>
        </is>
      </c>
      <c r="B2670" s="1" t="n">
        <v>45253</v>
      </c>
      <c r="C2670" s="1" t="n">
        <v>45740</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59476-2023</t>
        </is>
      </c>
      <c r="B2671" s="1" t="n">
        <v>45254</v>
      </c>
      <c r="C2671" s="1" t="n">
        <v>45740</v>
      </c>
      <c r="D2671" t="inlineStr">
        <is>
          <t>JÄMTLANDS LÄN</t>
        </is>
      </c>
      <c r="E2671" t="inlineStr">
        <is>
          <t>STRÖMSUND</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59469-2023</t>
        </is>
      </c>
      <c r="B2672" s="1" t="n">
        <v>45254</v>
      </c>
      <c r="C2672" s="1" t="n">
        <v>45740</v>
      </c>
      <c r="D2672" t="inlineStr">
        <is>
          <t>JÄMTLANDS LÄN</t>
        </is>
      </c>
      <c r="E2672" t="inlineStr">
        <is>
          <t>STRÖMSUND</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59478-2023</t>
        </is>
      </c>
      <c r="B2673" s="1" t="n">
        <v>45254</v>
      </c>
      <c r="C2673" s="1" t="n">
        <v>45740</v>
      </c>
      <c r="D2673" t="inlineStr">
        <is>
          <t>JÄMTLANDS LÄN</t>
        </is>
      </c>
      <c r="E2673" t="inlineStr">
        <is>
          <t>STRÖMSUND</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59969-2023</t>
        </is>
      </c>
      <c r="B2674" s="1" t="n">
        <v>45254</v>
      </c>
      <c r="C2674" s="1" t="n">
        <v>45740</v>
      </c>
      <c r="D2674" t="inlineStr">
        <is>
          <t>JÄMTLANDS LÄN</t>
        </is>
      </c>
      <c r="E2674" t="inlineStr">
        <is>
          <t>STRÖMSUND</t>
        </is>
      </c>
      <c r="G2674" t="n">
        <v>23.3</v>
      </c>
      <c r="H2674" t="n">
        <v>0</v>
      </c>
      <c r="I2674" t="n">
        <v>0</v>
      </c>
      <c r="J2674" t="n">
        <v>0</v>
      </c>
      <c r="K2674" t="n">
        <v>0</v>
      </c>
      <c r="L2674" t="n">
        <v>0</v>
      </c>
      <c r="M2674" t="n">
        <v>0</v>
      </c>
      <c r="N2674" t="n">
        <v>0</v>
      </c>
      <c r="O2674" t="n">
        <v>0</v>
      </c>
      <c r="P2674" t="n">
        <v>0</v>
      </c>
      <c r="Q2674" t="n">
        <v>0</v>
      </c>
      <c r="R2674" s="2" t="inlineStr"/>
    </row>
    <row r="2675" ht="15" customHeight="1">
      <c r="A2675" t="inlineStr">
        <is>
          <t>A 59967-2023</t>
        </is>
      </c>
      <c r="B2675" s="1" t="n">
        <v>45254</v>
      </c>
      <c r="C2675" s="1" t="n">
        <v>45740</v>
      </c>
      <c r="D2675" t="inlineStr">
        <is>
          <t>JÄMTLANDS LÄN</t>
        </is>
      </c>
      <c r="E2675" t="inlineStr">
        <is>
          <t>STRÖMSUND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59742-2023</t>
        </is>
      </c>
      <c r="B2676" s="1" t="n">
        <v>45257</v>
      </c>
      <c r="C2676" s="1" t="n">
        <v>45740</v>
      </c>
      <c r="D2676" t="inlineStr">
        <is>
          <t>JÄMTLANDS LÄN</t>
        </is>
      </c>
      <c r="E2676" t="inlineStr">
        <is>
          <t>STRÖMSUND</t>
        </is>
      </c>
      <c r="F2676" t="inlineStr">
        <is>
          <t>Sveaskog</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60175-2023</t>
        </is>
      </c>
      <c r="B2677" s="1" t="n">
        <v>45257</v>
      </c>
      <c r="C2677" s="1" t="n">
        <v>45740</v>
      </c>
      <c r="D2677" t="inlineStr">
        <is>
          <t>JÄMTLANDS LÄN</t>
        </is>
      </c>
      <c r="E2677" t="inlineStr">
        <is>
          <t>STRÖMSUND</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60009-2023</t>
        </is>
      </c>
      <c r="B2678" s="1" t="n">
        <v>45258</v>
      </c>
      <c r="C2678" s="1" t="n">
        <v>45740</v>
      </c>
      <c r="D2678" t="inlineStr">
        <is>
          <t>JÄMTLANDS LÄN</t>
        </is>
      </c>
      <c r="E2678" t="inlineStr">
        <is>
          <t>STRÖMSUND</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60014-2023</t>
        </is>
      </c>
      <c r="B2679" s="1" t="n">
        <v>45258</v>
      </c>
      <c r="C2679" s="1" t="n">
        <v>45740</v>
      </c>
      <c r="D2679" t="inlineStr">
        <is>
          <t>JÄMTLANDS LÄN</t>
        </is>
      </c>
      <c r="E2679" t="inlineStr">
        <is>
          <t>STRÖMSUND</t>
        </is>
      </c>
      <c r="F2679" t="inlineStr">
        <is>
          <t>SCA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60166-2023</t>
        </is>
      </c>
      <c r="B2680" s="1" t="n">
        <v>45257</v>
      </c>
      <c r="C2680" s="1" t="n">
        <v>45740</v>
      </c>
      <c r="D2680" t="inlineStr">
        <is>
          <t>JÄMTLANDS LÄN</t>
        </is>
      </c>
      <c r="E2680" t="inlineStr">
        <is>
          <t>STRÖMSUND</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60010-2023</t>
        </is>
      </c>
      <c r="B2681" s="1" t="n">
        <v>45257</v>
      </c>
      <c r="C2681" s="1" t="n">
        <v>45740</v>
      </c>
      <c r="D2681" t="inlineStr">
        <is>
          <t>JÄMTLANDS LÄN</t>
        </is>
      </c>
      <c r="E2681" t="inlineStr">
        <is>
          <t>STRÖMSUND</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60517-2023</t>
        </is>
      </c>
      <c r="B2682" s="1" t="n">
        <v>45257</v>
      </c>
      <c r="C2682" s="1" t="n">
        <v>45740</v>
      </c>
      <c r="D2682" t="inlineStr">
        <is>
          <t>JÄMTLANDS LÄN</t>
        </is>
      </c>
      <c r="E2682" t="inlineStr">
        <is>
          <t>STRÖMSUND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60078-2023</t>
        </is>
      </c>
      <c r="B2683" s="1" t="n">
        <v>45258</v>
      </c>
      <c r="C2683" s="1" t="n">
        <v>45740</v>
      </c>
      <c r="D2683" t="inlineStr">
        <is>
          <t>JÄMTLANDS LÄN</t>
        </is>
      </c>
      <c r="E2683" t="inlineStr">
        <is>
          <t>STRÖMSUND</t>
        </is>
      </c>
      <c r="F2683" t="inlineStr">
        <is>
          <t>Holmen skog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60334-2023</t>
        </is>
      </c>
      <c r="B2684" s="1" t="n">
        <v>45258</v>
      </c>
      <c r="C2684" s="1" t="n">
        <v>45740</v>
      </c>
      <c r="D2684" t="inlineStr">
        <is>
          <t>JÄMTLANDS LÄN</t>
        </is>
      </c>
      <c r="E2684" t="inlineStr">
        <is>
          <t>STRÖMSUND</t>
        </is>
      </c>
      <c r="F2684" t="inlineStr">
        <is>
          <t>SCA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60335-2023</t>
        </is>
      </c>
      <c r="B2685" s="1" t="n">
        <v>45258</v>
      </c>
      <c r="C2685" s="1" t="n">
        <v>45740</v>
      </c>
      <c r="D2685" t="inlineStr">
        <is>
          <t>JÄMTLANDS LÄN</t>
        </is>
      </c>
      <c r="E2685" t="inlineStr">
        <is>
          <t>STRÖMSUND</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60661-2023</t>
        </is>
      </c>
      <c r="B2686" s="1" t="n">
        <v>45259</v>
      </c>
      <c r="C2686" s="1" t="n">
        <v>45740</v>
      </c>
      <c r="D2686" t="inlineStr">
        <is>
          <t>JÄMTLANDS LÄN</t>
        </is>
      </c>
      <c r="E2686" t="inlineStr">
        <is>
          <t>STRÖMSUND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60684-2023</t>
        </is>
      </c>
      <c r="B2687" s="1" t="n">
        <v>45259</v>
      </c>
      <c r="C2687" s="1" t="n">
        <v>45740</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60726-2023</t>
        </is>
      </c>
      <c r="B2688" s="1" t="n">
        <v>45259</v>
      </c>
      <c r="C2688" s="1" t="n">
        <v>45740</v>
      </c>
      <c r="D2688" t="inlineStr">
        <is>
          <t>JÄMTLANDS LÄN</t>
        </is>
      </c>
      <c r="E2688" t="inlineStr">
        <is>
          <t>STRÖMSUND</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60848-2023</t>
        </is>
      </c>
      <c r="B2689" s="1" t="n">
        <v>45260</v>
      </c>
      <c r="C2689" s="1" t="n">
        <v>45740</v>
      </c>
      <c r="D2689" t="inlineStr">
        <is>
          <t>JÄMTLANDS LÄN</t>
        </is>
      </c>
      <c r="E2689" t="inlineStr">
        <is>
          <t>STRÖMSUND</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60850-2023</t>
        </is>
      </c>
      <c r="B2690" s="1" t="n">
        <v>45260</v>
      </c>
      <c r="C2690" s="1" t="n">
        <v>45740</v>
      </c>
      <c r="D2690" t="inlineStr">
        <is>
          <t>JÄMTLANDS LÄN</t>
        </is>
      </c>
      <c r="E2690" t="inlineStr">
        <is>
          <t>STRÖMSUND</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60849-2023</t>
        </is>
      </c>
      <c r="B2691" s="1" t="n">
        <v>45260</v>
      </c>
      <c r="C2691" s="1" t="n">
        <v>45740</v>
      </c>
      <c r="D2691" t="inlineStr">
        <is>
          <t>JÄMTLANDS LÄN</t>
        </is>
      </c>
      <c r="E2691" t="inlineStr">
        <is>
          <t>STRÖMSUND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60894-2023</t>
        </is>
      </c>
      <c r="B2692" s="1" t="n">
        <v>45261</v>
      </c>
      <c r="C2692" s="1" t="n">
        <v>45740</v>
      </c>
      <c r="D2692" t="inlineStr">
        <is>
          <t>JÄMTLANDS LÄN</t>
        </is>
      </c>
      <c r="E2692" t="inlineStr">
        <is>
          <t>STRÖMSUND</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61131-2023</t>
        </is>
      </c>
      <c r="B2693" s="1" t="n">
        <v>45261</v>
      </c>
      <c r="C2693" s="1" t="n">
        <v>45740</v>
      </c>
      <c r="D2693" t="inlineStr">
        <is>
          <t>JÄMTLANDS LÄN</t>
        </is>
      </c>
      <c r="E2693" t="inlineStr">
        <is>
          <t>STRÖMSUND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61136-2023</t>
        </is>
      </c>
      <c r="B2694" s="1" t="n">
        <v>45261</v>
      </c>
      <c r="C2694" s="1" t="n">
        <v>45740</v>
      </c>
      <c r="D2694" t="inlineStr">
        <is>
          <t>JÄMTLANDS LÄN</t>
        </is>
      </c>
      <c r="E2694" t="inlineStr">
        <is>
          <t>STRÖMSUND</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61494-2023</t>
        </is>
      </c>
      <c r="B2695" s="1" t="n">
        <v>45264</v>
      </c>
      <c r="C2695" s="1" t="n">
        <v>45740</v>
      </c>
      <c r="D2695" t="inlineStr">
        <is>
          <t>JÄMTLANDS LÄN</t>
        </is>
      </c>
      <c r="E2695" t="inlineStr">
        <is>
          <t>STRÖMSUND</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61500-2023</t>
        </is>
      </c>
      <c r="B2696" s="1" t="n">
        <v>45264</v>
      </c>
      <c r="C2696" s="1" t="n">
        <v>45740</v>
      </c>
      <c r="D2696" t="inlineStr">
        <is>
          <t>JÄMTLANDS LÄN</t>
        </is>
      </c>
      <c r="E2696" t="inlineStr">
        <is>
          <t>STRÖMSUND</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61833-2023</t>
        </is>
      </c>
      <c r="B2697" s="1" t="n">
        <v>45264</v>
      </c>
      <c r="C2697" s="1" t="n">
        <v>45740</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62356-2023</t>
        </is>
      </c>
      <c r="B2698" s="1" t="n">
        <v>45267</v>
      </c>
      <c r="C2698" s="1" t="n">
        <v>45740</v>
      </c>
      <c r="D2698" t="inlineStr">
        <is>
          <t>JÄMTLANDS LÄN</t>
        </is>
      </c>
      <c r="E2698" t="inlineStr">
        <is>
          <t>STRÖMSUND</t>
        </is>
      </c>
      <c r="F2698" t="inlineStr">
        <is>
          <t>SCA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62543-2023</t>
        </is>
      </c>
      <c r="B2699" s="1" t="n">
        <v>45267</v>
      </c>
      <c r="C2699" s="1" t="n">
        <v>45740</v>
      </c>
      <c r="D2699" t="inlineStr">
        <is>
          <t>JÄMTLANDS LÄN</t>
        </is>
      </c>
      <c r="E2699" t="inlineStr">
        <is>
          <t>STRÖMSUND</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62544-2023</t>
        </is>
      </c>
      <c r="B2700" s="1" t="n">
        <v>45267</v>
      </c>
      <c r="C2700" s="1" t="n">
        <v>45740</v>
      </c>
      <c r="D2700" t="inlineStr">
        <is>
          <t>JÄMTLANDS LÄN</t>
        </is>
      </c>
      <c r="E2700" t="inlineStr">
        <is>
          <t>STRÖMSUND</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62470-2023</t>
        </is>
      </c>
      <c r="B2701" s="1" t="n">
        <v>45267</v>
      </c>
      <c r="C2701" s="1" t="n">
        <v>45740</v>
      </c>
      <c r="D2701" t="inlineStr">
        <is>
          <t>JÄMTLANDS LÄN</t>
        </is>
      </c>
      <c r="E2701" t="inlineStr">
        <is>
          <t>STRÖMSUND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62493-2023</t>
        </is>
      </c>
      <c r="B2702" s="1" t="n">
        <v>45268</v>
      </c>
      <c r="C2702" s="1" t="n">
        <v>45740</v>
      </c>
      <c r="D2702" t="inlineStr">
        <is>
          <t>JÄMTLANDS LÄN</t>
        </is>
      </c>
      <c r="E2702" t="inlineStr">
        <is>
          <t>STRÖMSUND</t>
        </is>
      </c>
      <c r="F2702" t="inlineStr">
        <is>
          <t>Holmen skog AB</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62760-2023</t>
        </is>
      </c>
      <c r="B2703" s="1" t="n">
        <v>45268</v>
      </c>
      <c r="C2703" s="1" t="n">
        <v>45740</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63054-2023</t>
        </is>
      </c>
      <c r="B2704" s="1" t="n">
        <v>45272</v>
      </c>
      <c r="C2704" s="1" t="n">
        <v>45740</v>
      </c>
      <c r="D2704" t="inlineStr">
        <is>
          <t>JÄMTLANDS LÄN</t>
        </is>
      </c>
      <c r="E2704" t="inlineStr">
        <is>
          <t>STRÖMSUND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63140-2023</t>
        </is>
      </c>
      <c r="B2705" s="1" t="n">
        <v>45273</v>
      </c>
      <c r="C2705" s="1" t="n">
        <v>45740</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63286-2023</t>
        </is>
      </c>
      <c r="B2706" s="1" t="n">
        <v>45273</v>
      </c>
      <c r="C2706" s="1" t="n">
        <v>45740</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63362-2023</t>
        </is>
      </c>
      <c r="B2707" s="1" t="n">
        <v>45273</v>
      </c>
      <c r="C2707" s="1" t="n">
        <v>45740</v>
      </c>
      <c r="D2707" t="inlineStr">
        <is>
          <t>JÄMTLANDS LÄN</t>
        </is>
      </c>
      <c r="E2707" t="inlineStr">
        <is>
          <t>STRÖMSUND</t>
        </is>
      </c>
      <c r="G2707" t="n">
        <v>17.9</v>
      </c>
      <c r="H2707" t="n">
        <v>0</v>
      </c>
      <c r="I2707" t="n">
        <v>0</v>
      </c>
      <c r="J2707" t="n">
        <v>0</v>
      </c>
      <c r="K2707" t="n">
        <v>0</v>
      </c>
      <c r="L2707" t="n">
        <v>0</v>
      </c>
      <c r="M2707" t="n">
        <v>0</v>
      </c>
      <c r="N2707" t="n">
        <v>0</v>
      </c>
      <c r="O2707" t="n">
        <v>0</v>
      </c>
      <c r="P2707" t="n">
        <v>0</v>
      </c>
      <c r="Q2707" t="n">
        <v>0</v>
      </c>
      <c r="R2707" s="2" t="inlineStr"/>
    </row>
    <row r="2708" ht="15" customHeight="1">
      <c r="A2708" t="inlineStr">
        <is>
          <t>A 63354-2023</t>
        </is>
      </c>
      <c r="B2708" s="1" t="n">
        <v>45273</v>
      </c>
      <c r="C2708" s="1" t="n">
        <v>45740</v>
      </c>
      <c r="D2708" t="inlineStr">
        <is>
          <t>JÄMTLANDS LÄN</t>
        </is>
      </c>
      <c r="E2708" t="inlineStr">
        <is>
          <t>STRÖMSUND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63287-2023</t>
        </is>
      </c>
      <c r="B2709" s="1" t="n">
        <v>45273</v>
      </c>
      <c r="C2709" s="1" t="n">
        <v>45740</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63291-2023</t>
        </is>
      </c>
      <c r="B2710" s="1" t="n">
        <v>45273</v>
      </c>
      <c r="C2710" s="1" t="n">
        <v>45740</v>
      </c>
      <c r="D2710" t="inlineStr">
        <is>
          <t>JÄMTLANDS LÄN</t>
        </is>
      </c>
      <c r="E2710" t="inlineStr">
        <is>
          <t>STRÖMSUND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63403-2023</t>
        </is>
      </c>
      <c r="B2711" s="1" t="n">
        <v>45274</v>
      </c>
      <c r="C2711" s="1" t="n">
        <v>45740</v>
      </c>
      <c r="D2711" t="inlineStr">
        <is>
          <t>JÄMTLANDS LÄN</t>
        </is>
      </c>
      <c r="E2711" t="inlineStr">
        <is>
          <t>STRÖMSUND</t>
        </is>
      </c>
      <c r="G2711" t="n">
        <v>16.9</v>
      </c>
      <c r="H2711" t="n">
        <v>0</v>
      </c>
      <c r="I2711" t="n">
        <v>0</v>
      </c>
      <c r="J2711" t="n">
        <v>0</v>
      </c>
      <c r="K2711" t="n">
        <v>0</v>
      </c>
      <c r="L2711" t="n">
        <v>0</v>
      </c>
      <c r="M2711" t="n">
        <v>0</v>
      </c>
      <c r="N2711" t="n">
        <v>0</v>
      </c>
      <c r="O2711" t="n">
        <v>0</v>
      </c>
      <c r="P2711" t="n">
        <v>0</v>
      </c>
      <c r="Q2711" t="n">
        <v>0</v>
      </c>
      <c r="R2711" s="2" t="inlineStr"/>
    </row>
    <row r="2712" ht="15" customHeight="1">
      <c r="A2712" t="inlineStr">
        <is>
          <t>A 63425-2023</t>
        </is>
      </c>
      <c r="B2712" s="1" t="n">
        <v>45274</v>
      </c>
      <c r="C2712" s="1" t="n">
        <v>45740</v>
      </c>
      <c r="D2712" t="inlineStr">
        <is>
          <t>JÄMTLANDS LÄN</t>
        </is>
      </c>
      <c r="E2712" t="inlineStr">
        <is>
          <t>STRÖMSUND</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63497-2023</t>
        </is>
      </c>
      <c r="B2713" s="1" t="n">
        <v>45274</v>
      </c>
      <c r="C2713" s="1" t="n">
        <v>45740</v>
      </c>
      <c r="D2713" t="inlineStr">
        <is>
          <t>JÄMTLANDS LÄN</t>
        </is>
      </c>
      <c r="E2713" t="inlineStr">
        <is>
          <t>STRÖMSUND</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63756-2023</t>
        </is>
      </c>
      <c r="B2714" s="1" t="n">
        <v>45278</v>
      </c>
      <c r="C2714" s="1" t="n">
        <v>45740</v>
      </c>
      <c r="D2714" t="inlineStr">
        <is>
          <t>JÄMTLANDS LÄN</t>
        </is>
      </c>
      <c r="E2714" t="inlineStr">
        <is>
          <t>STRÖMSUND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63754-2023</t>
        </is>
      </c>
      <c r="B2715" s="1" t="n">
        <v>45278</v>
      </c>
      <c r="C2715" s="1" t="n">
        <v>45740</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63753-2023</t>
        </is>
      </c>
      <c r="B2716" s="1" t="n">
        <v>45278</v>
      </c>
      <c r="C2716" s="1" t="n">
        <v>45740</v>
      </c>
      <c r="D2716" t="inlineStr">
        <is>
          <t>JÄMTLANDS LÄN</t>
        </is>
      </c>
      <c r="E2716" t="inlineStr">
        <is>
          <t>STRÖMSUND</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64007-2023</t>
        </is>
      </c>
      <c r="B2717" s="1" t="n">
        <v>45278</v>
      </c>
      <c r="C2717" s="1" t="n">
        <v>45740</v>
      </c>
      <c r="D2717" t="inlineStr">
        <is>
          <t>JÄMTLANDS LÄN</t>
        </is>
      </c>
      <c r="E2717" t="inlineStr">
        <is>
          <t>STRÖMSUND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64149-2023</t>
        </is>
      </c>
      <c r="B2718" s="1" t="n">
        <v>45279</v>
      </c>
      <c r="C2718" s="1" t="n">
        <v>45740</v>
      </c>
      <c r="D2718" t="inlineStr">
        <is>
          <t>JÄMTLANDS LÄN</t>
        </is>
      </c>
      <c r="E2718" t="inlineStr">
        <is>
          <t>STRÖMSUND</t>
        </is>
      </c>
      <c r="G2718" t="n">
        <v>12.7</v>
      </c>
      <c r="H2718" t="n">
        <v>0</v>
      </c>
      <c r="I2718" t="n">
        <v>0</v>
      </c>
      <c r="J2718" t="n">
        <v>0</v>
      </c>
      <c r="K2718" t="n">
        <v>0</v>
      </c>
      <c r="L2718" t="n">
        <v>0</v>
      </c>
      <c r="M2718" t="n">
        <v>0</v>
      </c>
      <c r="N2718" t="n">
        <v>0</v>
      </c>
      <c r="O2718" t="n">
        <v>0</v>
      </c>
      <c r="P2718" t="n">
        <v>0</v>
      </c>
      <c r="Q2718" t="n">
        <v>0</v>
      </c>
      <c r="R2718" s="2" t="inlineStr"/>
    </row>
    <row r="2719" ht="15" customHeight="1">
      <c r="A2719" t="inlineStr">
        <is>
          <t>A 64437-2023</t>
        </is>
      </c>
      <c r="B2719" s="1" t="n">
        <v>45280</v>
      </c>
      <c r="C2719" s="1" t="n">
        <v>45740</v>
      </c>
      <c r="D2719" t="inlineStr">
        <is>
          <t>JÄMTLANDS LÄN</t>
        </is>
      </c>
      <c r="E2719" t="inlineStr">
        <is>
          <t>STRÖMSUND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64505-2023</t>
        </is>
      </c>
      <c r="B2720" s="1" t="n">
        <v>45280</v>
      </c>
      <c r="C2720" s="1" t="n">
        <v>45740</v>
      </c>
      <c r="D2720" t="inlineStr">
        <is>
          <t>JÄMTLANDS LÄN</t>
        </is>
      </c>
      <c r="E2720" t="inlineStr">
        <is>
          <t>STRÖMSUND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64559-2023</t>
        </is>
      </c>
      <c r="B2721" s="1" t="n">
        <v>45281</v>
      </c>
      <c r="C2721" s="1" t="n">
        <v>45740</v>
      </c>
      <c r="D2721" t="inlineStr">
        <is>
          <t>JÄMTLANDS LÄN</t>
        </is>
      </c>
      <c r="E2721" t="inlineStr">
        <is>
          <t>STRÖMSUND</t>
        </is>
      </c>
      <c r="F2721" t="inlineStr">
        <is>
          <t>Kyrkan</t>
        </is>
      </c>
      <c r="G2721" t="n">
        <v>16.2</v>
      </c>
      <c r="H2721" t="n">
        <v>0</v>
      </c>
      <c r="I2721" t="n">
        <v>0</v>
      </c>
      <c r="J2721" t="n">
        <v>0</v>
      </c>
      <c r="K2721" t="n">
        <v>0</v>
      </c>
      <c r="L2721" t="n">
        <v>0</v>
      </c>
      <c r="M2721" t="n">
        <v>0</v>
      </c>
      <c r="N2721" t="n">
        <v>0</v>
      </c>
      <c r="O2721" t="n">
        <v>0</v>
      </c>
      <c r="P2721" t="n">
        <v>0</v>
      </c>
      <c r="Q2721" t="n">
        <v>0</v>
      </c>
      <c r="R2721" s="2" t="inlineStr"/>
    </row>
    <row r="2722" ht="15" customHeight="1">
      <c r="A2722" t="inlineStr">
        <is>
          <t>A 64599-2023</t>
        </is>
      </c>
      <c r="B2722" s="1" t="n">
        <v>45281</v>
      </c>
      <c r="C2722" s="1" t="n">
        <v>45740</v>
      </c>
      <c r="D2722" t="inlineStr">
        <is>
          <t>JÄMTLANDS LÄN</t>
        </is>
      </c>
      <c r="E2722" t="inlineStr">
        <is>
          <t>STRÖMSUND</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64759-2023</t>
        </is>
      </c>
      <c r="B2723" s="1" t="n">
        <v>45282</v>
      </c>
      <c r="C2723" s="1" t="n">
        <v>45740</v>
      </c>
      <c r="D2723" t="inlineStr">
        <is>
          <t>JÄMTLANDS LÄN</t>
        </is>
      </c>
      <c r="E2723" t="inlineStr">
        <is>
          <t>STRÖMSUND</t>
        </is>
      </c>
      <c r="G2723" t="n">
        <v>25.2</v>
      </c>
      <c r="H2723" t="n">
        <v>0</v>
      </c>
      <c r="I2723" t="n">
        <v>0</v>
      </c>
      <c r="J2723" t="n">
        <v>0</v>
      </c>
      <c r="K2723" t="n">
        <v>0</v>
      </c>
      <c r="L2723" t="n">
        <v>0</v>
      </c>
      <c r="M2723" t="n">
        <v>0</v>
      </c>
      <c r="N2723" t="n">
        <v>0</v>
      </c>
      <c r="O2723" t="n">
        <v>0</v>
      </c>
      <c r="P2723" t="n">
        <v>0</v>
      </c>
      <c r="Q2723" t="n">
        <v>0</v>
      </c>
      <c r="R2723" s="2" t="inlineStr"/>
    </row>
    <row r="2724" ht="15" customHeight="1">
      <c r="A2724" t="inlineStr">
        <is>
          <t>A 6-2024</t>
        </is>
      </c>
      <c r="B2724" s="1" t="n">
        <v>45293</v>
      </c>
      <c r="C2724" s="1" t="n">
        <v>45740</v>
      </c>
      <c r="D2724" t="inlineStr">
        <is>
          <t>JÄMTLANDS LÄN</t>
        </is>
      </c>
      <c r="E2724" t="inlineStr">
        <is>
          <t>STRÖMSUND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254-2024</t>
        </is>
      </c>
      <c r="B2725" s="1" t="n">
        <v>45294</v>
      </c>
      <c r="C2725" s="1" t="n">
        <v>45740</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247-2024</t>
        </is>
      </c>
      <c r="B2726" s="1" t="n">
        <v>45294</v>
      </c>
      <c r="C2726" s="1" t="n">
        <v>45740</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508-2024</t>
        </is>
      </c>
      <c r="B2727" s="1" t="n">
        <v>45299</v>
      </c>
      <c r="C2727" s="1" t="n">
        <v>45740</v>
      </c>
      <c r="D2727" t="inlineStr">
        <is>
          <t>JÄMTLANDS LÄN</t>
        </is>
      </c>
      <c r="E2727" t="inlineStr">
        <is>
          <t>STRÖMSUND</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655-2024</t>
        </is>
      </c>
      <c r="B2728" s="1" t="n">
        <v>45299</v>
      </c>
      <c r="C2728" s="1" t="n">
        <v>45740</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872-2024</t>
        </is>
      </c>
      <c r="B2729" s="1" t="n">
        <v>45301</v>
      </c>
      <c r="C2729" s="1" t="n">
        <v>45740</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1053-2024</t>
        </is>
      </c>
      <c r="B2730" s="1" t="n">
        <v>45302</v>
      </c>
      <c r="C2730" s="1" t="n">
        <v>45740</v>
      </c>
      <c r="D2730" t="inlineStr">
        <is>
          <t>JÄMTLANDS LÄN</t>
        </is>
      </c>
      <c r="E2730" t="inlineStr">
        <is>
          <t>STRÖMSUND</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1055-2024</t>
        </is>
      </c>
      <c r="B2731" s="1" t="n">
        <v>45302</v>
      </c>
      <c r="C2731" s="1" t="n">
        <v>45740</v>
      </c>
      <c r="D2731" t="inlineStr">
        <is>
          <t>JÄMTLANDS LÄN</t>
        </is>
      </c>
      <c r="E2731" t="inlineStr">
        <is>
          <t>STRÖMSUND</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1226-2024</t>
        </is>
      </c>
      <c r="B2732" s="1" t="n">
        <v>45302</v>
      </c>
      <c r="C2732" s="1" t="n">
        <v>45740</v>
      </c>
      <c r="D2732" t="inlineStr">
        <is>
          <t>JÄMTLANDS LÄN</t>
        </is>
      </c>
      <c r="E2732" t="inlineStr">
        <is>
          <t>STRÖMSUND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1271-2024</t>
        </is>
      </c>
      <c r="B2733" s="1" t="n">
        <v>45302</v>
      </c>
      <c r="C2733" s="1" t="n">
        <v>45740</v>
      </c>
      <c r="D2733" t="inlineStr">
        <is>
          <t>JÄMTLANDS LÄN</t>
        </is>
      </c>
      <c r="E2733" t="inlineStr">
        <is>
          <t>STRÖMSUND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1113-2024</t>
        </is>
      </c>
      <c r="B2734" s="1" t="n">
        <v>45302</v>
      </c>
      <c r="C2734" s="1" t="n">
        <v>45740</v>
      </c>
      <c r="D2734" t="inlineStr">
        <is>
          <t>JÄMTLANDS LÄN</t>
        </is>
      </c>
      <c r="E2734" t="inlineStr">
        <is>
          <t>STRÖMSUND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1270-2024</t>
        </is>
      </c>
      <c r="B2735" s="1" t="n">
        <v>45302</v>
      </c>
      <c r="C2735" s="1" t="n">
        <v>45740</v>
      </c>
      <c r="D2735" t="inlineStr">
        <is>
          <t>JÄMTLANDS LÄN</t>
        </is>
      </c>
      <c r="E2735" t="inlineStr">
        <is>
          <t>STRÖMSUND</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1609-2024</t>
        </is>
      </c>
      <c r="B2736" s="1" t="n">
        <v>45306</v>
      </c>
      <c r="C2736" s="1" t="n">
        <v>45740</v>
      </c>
      <c r="D2736" t="inlineStr">
        <is>
          <t>JÄMTLANDS LÄN</t>
        </is>
      </c>
      <c r="E2736" t="inlineStr">
        <is>
          <t>STRÖMSUND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1676-2024</t>
        </is>
      </c>
      <c r="B2737" s="1" t="n">
        <v>45307</v>
      </c>
      <c r="C2737" s="1" t="n">
        <v>45740</v>
      </c>
      <c r="D2737" t="inlineStr">
        <is>
          <t>JÄMTLANDS LÄN</t>
        </is>
      </c>
      <c r="E2737" t="inlineStr">
        <is>
          <t>STRÖMSUND</t>
        </is>
      </c>
      <c r="F2737" t="inlineStr">
        <is>
          <t>SCA</t>
        </is>
      </c>
      <c r="G2737" t="n">
        <v>29.6</v>
      </c>
      <c r="H2737" t="n">
        <v>0</v>
      </c>
      <c r="I2737" t="n">
        <v>0</v>
      </c>
      <c r="J2737" t="n">
        <v>0</v>
      </c>
      <c r="K2737" t="n">
        <v>0</v>
      </c>
      <c r="L2737" t="n">
        <v>0</v>
      </c>
      <c r="M2737" t="n">
        <v>0</v>
      </c>
      <c r="N2737" t="n">
        <v>0</v>
      </c>
      <c r="O2737" t="n">
        <v>0</v>
      </c>
      <c r="P2737" t="n">
        <v>0</v>
      </c>
      <c r="Q2737" t="n">
        <v>0</v>
      </c>
      <c r="R2737" s="2" t="inlineStr"/>
    </row>
    <row r="2738" ht="15" customHeight="1">
      <c r="A2738" t="inlineStr">
        <is>
          <t>A 1677-2024</t>
        </is>
      </c>
      <c r="B2738" s="1" t="n">
        <v>45307</v>
      </c>
      <c r="C2738" s="1" t="n">
        <v>45740</v>
      </c>
      <c r="D2738" t="inlineStr">
        <is>
          <t>JÄMTLANDS LÄN</t>
        </is>
      </c>
      <c r="E2738" t="inlineStr">
        <is>
          <t>STRÖMSUND</t>
        </is>
      </c>
      <c r="F2738" t="inlineStr">
        <is>
          <t>SCA</t>
        </is>
      </c>
      <c r="G2738" t="n">
        <v>30.1</v>
      </c>
      <c r="H2738" t="n">
        <v>0</v>
      </c>
      <c r="I2738" t="n">
        <v>0</v>
      </c>
      <c r="J2738" t="n">
        <v>0</v>
      </c>
      <c r="K2738" t="n">
        <v>0</v>
      </c>
      <c r="L2738" t="n">
        <v>0</v>
      </c>
      <c r="M2738" t="n">
        <v>0</v>
      </c>
      <c r="N2738" t="n">
        <v>0</v>
      </c>
      <c r="O2738" t="n">
        <v>0</v>
      </c>
      <c r="P2738" t="n">
        <v>0</v>
      </c>
      <c r="Q2738" t="n">
        <v>0</v>
      </c>
      <c r="R2738" s="2" t="inlineStr"/>
    </row>
    <row r="2739" ht="15" customHeight="1">
      <c r="A2739" t="inlineStr">
        <is>
          <t>A 1798-2024</t>
        </is>
      </c>
      <c r="B2739" s="1" t="n">
        <v>45307</v>
      </c>
      <c r="C2739" s="1" t="n">
        <v>45740</v>
      </c>
      <c r="D2739" t="inlineStr">
        <is>
          <t>JÄMTLANDS LÄN</t>
        </is>
      </c>
      <c r="E2739" t="inlineStr">
        <is>
          <t>STRÖMSUND</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1801-2024</t>
        </is>
      </c>
      <c r="B2740" s="1" t="n">
        <v>45307</v>
      </c>
      <c r="C2740" s="1" t="n">
        <v>45740</v>
      </c>
      <c r="D2740" t="inlineStr">
        <is>
          <t>JÄMTLANDS LÄN</t>
        </is>
      </c>
      <c r="E2740" t="inlineStr">
        <is>
          <t>STRÖMSUND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1929-2024</t>
        </is>
      </c>
      <c r="B2741" s="1" t="n">
        <v>45308</v>
      </c>
      <c r="C2741" s="1" t="n">
        <v>45740</v>
      </c>
      <c r="D2741" t="inlineStr">
        <is>
          <t>JÄMTLANDS LÄN</t>
        </is>
      </c>
      <c r="E2741" t="inlineStr">
        <is>
          <t>STRÖMSUND</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2109-2024</t>
        </is>
      </c>
      <c r="B2742" s="1" t="n">
        <v>45309</v>
      </c>
      <c r="C2742" s="1" t="n">
        <v>45740</v>
      </c>
      <c r="D2742" t="inlineStr">
        <is>
          <t>JÄMTLANDS LÄN</t>
        </is>
      </c>
      <c r="E2742" t="inlineStr">
        <is>
          <t>STRÖMSUND</t>
        </is>
      </c>
      <c r="G2742" t="n">
        <v>23.5</v>
      </c>
      <c r="H2742" t="n">
        <v>0</v>
      </c>
      <c r="I2742" t="n">
        <v>0</v>
      </c>
      <c r="J2742" t="n">
        <v>0</v>
      </c>
      <c r="K2742" t="n">
        <v>0</v>
      </c>
      <c r="L2742" t="n">
        <v>0</v>
      </c>
      <c r="M2742" t="n">
        <v>0</v>
      </c>
      <c r="N2742" t="n">
        <v>0</v>
      </c>
      <c r="O2742" t="n">
        <v>0</v>
      </c>
      <c r="P2742" t="n">
        <v>0</v>
      </c>
      <c r="Q2742" t="n">
        <v>0</v>
      </c>
      <c r="R2742" s="2" t="inlineStr"/>
    </row>
    <row r="2743" ht="15" customHeight="1">
      <c r="A2743" t="inlineStr">
        <is>
          <t>A 2625-2024</t>
        </is>
      </c>
      <c r="B2743" s="1" t="n">
        <v>45313</v>
      </c>
      <c r="C2743" s="1" t="n">
        <v>45740</v>
      </c>
      <c r="D2743" t="inlineStr">
        <is>
          <t>JÄMTLANDS LÄN</t>
        </is>
      </c>
      <c r="E2743" t="inlineStr">
        <is>
          <t>STRÖMSUND</t>
        </is>
      </c>
      <c r="F2743" t="inlineStr">
        <is>
          <t>SCA</t>
        </is>
      </c>
      <c r="G2743" t="n">
        <v>32.2</v>
      </c>
      <c r="H2743" t="n">
        <v>0</v>
      </c>
      <c r="I2743" t="n">
        <v>0</v>
      </c>
      <c r="J2743" t="n">
        <v>0</v>
      </c>
      <c r="K2743" t="n">
        <v>0</v>
      </c>
      <c r="L2743" t="n">
        <v>0</v>
      </c>
      <c r="M2743" t="n">
        <v>0</v>
      </c>
      <c r="N2743" t="n">
        <v>0</v>
      </c>
      <c r="O2743" t="n">
        <v>0</v>
      </c>
      <c r="P2743" t="n">
        <v>0</v>
      </c>
      <c r="Q2743" t="n">
        <v>0</v>
      </c>
      <c r="R2743" s="2" t="inlineStr"/>
    </row>
    <row r="2744" ht="15" customHeight="1">
      <c r="A2744" t="inlineStr">
        <is>
          <t>A 2619-2024</t>
        </is>
      </c>
      <c r="B2744" s="1" t="n">
        <v>45313</v>
      </c>
      <c r="C2744" s="1" t="n">
        <v>45740</v>
      </c>
      <c r="D2744" t="inlineStr">
        <is>
          <t>JÄMTLANDS LÄN</t>
        </is>
      </c>
      <c r="E2744" t="inlineStr">
        <is>
          <t>STRÖMSUND</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2623-2024</t>
        </is>
      </c>
      <c r="B2745" s="1" t="n">
        <v>45313</v>
      </c>
      <c r="C2745" s="1" t="n">
        <v>45740</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2626-2024</t>
        </is>
      </c>
      <c r="B2746" s="1" t="n">
        <v>45313</v>
      </c>
      <c r="C2746" s="1" t="n">
        <v>45740</v>
      </c>
      <c r="D2746" t="inlineStr">
        <is>
          <t>JÄMTLANDS LÄN</t>
        </is>
      </c>
      <c r="E2746" t="inlineStr">
        <is>
          <t>STRÖMSUND</t>
        </is>
      </c>
      <c r="F2746" t="inlineStr">
        <is>
          <t>SCA</t>
        </is>
      </c>
      <c r="G2746" t="n">
        <v>22.4</v>
      </c>
      <c r="H2746" t="n">
        <v>0</v>
      </c>
      <c r="I2746" t="n">
        <v>0</v>
      </c>
      <c r="J2746" t="n">
        <v>0</v>
      </c>
      <c r="K2746" t="n">
        <v>0</v>
      </c>
      <c r="L2746" t="n">
        <v>0</v>
      </c>
      <c r="M2746" t="n">
        <v>0</v>
      </c>
      <c r="N2746" t="n">
        <v>0</v>
      </c>
      <c r="O2746" t="n">
        <v>0</v>
      </c>
      <c r="P2746" t="n">
        <v>0</v>
      </c>
      <c r="Q2746" t="n">
        <v>0</v>
      </c>
      <c r="R2746" s="2" t="inlineStr"/>
    </row>
    <row r="2747" ht="15" customHeight="1">
      <c r="A2747" t="inlineStr">
        <is>
          <t>A 2624-2024</t>
        </is>
      </c>
      <c r="B2747" s="1" t="n">
        <v>45313</v>
      </c>
      <c r="C2747" s="1" t="n">
        <v>45740</v>
      </c>
      <c r="D2747" t="inlineStr">
        <is>
          <t>JÄMTLANDS LÄN</t>
        </is>
      </c>
      <c r="E2747" t="inlineStr">
        <is>
          <t>STRÖMSUND</t>
        </is>
      </c>
      <c r="F2747" t="inlineStr">
        <is>
          <t>SCA</t>
        </is>
      </c>
      <c r="G2747" t="n">
        <v>41.4</v>
      </c>
      <c r="H2747" t="n">
        <v>0</v>
      </c>
      <c r="I2747" t="n">
        <v>0</v>
      </c>
      <c r="J2747" t="n">
        <v>0</v>
      </c>
      <c r="K2747" t="n">
        <v>0</v>
      </c>
      <c r="L2747" t="n">
        <v>0</v>
      </c>
      <c r="M2747" t="n">
        <v>0</v>
      </c>
      <c r="N2747" t="n">
        <v>0</v>
      </c>
      <c r="O2747" t="n">
        <v>0</v>
      </c>
      <c r="P2747" t="n">
        <v>0</v>
      </c>
      <c r="Q2747" t="n">
        <v>0</v>
      </c>
      <c r="R2747" s="2" t="inlineStr"/>
    </row>
    <row r="2748" ht="15" customHeight="1">
      <c r="A2748" t="inlineStr">
        <is>
          <t>A 2663-2024</t>
        </is>
      </c>
      <c r="B2748" s="1" t="n">
        <v>45314</v>
      </c>
      <c r="C2748" s="1" t="n">
        <v>45740</v>
      </c>
      <c r="D2748" t="inlineStr">
        <is>
          <t>JÄMTLANDS LÄN</t>
        </is>
      </c>
      <c r="E2748" t="inlineStr">
        <is>
          <t>STRÖMSUND</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2643-2024</t>
        </is>
      </c>
      <c r="B2749" s="1" t="n">
        <v>45314</v>
      </c>
      <c r="C2749" s="1" t="n">
        <v>45740</v>
      </c>
      <c r="D2749" t="inlineStr">
        <is>
          <t>JÄMTLANDS LÄN</t>
        </is>
      </c>
      <c r="E2749" t="inlineStr">
        <is>
          <t>STRÖMSUND</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3239-2024</t>
        </is>
      </c>
      <c r="B2750" s="1" t="n">
        <v>45316</v>
      </c>
      <c r="C2750" s="1" t="n">
        <v>45740</v>
      </c>
      <c r="D2750" t="inlineStr">
        <is>
          <t>JÄMTLANDS LÄN</t>
        </is>
      </c>
      <c r="E2750" t="inlineStr">
        <is>
          <t>STRÖMSUND</t>
        </is>
      </c>
      <c r="F2750" t="inlineStr">
        <is>
          <t>SCA</t>
        </is>
      </c>
      <c r="G2750" t="n">
        <v>26.1</v>
      </c>
      <c r="H2750" t="n">
        <v>0</v>
      </c>
      <c r="I2750" t="n">
        <v>0</v>
      </c>
      <c r="J2750" t="n">
        <v>0</v>
      </c>
      <c r="K2750" t="n">
        <v>0</v>
      </c>
      <c r="L2750" t="n">
        <v>0</v>
      </c>
      <c r="M2750" t="n">
        <v>0</v>
      </c>
      <c r="N2750" t="n">
        <v>0</v>
      </c>
      <c r="O2750" t="n">
        <v>0</v>
      </c>
      <c r="P2750" t="n">
        <v>0</v>
      </c>
      <c r="Q2750" t="n">
        <v>0</v>
      </c>
      <c r="R2750" s="2" t="inlineStr"/>
    </row>
    <row r="2751" ht="15" customHeight="1">
      <c r="A2751" t="inlineStr">
        <is>
          <t>A 3519-2024</t>
        </is>
      </c>
      <c r="B2751" s="1" t="n">
        <v>45320</v>
      </c>
      <c r="C2751" s="1" t="n">
        <v>45740</v>
      </c>
      <c r="D2751" t="inlineStr">
        <is>
          <t>JÄMTLANDS LÄN</t>
        </is>
      </c>
      <c r="E2751" t="inlineStr">
        <is>
          <t>STRÖMSUND</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3623-2024</t>
        </is>
      </c>
      <c r="B2752" s="1" t="n">
        <v>45320</v>
      </c>
      <c r="C2752" s="1" t="n">
        <v>45740</v>
      </c>
      <c r="D2752" t="inlineStr">
        <is>
          <t>JÄMTLANDS LÄN</t>
        </is>
      </c>
      <c r="E2752" t="inlineStr">
        <is>
          <t>STRÖMSUND</t>
        </is>
      </c>
      <c r="F2752" t="inlineStr">
        <is>
          <t>SCA</t>
        </is>
      </c>
      <c r="G2752" t="n">
        <v>22.9</v>
      </c>
      <c r="H2752" t="n">
        <v>0</v>
      </c>
      <c r="I2752" t="n">
        <v>0</v>
      </c>
      <c r="J2752" t="n">
        <v>0</v>
      </c>
      <c r="K2752" t="n">
        <v>0</v>
      </c>
      <c r="L2752" t="n">
        <v>0</v>
      </c>
      <c r="M2752" t="n">
        <v>0</v>
      </c>
      <c r="N2752" t="n">
        <v>0</v>
      </c>
      <c r="O2752" t="n">
        <v>0</v>
      </c>
      <c r="P2752" t="n">
        <v>0</v>
      </c>
      <c r="Q2752" t="n">
        <v>0</v>
      </c>
      <c r="R2752" s="2" t="inlineStr"/>
    </row>
    <row r="2753" ht="15" customHeight="1">
      <c r="A2753" t="inlineStr">
        <is>
          <t>A 3629-2024</t>
        </is>
      </c>
      <c r="B2753" s="1" t="n">
        <v>45320</v>
      </c>
      <c r="C2753" s="1" t="n">
        <v>45740</v>
      </c>
      <c r="D2753" t="inlineStr">
        <is>
          <t>JÄMTLANDS LÄN</t>
        </is>
      </c>
      <c r="E2753" t="inlineStr">
        <is>
          <t>STRÖMSUND</t>
        </is>
      </c>
      <c r="F2753" t="inlineStr">
        <is>
          <t>SCA</t>
        </is>
      </c>
      <c r="G2753" t="n">
        <v>29.9</v>
      </c>
      <c r="H2753" t="n">
        <v>0</v>
      </c>
      <c r="I2753" t="n">
        <v>0</v>
      </c>
      <c r="J2753" t="n">
        <v>0</v>
      </c>
      <c r="K2753" t="n">
        <v>0</v>
      </c>
      <c r="L2753" t="n">
        <v>0</v>
      </c>
      <c r="M2753" t="n">
        <v>0</v>
      </c>
      <c r="N2753" t="n">
        <v>0</v>
      </c>
      <c r="O2753" t="n">
        <v>0</v>
      </c>
      <c r="P2753" t="n">
        <v>0</v>
      </c>
      <c r="Q2753" t="n">
        <v>0</v>
      </c>
      <c r="R2753" s="2" t="inlineStr"/>
    </row>
    <row r="2754" ht="15" customHeight="1">
      <c r="A2754" t="inlineStr">
        <is>
          <t>A 3622-2024</t>
        </is>
      </c>
      <c r="B2754" s="1" t="n">
        <v>45320</v>
      </c>
      <c r="C2754" s="1" t="n">
        <v>45740</v>
      </c>
      <c r="D2754" t="inlineStr">
        <is>
          <t>JÄMTLANDS LÄN</t>
        </is>
      </c>
      <c r="E2754" t="inlineStr">
        <is>
          <t>STRÖMSUND</t>
        </is>
      </c>
      <c r="F2754" t="inlineStr">
        <is>
          <t>SCA</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3628-2024</t>
        </is>
      </c>
      <c r="B2755" s="1" t="n">
        <v>45320</v>
      </c>
      <c r="C2755" s="1" t="n">
        <v>45740</v>
      </c>
      <c r="D2755" t="inlineStr">
        <is>
          <t>JÄMTLANDS LÄN</t>
        </is>
      </c>
      <c r="E2755" t="inlineStr">
        <is>
          <t>STRÖMSUND</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3743-2024</t>
        </is>
      </c>
      <c r="B2756" s="1" t="n">
        <v>45321</v>
      </c>
      <c r="C2756" s="1" t="n">
        <v>45740</v>
      </c>
      <c r="D2756" t="inlineStr">
        <is>
          <t>JÄMTLANDS LÄN</t>
        </is>
      </c>
      <c r="E2756" t="inlineStr">
        <is>
          <t>STRÖMSUND</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3835-2024</t>
        </is>
      </c>
      <c r="B2757" s="1" t="n">
        <v>45321</v>
      </c>
      <c r="C2757" s="1" t="n">
        <v>45740</v>
      </c>
      <c r="D2757" t="inlineStr">
        <is>
          <t>JÄMTLANDS LÄN</t>
        </is>
      </c>
      <c r="E2757" t="inlineStr">
        <is>
          <t>STRÖMSUND</t>
        </is>
      </c>
      <c r="F2757" t="inlineStr">
        <is>
          <t>SCA</t>
        </is>
      </c>
      <c r="G2757" t="n">
        <v>28.5</v>
      </c>
      <c r="H2757" t="n">
        <v>0</v>
      </c>
      <c r="I2757" t="n">
        <v>0</v>
      </c>
      <c r="J2757" t="n">
        <v>0</v>
      </c>
      <c r="K2757" t="n">
        <v>0</v>
      </c>
      <c r="L2757" t="n">
        <v>0</v>
      </c>
      <c r="M2757" t="n">
        <v>0</v>
      </c>
      <c r="N2757" t="n">
        <v>0</v>
      </c>
      <c r="O2757" t="n">
        <v>0</v>
      </c>
      <c r="P2757" t="n">
        <v>0</v>
      </c>
      <c r="Q2757" t="n">
        <v>0</v>
      </c>
      <c r="R2757" s="2" t="inlineStr"/>
    </row>
    <row r="2758" ht="15" customHeight="1">
      <c r="A2758" t="inlineStr">
        <is>
          <t>A 3834-2024</t>
        </is>
      </c>
      <c r="B2758" s="1" t="n">
        <v>45321</v>
      </c>
      <c r="C2758" s="1" t="n">
        <v>45740</v>
      </c>
      <c r="D2758" t="inlineStr">
        <is>
          <t>JÄMTLANDS LÄN</t>
        </is>
      </c>
      <c r="E2758" t="inlineStr">
        <is>
          <t>STRÖMSUND</t>
        </is>
      </c>
      <c r="F2758" t="inlineStr">
        <is>
          <t>SCA</t>
        </is>
      </c>
      <c r="G2758" t="n">
        <v>30.9</v>
      </c>
      <c r="H2758" t="n">
        <v>0</v>
      </c>
      <c r="I2758" t="n">
        <v>0</v>
      </c>
      <c r="J2758" t="n">
        <v>0</v>
      </c>
      <c r="K2758" t="n">
        <v>0</v>
      </c>
      <c r="L2758" t="n">
        <v>0</v>
      </c>
      <c r="M2758" t="n">
        <v>0</v>
      </c>
      <c r="N2758" t="n">
        <v>0</v>
      </c>
      <c r="O2758" t="n">
        <v>0</v>
      </c>
      <c r="P2758" t="n">
        <v>0</v>
      </c>
      <c r="Q2758" t="n">
        <v>0</v>
      </c>
      <c r="R2758" s="2" t="inlineStr"/>
    </row>
    <row r="2759" ht="15" customHeight="1">
      <c r="A2759" t="inlineStr">
        <is>
          <t>A 3841-2024</t>
        </is>
      </c>
      <c r="B2759" s="1" t="n">
        <v>45321</v>
      </c>
      <c r="C2759" s="1" t="n">
        <v>45740</v>
      </c>
      <c r="D2759" t="inlineStr">
        <is>
          <t>JÄMTLANDS LÄN</t>
        </is>
      </c>
      <c r="E2759" t="inlineStr">
        <is>
          <t>STRÖMSUND</t>
        </is>
      </c>
      <c r="F2759" t="inlineStr">
        <is>
          <t>SCA</t>
        </is>
      </c>
      <c r="G2759" t="n">
        <v>19.4</v>
      </c>
      <c r="H2759" t="n">
        <v>0</v>
      </c>
      <c r="I2759" t="n">
        <v>0</v>
      </c>
      <c r="J2759" t="n">
        <v>0</v>
      </c>
      <c r="K2759" t="n">
        <v>0</v>
      </c>
      <c r="L2759" t="n">
        <v>0</v>
      </c>
      <c r="M2759" t="n">
        <v>0</v>
      </c>
      <c r="N2759" t="n">
        <v>0</v>
      </c>
      <c r="O2759" t="n">
        <v>0</v>
      </c>
      <c r="P2759" t="n">
        <v>0</v>
      </c>
      <c r="Q2759" t="n">
        <v>0</v>
      </c>
      <c r="R2759" s="2" t="inlineStr"/>
    </row>
    <row r="2760" ht="15" customHeight="1">
      <c r="A2760" t="inlineStr">
        <is>
          <t>A 3994-2024</t>
        </is>
      </c>
      <c r="B2760" s="1" t="n">
        <v>45322</v>
      </c>
      <c r="C2760" s="1" t="n">
        <v>45740</v>
      </c>
      <c r="D2760" t="inlineStr">
        <is>
          <t>JÄMTLANDS LÄN</t>
        </is>
      </c>
      <c r="E2760" t="inlineStr">
        <is>
          <t>STRÖMSUND</t>
        </is>
      </c>
      <c r="F2760" t="inlineStr">
        <is>
          <t>SCA</t>
        </is>
      </c>
      <c r="G2760" t="n">
        <v>40.8</v>
      </c>
      <c r="H2760" t="n">
        <v>0</v>
      </c>
      <c r="I2760" t="n">
        <v>0</v>
      </c>
      <c r="J2760" t="n">
        <v>0</v>
      </c>
      <c r="K2760" t="n">
        <v>0</v>
      </c>
      <c r="L2760" t="n">
        <v>0</v>
      </c>
      <c r="M2760" t="n">
        <v>0</v>
      </c>
      <c r="N2760" t="n">
        <v>0</v>
      </c>
      <c r="O2760" t="n">
        <v>0</v>
      </c>
      <c r="P2760" t="n">
        <v>0</v>
      </c>
      <c r="Q2760" t="n">
        <v>0</v>
      </c>
      <c r="R2760" s="2" t="inlineStr"/>
    </row>
    <row r="2761" ht="15" customHeight="1">
      <c r="A2761" t="inlineStr">
        <is>
          <t>A 3997-2024</t>
        </is>
      </c>
      <c r="B2761" s="1" t="n">
        <v>45322</v>
      </c>
      <c r="C2761" s="1" t="n">
        <v>45740</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4178-2024</t>
        </is>
      </c>
      <c r="B2762" s="1" t="n">
        <v>45323</v>
      </c>
      <c r="C2762" s="1" t="n">
        <v>45740</v>
      </c>
      <c r="D2762" t="inlineStr">
        <is>
          <t>JÄMTLANDS LÄN</t>
        </is>
      </c>
      <c r="E2762" t="inlineStr">
        <is>
          <t>STRÖMSUND</t>
        </is>
      </c>
      <c r="F2762" t="inlineStr">
        <is>
          <t>SCA</t>
        </is>
      </c>
      <c r="G2762" t="n">
        <v>36.4</v>
      </c>
      <c r="H2762" t="n">
        <v>0</v>
      </c>
      <c r="I2762" t="n">
        <v>0</v>
      </c>
      <c r="J2762" t="n">
        <v>0</v>
      </c>
      <c r="K2762" t="n">
        <v>0</v>
      </c>
      <c r="L2762" t="n">
        <v>0</v>
      </c>
      <c r="M2762" t="n">
        <v>0</v>
      </c>
      <c r="N2762" t="n">
        <v>0</v>
      </c>
      <c r="O2762" t="n">
        <v>0</v>
      </c>
      <c r="P2762" t="n">
        <v>0</v>
      </c>
      <c r="Q2762" t="n">
        <v>0</v>
      </c>
      <c r="R2762" s="2" t="inlineStr"/>
    </row>
    <row r="2763" ht="15" customHeight="1">
      <c r="A2763" t="inlineStr">
        <is>
          <t>A 4177-2024</t>
        </is>
      </c>
      <c r="B2763" s="1" t="n">
        <v>45323</v>
      </c>
      <c r="C2763" s="1" t="n">
        <v>45740</v>
      </c>
      <c r="D2763" t="inlineStr">
        <is>
          <t>JÄMTLANDS LÄN</t>
        </is>
      </c>
      <c r="E2763" t="inlineStr">
        <is>
          <t>STRÖMSUND</t>
        </is>
      </c>
      <c r="F2763" t="inlineStr">
        <is>
          <t>SCA</t>
        </is>
      </c>
      <c r="G2763" t="n">
        <v>37.5</v>
      </c>
      <c r="H2763" t="n">
        <v>0</v>
      </c>
      <c r="I2763" t="n">
        <v>0</v>
      </c>
      <c r="J2763" t="n">
        <v>0</v>
      </c>
      <c r="K2763" t="n">
        <v>0</v>
      </c>
      <c r="L2763" t="n">
        <v>0</v>
      </c>
      <c r="M2763" t="n">
        <v>0</v>
      </c>
      <c r="N2763" t="n">
        <v>0</v>
      </c>
      <c r="O2763" t="n">
        <v>0</v>
      </c>
      <c r="P2763" t="n">
        <v>0</v>
      </c>
      <c r="Q2763" t="n">
        <v>0</v>
      </c>
      <c r="R2763" s="2" t="inlineStr"/>
    </row>
    <row r="2764" ht="15" customHeight="1">
      <c r="A2764" t="inlineStr">
        <is>
          <t>A 4179-2024</t>
        </is>
      </c>
      <c r="B2764" s="1" t="n">
        <v>45323</v>
      </c>
      <c r="C2764" s="1" t="n">
        <v>45740</v>
      </c>
      <c r="D2764" t="inlineStr">
        <is>
          <t>JÄMTLANDS LÄN</t>
        </is>
      </c>
      <c r="E2764" t="inlineStr">
        <is>
          <t>STRÖMSUND</t>
        </is>
      </c>
      <c r="F2764" t="inlineStr">
        <is>
          <t>SCA</t>
        </is>
      </c>
      <c r="G2764" t="n">
        <v>19.9</v>
      </c>
      <c r="H2764" t="n">
        <v>0</v>
      </c>
      <c r="I2764" t="n">
        <v>0</v>
      </c>
      <c r="J2764" t="n">
        <v>0</v>
      </c>
      <c r="K2764" t="n">
        <v>0</v>
      </c>
      <c r="L2764" t="n">
        <v>0</v>
      </c>
      <c r="M2764" t="n">
        <v>0</v>
      </c>
      <c r="N2764" t="n">
        <v>0</v>
      </c>
      <c r="O2764" t="n">
        <v>0</v>
      </c>
      <c r="P2764" t="n">
        <v>0</v>
      </c>
      <c r="Q2764" t="n">
        <v>0</v>
      </c>
      <c r="R2764" s="2" t="inlineStr"/>
    </row>
    <row r="2765" ht="15" customHeight="1">
      <c r="A2765" t="inlineStr">
        <is>
          <t>A 4449-2024</t>
        </is>
      </c>
      <c r="B2765" s="1" t="n">
        <v>45324</v>
      </c>
      <c r="C2765" s="1" t="n">
        <v>45740</v>
      </c>
      <c r="D2765" t="inlineStr">
        <is>
          <t>JÄMTLANDS LÄN</t>
        </is>
      </c>
      <c r="E2765" t="inlineStr">
        <is>
          <t>STRÖMSUND</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4378-2024</t>
        </is>
      </c>
      <c r="B2766" s="1" t="n">
        <v>45326</v>
      </c>
      <c r="C2766" s="1" t="n">
        <v>45740</v>
      </c>
      <c r="D2766" t="inlineStr">
        <is>
          <t>JÄMTLANDS LÄN</t>
        </is>
      </c>
      <c r="E2766" t="inlineStr">
        <is>
          <t>STRÖMSUND</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4436-2024</t>
        </is>
      </c>
      <c r="B2767" s="1" t="n">
        <v>45327</v>
      </c>
      <c r="C2767" s="1" t="n">
        <v>45740</v>
      </c>
      <c r="D2767" t="inlineStr">
        <is>
          <t>JÄMTLANDS LÄN</t>
        </is>
      </c>
      <c r="E2767" t="inlineStr">
        <is>
          <t>STRÖMSUND</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4507-2024</t>
        </is>
      </c>
      <c r="B2768" s="1" t="n">
        <v>45327</v>
      </c>
      <c r="C2768" s="1" t="n">
        <v>45740</v>
      </c>
      <c r="D2768" t="inlineStr">
        <is>
          <t>JÄMTLANDS LÄN</t>
        </is>
      </c>
      <c r="E2768" t="inlineStr">
        <is>
          <t>STRÖMSUND</t>
        </is>
      </c>
      <c r="F2768" t="inlineStr">
        <is>
          <t>Kyrkan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4514-2024</t>
        </is>
      </c>
      <c r="B2769" s="1" t="n">
        <v>45327</v>
      </c>
      <c r="C2769" s="1" t="n">
        <v>45740</v>
      </c>
      <c r="D2769" t="inlineStr">
        <is>
          <t>JÄMTLANDS LÄN</t>
        </is>
      </c>
      <c r="E2769" t="inlineStr">
        <is>
          <t>STRÖMSUND</t>
        </is>
      </c>
      <c r="F2769" t="inlineStr">
        <is>
          <t>Kyrkan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4586-2024</t>
        </is>
      </c>
      <c r="B2770" s="1" t="n">
        <v>45327</v>
      </c>
      <c r="C2770" s="1" t="n">
        <v>45740</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4579-2024</t>
        </is>
      </c>
      <c r="B2771" s="1" t="n">
        <v>45327</v>
      </c>
      <c r="C2771" s="1" t="n">
        <v>45740</v>
      </c>
      <c r="D2771" t="inlineStr">
        <is>
          <t>JÄMTLANDS LÄN</t>
        </is>
      </c>
      <c r="E2771" t="inlineStr">
        <is>
          <t>STRÖMSUND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4588-2024</t>
        </is>
      </c>
      <c r="B2772" s="1" t="n">
        <v>45327</v>
      </c>
      <c r="C2772" s="1" t="n">
        <v>45740</v>
      </c>
      <c r="D2772" t="inlineStr">
        <is>
          <t>JÄMTLANDS LÄN</t>
        </is>
      </c>
      <c r="E2772" t="inlineStr">
        <is>
          <t>STRÖMSUND</t>
        </is>
      </c>
      <c r="F2772" t="inlineStr">
        <is>
          <t>SCA</t>
        </is>
      </c>
      <c r="G2772" t="n">
        <v>23.9</v>
      </c>
      <c r="H2772" t="n">
        <v>0</v>
      </c>
      <c r="I2772" t="n">
        <v>0</v>
      </c>
      <c r="J2772" t="n">
        <v>0</v>
      </c>
      <c r="K2772" t="n">
        <v>0</v>
      </c>
      <c r="L2772" t="n">
        <v>0</v>
      </c>
      <c r="M2772" t="n">
        <v>0</v>
      </c>
      <c r="N2772" t="n">
        <v>0</v>
      </c>
      <c r="O2772" t="n">
        <v>0</v>
      </c>
      <c r="P2772" t="n">
        <v>0</v>
      </c>
      <c r="Q2772" t="n">
        <v>0</v>
      </c>
      <c r="R2772" s="2" t="inlineStr"/>
    </row>
    <row r="2773" ht="15" customHeight="1">
      <c r="A2773" t="inlineStr">
        <is>
          <t>A 4663-2024</t>
        </is>
      </c>
      <c r="B2773" s="1" t="n">
        <v>45328</v>
      </c>
      <c r="C2773" s="1" t="n">
        <v>45740</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4825-2024</t>
        </is>
      </c>
      <c r="B2774" s="1" t="n">
        <v>45328</v>
      </c>
      <c r="C2774" s="1" t="n">
        <v>45740</v>
      </c>
      <c r="D2774" t="inlineStr">
        <is>
          <t>JÄMTLANDS LÄN</t>
        </is>
      </c>
      <c r="E2774" t="inlineStr">
        <is>
          <t>STRÖMSUND</t>
        </is>
      </c>
      <c r="F2774" t="inlineStr">
        <is>
          <t>SCA</t>
        </is>
      </c>
      <c r="G2774" t="n">
        <v>33.1</v>
      </c>
      <c r="H2774" t="n">
        <v>0</v>
      </c>
      <c r="I2774" t="n">
        <v>0</v>
      </c>
      <c r="J2774" t="n">
        <v>0</v>
      </c>
      <c r="K2774" t="n">
        <v>0</v>
      </c>
      <c r="L2774" t="n">
        <v>0</v>
      </c>
      <c r="M2774" t="n">
        <v>0</v>
      </c>
      <c r="N2774" t="n">
        <v>0</v>
      </c>
      <c r="O2774" t="n">
        <v>0</v>
      </c>
      <c r="P2774" t="n">
        <v>0</v>
      </c>
      <c r="Q2774" t="n">
        <v>0</v>
      </c>
      <c r="R2774" s="2" t="inlineStr"/>
    </row>
    <row r="2775" ht="15" customHeight="1">
      <c r="A2775" t="inlineStr">
        <is>
          <t>A 4823-2024</t>
        </is>
      </c>
      <c r="B2775" s="1" t="n">
        <v>45328</v>
      </c>
      <c r="C2775" s="1" t="n">
        <v>45740</v>
      </c>
      <c r="D2775" t="inlineStr">
        <is>
          <t>JÄMTLANDS LÄN</t>
        </is>
      </c>
      <c r="E2775" t="inlineStr">
        <is>
          <t>STRÖMSUND</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5068-2024</t>
        </is>
      </c>
      <c r="B2776" s="1" t="n">
        <v>45329</v>
      </c>
      <c r="C2776" s="1" t="n">
        <v>45740</v>
      </c>
      <c r="D2776" t="inlineStr">
        <is>
          <t>JÄMTLANDS LÄN</t>
        </is>
      </c>
      <c r="E2776" t="inlineStr">
        <is>
          <t>STRÖMSUND</t>
        </is>
      </c>
      <c r="F2776" t="inlineStr">
        <is>
          <t>SCA</t>
        </is>
      </c>
      <c r="G2776" t="n">
        <v>28.3</v>
      </c>
      <c r="H2776" t="n">
        <v>0</v>
      </c>
      <c r="I2776" t="n">
        <v>0</v>
      </c>
      <c r="J2776" t="n">
        <v>0</v>
      </c>
      <c r="K2776" t="n">
        <v>0</v>
      </c>
      <c r="L2776" t="n">
        <v>0</v>
      </c>
      <c r="M2776" t="n">
        <v>0</v>
      </c>
      <c r="N2776" t="n">
        <v>0</v>
      </c>
      <c r="O2776" t="n">
        <v>0</v>
      </c>
      <c r="P2776" t="n">
        <v>0</v>
      </c>
      <c r="Q2776" t="n">
        <v>0</v>
      </c>
      <c r="R2776" s="2" t="inlineStr"/>
    </row>
    <row r="2777" ht="15" customHeight="1">
      <c r="A2777" t="inlineStr">
        <is>
          <t>A 5105-2024</t>
        </is>
      </c>
      <c r="B2777" s="1" t="n">
        <v>45330</v>
      </c>
      <c r="C2777" s="1" t="n">
        <v>45740</v>
      </c>
      <c r="D2777" t="inlineStr">
        <is>
          <t>JÄMTLANDS LÄN</t>
        </is>
      </c>
      <c r="E2777" t="inlineStr">
        <is>
          <t>STRÖMSUND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5260-2024</t>
        </is>
      </c>
      <c r="B2778" s="1" t="n">
        <v>45331</v>
      </c>
      <c r="C2778" s="1" t="n">
        <v>45740</v>
      </c>
      <c r="D2778" t="inlineStr">
        <is>
          <t>JÄMTLANDS LÄN</t>
        </is>
      </c>
      <c r="E2778" t="inlineStr">
        <is>
          <t>STRÖMSUND</t>
        </is>
      </c>
      <c r="F2778" t="inlineStr">
        <is>
          <t>SCA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5259-2024</t>
        </is>
      </c>
      <c r="B2779" s="1" t="n">
        <v>45330</v>
      </c>
      <c r="C2779" s="1" t="n">
        <v>45740</v>
      </c>
      <c r="D2779" t="inlineStr">
        <is>
          <t>JÄMTLANDS LÄN</t>
        </is>
      </c>
      <c r="E2779" t="inlineStr">
        <is>
          <t>STRÖMSUND</t>
        </is>
      </c>
      <c r="F2779" t="inlineStr">
        <is>
          <t>SCA</t>
        </is>
      </c>
      <c r="G2779" t="n">
        <v>25.8</v>
      </c>
      <c r="H2779" t="n">
        <v>0</v>
      </c>
      <c r="I2779" t="n">
        <v>0</v>
      </c>
      <c r="J2779" t="n">
        <v>0</v>
      </c>
      <c r="K2779" t="n">
        <v>0</v>
      </c>
      <c r="L2779" t="n">
        <v>0</v>
      </c>
      <c r="M2779" t="n">
        <v>0</v>
      </c>
      <c r="N2779" t="n">
        <v>0</v>
      </c>
      <c r="O2779" t="n">
        <v>0</v>
      </c>
      <c r="P2779" t="n">
        <v>0</v>
      </c>
      <c r="Q2779" t="n">
        <v>0</v>
      </c>
      <c r="R2779" s="2" t="inlineStr"/>
    </row>
    <row r="2780" ht="15" customHeight="1">
      <c r="A2780" t="inlineStr">
        <is>
          <t>A 5262-2024</t>
        </is>
      </c>
      <c r="B2780" s="1" t="n">
        <v>45330</v>
      </c>
      <c r="C2780" s="1" t="n">
        <v>45740</v>
      </c>
      <c r="D2780" t="inlineStr">
        <is>
          <t>JÄMTLANDS LÄN</t>
        </is>
      </c>
      <c r="E2780" t="inlineStr">
        <is>
          <t>STRÖMSUND</t>
        </is>
      </c>
      <c r="F2780" t="inlineStr">
        <is>
          <t>SCA</t>
        </is>
      </c>
      <c r="G2780" t="n">
        <v>19.7</v>
      </c>
      <c r="H2780" t="n">
        <v>0</v>
      </c>
      <c r="I2780" t="n">
        <v>0</v>
      </c>
      <c r="J2780" t="n">
        <v>0</v>
      </c>
      <c r="K2780" t="n">
        <v>0</v>
      </c>
      <c r="L2780" t="n">
        <v>0</v>
      </c>
      <c r="M2780" t="n">
        <v>0</v>
      </c>
      <c r="N2780" t="n">
        <v>0</v>
      </c>
      <c r="O2780" t="n">
        <v>0</v>
      </c>
      <c r="P2780" t="n">
        <v>0</v>
      </c>
      <c r="Q2780" t="n">
        <v>0</v>
      </c>
      <c r="R2780" s="2" t="inlineStr"/>
    </row>
    <row r="2781" ht="15" customHeight="1">
      <c r="A2781" t="inlineStr">
        <is>
          <t>A 5267-2024</t>
        </is>
      </c>
      <c r="B2781" s="1" t="n">
        <v>45331</v>
      </c>
      <c r="C2781" s="1" t="n">
        <v>45740</v>
      </c>
      <c r="D2781" t="inlineStr">
        <is>
          <t>JÄMTLANDS LÄN</t>
        </is>
      </c>
      <c r="E2781" t="inlineStr">
        <is>
          <t>STRÖMSUND</t>
        </is>
      </c>
      <c r="F2781" t="inlineStr">
        <is>
          <t>SCA</t>
        </is>
      </c>
      <c r="G2781" t="n">
        <v>29.1</v>
      </c>
      <c r="H2781" t="n">
        <v>0</v>
      </c>
      <c r="I2781" t="n">
        <v>0</v>
      </c>
      <c r="J2781" t="n">
        <v>0</v>
      </c>
      <c r="K2781" t="n">
        <v>0</v>
      </c>
      <c r="L2781" t="n">
        <v>0</v>
      </c>
      <c r="M2781" t="n">
        <v>0</v>
      </c>
      <c r="N2781" t="n">
        <v>0</v>
      </c>
      <c r="O2781" t="n">
        <v>0</v>
      </c>
      <c r="P2781" t="n">
        <v>0</v>
      </c>
      <c r="Q2781" t="n">
        <v>0</v>
      </c>
      <c r="R2781" s="2" t="inlineStr"/>
    </row>
    <row r="2782" ht="15" customHeight="1">
      <c r="A2782" t="inlineStr">
        <is>
          <t>A 5261-2024</t>
        </is>
      </c>
      <c r="B2782" s="1" t="n">
        <v>45331</v>
      </c>
      <c r="C2782" s="1" t="n">
        <v>45740</v>
      </c>
      <c r="D2782" t="inlineStr">
        <is>
          <t>JÄMTLANDS LÄN</t>
        </is>
      </c>
      <c r="E2782" t="inlineStr">
        <is>
          <t>STRÖMSUND</t>
        </is>
      </c>
      <c r="F2782" t="inlineStr">
        <is>
          <t>SCA</t>
        </is>
      </c>
      <c r="G2782" t="n">
        <v>29.7</v>
      </c>
      <c r="H2782" t="n">
        <v>0</v>
      </c>
      <c r="I2782" t="n">
        <v>0</v>
      </c>
      <c r="J2782" t="n">
        <v>0</v>
      </c>
      <c r="K2782" t="n">
        <v>0</v>
      </c>
      <c r="L2782" t="n">
        <v>0</v>
      </c>
      <c r="M2782" t="n">
        <v>0</v>
      </c>
      <c r="N2782" t="n">
        <v>0</v>
      </c>
      <c r="O2782" t="n">
        <v>0</v>
      </c>
      <c r="P2782" t="n">
        <v>0</v>
      </c>
      <c r="Q2782" t="n">
        <v>0</v>
      </c>
      <c r="R2782" s="2" t="inlineStr"/>
    </row>
    <row r="2783" ht="15" customHeight="1">
      <c r="A2783" t="inlineStr">
        <is>
          <t>A 5333-2024</t>
        </is>
      </c>
      <c r="B2783" s="1" t="n">
        <v>45331</v>
      </c>
      <c r="C2783" s="1" t="n">
        <v>45740</v>
      </c>
      <c r="D2783" t="inlineStr">
        <is>
          <t>JÄMTLANDS LÄN</t>
        </is>
      </c>
      <c r="E2783" t="inlineStr">
        <is>
          <t>STRÖMSUND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5350-2024</t>
        </is>
      </c>
      <c r="B2784" s="1" t="n">
        <v>45331</v>
      </c>
      <c r="C2784" s="1" t="n">
        <v>45740</v>
      </c>
      <c r="D2784" t="inlineStr">
        <is>
          <t>JÄMTLANDS LÄN</t>
        </is>
      </c>
      <c r="E2784" t="inlineStr">
        <is>
          <t>STRÖMSUND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5327-2024</t>
        </is>
      </c>
      <c r="B2785" s="1" t="n">
        <v>45331</v>
      </c>
      <c r="C2785" s="1" t="n">
        <v>45740</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5443-2024</t>
        </is>
      </c>
      <c r="B2786" s="1" t="n">
        <v>45331</v>
      </c>
      <c r="C2786" s="1" t="n">
        <v>45740</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5449-2024</t>
        </is>
      </c>
      <c r="B2787" s="1" t="n">
        <v>45331</v>
      </c>
      <c r="C2787" s="1" t="n">
        <v>45740</v>
      </c>
      <c r="D2787" t="inlineStr">
        <is>
          <t>JÄMTLANDS LÄN</t>
        </is>
      </c>
      <c r="E2787" t="inlineStr">
        <is>
          <t>STRÖMSUND</t>
        </is>
      </c>
      <c r="F2787" t="inlineStr">
        <is>
          <t>SCA</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5453-2024</t>
        </is>
      </c>
      <c r="B2788" s="1" t="n">
        <v>45331</v>
      </c>
      <c r="C2788" s="1" t="n">
        <v>45740</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5451-2024</t>
        </is>
      </c>
      <c r="B2789" s="1" t="n">
        <v>45331</v>
      </c>
      <c r="C2789" s="1" t="n">
        <v>45740</v>
      </c>
      <c r="D2789" t="inlineStr">
        <is>
          <t>JÄMTLANDS LÄN</t>
        </is>
      </c>
      <c r="E2789" t="inlineStr">
        <is>
          <t>STRÖMSUND</t>
        </is>
      </c>
      <c r="F2789" t="inlineStr">
        <is>
          <t>SCA</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5444-2024</t>
        </is>
      </c>
      <c r="B2790" s="1" t="n">
        <v>45331</v>
      </c>
      <c r="C2790" s="1" t="n">
        <v>45740</v>
      </c>
      <c r="D2790" t="inlineStr">
        <is>
          <t>JÄMTLANDS LÄN</t>
        </is>
      </c>
      <c r="E2790" t="inlineStr">
        <is>
          <t>STRÖMSUND</t>
        </is>
      </c>
      <c r="F2790" t="inlineStr">
        <is>
          <t>SCA</t>
        </is>
      </c>
      <c r="G2790" t="n">
        <v>25.5</v>
      </c>
      <c r="H2790" t="n">
        <v>0</v>
      </c>
      <c r="I2790" t="n">
        <v>0</v>
      </c>
      <c r="J2790" t="n">
        <v>0</v>
      </c>
      <c r="K2790" t="n">
        <v>0</v>
      </c>
      <c r="L2790" t="n">
        <v>0</v>
      </c>
      <c r="M2790" t="n">
        <v>0</v>
      </c>
      <c r="N2790" t="n">
        <v>0</v>
      </c>
      <c r="O2790" t="n">
        <v>0</v>
      </c>
      <c r="P2790" t="n">
        <v>0</v>
      </c>
      <c r="Q2790" t="n">
        <v>0</v>
      </c>
      <c r="R2790" s="2" t="inlineStr"/>
    </row>
    <row r="2791" ht="15" customHeight="1">
      <c r="A2791" t="inlineStr">
        <is>
          <t>A 5450-2024</t>
        </is>
      </c>
      <c r="B2791" s="1" t="n">
        <v>45331</v>
      </c>
      <c r="C2791" s="1" t="n">
        <v>45740</v>
      </c>
      <c r="D2791" t="inlineStr">
        <is>
          <t>JÄMTLANDS LÄN</t>
        </is>
      </c>
      <c r="E2791" t="inlineStr">
        <is>
          <t>STRÖMSUND</t>
        </is>
      </c>
      <c r="F2791" t="inlineStr">
        <is>
          <t>SCA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5454-2024</t>
        </is>
      </c>
      <c r="B2792" s="1" t="n">
        <v>45331</v>
      </c>
      <c r="C2792" s="1" t="n">
        <v>45740</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5736-2024</t>
        </is>
      </c>
      <c r="B2793" s="1" t="n">
        <v>45334</v>
      </c>
      <c r="C2793" s="1" t="n">
        <v>45740</v>
      </c>
      <c r="D2793" t="inlineStr">
        <is>
          <t>JÄMTLANDS LÄN</t>
        </is>
      </c>
      <c r="E2793" t="inlineStr">
        <is>
          <t>STRÖMSUND</t>
        </is>
      </c>
      <c r="F2793" t="inlineStr">
        <is>
          <t>SCA</t>
        </is>
      </c>
      <c r="G2793" t="n">
        <v>30.3</v>
      </c>
      <c r="H2793" t="n">
        <v>0</v>
      </c>
      <c r="I2793" t="n">
        <v>0</v>
      </c>
      <c r="J2793" t="n">
        <v>0</v>
      </c>
      <c r="K2793" t="n">
        <v>0</v>
      </c>
      <c r="L2793" t="n">
        <v>0</v>
      </c>
      <c r="M2793" t="n">
        <v>0</v>
      </c>
      <c r="N2793" t="n">
        <v>0</v>
      </c>
      <c r="O2793" t="n">
        <v>0</v>
      </c>
      <c r="P2793" t="n">
        <v>0</v>
      </c>
      <c r="Q2793" t="n">
        <v>0</v>
      </c>
      <c r="R2793" s="2" t="inlineStr"/>
    </row>
    <row r="2794" ht="15" customHeight="1">
      <c r="A2794" t="inlineStr">
        <is>
          <t>A 6083-2024</t>
        </is>
      </c>
      <c r="B2794" s="1" t="n">
        <v>45337</v>
      </c>
      <c r="C2794" s="1" t="n">
        <v>45740</v>
      </c>
      <c r="D2794" t="inlineStr">
        <is>
          <t>JÄMTLANDS LÄN</t>
        </is>
      </c>
      <c r="E2794" t="inlineStr">
        <is>
          <t>STRÖMSUND</t>
        </is>
      </c>
      <c r="F2794" t="inlineStr">
        <is>
          <t>SCA</t>
        </is>
      </c>
      <c r="G2794" t="n">
        <v>45.8</v>
      </c>
      <c r="H2794" t="n">
        <v>0</v>
      </c>
      <c r="I2794" t="n">
        <v>0</v>
      </c>
      <c r="J2794" t="n">
        <v>0</v>
      </c>
      <c r="K2794" t="n">
        <v>0</v>
      </c>
      <c r="L2794" t="n">
        <v>0</v>
      </c>
      <c r="M2794" t="n">
        <v>0</v>
      </c>
      <c r="N2794" t="n">
        <v>0</v>
      </c>
      <c r="O2794" t="n">
        <v>0</v>
      </c>
      <c r="P2794" t="n">
        <v>0</v>
      </c>
      <c r="Q2794" t="n">
        <v>0</v>
      </c>
      <c r="R2794" s="2" t="inlineStr"/>
    </row>
    <row r="2795" ht="15" customHeight="1">
      <c r="A2795" t="inlineStr">
        <is>
          <t>A 5930-2024</t>
        </is>
      </c>
      <c r="B2795" s="1" t="n">
        <v>45336</v>
      </c>
      <c r="C2795" s="1" t="n">
        <v>45740</v>
      </c>
      <c r="D2795" t="inlineStr">
        <is>
          <t>JÄMTLANDS LÄN</t>
        </is>
      </c>
      <c r="E2795" t="inlineStr">
        <is>
          <t>STRÖMSUND</t>
        </is>
      </c>
      <c r="F2795" t="inlineStr">
        <is>
          <t>Holmen skog AB</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6085-2024</t>
        </is>
      </c>
      <c r="B2796" s="1" t="n">
        <v>45336</v>
      </c>
      <c r="C2796" s="1" t="n">
        <v>45740</v>
      </c>
      <c r="D2796" t="inlineStr">
        <is>
          <t>JÄMTLANDS LÄN</t>
        </is>
      </c>
      <c r="E2796" t="inlineStr">
        <is>
          <t>STRÖMSUND</t>
        </is>
      </c>
      <c r="F2796" t="inlineStr">
        <is>
          <t>SCA</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6174-2024</t>
        </is>
      </c>
      <c r="B2797" s="1" t="n">
        <v>45337</v>
      </c>
      <c r="C2797" s="1" t="n">
        <v>45740</v>
      </c>
      <c r="D2797" t="inlineStr">
        <is>
          <t>JÄMTLANDS LÄN</t>
        </is>
      </c>
      <c r="E2797" t="inlineStr">
        <is>
          <t>STRÖMSUND</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6112-2024</t>
        </is>
      </c>
      <c r="B2798" s="1" t="n">
        <v>45337</v>
      </c>
      <c r="C2798" s="1" t="n">
        <v>45740</v>
      </c>
      <c r="D2798" t="inlineStr">
        <is>
          <t>JÄMTLANDS LÄN</t>
        </is>
      </c>
      <c r="E2798" t="inlineStr">
        <is>
          <t>STRÖMSUND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6287-2024</t>
        </is>
      </c>
      <c r="B2799" s="1" t="n">
        <v>45337</v>
      </c>
      <c r="C2799" s="1" t="n">
        <v>45740</v>
      </c>
      <c r="D2799" t="inlineStr">
        <is>
          <t>JÄMTLANDS LÄN</t>
        </is>
      </c>
      <c r="E2799" t="inlineStr">
        <is>
          <t>STRÖMSUND</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6476-2024</t>
        </is>
      </c>
      <c r="B2800" s="1" t="n">
        <v>45338</v>
      </c>
      <c r="C2800" s="1" t="n">
        <v>45740</v>
      </c>
      <c r="D2800" t="inlineStr">
        <is>
          <t>JÄMTLANDS LÄN</t>
        </is>
      </c>
      <c r="E2800" t="inlineStr">
        <is>
          <t>STRÖMSUND</t>
        </is>
      </c>
      <c r="F2800" t="inlineStr">
        <is>
          <t>SCA</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6478-2024</t>
        </is>
      </c>
      <c r="B2801" s="1" t="n">
        <v>45338</v>
      </c>
      <c r="C2801" s="1" t="n">
        <v>45740</v>
      </c>
      <c r="D2801" t="inlineStr">
        <is>
          <t>JÄMTLANDS LÄN</t>
        </is>
      </c>
      <c r="E2801" t="inlineStr">
        <is>
          <t>STRÖMSUND</t>
        </is>
      </c>
      <c r="F2801" t="inlineStr">
        <is>
          <t>SCA</t>
        </is>
      </c>
      <c r="G2801" t="n">
        <v>17.6</v>
      </c>
      <c r="H2801" t="n">
        <v>0</v>
      </c>
      <c r="I2801" t="n">
        <v>0</v>
      </c>
      <c r="J2801" t="n">
        <v>0</v>
      </c>
      <c r="K2801" t="n">
        <v>0</v>
      </c>
      <c r="L2801" t="n">
        <v>0</v>
      </c>
      <c r="M2801" t="n">
        <v>0</v>
      </c>
      <c r="N2801" t="n">
        <v>0</v>
      </c>
      <c r="O2801" t="n">
        <v>0</v>
      </c>
      <c r="P2801" t="n">
        <v>0</v>
      </c>
      <c r="Q2801" t="n">
        <v>0</v>
      </c>
      <c r="R2801" s="2" t="inlineStr"/>
    </row>
    <row r="2802" ht="15" customHeight="1">
      <c r="A2802" t="inlineStr">
        <is>
          <t>A 6475-2024</t>
        </is>
      </c>
      <c r="B2802" s="1" t="n">
        <v>45338</v>
      </c>
      <c r="C2802" s="1" t="n">
        <v>45740</v>
      </c>
      <c r="D2802" t="inlineStr">
        <is>
          <t>JÄMTLANDS LÄN</t>
        </is>
      </c>
      <c r="E2802" t="inlineStr">
        <is>
          <t>STRÖMSUND</t>
        </is>
      </c>
      <c r="F2802" t="inlineStr">
        <is>
          <t>SCA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6479-2024</t>
        </is>
      </c>
      <c r="B2803" s="1" t="n">
        <v>45338</v>
      </c>
      <c r="C2803" s="1" t="n">
        <v>45740</v>
      </c>
      <c r="D2803" t="inlineStr">
        <is>
          <t>JÄMTLANDS LÄN</t>
        </is>
      </c>
      <c r="E2803" t="inlineStr">
        <is>
          <t>STRÖMSUND</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6512-2024</t>
        </is>
      </c>
      <c r="B2804" s="1" t="n">
        <v>45340</v>
      </c>
      <c r="C2804" s="1" t="n">
        <v>45740</v>
      </c>
      <c r="D2804" t="inlineStr">
        <is>
          <t>JÄMTLANDS LÄN</t>
        </is>
      </c>
      <c r="E2804" t="inlineStr">
        <is>
          <t>STRÖMSUND</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6566-2024</t>
        </is>
      </c>
      <c r="B2805" s="1" t="n">
        <v>45341</v>
      </c>
      <c r="C2805" s="1" t="n">
        <v>45740</v>
      </c>
      <c r="D2805" t="inlineStr">
        <is>
          <t>JÄMTLANDS LÄN</t>
        </is>
      </c>
      <c r="E2805" t="inlineStr">
        <is>
          <t>STRÖMSUND</t>
        </is>
      </c>
      <c r="G2805" t="n">
        <v>10.5</v>
      </c>
      <c r="H2805" t="n">
        <v>0</v>
      </c>
      <c r="I2805" t="n">
        <v>0</v>
      </c>
      <c r="J2805" t="n">
        <v>0</v>
      </c>
      <c r="K2805" t="n">
        <v>0</v>
      </c>
      <c r="L2805" t="n">
        <v>0</v>
      </c>
      <c r="M2805" t="n">
        <v>0</v>
      </c>
      <c r="N2805" t="n">
        <v>0</v>
      </c>
      <c r="O2805" t="n">
        <v>0</v>
      </c>
      <c r="P2805" t="n">
        <v>0</v>
      </c>
      <c r="Q2805" t="n">
        <v>0</v>
      </c>
      <c r="R2805" s="2" t="inlineStr"/>
    </row>
    <row r="2806" ht="15" customHeight="1">
      <c r="A2806" t="inlineStr">
        <is>
          <t>A 6693-2024</t>
        </is>
      </c>
      <c r="B2806" s="1" t="n">
        <v>45341</v>
      </c>
      <c r="C2806" s="1" t="n">
        <v>45740</v>
      </c>
      <c r="D2806" t="inlineStr">
        <is>
          <t>JÄMTLANDS LÄN</t>
        </is>
      </c>
      <c r="E2806" t="inlineStr">
        <is>
          <t>STRÖMSUND</t>
        </is>
      </c>
      <c r="F2806" t="inlineStr">
        <is>
          <t>SCA</t>
        </is>
      </c>
      <c r="G2806" t="n">
        <v>14.2</v>
      </c>
      <c r="H2806" t="n">
        <v>0</v>
      </c>
      <c r="I2806" t="n">
        <v>0</v>
      </c>
      <c r="J2806" t="n">
        <v>0</v>
      </c>
      <c r="K2806" t="n">
        <v>0</v>
      </c>
      <c r="L2806" t="n">
        <v>0</v>
      </c>
      <c r="M2806" t="n">
        <v>0</v>
      </c>
      <c r="N2806" t="n">
        <v>0</v>
      </c>
      <c r="O2806" t="n">
        <v>0</v>
      </c>
      <c r="P2806" t="n">
        <v>0</v>
      </c>
      <c r="Q2806" t="n">
        <v>0</v>
      </c>
      <c r="R2806" s="2" t="inlineStr"/>
    </row>
    <row r="2807" ht="15" customHeight="1">
      <c r="A2807" t="inlineStr">
        <is>
          <t>A 6696-2024</t>
        </is>
      </c>
      <c r="B2807" s="1" t="n">
        <v>45341</v>
      </c>
      <c r="C2807" s="1" t="n">
        <v>45740</v>
      </c>
      <c r="D2807" t="inlineStr">
        <is>
          <t>JÄMTLANDS LÄN</t>
        </is>
      </c>
      <c r="E2807" t="inlineStr">
        <is>
          <t>STRÖMSUND</t>
        </is>
      </c>
      <c r="F2807" t="inlineStr">
        <is>
          <t>SCA</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6695-2024</t>
        </is>
      </c>
      <c r="B2808" s="1" t="n">
        <v>45341</v>
      </c>
      <c r="C2808" s="1" t="n">
        <v>45740</v>
      </c>
      <c r="D2808" t="inlineStr">
        <is>
          <t>JÄMTLANDS LÄN</t>
        </is>
      </c>
      <c r="E2808" t="inlineStr">
        <is>
          <t>STRÖMSUND</t>
        </is>
      </c>
      <c r="F2808" t="inlineStr">
        <is>
          <t>SCA</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6894-2024</t>
        </is>
      </c>
      <c r="B2809" s="1" t="n">
        <v>45342</v>
      </c>
      <c r="C2809" s="1" t="n">
        <v>45740</v>
      </c>
      <c r="D2809" t="inlineStr">
        <is>
          <t>JÄMTLANDS LÄN</t>
        </is>
      </c>
      <c r="E2809" t="inlineStr">
        <is>
          <t>STRÖMSUND</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6961-2024</t>
        </is>
      </c>
      <c r="B2810" s="1" t="n">
        <v>45343</v>
      </c>
      <c r="C2810" s="1" t="n">
        <v>45740</v>
      </c>
      <c r="D2810" t="inlineStr">
        <is>
          <t>JÄMTLANDS LÄN</t>
        </is>
      </c>
      <c r="E2810" t="inlineStr">
        <is>
          <t>STRÖMSUND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7112-2024</t>
        </is>
      </c>
      <c r="B2811" s="1" t="n">
        <v>45343</v>
      </c>
      <c r="C2811" s="1" t="n">
        <v>45740</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7293-2024</t>
        </is>
      </c>
      <c r="B2812" s="1" t="n">
        <v>45344</v>
      </c>
      <c r="C2812" s="1" t="n">
        <v>45740</v>
      </c>
      <c r="D2812" t="inlineStr">
        <is>
          <t>JÄMTLANDS LÄN</t>
        </is>
      </c>
      <c r="E2812" t="inlineStr">
        <is>
          <t>STRÖMSUND</t>
        </is>
      </c>
      <c r="F2812" t="inlineStr">
        <is>
          <t>SCA</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7302-2024</t>
        </is>
      </c>
      <c r="B2813" s="1" t="n">
        <v>45344</v>
      </c>
      <c r="C2813" s="1" t="n">
        <v>45740</v>
      </c>
      <c r="D2813" t="inlineStr">
        <is>
          <t>JÄMTLANDS LÄN</t>
        </is>
      </c>
      <c r="E2813" t="inlineStr">
        <is>
          <t>STRÖMSUND</t>
        </is>
      </c>
      <c r="F2813" t="inlineStr">
        <is>
          <t>SCA</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7301-2024</t>
        </is>
      </c>
      <c r="B2814" s="1" t="n">
        <v>45344</v>
      </c>
      <c r="C2814" s="1" t="n">
        <v>45740</v>
      </c>
      <c r="D2814" t="inlineStr">
        <is>
          <t>JÄMTLANDS LÄN</t>
        </is>
      </c>
      <c r="E2814" t="inlineStr">
        <is>
          <t>STRÖMSUND</t>
        </is>
      </c>
      <c r="F2814" t="inlineStr">
        <is>
          <t>SCA</t>
        </is>
      </c>
      <c r="G2814" t="n">
        <v>28.2</v>
      </c>
      <c r="H2814" t="n">
        <v>0</v>
      </c>
      <c r="I2814" t="n">
        <v>0</v>
      </c>
      <c r="J2814" t="n">
        <v>0</v>
      </c>
      <c r="K2814" t="n">
        <v>0</v>
      </c>
      <c r="L2814" t="n">
        <v>0</v>
      </c>
      <c r="M2814" t="n">
        <v>0</v>
      </c>
      <c r="N2814" t="n">
        <v>0</v>
      </c>
      <c r="O2814" t="n">
        <v>0</v>
      </c>
      <c r="P2814" t="n">
        <v>0</v>
      </c>
      <c r="Q2814" t="n">
        <v>0</v>
      </c>
      <c r="R2814" s="2" t="inlineStr"/>
    </row>
    <row r="2815" ht="15" customHeight="1">
      <c r="A2815" t="inlineStr">
        <is>
          <t>A 7572-2024</t>
        </is>
      </c>
      <c r="B2815" s="1" t="n">
        <v>45348</v>
      </c>
      <c r="C2815" s="1" t="n">
        <v>45740</v>
      </c>
      <c r="D2815" t="inlineStr">
        <is>
          <t>JÄMTLANDS LÄN</t>
        </is>
      </c>
      <c r="E2815" t="inlineStr">
        <is>
          <t>STRÖMSUND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7803-2024</t>
        </is>
      </c>
      <c r="B2816" s="1" t="n">
        <v>45348</v>
      </c>
      <c r="C2816" s="1" t="n">
        <v>45740</v>
      </c>
      <c r="D2816" t="inlineStr">
        <is>
          <t>JÄMTLANDS LÄN</t>
        </is>
      </c>
      <c r="E2816" t="inlineStr">
        <is>
          <t>STRÖMSUND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7690-2024</t>
        </is>
      </c>
      <c r="B2817" s="1" t="n">
        <v>45349</v>
      </c>
      <c r="C2817" s="1" t="n">
        <v>45740</v>
      </c>
      <c r="D2817" t="inlineStr">
        <is>
          <t>JÄMTLANDS LÄN</t>
        </is>
      </c>
      <c r="E2817" t="inlineStr">
        <is>
          <t>STRÖMSUND</t>
        </is>
      </c>
      <c r="F2817" t="inlineStr">
        <is>
          <t>SCA</t>
        </is>
      </c>
      <c r="G2817" t="n">
        <v>19.1</v>
      </c>
      <c r="H2817" t="n">
        <v>0</v>
      </c>
      <c r="I2817" t="n">
        <v>0</v>
      </c>
      <c r="J2817" t="n">
        <v>0</v>
      </c>
      <c r="K2817" t="n">
        <v>0</v>
      </c>
      <c r="L2817" t="n">
        <v>0</v>
      </c>
      <c r="M2817" t="n">
        <v>0</v>
      </c>
      <c r="N2817" t="n">
        <v>0</v>
      </c>
      <c r="O2817" t="n">
        <v>0</v>
      </c>
      <c r="P2817" t="n">
        <v>0</v>
      </c>
      <c r="Q2817" t="n">
        <v>0</v>
      </c>
      <c r="R2817" s="2" t="inlineStr"/>
    </row>
    <row r="2818" ht="15" customHeight="1">
      <c r="A2818" t="inlineStr">
        <is>
          <t>A 8134-2024</t>
        </is>
      </c>
      <c r="B2818" s="1" t="n">
        <v>45349</v>
      </c>
      <c r="C2818" s="1" t="n">
        <v>45740</v>
      </c>
      <c r="D2818" t="inlineStr">
        <is>
          <t>JÄMTLANDS LÄN</t>
        </is>
      </c>
      <c r="E2818" t="inlineStr">
        <is>
          <t>STRÖMSUND</t>
        </is>
      </c>
      <c r="G2818" t="n">
        <v>22.9</v>
      </c>
      <c r="H2818" t="n">
        <v>0</v>
      </c>
      <c r="I2818" t="n">
        <v>0</v>
      </c>
      <c r="J2818" t="n">
        <v>0</v>
      </c>
      <c r="K2818" t="n">
        <v>0</v>
      </c>
      <c r="L2818" t="n">
        <v>0</v>
      </c>
      <c r="M2818" t="n">
        <v>0</v>
      </c>
      <c r="N2818" t="n">
        <v>0</v>
      </c>
      <c r="O2818" t="n">
        <v>0</v>
      </c>
      <c r="P2818" t="n">
        <v>0</v>
      </c>
      <c r="Q2818" t="n">
        <v>0</v>
      </c>
      <c r="R2818" s="2" t="inlineStr"/>
    </row>
    <row r="2819" ht="15" customHeight="1">
      <c r="A2819" t="inlineStr">
        <is>
          <t>A 8133-2024</t>
        </is>
      </c>
      <c r="B2819" s="1" t="n">
        <v>45349</v>
      </c>
      <c r="C2819" s="1" t="n">
        <v>45740</v>
      </c>
      <c r="D2819" t="inlineStr">
        <is>
          <t>JÄMTLANDS LÄN</t>
        </is>
      </c>
      <c r="E2819" t="inlineStr">
        <is>
          <t>STRÖMSUND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7854-2024</t>
        </is>
      </c>
      <c r="B2820" s="1" t="n">
        <v>45350</v>
      </c>
      <c r="C2820" s="1" t="n">
        <v>45740</v>
      </c>
      <c r="D2820" t="inlineStr">
        <is>
          <t>JÄMTLANDS LÄN</t>
        </is>
      </c>
      <c r="E2820" t="inlineStr">
        <is>
          <t>STRÖMSUND</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8297-2024</t>
        </is>
      </c>
      <c r="B2821" s="1" t="n">
        <v>45350</v>
      </c>
      <c r="C2821" s="1" t="n">
        <v>45740</v>
      </c>
      <c r="D2821" t="inlineStr">
        <is>
          <t>JÄMTLANDS LÄN</t>
        </is>
      </c>
      <c r="E2821" t="inlineStr">
        <is>
          <t>STRÖMSUND</t>
        </is>
      </c>
      <c r="F2821" t="inlineStr">
        <is>
          <t>Kyrkan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8419-2024</t>
        </is>
      </c>
      <c r="B2822" s="1" t="n">
        <v>45352</v>
      </c>
      <c r="C2822" s="1" t="n">
        <v>45740</v>
      </c>
      <c r="D2822" t="inlineStr">
        <is>
          <t>JÄMTLANDS LÄN</t>
        </is>
      </c>
      <c r="E2822" t="inlineStr">
        <is>
          <t>STRÖMSUND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8420-2024</t>
        </is>
      </c>
      <c r="B2823" s="1" t="n">
        <v>45352</v>
      </c>
      <c r="C2823" s="1" t="n">
        <v>45740</v>
      </c>
      <c r="D2823" t="inlineStr">
        <is>
          <t>JÄMTLANDS LÄN</t>
        </is>
      </c>
      <c r="E2823" t="inlineStr">
        <is>
          <t>STRÖMSUND</t>
        </is>
      </c>
      <c r="F2823" t="inlineStr">
        <is>
          <t>SCA</t>
        </is>
      </c>
      <c r="G2823" t="n">
        <v>9.800000000000001</v>
      </c>
      <c r="H2823" t="n">
        <v>0</v>
      </c>
      <c r="I2823" t="n">
        <v>0</v>
      </c>
      <c r="J2823" t="n">
        <v>0</v>
      </c>
      <c r="K2823" t="n">
        <v>0</v>
      </c>
      <c r="L2823" t="n">
        <v>0</v>
      </c>
      <c r="M2823" t="n">
        <v>0</v>
      </c>
      <c r="N2823" t="n">
        <v>0</v>
      </c>
      <c r="O2823" t="n">
        <v>0</v>
      </c>
      <c r="P2823" t="n">
        <v>0</v>
      </c>
      <c r="Q2823" t="n">
        <v>0</v>
      </c>
      <c r="R2823" s="2" t="inlineStr"/>
      <c r="U2823">
        <f>HYPERLINK("https://klasma.github.io/Logging_2313/knärot/A 8420-2024 karta knärot.png", "A 8420-2024")</f>
        <v/>
      </c>
      <c r="V2823">
        <f>HYPERLINK("https://klasma.github.io/Logging_2313/klagomål/A 8420-2024 FSC-klagomål.docx", "A 8420-2024")</f>
        <v/>
      </c>
      <c r="W2823">
        <f>HYPERLINK("https://klasma.github.io/Logging_2313/klagomålsmail/A 8420-2024 FSC-klagomål mail.docx", "A 8420-2024")</f>
        <v/>
      </c>
      <c r="X2823">
        <f>HYPERLINK("https://klasma.github.io/Logging_2313/tillsyn/A 8420-2024 tillsynsbegäran.docx", "A 8420-2024")</f>
        <v/>
      </c>
      <c r="Y2823">
        <f>HYPERLINK("https://klasma.github.io/Logging_2313/tillsynsmail/A 8420-2024 tillsynsbegäran mail.docx", "A 8420-2024")</f>
        <v/>
      </c>
    </row>
    <row r="2824" ht="15" customHeight="1">
      <c r="A2824" t="inlineStr">
        <is>
          <t>A 8421-2024</t>
        </is>
      </c>
      <c r="B2824" s="1" t="n">
        <v>45353</v>
      </c>
      <c r="C2824" s="1" t="n">
        <v>45740</v>
      </c>
      <c r="D2824" t="inlineStr">
        <is>
          <t>JÄMTLANDS LÄN</t>
        </is>
      </c>
      <c r="E2824" t="inlineStr">
        <is>
          <t>STRÖMSUND</t>
        </is>
      </c>
      <c r="F2824" t="inlineStr">
        <is>
          <t>SCA</t>
        </is>
      </c>
      <c r="G2824" t="n">
        <v>35.8</v>
      </c>
      <c r="H2824" t="n">
        <v>0</v>
      </c>
      <c r="I2824" t="n">
        <v>0</v>
      </c>
      <c r="J2824" t="n">
        <v>0</v>
      </c>
      <c r="K2824" t="n">
        <v>0</v>
      </c>
      <c r="L2824" t="n">
        <v>0</v>
      </c>
      <c r="M2824" t="n">
        <v>0</v>
      </c>
      <c r="N2824" t="n">
        <v>0</v>
      </c>
      <c r="O2824" t="n">
        <v>0</v>
      </c>
      <c r="P2824" t="n">
        <v>0</v>
      </c>
      <c r="Q2824" t="n">
        <v>0</v>
      </c>
      <c r="R2824" s="2" t="inlineStr"/>
    </row>
    <row r="2825" ht="15" customHeight="1">
      <c r="A2825" t="inlineStr">
        <is>
          <t>A 8663-2024</t>
        </is>
      </c>
      <c r="B2825" s="1" t="n">
        <v>45356</v>
      </c>
      <c r="C2825" s="1" t="n">
        <v>45740</v>
      </c>
      <c r="D2825" t="inlineStr">
        <is>
          <t>JÄMTLANDS LÄN</t>
        </is>
      </c>
      <c r="E2825" t="inlineStr">
        <is>
          <t>STRÖMSUND</t>
        </is>
      </c>
      <c r="F2825" t="inlineStr">
        <is>
          <t>SCA</t>
        </is>
      </c>
      <c r="G2825" t="n">
        <v>24.8</v>
      </c>
      <c r="H2825" t="n">
        <v>0</v>
      </c>
      <c r="I2825" t="n">
        <v>0</v>
      </c>
      <c r="J2825" t="n">
        <v>0</v>
      </c>
      <c r="K2825" t="n">
        <v>0</v>
      </c>
      <c r="L2825" t="n">
        <v>0</v>
      </c>
      <c r="M2825" t="n">
        <v>0</v>
      </c>
      <c r="N2825" t="n">
        <v>0</v>
      </c>
      <c r="O2825" t="n">
        <v>0</v>
      </c>
      <c r="P2825" t="n">
        <v>0</v>
      </c>
      <c r="Q2825" t="n">
        <v>0</v>
      </c>
      <c r="R2825" s="2" t="inlineStr"/>
    </row>
    <row r="2826" ht="15" customHeight="1">
      <c r="A2826" t="inlineStr">
        <is>
          <t>A 8637-2024</t>
        </is>
      </c>
      <c r="B2826" s="1" t="n">
        <v>45356</v>
      </c>
      <c r="C2826" s="1" t="n">
        <v>45740</v>
      </c>
      <c r="D2826" t="inlineStr">
        <is>
          <t>JÄMTLANDS LÄN</t>
        </is>
      </c>
      <c r="E2826" t="inlineStr">
        <is>
          <t>STRÖMSUND</t>
        </is>
      </c>
      <c r="F2826" t="inlineStr">
        <is>
          <t>SCA</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8661-2024</t>
        </is>
      </c>
      <c r="B2827" s="1" t="n">
        <v>45356</v>
      </c>
      <c r="C2827" s="1" t="n">
        <v>45740</v>
      </c>
      <c r="D2827" t="inlineStr">
        <is>
          <t>JÄMTLANDS LÄN</t>
        </is>
      </c>
      <c r="E2827" t="inlineStr">
        <is>
          <t>STRÖMSUND</t>
        </is>
      </c>
      <c r="F2827" t="inlineStr">
        <is>
          <t>SCA</t>
        </is>
      </c>
      <c r="G2827" t="n">
        <v>28.8</v>
      </c>
      <c r="H2827" t="n">
        <v>0</v>
      </c>
      <c r="I2827" t="n">
        <v>0</v>
      </c>
      <c r="J2827" t="n">
        <v>0</v>
      </c>
      <c r="K2827" t="n">
        <v>0</v>
      </c>
      <c r="L2827" t="n">
        <v>0</v>
      </c>
      <c r="M2827" t="n">
        <v>0</v>
      </c>
      <c r="N2827" t="n">
        <v>0</v>
      </c>
      <c r="O2827" t="n">
        <v>0</v>
      </c>
      <c r="P2827" t="n">
        <v>0</v>
      </c>
      <c r="Q2827" t="n">
        <v>0</v>
      </c>
      <c r="R2827" s="2" t="inlineStr"/>
    </row>
    <row r="2828" ht="15" customHeight="1">
      <c r="A2828" t="inlineStr">
        <is>
          <t>A 8743-2024</t>
        </is>
      </c>
      <c r="B2828" s="1" t="n">
        <v>45356</v>
      </c>
      <c r="C2828" s="1" t="n">
        <v>45740</v>
      </c>
      <c r="D2828" t="inlineStr">
        <is>
          <t>JÄMTLANDS LÄN</t>
        </is>
      </c>
      <c r="E2828" t="inlineStr">
        <is>
          <t>STRÖMSUND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8662-2024</t>
        </is>
      </c>
      <c r="B2829" s="1" t="n">
        <v>45356</v>
      </c>
      <c r="C2829" s="1" t="n">
        <v>45740</v>
      </c>
      <c r="D2829" t="inlineStr">
        <is>
          <t>JÄMTLANDS LÄN</t>
        </is>
      </c>
      <c r="E2829" t="inlineStr">
        <is>
          <t>STRÖMSUND</t>
        </is>
      </c>
      <c r="F2829" t="inlineStr">
        <is>
          <t>SCA</t>
        </is>
      </c>
      <c r="G2829" t="n">
        <v>24.6</v>
      </c>
      <c r="H2829" t="n">
        <v>0</v>
      </c>
      <c r="I2829" t="n">
        <v>0</v>
      </c>
      <c r="J2829" t="n">
        <v>0</v>
      </c>
      <c r="K2829" t="n">
        <v>0</v>
      </c>
      <c r="L2829" t="n">
        <v>0</v>
      </c>
      <c r="M2829" t="n">
        <v>0</v>
      </c>
      <c r="N2829" t="n">
        <v>0</v>
      </c>
      <c r="O2829" t="n">
        <v>0</v>
      </c>
      <c r="P2829" t="n">
        <v>0</v>
      </c>
      <c r="Q2829" t="n">
        <v>0</v>
      </c>
      <c r="R2829" s="2" t="inlineStr"/>
    </row>
    <row r="2830" ht="15" customHeight="1">
      <c r="A2830" t="inlineStr">
        <is>
          <t>A 8745-2024</t>
        </is>
      </c>
      <c r="B2830" s="1" t="n">
        <v>45356</v>
      </c>
      <c r="C2830" s="1" t="n">
        <v>45740</v>
      </c>
      <c r="D2830" t="inlineStr">
        <is>
          <t>JÄMTLANDS LÄN</t>
        </is>
      </c>
      <c r="E2830" t="inlineStr">
        <is>
          <t>STRÖMSUND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9035-2024</t>
        </is>
      </c>
      <c r="B2831" s="1" t="n">
        <v>45356</v>
      </c>
      <c r="C2831" s="1" t="n">
        <v>45740</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8895-2024</t>
        </is>
      </c>
      <c r="B2832" s="1" t="n">
        <v>45357</v>
      </c>
      <c r="C2832" s="1" t="n">
        <v>45740</v>
      </c>
      <c r="D2832" t="inlineStr">
        <is>
          <t>JÄMTLANDS LÄN</t>
        </is>
      </c>
      <c r="E2832" t="inlineStr">
        <is>
          <t>STRÖMSUND</t>
        </is>
      </c>
      <c r="F2832" t="inlineStr">
        <is>
          <t>Holmen skog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9329-2024</t>
        </is>
      </c>
      <c r="B2833" s="1" t="n">
        <v>45359</v>
      </c>
      <c r="C2833" s="1" t="n">
        <v>45740</v>
      </c>
      <c r="D2833" t="inlineStr">
        <is>
          <t>JÄMTLANDS LÄN</t>
        </is>
      </c>
      <c r="E2833" t="inlineStr">
        <is>
          <t>STRÖMSUND</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9514-2024</t>
        </is>
      </c>
      <c r="B2834" s="1" t="n">
        <v>45359</v>
      </c>
      <c r="C2834" s="1" t="n">
        <v>45740</v>
      </c>
      <c r="D2834" t="inlineStr">
        <is>
          <t>JÄMTLANDS LÄN</t>
        </is>
      </c>
      <c r="E2834" t="inlineStr">
        <is>
          <t>STRÖMSUND</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9559-2024</t>
        </is>
      </c>
      <c r="B2835" s="1" t="n">
        <v>45360</v>
      </c>
      <c r="C2835" s="1" t="n">
        <v>45740</v>
      </c>
      <c r="D2835" t="inlineStr">
        <is>
          <t>JÄMTLANDS LÄN</t>
        </is>
      </c>
      <c r="E2835" t="inlineStr">
        <is>
          <t>STRÖMSUND</t>
        </is>
      </c>
      <c r="F2835" t="inlineStr">
        <is>
          <t>SCA</t>
        </is>
      </c>
      <c r="G2835" t="n">
        <v>28.3</v>
      </c>
      <c r="H2835" t="n">
        <v>0</v>
      </c>
      <c r="I2835" t="n">
        <v>0</v>
      </c>
      <c r="J2835" t="n">
        <v>0</v>
      </c>
      <c r="K2835" t="n">
        <v>0</v>
      </c>
      <c r="L2835" t="n">
        <v>0</v>
      </c>
      <c r="M2835" t="n">
        <v>0</v>
      </c>
      <c r="N2835" t="n">
        <v>0</v>
      </c>
      <c r="O2835" t="n">
        <v>0</v>
      </c>
      <c r="P2835" t="n">
        <v>0</v>
      </c>
      <c r="Q2835" t="n">
        <v>0</v>
      </c>
      <c r="R2835" s="2" t="inlineStr"/>
    </row>
    <row r="2836" ht="15" customHeight="1">
      <c r="A2836" t="inlineStr">
        <is>
          <t>A 9706-2024</t>
        </is>
      </c>
      <c r="B2836" s="1" t="n">
        <v>45362</v>
      </c>
      <c r="C2836" s="1" t="n">
        <v>45740</v>
      </c>
      <c r="D2836" t="inlineStr">
        <is>
          <t>JÄMTLANDS LÄN</t>
        </is>
      </c>
      <c r="E2836" t="inlineStr">
        <is>
          <t>STRÖMSUND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9707-2024</t>
        </is>
      </c>
      <c r="B2837" s="1" t="n">
        <v>45362</v>
      </c>
      <c r="C2837" s="1" t="n">
        <v>45740</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9824-2024</t>
        </is>
      </c>
      <c r="B2838" s="1" t="n">
        <v>45363</v>
      </c>
      <c r="C2838" s="1" t="n">
        <v>45740</v>
      </c>
      <c r="D2838" t="inlineStr">
        <is>
          <t>JÄMTLANDS LÄN</t>
        </is>
      </c>
      <c r="E2838" t="inlineStr">
        <is>
          <t>STRÖMSUND</t>
        </is>
      </c>
      <c r="F2838" t="inlineStr">
        <is>
          <t>SCA</t>
        </is>
      </c>
      <c r="G2838" t="n">
        <v>21.5</v>
      </c>
      <c r="H2838" t="n">
        <v>0</v>
      </c>
      <c r="I2838" t="n">
        <v>0</v>
      </c>
      <c r="J2838" t="n">
        <v>0</v>
      </c>
      <c r="K2838" t="n">
        <v>0</v>
      </c>
      <c r="L2838" t="n">
        <v>0</v>
      </c>
      <c r="M2838" t="n">
        <v>0</v>
      </c>
      <c r="N2838" t="n">
        <v>0</v>
      </c>
      <c r="O2838" t="n">
        <v>0</v>
      </c>
      <c r="P2838" t="n">
        <v>0</v>
      </c>
      <c r="Q2838" t="n">
        <v>0</v>
      </c>
      <c r="R2838" s="2" t="inlineStr"/>
    </row>
    <row r="2839" ht="15" customHeight="1">
      <c r="A2839" t="inlineStr">
        <is>
          <t>A 9940-2024</t>
        </is>
      </c>
      <c r="B2839" s="1" t="n">
        <v>45363</v>
      </c>
      <c r="C2839" s="1" t="n">
        <v>45740</v>
      </c>
      <c r="D2839" t="inlineStr">
        <is>
          <t>JÄMTLANDS LÄN</t>
        </is>
      </c>
      <c r="E2839" t="inlineStr">
        <is>
          <t>STRÖMSUND</t>
        </is>
      </c>
      <c r="F2839" t="inlineStr">
        <is>
          <t>Holmen skog AB</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10033-2024</t>
        </is>
      </c>
      <c r="B2840" s="1" t="n">
        <v>45364</v>
      </c>
      <c r="C2840" s="1" t="n">
        <v>45740</v>
      </c>
      <c r="D2840" t="inlineStr">
        <is>
          <t>JÄMTLANDS LÄN</t>
        </is>
      </c>
      <c r="E2840" t="inlineStr">
        <is>
          <t>STRÖMSUND</t>
        </is>
      </c>
      <c r="F2840" t="inlineStr">
        <is>
          <t>SCA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10041-2024</t>
        </is>
      </c>
      <c r="B2841" s="1" t="n">
        <v>45364</v>
      </c>
      <c r="C2841" s="1" t="n">
        <v>45740</v>
      </c>
      <c r="D2841" t="inlineStr">
        <is>
          <t>JÄMTLANDS LÄN</t>
        </is>
      </c>
      <c r="E2841" t="inlineStr">
        <is>
          <t>STRÖMSUND</t>
        </is>
      </c>
      <c r="F2841" t="inlineStr">
        <is>
          <t>SCA</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10031-2024</t>
        </is>
      </c>
      <c r="B2842" s="1" t="n">
        <v>45364</v>
      </c>
      <c r="C2842" s="1" t="n">
        <v>45740</v>
      </c>
      <c r="D2842" t="inlineStr">
        <is>
          <t>JÄMTLANDS LÄN</t>
        </is>
      </c>
      <c r="E2842" t="inlineStr">
        <is>
          <t>STRÖMSUND</t>
        </is>
      </c>
      <c r="F2842" t="inlineStr">
        <is>
          <t>SCA</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10043-2024</t>
        </is>
      </c>
      <c r="B2843" s="1" t="n">
        <v>45364</v>
      </c>
      <c r="C2843" s="1" t="n">
        <v>45740</v>
      </c>
      <c r="D2843" t="inlineStr">
        <is>
          <t>JÄMTLANDS LÄN</t>
        </is>
      </c>
      <c r="E2843" t="inlineStr">
        <is>
          <t>STRÖMSUND</t>
        </is>
      </c>
      <c r="F2843" t="inlineStr">
        <is>
          <t>SCA</t>
        </is>
      </c>
      <c r="G2843" t="n">
        <v>18.7</v>
      </c>
      <c r="H2843" t="n">
        <v>0</v>
      </c>
      <c r="I2843" t="n">
        <v>0</v>
      </c>
      <c r="J2843" t="n">
        <v>0</v>
      </c>
      <c r="K2843" t="n">
        <v>0</v>
      </c>
      <c r="L2843" t="n">
        <v>0</v>
      </c>
      <c r="M2843" t="n">
        <v>0</v>
      </c>
      <c r="N2843" t="n">
        <v>0</v>
      </c>
      <c r="O2843" t="n">
        <v>0</v>
      </c>
      <c r="P2843" t="n">
        <v>0</v>
      </c>
      <c r="Q2843" t="n">
        <v>0</v>
      </c>
      <c r="R2843" s="2" t="inlineStr"/>
    </row>
    <row r="2844" ht="15" customHeight="1">
      <c r="A2844" t="inlineStr">
        <is>
          <t>A 10030-2024</t>
        </is>
      </c>
      <c r="B2844" s="1" t="n">
        <v>45364</v>
      </c>
      <c r="C2844" s="1" t="n">
        <v>45740</v>
      </c>
      <c r="D2844" t="inlineStr">
        <is>
          <t>JÄMTLANDS LÄN</t>
        </is>
      </c>
      <c r="E2844" t="inlineStr">
        <is>
          <t>STRÖMSUND</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10034-2024</t>
        </is>
      </c>
      <c r="B2845" s="1" t="n">
        <v>45364</v>
      </c>
      <c r="C2845" s="1" t="n">
        <v>45740</v>
      </c>
      <c r="D2845" t="inlineStr">
        <is>
          <t>JÄMTLANDS LÄN</t>
        </is>
      </c>
      <c r="E2845" t="inlineStr">
        <is>
          <t>STRÖMSUND</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10042-2024</t>
        </is>
      </c>
      <c r="B2846" s="1" t="n">
        <v>45364</v>
      </c>
      <c r="C2846" s="1" t="n">
        <v>45740</v>
      </c>
      <c r="D2846" t="inlineStr">
        <is>
          <t>JÄMTLANDS LÄN</t>
        </is>
      </c>
      <c r="E2846" t="inlineStr">
        <is>
          <t>STRÖMSUND</t>
        </is>
      </c>
      <c r="F2846" t="inlineStr">
        <is>
          <t>SCA</t>
        </is>
      </c>
      <c r="G2846" t="n">
        <v>13.4</v>
      </c>
      <c r="H2846" t="n">
        <v>0</v>
      </c>
      <c r="I2846" t="n">
        <v>0</v>
      </c>
      <c r="J2846" t="n">
        <v>0</v>
      </c>
      <c r="K2846" t="n">
        <v>0</v>
      </c>
      <c r="L2846" t="n">
        <v>0</v>
      </c>
      <c r="M2846" t="n">
        <v>0</v>
      </c>
      <c r="N2846" t="n">
        <v>0</v>
      </c>
      <c r="O2846" t="n">
        <v>0</v>
      </c>
      <c r="P2846" t="n">
        <v>0</v>
      </c>
      <c r="Q2846" t="n">
        <v>0</v>
      </c>
      <c r="R2846" s="2" t="inlineStr"/>
    </row>
    <row r="2847" ht="15" customHeight="1">
      <c r="A2847" t="inlineStr">
        <is>
          <t>A 10032-2024</t>
        </is>
      </c>
      <c r="B2847" s="1" t="n">
        <v>45364</v>
      </c>
      <c r="C2847" s="1" t="n">
        <v>45740</v>
      </c>
      <c r="D2847" t="inlineStr">
        <is>
          <t>JÄMTLANDS LÄN</t>
        </is>
      </c>
      <c r="E2847" t="inlineStr">
        <is>
          <t>STRÖMSUND</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10212-2024</t>
        </is>
      </c>
      <c r="B2848" s="1" t="n">
        <v>45364</v>
      </c>
      <c r="C2848" s="1" t="n">
        <v>45740</v>
      </c>
      <c r="D2848" t="inlineStr">
        <is>
          <t>JÄMTLANDS LÄN</t>
        </is>
      </c>
      <c r="E2848" t="inlineStr">
        <is>
          <t>STRÖMSUND</t>
        </is>
      </c>
      <c r="F2848" t="inlineStr">
        <is>
          <t>SCA</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10216-2024</t>
        </is>
      </c>
      <c r="B2849" s="1" t="n">
        <v>45364</v>
      </c>
      <c r="C2849" s="1" t="n">
        <v>45740</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10422-2024</t>
        </is>
      </c>
      <c r="B2850" s="1" t="n">
        <v>45365</v>
      </c>
      <c r="C2850" s="1" t="n">
        <v>45740</v>
      </c>
      <c r="D2850" t="inlineStr">
        <is>
          <t>JÄMTLANDS LÄN</t>
        </is>
      </c>
      <c r="E2850" t="inlineStr">
        <is>
          <t>STRÖMSUND</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10611-2024</t>
        </is>
      </c>
      <c r="B2851" s="1" t="n">
        <v>45367</v>
      </c>
      <c r="C2851" s="1" t="n">
        <v>45740</v>
      </c>
      <c r="D2851" t="inlineStr">
        <is>
          <t>JÄMTLANDS LÄN</t>
        </is>
      </c>
      <c r="E2851" t="inlineStr">
        <is>
          <t>STRÖMSUND</t>
        </is>
      </c>
      <c r="F2851" t="inlineStr">
        <is>
          <t>SCA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10622-2024</t>
        </is>
      </c>
      <c r="B2852" s="1" t="n">
        <v>45367</v>
      </c>
      <c r="C2852" s="1" t="n">
        <v>45740</v>
      </c>
      <c r="D2852" t="inlineStr">
        <is>
          <t>JÄMTLANDS LÄN</t>
        </is>
      </c>
      <c r="E2852" t="inlineStr">
        <is>
          <t>STRÖMSUND</t>
        </is>
      </c>
      <c r="F2852" t="inlineStr">
        <is>
          <t>SCA</t>
        </is>
      </c>
      <c r="G2852" t="n">
        <v>30.8</v>
      </c>
      <c r="H2852" t="n">
        <v>0</v>
      </c>
      <c r="I2852" t="n">
        <v>0</v>
      </c>
      <c r="J2852" t="n">
        <v>0</v>
      </c>
      <c r="K2852" t="n">
        <v>0</v>
      </c>
      <c r="L2852" t="n">
        <v>0</v>
      </c>
      <c r="M2852" t="n">
        <v>0</v>
      </c>
      <c r="N2852" t="n">
        <v>0</v>
      </c>
      <c r="O2852" t="n">
        <v>0</v>
      </c>
      <c r="P2852" t="n">
        <v>0</v>
      </c>
      <c r="Q2852" t="n">
        <v>0</v>
      </c>
      <c r="R2852" s="2" t="inlineStr"/>
    </row>
    <row r="2853" ht="15" customHeight="1">
      <c r="A2853" t="inlineStr">
        <is>
          <t>A 10865-2024</t>
        </is>
      </c>
      <c r="B2853" s="1" t="n">
        <v>45370</v>
      </c>
      <c r="C2853" s="1" t="n">
        <v>45740</v>
      </c>
      <c r="D2853" t="inlineStr">
        <is>
          <t>JÄMTLANDS LÄN</t>
        </is>
      </c>
      <c r="E2853" t="inlineStr">
        <is>
          <t>STRÖMSUND</t>
        </is>
      </c>
      <c r="F2853" t="inlineStr">
        <is>
          <t>SCA</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10864-2024</t>
        </is>
      </c>
      <c r="B2854" s="1" t="n">
        <v>45370</v>
      </c>
      <c r="C2854" s="1" t="n">
        <v>45740</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11340-2024</t>
        </is>
      </c>
      <c r="B2855" s="1" t="n">
        <v>45372</v>
      </c>
      <c r="C2855" s="1" t="n">
        <v>45740</v>
      </c>
      <c r="D2855" t="inlineStr">
        <is>
          <t>JÄMTLANDS LÄN</t>
        </is>
      </c>
      <c r="E2855" t="inlineStr">
        <is>
          <t>STRÖMSUND</t>
        </is>
      </c>
      <c r="F2855" t="inlineStr">
        <is>
          <t>SCA</t>
        </is>
      </c>
      <c r="G2855" t="n">
        <v>13.7</v>
      </c>
      <c r="H2855" t="n">
        <v>0</v>
      </c>
      <c r="I2855" t="n">
        <v>0</v>
      </c>
      <c r="J2855" t="n">
        <v>0</v>
      </c>
      <c r="K2855" t="n">
        <v>0</v>
      </c>
      <c r="L2855" t="n">
        <v>0</v>
      </c>
      <c r="M2855" t="n">
        <v>0</v>
      </c>
      <c r="N2855" t="n">
        <v>0</v>
      </c>
      <c r="O2855" t="n">
        <v>0</v>
      </c>
      <c r="P2855" t="n">
        <v>0</v>
      </c>
      <c r="Q2855" t="n">
        <v>0</v>
      </c>
      <c r="R2855" s="2" t="inlineStr"/>
      <c r="U2855">
        <f>HYPERLINK("https://klasma.github.io/Logging_2313/knärot/A 11340-2024 karta knärot.png", "A 11340-2024")</f>
        <v/>
      </c>
      <c r="V2855">
        <f>HYPERLINK("https://klasma.github.io/Logging_2313/klagomål/A 11340-2024 FSC-klagomål.docx", "A 11340-2024")</f>
        <v/>
      </c>
      <c r="W2855">
        <f>HYPERLINK("https://klasma.github.io/Logging_2313/klagomålsmail/A 11340-2024 FSC-klagomål mail.docx", "A 11340-2024")</f>
        <v/>
      </c>
      <c r="X2855">
        <f>HYPERLINK("https://klasma.github.io/Logging_2313/tillsyn/A 11340-2024 tillsynsbegäran.docx", "A 11340-2024")</f>
        <v/>
      </c>
      <c r="Y2855">
        <f>HYPERLINK("https://klasma.github.io/Logging_2313/tillsynsmail/A 11340-2024 tillsynsbegäran mail.docx", "A 11340-2024")</f>
        <v/>
      </c>
    </row>
    <row r="2856" ht="15" customHeight="1">
      <c r="A2856" t="inlineStr">
        <is>
          <t>A 11341-2024</t>
        </is>
      </c>
      <c r="B2856" s="1" t="n">
        <v>45372</v>
      </c>
      <c r="C2856" s="1" t="n">
        <v>45740</v>
      </c>
      <c r="D2856" t="inlineStr">
        <is>
          <t>JÄMTLANDS LÄN</t>
        </is>
      </c>
      <c r="E2856" t="inlineStr">
        <is>
          <t>STRÖMSUND</t>
        </is>
      </c>
      <c r="F2856" t="inlineStr">
        <is>
          <t>SCA</t>
        </is>
      </c>
      <c r="G2856" t="n">
        <v>19.4</v>
      </c>
      <c r="H2856" t="n">
        <v>0</v>
      </c>
      <c r="I2856" t="n">
        <v>0</v>
      </c>
      <c r="J2856" t="n">
        <v>0</v>
      </c>
      <c r="K2856" t="n">
        <v>0</v>
      </c>
      <c r="L2856" t="n">
        <v>0</v>
      </c>
      <c r="M2856" t="n">
        <v>0</v>
      </c>
      <c r="N2856" t="n">
        <v>0</v>
      </c>
      <c r="O2856" t="n">
        <v>0</v>
      </c>
      <c r="P2856" t="n">
        <v>0</v>
      </c>
      <c r="Q2856" t="n">
        <v>0</v>
      </c>
      <c r="R2856" s="2" t="inlineStr"/>
    </row>
    <row r="2857" ht="15" customHeight="1">
      <c r="A2857" t="inlineStr">
        <is>
          <t>A 11753-2024</t>
        </is>
      </c>
      <c r="B2857" s="1" t="n">
        <v>45373</v>
      </c>
      <c r="C2857" s="1" t="n">
        <v>45740</v>
      </c>
      <c r="D2857" t="inlineStr">
        <is>
          <t>JÄMTLANDS LÄN</t>
        </is>
      </c>
      <c r="E2857" t="inlineStr">
        <is>
          <t>STRÖMSUND</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11763-2024</t>
        </is>
      </c>
      <c r="B2858" s="1" t="n">
        <v>45373</v>
      </c>
      <c r="C2858" s="1" t="n">
        <v>45740</v>
      </c>
      <c r="D2858" t="inlineStr">
        <is>
          <t>JÄMTLANDS LÄN</t>
        </is>
      </c>
      <c r="E2858" t="inlineStr">
        <is>
          <t>STRÖMSUND</t>
        </is>
      </c>
      <c r="F2858" t="inlineStr">
        <is>
          <t>SCA</t>
        </is>
      </c>
      <c r="G2858" t="n">
        <v>31.6</v>
      </c>
      <c r="H2858" t="n">
        <v>0</v>
      </c>
      <c r="I2858" t="n">
        <v>0</v>
      </c>
      <c r="J2858" t="n">
        <v>0</v>
      </c>
      <c r="K2858" t="n">
        <v>0</v>
      </c>
      <c r="L2858" t="n">
        <v>0</v>
      </c>
      <c r="M2858" t="n">
        <v>0</v>
      </c>
      <c r="N2858" t="n">
        <v>0</v>
      </c>
      <c r="O2858" t="n">
        <v>0</v>
      </c>
      <c r="P2858" t="n">
        <v>0</v>
      </c>
      <c r="Q2858" t="n">
        <v>0</v>
      </c>
      <c r="R2858" s="2" t="inlineStr"/>
    </row>
    <row r="2859" ht="15" customHeight="1">
      <c r="A2859" t="inlineStr">
        <is>
          <t>A 11755-2024</t>
        </is>
      </c>
      <c r="B2859" s="1" t="n">
        <v>45373</v>
      </c>
      <c r="C2859" s="1" t="n">
        <v>45740</v>
      </c>
      <c r="D2859" t="inlineStr">
        <is>
          <t>JÄMTLANDS LÄN</t>
        </is>
      </c>
      <c r="E2859" t="inlineStr">
        <is>
          <t>STRÖMSUND</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11762-2024</t>
        </is>
      </c>
      <c r="B2860" s="1" t="n">
        <v>45373</v>
      </c>
      <c r="C2860" s="1" t="n">
        <v>45740</v>
      </c>
      <c r="D2860" t="inlineStr">
        <is>
          <t>JÄMTLANDS LÄN</t>
        </is>
      </c>
      <c r="E2860" t="inlineStr">
        <is>
          <t>STRÖMSUND</t>
        </is>
      </c>
      <c r="F2860" t="inlineStr">
        <is>
          <t>SCA</t>
        </is>
      </c>
      <c r="G2860" t="n">
        <v>26.7</v>
      </c>
      <c r="H2860" t="n">
        <v>0</v>
      </c>
      <c r="I2860" t="n">
        <v>0</v>
      </c>
      <c r="J2860" t="n">
        <v>0</v>
      </c>
      <c r="K2860" t="n">
        <v>0</v>
      </c>
      <c r="L2860" t="n">
        <v>0</v>
      </c>
      <c r="M2860" t="n">
        <v>0</v>
      </c>
      <c r="N2860" t="n">
        <v>0</v>
      </c>
      <c r="O2860" t="n">
        <v>0</v>
      </c>
      <c r="P2860" t="n">
        <v>0</v>
      </c>
      <c r="Q2860" t="n">
        <v>0</v>
      </c>
      <c r="R2860" s="2" t="inlineStr"/>
    </row>
    <row r="2861" ht="15" customHeight="1">
      <c r="A2861" t="inlineStr">
        <is>
          <t>A 11811-2024</t>
        </is>
      </c>
      <c r="B2861" s="1" t="n">
        <v>45376</v>
      </c>
      <c r="C2861" s="1" t="n">
        <v>45740</v>
      </c>
      <c r="D2861" t="inlineStr">
        <is>
          <t>JÄMTLANDS LÄN</t>
        </is>
      </c>
      <c r="E2861" t="inlineStr">
        <is>
          <t>STRÖMSUND</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11978-2024</t>
        </is>
      </c>
      <c r="B2862" s="1" t="n">
        <v>45376</v>
      </c>
      <c r="C2862" s="1" t="n">
        <v>45740</v>
      </c>
      <c r="D2862" t="inlineStr">
        <is>
          <t>JÄMTLANDS LÄN</t>
        </is>
      </c>
      <c r="E2862" t="inlineStr">
        <is>
          <t>STRÖMSUND</t>
        </is>
      </c>
      <c r="F2862" t="inlineStr">
        <is>
          <t>SCA</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12078-2024</t>
        </is>
      </c>
      <c r="B2863" s="1" t="n">
        <v>45377</v>
      </c>
      <c r="C2863" s="1" t="n">
        <v>45740</v>
      </c>
      <c r="D2863" t="inlineStr">
        <is>
          <t>JÄMTLANDS LÄN</t>
        </is>
      </c>
      <c r="E2863" t="inlineStr">
        <is>
          <t>STRÖMSUND</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12869-2024</t>
        </is>
      </c>
      <c r="B2864" s="1" t="n">
        <v>45385</v>
      </c>
      <c r="C2864" s="1" t="n">
        <v>45740</v>
      </c>
      <c r="D2864" t="inlineStr">
        <is>
          <t>JÄMTLANDS LÄN</t>
        </is>
      </c>
      <c r="E2864" t="inlineStr">
        <is>
          <t>STRÖMSUND</t>
        </is>
      </c>
      <c r="F2864" t="inlineStr">
        <is>
          <t>SCA</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12866-2024</t>
        </is>
      </c>
      <c r="B2865" s="1" t="n">
        <v>45385</v>
      </c>
      <c r="C2865" s="1" t="n">
        <v>45740</v>
      </c>
      <c r="D2865" t="inlineStr">
        <is>
          <t>JÄMTLANDS LÄN</t>
        </is>
      </c>
      <c r="E2865" t="inlineStr">
        <is>
          <t>STRÖMSUND</t>
        </is>
      </c>
      <c r="F2865" t="inlineStr">
        <is>
          <t>SCA</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12956-2024</t>
        </is>
      </c>
      <c r="B2866" s="1" t="n">
        <v>45385</v>
      </c>
      <c r="C2866" s="1" t="n">
        <v>45740</v>
      </c>
      <c r="D2866" t="inlineStr">
        <is>
          <t>JÄMTLANDS LÄN</t>
        </is>
      </c>
      <c r="E2866" t="inlineStr">
        <is>
          <t>STRÖMSUND</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13129-2024</t>
        </is>
      </c>
      <c r="B2867" s="1" t="n">
        <v>45386</v>
      </c>
      <c r="C2867" s="1" t="n">
        <v>45740</v>
      </c>
      <c r="D2867" t="inlineStr">
        <is>
          <t>JÄMTLANDS LÄN</t>
        </is>
      </c>
      <c r="E2867" t="inlineStr">
        <is>
          <t>STRÖMSUND</t>
        </is>
      </c>
      <c r="F2867" t="inlineStr">
        <is>
          <t>SCA</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13236-2024</t>
        </is>
      </c>
      <c r="B2868" s="1" t="n">
        <v>45386</v>
      </c>
      <c r="C2868" s="1" t="n">
        <v>45740</v>
      </c>
      <c r="D2868" t="inlineStr">
        <is>
          <t>JÄMTLANDS LÄN</t>
        </is>
      </c>
      <c r="E2868" t="inlineStr">
        <is>
          <t>STRÖMSUND</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13339-2024</t>
        </is>
      </c>
      <c r="B2869" s="1" t="n">
        <v>45387</v>
      </c>
      <c r="C2869" s="1" t="n">
        <v>45740</v>
      </c>
      <c r="D2869" t="inlineStr">
        <is>
          <t>JÄMTLANDS LÄN</t>
        </is>
      </c>
      <c r="E2869" t="inlineStr">
        <is>
          <t>STRÖMSUND</t>
        </is>
      </c>
      <c r="G2869" t="n">
        <v>12.6</v>
      </c>
      <c r="H2869" t="n">
        <v>0</v>
      </c>
      <c r="I2869" t="n">
        <v>0</v>
      </c>
      <c r="J2869" t="n">
        <v>0</v>
      </c>
      <c r="K2869" t="n">
        <v>0</v>
      </c>
      <c r="L2869" t="n">
        <v>0</v>
      </c>
      <c r="M2869" t="n">
        <v>0</v>
      </c>
      <c r="N2869" t="n">
        <v>0</v>
      </c>
      <c r="O2869" t="n">
        <v>0</v>
      </c>
      <c r="P2869" t="n">
        <v>0</v>
      </c>
      <c r="Q2869" t="n">
        <v>0</v>
      </c>
      <c r="R2869" s="2" t="inlineStr"/>
    </row>
    <row r="2870" ht="15" customHeight="1">
      <c r="A2870" t="inlineStr">
        <is>
          <t>A 13499-2024</t>
        </is>
      </c>
      <c r="B2870" s="1" t="n">
        <v>45387</v>
      </c>
      <c r="C2870" s="1" t="n">
        <v>45740</v>
      </c>
      <c r="D2870" t="inlineStr">
        <is>
          <t>JÄMTLANDS LÄN</t>
        </is>
      </c>
      <c r="E2870" t="inlineStr">
        <is>
          <t>STRÖMSUND</t>
        </is>
      </c>
      <c r="F2870" t="inlineStr">
        <is>
          <t>Kommuner</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13494-2024</t>
        </is>
      </c>
      <c r="B2871" s="1" t="n">
        <v>45387</v>
      </c>
      <c r="C2871" s="1" t="n">
        <v>45740</v>
      </c>
      <c r="D2871" t="inlineStr">
        <is>
          <t>JÄMTLANDS LÄN</t>
        </is>
      </c>
      <c r="E2871" t="inlineStr">
        <is>
          <t>STRÖMSUND</t>
        </is>
      </c>
      <c r="F2871" t="inlineStr">
        <is>
          <t>Kommuner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13590-2024</t>
        </is>
      </c>
      <c r="B2872" s="1" t="n">
        <v>45389</v>
      </c>
      <c r="C2872" s="1" t="n">
        <v>45740</v>
      </c>
      <c r="D2872" t="inlineStr">
        <is>
          <t>JÄMTLANDS LÄN</t>
        </is>
      </c>
      <c r="E2872" t="inlineStr">
        <is>
          <t>STRÖMSUND</t>
        </is>
      </c>
      <c r="F2872" t="inlineStr">
        <is>
          <t>SCA</t>
        </is>
      </c>
      <c r="G2872" t="n">
        <v>11.3</v>
      </c>
      <c r="H2872" t="n">
        <v>0</v>
      </c>
      <c r="I2872" t="n">
        <v>0</v>
      </c>
      <c r="J2872" t="n">
        <v>0</v>
      </c>
      <c r="K2872" t="n">
        <v>0</v>
      </c>
      <c r="L2872" t="n">
        <v>0</v>
      </c>
      <c r="M2872" t="n">
        <v>0</v>
      </c>
      <c r="N2872" t="n">
        <v>0</v>
      </c>
      <c r="O2872" t="n">
        <v>0</v>
      </c>
      <c r="P2872" t="n">
        <v>0</v>
      </c>
      <c r="Q2872" t="n">
        <v>0</v>
      </c>
      <c r="R2872" s="2" t="inlineStr"/>
    </row>
    <row r="2873" ht="15" customHeight="1">
      <c r="A2873" t="inlineStr">
        <is>
          <t>A 13584-2024</t>
        </is>
      </c>
      <c r="B2873" s="1" t="n">
        <v>45389</v>
      </c>
      <c r="C2873" s="1" t="n">
        <v>45740</v>
      </c>
      <c r="D2873" t="inlineStr">
        <is>
          <t>JÄMTLANDS LÄN</t>
        </is>
      </c>
      <c r="E2873" t="inlineStr">
        <is>
          <t>STRÖMSUND</t>
        </is>
      </c>
      <c r="G2873" t="n">
        <v>47.8</v>
      </c>
      <c r="H2873" t="n">
        <v>0</v>
      </c>
      <c r="I2873" t="n">
        <v>0</v>
      </c>
      <c r="J2873" t="n">
        <v>0</v>
      </c>
      <c r="K2873" t="n">
        <v>0</v>
      </c>
      <c r="L2873" t="n">
        <v>0</v>
      </c>
      <c r="M2873" t="n">
        <v>0</v>
      </c>
      <c r="N2873" t="n">
        <v>0</v>
      </c>
      <c r="O2873" t="n">
        <v>0</v>
      </c>
      <c r="P2873" t="n">
        <v>0</v>
      </c>
      <c r="Q2873" t="n">
        <v>0</v>
      </c>
      <c r="R2873" s="2" t="inlineStr"/>
    </row>
    <row r="2874" ht="15" customHeight="1">
      <c r="A2874" t="inlineStr">
        <is>
          <t>A 13894-2024</t>
        </is>
      </c>
      <c r="B2874" s="1" t="n">
        <v>45391</v>
      </c>
      <c r="C2874" s="1" t="n">
        <v>45740</v>
      </c>
      <c r="D2874" t="inlineStr">
        <is>
          <t>JÄMTLANDS LÄN</t>
        </is>
      </c>
      <c r="E2874" t="inlineStr">
        <is>
          <t>STRÖMSUND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13924-2024</t>
        </is>
      </c>
      <c r="B2875" s="1" t="n">
        <v>45392</v>
      </c>
      <c r="C2875" s="1" t="n">
        <v>45740</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14570-2024</t>
        </is>
      </c>
      <c r="B2876" s="1" t="n">
        <v>45395</v>
      </c>
      <c r="C2876" s="1" t="n">
        <v>45740</v>
      </c>
      <c r="D2876" t="inlineStr">
        <is>
          <t>JÄMTLANDS LÄN</t>
        </is>
      </c>
      <c r="E2876" t="inlineStr">
        <is>
          <t>STRÖMSUND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14568-2024</t>
        </is>
      </c>
      <c r="B2877" s="1" t="n">
        <v>45394</v>
      </c>
      <c r="C2877" s="1" t="n">
        <v>45740</v>
      </c>
      <c r="D2877" t="inlineStr">
        <is>
          <t>JÄMTLANDS LÄN</t>
        </is>
      </c>
      <c r="E2877" t="inlineStr">
        <is>
          <t>STRÖMSUND</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14583-2024</t>
        </is>
      </c>
      <c r="B2878" s="1" t="n">
        <v>45395</v>
      </c>
      <c r="C2878" s="1" t="n">
        <v>45740</v>
      </c>
      <c r="D2878" t="inlineStr">
        <is>
          <t>JÄMTLANDS LÄN</t>
        </is>
      </c>
      <c r="E2878" t="inlineStr">
        <is>
          <t>STRÖMSUND</t>
        </is>
      </c>
      <c r="F2878" t="inlineStr">
        <is>
          <t>SCA</t>
        </is>
      </c>
      <c r="G2878" t="n">
        <v>14.4</v>
      </c>
      <c r="H2878" t="n">
        <v>0</v>
      </c>
      <c r="I2878" t="n">
        <v>0</v>
      </c>
      <c r="J2878" t="n">
        <v>0</v>
      </c>
      <c r="K2878" t="n">
        <v>0</v>
      </c>
      <c r="L2878" t="n">
        <v>0</v>
      </c>
      <c r="M2878" t="n">
        <v>0</v>
      </c>
      <c r="N2878" t="n">
        <v>0</v>
      </c>
      <c r="O2878" t="n">
        <v>0</v>
      </c>
      <c r="P2878" t="n">
        <v>0</v>
      </c>
      <c r="Q2878" t="n">
        <v>0</v>
      </c>
      <c r="R2878" s="2" t="inlineStr"/>
    </row>
    <row r="2879" ht="15" customHeight="1">
      <c r="A2879" t="inlineStr">
        <is>
          <t>A 14569-2024</t>
        </is>
      </c>
      <c r="B2879" s="1" t="n">
        <v>45394</v>
      </c>
      <c r="C2879" s="1" t="n">
        <v>45740</v>
      </c>
      <c r="D2879" t="inlineStr">
        <is>
          <t>JÄMTLANDS LÄN</t>
        </is>
      </c>
      <c r="E2879" t="inlineStr">
        <is>
          <t>STRÖMSUND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14812-2024</t>
        </is>
      </c>
      <c r="B2880" s="1" t="n">
        <v>45397</v>
      </c>
      <c r="C2880" s="1" t="n">
        <v>45740</v>
      </c>
      <c r="D2880" t="inlineStr">
        <is>
          <t>JÄMTLANDS LÄN</t>
        </is>
      </c>
      <c r="E2880" t="inlineStr">
        <is>
          <t>STRÖMSUND</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14966-2024</t>
        </is>
      </c>
      <c r="B2881" s="1" t="n">
        <v>45399</v>
      </c>
      <c r="C2881" s="1" t="n">
        <v>45740</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14978-2024</t>
        </is>
      </c>
      <c r="B2882" s="1" t="n">
        <v>45399</v>
      </c>
      <c r="C2882" s="1" t="n">
        <v>45740</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14967-2024</t>
        </is>
      </c>
      <c r="B2883" s="1" t="n">
        <v>45399</v>
      </c>
      <c r="C2883" s="1" t="n">
        <v>45740</v>
      </c>
      <c r="D2883" t="inlineStr">
        <is>
          <t>JÄMTLANDS LÄN</t>
        </is>
      </c>
      <c r="E2883" t="inlineStr">
        <is>
          <t>STRÖMSUND</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15364-2024</t>
        </is>
      </c>
      <c r="B2884" s="1" t="n">
        <v>45400</v>
      </c>
      <c r="C2884" s="1" t="n">
        <v>45740</v>
      </c>
      <c r="D2884" t="inlineStr">
        <is>
          <t>JÄMTLANDS LÄN</t>
        </is>
      </c>
      <c r="E2884" t="inlineStr">
        <is>
          <t>STRÖMSUND</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15375-2024</t>
        </is>
      </c>
      <c r="B2885" s="1" t="n">
        <v>45400</v>
      </c>
      <c r="C2885" s="1" t="n">
        <v>45740</v>
      </c>
      <c r="D2885" t="inlineStr">
        <is>
          <t>JÄMTLANDS LÄN</t>
        </is>
      </c>
      <c r="E2885" t="inlineStr">
        <is>
          <t>STRÖMSUND</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15858-2024</t>
        </is>
      </c>
      <c r="B2886" s="1" t="n">
        <v>45405</v>
      </c>
      <c r="C2886" s="1" t="n">
        <v>45740</v>
      </c>
      <c r="D2886" t="inlineStr">
        <is>
          <t>JÄMTLANDS LÄN</t>
        </is>
      </c>
      <c r="E2886" t="inlineStr">
        <is>
          <t>STRÖMSUND</t>
        </is>
      </c>
      <c r="F2886" t="inlineStr">
        <is>
          <t>SCA</t>
        </is>
      </c>
      <c r="G2886" t="n">
        <v>33.8</v>
      </c>
      <c r="H2886" t="n">
        <v>0</v>
      </c>
      <c r="I2886" t="n">
        <v>0</v>
      </c>
      <c r="J2886" t="n">
        <v>0</v>
      </c>
      <c r="K2886" t="n">
        <v>0</v>
      </c>
      <c r="L2886" t="n">
        <v>0</v>
      </c>
      <c r="M2886" t="n">
        <v>0</v>
      </c>
      <c r="N2886" t="n">
        <v>0</v>
      </c>
      <c r="O2886" t="n">
        <v>0</v>
      </c>
      <c r="P2886" t="n">
        <v>0</v>
      </c>
      <c r="Q2886" t="n">
        <v>0</v>
      </c>
      <c r="R2886" s="2" t="inlineStr"/>
    </row>
    <row r="2887" ht="15" customHeight="1">
      <c r="A2887" t="inlineStr">
        <is>
          <t>A 16053-2024</t>
        </is>
      </c>
      <c r="B2887" s="1" t="n">
        <v>45406</v>
      </c>
      <c r="C2887" s="1" t="n">
        <v>45740</v>
      </c>
      <c r="D2887" t="inlineStr">
        <is>
          <t>JÄMTLANDS LÄN</t>
        </is>
      </c>
      <c r="E2887" t="inlineStr">
        <is>
          <t>STRÖMSUND</t>
        </is>
      </c>
      <c r="F2887" t="inlineStr">
        <is>
          <t>SCA</t>
        </is>
      </c>
      <c r="G2887" t="n">
        <v>11.7</v>
      </c>
      <c r="H2887" t="n">
        <v>0</v>
      </c>
      <c r="I2887" t="n">
        <v>0</v>
      </c>
      <c r="J2887" t="n">
        <v>0</v>
      </c>
      <c r="K2887" t="n">
        <v>0</v>
      </c>
      <c r="L2887" t="n">
        <v>0</v>
      </c>
      <c r="M2887" t="n">
        <v>0</v>
      </c>
      <c r="N2887" t="n">
        <v>0</v>
      </c>
      <c r="O2887" t="n">
        <v>0</v>
      </c>
      <c r="P2887" t="n">
        <v>0</v>
      </c>
      <c r="Q2887" t="n">
        <v>0</v>
      </c>
      <c r="R2887" s="2" t="inlineStr"/>
    </row>
    <row r="2888" ht="15" customHeight="1">
      <c r="A2888" t="inlineStr">
        <is>
          <t>A 16242-2024</t>
        </is>
      </c>
      <c r="B2888" s="1" t="n">
        <v>45407</v>
      </c>
      <c r="C2888" s="1" t="n">
        <v>45740</v>
      </c>
      <c r="D2888" t="inlineStr">
        <is>
          <t>JÄMTLANDS LÄN</t>
        </is>
      </c>
      <c r="E2888" t="inlineStr">
        <is>
          <t>STRÖMSUND</t>
        </is>
      </c>
      <c r="F2888" t="inlineStr">
        <is>
          <t>SCA</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16236-2024</t>
        </is>
      </c>
      <c r="B2889" s="1" t="n">
        <v>45407</v>
      </c>
      <c r="C2889" s="1" t="n">
        <v>45740</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16458-2024</t>
        </is>
      </c>
      <c r="B2890" s="1" t="n">
        <v>45408</v>
      </c>
      <c r="C2890" s="1" t="n">
        <v>45740</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16464-2024</t>
        </is>
      </c>
      <c r="B2891" s="1" t="n">
        <v>45408</v>
      </c>
      <c r="C2891" s="1" t="n">
        <v>45740</v>
      </c>
      <c r="D2891" t="inlineStr">
        <is>
          <t>JÄMTLANDS LÄN</t>
        </is>
      </c>
      <c r="E2891" t="inlineStr">
        <is>
          <t>STRÖMSUND</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16490-2024</t>
        </is>
      </c>
      <c r="B2892" s="1" t="n">
        <v>45408</v>
      </c>
      <c r="C2892" s="1" t="n">
        <v>45740</v>
      </c>
      <c r="D2892" t="inlineStr">
        <is>
          <t>JÄMTLANDS LÄN</t>
        </is>
      </c>
      <c r="E2892" t="inlineStr">
        <is>
          <t>STRÖMSUND</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17098-2024</t>
        </is>
      </c>
      <c r="B2893" s="1" t="n">
        <v>45412</v>
      </c>
      <c r="C2893" s="1" t="n">
        <v>45740</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17105-2024</t>
        </is>
      </c>
      <c r="B2894" s="1" t="n">
        <v>45412</v>
      </c>
      <c r="C2894" s="1" t="n">
        <v>45740</v>
      </c>
      <c r="D2894" t="inlineStr">
        <is>
          <t>JÄMTLANDS LÄN</t>
        </is>
      </c>
      <c r="E2894" t="inlineStr">
        <is>
          <t>STRÖMSUND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17435-2024</t>
        </is>
      </c>
      <c r="B2895" s="1" t="n">
        <v>45415</v>
      </c>
      <c r="C2895" s="1" t="n">
        <v>45740</v>
      </c>
      <c r="D2895" t="inlineStr">
        <is>
          <t>JÄMTLANDS LÄN</t>
        </is>
      </c>
      <c r="E2895" t="inlineStr">
        <is>
          <t>STRÖMSUND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17442-2024</t>
        </is>
      </c>
      <c r="B2896" s="1" t="n">
        <v>45415</v>
      </c>
      <c r="C2896" s="1" t="n">
        <v>45740</v>
      </c>
      <c r="D2896" t="inlineStr">
        <is>
          <t>JÄMTLANDS LÄN</t>
        </is>
      </c>
      <c r="E2896" t="inlineStr">
        <is>
          <t>STRÖMSUND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17728-2024</t>
        </is>
      </c>
      <c r="B2897" s="1" t="n">
        <v>45418</v>
      </c>
      <c r="C2897" s="1" t="n">
        <v>45740</v>
      </c>
      <c r="D2897" t="inlineStr">
        <is>
          <t>JÄMTLANDS LÄN</t>
        </is>
      </c>
      <c r="E2897" t="inlineStr">
        <is>
          <t>STRÖMSUND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18234-2024</t>
        </is>
      </c>
      <c r="B2898" s="1" t="n">
        <v>45421</v>
      </c>
      <c r="C2898" s="1" t="n">
        <v>45740</v>
      </c>
      <c r="D2898" t="inlineStr">
        <is>
          <t>JÄMTLANDS LÄN</t>
        </is>
      </c>
      <c r="E2898" t="inlineStr">
        <is>
          <t>STRÖMSUND</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18233-2024</t>
        </is>
      </c>
      <c r="B2899" s="1" t="n">
        <v>45421</v>
      </c>
      <c r="C2899" s="1" t="n">
        <v>45740</v>
      </c>
      <c r="D2899" t="inlineStr">
        <is>
          <t>JÄMTLANDS LÄN</t>
        </is>
      </c>
      <c r="E2899" t="inlineStr">
        <is>
          <t>STRÖMSUND</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18237-2024</t>
        </is>
      </c>
      <c r="B2900" s="1" t="n">
        <v>45421</v>
      </c>
      <c r="C2900" s="1" t="n">
        <v>45740</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18236-2024</t>
        </is>
      </c>
      <c r="B2901" s="1" t="n">
        <v>45421</v>
      </c>
      <c r="C2901" s="1" t="n">
        <v>45740</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18240-2024</t>
        </is>
      </c>
      <c r="B2902" s="1" t="n">
        <v>45421</v>
      </c>
      <c r="C2902" s="1" t="n">
        <v>45740</v>
      </c>
      <c r="D2902" t="inlineStr">
        <is>
          <t>JÄMTLANDS LÄN</t>
        </is>
      </c>
      <c r="E2902" t="inlineStr">
        <is>
          <t>STRÖMSUND</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18235-2024</t>
        </is>
      </c>
      <c r="B2903" s="1" t="n">
        <v>45421</v>
      </c>
      <c r="C2903" s="1" t="n">
        <v>45740</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18298-2024</t>
        </is>
      </c>
      <c r="B2904" s="1" t="n">
        <v>45421</v>
      </c>
      <c r="C2904" s="1" t="n">
        <v>45740</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18325-2024</t>
        </is>
      </c>
      <c r="B2905" s="1" t="n">
        <v>45422</v>
      </c>
      <c r="C2905" s="1" t="n">
        <v>45740</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18770-2024</t>
        </is>
      </c>
      <c r="B2906" s="1" t="n">
        <v>45426</v>
      </c>
      <c r="C2906" s="1" t="n">
        <v>45740</v>
      </c>
      <c r="D2906" t="inlineStr">
        <is>
          <t>JÄMTLANDS LÄN</t>
        </is>
      </c>
      <c r="E2906" t="inlineStr">
        <is>
          <t>STRÖMSUND</t>
        </is>
      </c>
      <c r="F2906" t="inlineStr">
        <is>
          <t>Kyrkan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18912-2024</t>
        </is>
      </c>
      <c r="B2907" s="1" t="n">
        <v>45426</v>
      </c>
      <c r="C2907" s="1" t="n">
        <v>45740</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18915-2024</t>
        </is>
      </c>
      <c r="B2908" s="1" t="n">
        <v>45426</v>
      </c>
      <c r="C2908" s="1" t="n">
        <v>45740</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19006-2024</t>
        </is>
      </c>
      <c r="B2909" s="1" t="n">
        <v>45427</v>
      </c>
      <c r="C2909" s="1" t="n">
        <v>45740</v>
      </c>
      <c r="D2909" t="inlineStr">
        <is>
          <t>JÄMTLANDS LÄN</t>
        </is>
      </c>
      <c r="E2909" t="inlineStr">
        <is>
          <t>STRÖMSUND</t>
        </is>
      </c>
      <c r="F2909" t="inlineStr">
        <is>
          <t>Holmen skog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19340-2024</t>
        </is>
      </c>
      <c r="B2910" s="1" t="n">
        <v>45429</v>
      </c>
      <c r="C2910" s="1" t="n">
        <v>45740</v>
      </c>
      <c r="D2910" t="inlineStr">
        <is>
          <t>JÄMTLANDS LÄN</t>
        </is>
      </c>
      <c r="E2910" t="inlineStr">
        <is>
          <t>STRÖMSUND</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19346-2024</t>
        </is>
      </c>
      <c r="B2911" s="1" t="n">
        <v>45429</v>
      </c>
      <c r="C2911" s="1" t="n">
        <v>45740</v>
      </c>
      <c r="D2911" t="inlineStr">
        <is>
          <t>JÄMTLANDS LÄN</t>
        </is>
      </c>
      <c r="E2911" t="inlineStr">
        <is>
          <t>STRÖMSUND</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19483-2024</t>
        </is>
      </c>
      <c r="B2912" s="1" t="n">
        <v>45429</v>
      </c>
      <c r="C2912" s="1" t="n">
        <v>45740</v>
      </c>
      <c r="D2912" t="inlineStr">
        <is>
          <t>JÄMTLANDS LÄN</t>
        </is>
      </c>
      <c r="E2912" t="inlineStr">
        <is>
          <t>STRÖMSUND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19794-2024</t>
        </is>
      </c>
      <c r="B2913" s="1" t="n">
        <v>45433</v>
      </c>
      <c r="C2913" s="1" t="n">
        <v>45740</v>
      </c>
      <c r="D2913" t="inlineStr">
        <is>
          <t>JÄMTLANDS LÄN</t>
        </is>
      </c>
      <c r="E2913" t="inlineStr">
        <is>
          <t>STRÖMSUND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19995-2024</t>
        </is>
      </c>
      <c r="B2914" s="1" t="n">
        <v>45434</v>
      </c>
      <c r="C2914" s="1" t="n">
        <v>45740</v>
      </c>
      <c r="D2914" t="inlineStr">
        <is>
          <t>JÄMTLANDS LÄN</t>
        </is>
      </c>
      <c r="E2914" t="inlineStr">
        <is>
          <t>STRÖMSUND</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20274-2024</t>
        </is>
      </c>
      <c r="B2915" s="1" t="n">
        <v>45435</v>
      </c>
      <c r="C2915" s="1" t="n">
        <v>45740</v>
      </c>
      <c r="D2915" t="inlineStr">
        <is>
          <t>JÄMTLANDS LÄN</t>
        </is>
      </c>
      <c r="E2915" t="inlineStr">
        <is>
          <t>STRÖMSUND</t>
        </is>
      </c>
      <c r="F2915" t="inlineStr">
        <is>
          <t>SCA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20271-2024</t>
        </is>
      </c>
      <c r="B2916" s="1" t="n">
        <v>45435</v>
      </c>
      <c r="C2916" s="1" t="n">
        <v>45740</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20275-2024</t>
        </is>
      </c>
      <c r="B2917" s="1" t="n">
        <v>45435</v>
      </c>
      <c r="C2917" s="1" t="n">
        <v>45740</v>
      </c>
      <c r="D2917" t="inlineStr">
        <is>
          <t>JÄMTLANDS LÄN</t>
        </is>
      </c>
      <c r="E2917" t="inlineStr">
        <is>
          <t>STRÖMSUND</t>
        </is>
      </c>
      <c r="F2917" t="inlineStr">
        <is>
          <t>SCA</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20273-2024</t>
        </is>
      </c>
      <c r="B2918" s="1" t="n">
        <v>45434</v>
      </c>
      <c r="C2918" s="1" t="n">
        <v>45740</v>
      </c>
      <c r="D2918" t="inlineStr">
        <is>
          <t>JÄMTLANDS LÄN</t>
        </is>
      </c>
      <c r="E2918" t="inlineStr">
        <is>
          <t>STRÖMSUND</t>
        </is>
      </c>
      <c r="F2918" t="inlineStr">
        <is>
          <t>SCA</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20180-2024</t>
        </is>
      </c>
      <c r="B2919" s="1" t="n">
        <v>45434</v>
      </c>
      <c r="C2919" s="1" t="n">
        <v>45740</v>
      </c>
      <c r="D2919" t="inlineStr">
        <is>
          <t>JÄMTLANDS LÄN</t>
        </is>
      </c>
      <c r="E2919" t="inlineStr">
        <is>
          <t>STRÖMSUND</t>
        </is>
      </c>
      <c r="F2919" t="inlineStr">
        <is>
          <t>Holmen skog AB</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20272-2024</t>
        </is>
      </c>
      <c r="B2920" s="1" t="n">
        <v>45435</v>
      </c>
      <c r="C2920" s="1" t="n">
        <v>45740</v>
      </c>
      <c r="D2920" t="inlineStr">
        <is>
          <t>JÄMTLANDS LÄN</t>
        </is>
      </c>
      <c r="E2920" t="inlineStr">
        <is>
          <t>STRÖMSUND</t>
        </is>
      </c>
      <c r="F2920" t="inlineStr">
        <is>
          <t>SCA</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20505-2024</t>
        </is>
      </c>
      <c r="B2921" s="1" t="n">
        <v>45436</v>
      </c>
      <c r="C2921" s="1" t="n">
        <v>45740</v>
      </c>
      <c r="D2921" t="inlineStr">
        <is>
          <t>JÄMTLANDS LÄN</t>
        </is>
      </c>
      <c r="E2921" t="inlineStr">
        <is>
          <t>STRÖMSUND</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20508-2024</t>
        </is>
      </c>
      <c r="B2922" s="1" t="n">
        <v>45436</v>
      </c>
      <c r="C2922" s="1" t="n">
        <v>45740</v>
      </c>
      <c r="D2922" t="inlineStr">
        <is>
          <t>JÄMTLANDS LÄN</t>
        </is>
      </c>
      <c r="E2922" t="inlineStr">
        <is>
          <t>STRÖMSUND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20693-2024</t>
        </is>
      </c>
      <c r="B2923" s="1" t="n">
        <v>45436</v>
      </c>
      <c r="C2923" s="1" t="n">
        <v>45740</v>
      </c>
      <c r="D2923" t="inlineStr">
        <is>
          <t>JÄMTLANDS LÄN</t>
        </is>
      </c>
      <c r="E2923" t="inlineStr">
        <is>
          <t>STRÖMSUND</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20767-2024</t>
        </is>
      </c>
      <c r="B2924" s="1" t="n">
        <v>45436</v>
      </c>
      <c r="C2924" s="1" t="n">
        <v>45740</v>
      </c>
      <c r="D2924" t="inlineStr">
        <is>
          <t>JÄMTLANDS LÄN</t>
        </is>
      </c>
      <c r="E2924" t="inlineStr">
        <is>
          <t>STRÖMSUND</t>
        </is>
      </c>
      <c r="F2924" t="inlineStr">
        <is>
          <t>SCA</t>
        </is>
      </c>
      <c r="G2924" t="n">
        <v>22.2</v>
      </c>
      <c r="H2924" t="n">
        <v>0</v>
      </c>
      <c r="I2924" t="n">
        <v>0</v>
      </c>
      <c r="J2924" t="n">
        <v>0</v>
      </c>
      <c r="K2924" t="n">
        <v>0</v>
      </c>
      <c r="L2924" t="n">
        <v>0</v>
      </c>
      <c r="M2924" t="n">
        <v>0</v>
      </c>
      <c r="N2924" t="n">
        <v>0</v>
      </c>
      <c r="O2924" t="n">
        <v>0</v>
      </c>
      <c r="P2924" t="n">
        <v>0</v>
      </c>
      <c r="Q2924" t="n">
        <v>0</v>
      </c>
      <c r="R2924" s="2" t="inlineStr"/>
    </row>
    <row r="2925" ht="15" customHeight="1">
      <c r="A2925" t="inlineStr">
        <is>
          <t>A 21209-2024</t>
        </is>
      </c>
      <c r="B2925" s="1" t="n">
        <v>45440</v>
      </c>
      <c r="C2925" s="1" t="n">
        <v>45740</v>
      </c>
      <c r="D2925" t="inlineStr">
        <is>
          <t>JÄMTLANDS LÄN</t>
        </is>
      </c>
      <c r="E2925" t="inlineStr">
        <is>
          <t>STRÖMSUND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21212-2024</t>
        </is>
      </c>
      <c r="B2926" s="1" t="n">
        <v>45440</v>
      </c>
      <c r="C2926" s="1" t="n">
        <v>45740</v>
      </c>
      <c r="D2926" t="inlineStr">
        <is>
          <t>JÄMTLANDS LÄN</t>
        </is>
      </c>
      <c r="E2926" t="inlineStr">
        <is>
          <t>STRÖMSUND</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21377-2024</t>
        </is>
      </c>
      <c r="B2927" s="1" t="n">
        <v>45440</v>
      </c>
      <c r="C2927" s="1" t="n">
        <v>45740</v>
      </c>
      <c r="D2927" t="inlineStr">
        <is>
          <t>JÄMTLANDS LÄN</t>
        </is>
      </c>
      <c r="E2927" t="inlineStr">
        <is>
          <t>STRÖMSUND</t>
        </is>
      </c>
      <c r="F2927" t="inlineStr">
        <is>
          <t>SCA</t>
        </is>
      </c>
      <c r="G2927" t="n">
        <v>20.4</v>
      </c>
      <c r="H2927" t="n">
        <v>0</v>
      </c>
      <c r="I2927" t="n">
        <v>0</v>
      </c>
      <c r="J2927" t="n">
        <v>0</v>
      </c>
      <c r="K2927" t="n">
        <v>0</v>
      </c>
      <c r="L2927" t="n">
        <v>0</v>
      </c>
      <c r="M2927" t="n">
        <v>0</v>
      </c>
      <c r="N2927" t="n">
        <v>0</v>
      </c>
      <c r="O2927" t="n">
        <v>0</v>
      </c>
      <c r="P2927" t="n">
        <v>0</v>
      </c>
      <c r="Q2927" t="n">
        <v>0</v>
      </c>
      <c r="R2927" s="2" t="inlineStr"/>
    </row>
    <row r="2928" ht="15" customHeight="1">
      <c r="A2928" t="inlineStr">
        <is>
          <t>A 21546-2024</t>
        </is>
      </c>
      <c r="B2928" s="1" t="n">
        <v>45441</v>
      </c>
      <c r="C2928" s="1" t="n">
        <v>45740</v>
      </c>
      <c r="D2928" t="inlineStr">
        <is>
          <t>JÄMTLANDS LÄN</t>
        </is>
      </c>
      <c r="E2928" t="inlineStr">
        <is>
          <t>STRÖMSUND</t>
        </is>
      </c>
      <c r="F2928" t="inlineStr">
        <is>
          <t>Holmen skog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21603-2024</t>
        </is>
      </c>
      <c r="B2929" s="1" t="n">
        <v>45442</v>
      </c>
      <c r="C2929" s="1" t="n">
        <v>45740</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21605-2024</t>
        </is>
      </c>
      <c r="B2930" s="1" t="n">
        <v>45442</v>
      </c>
      <c r="C2930" s="1" t="n">
        <v>45740</v>
      </c>
      <c r="D2930" t="inlineStr">
        <is>
          <t>JÄMTLANDS LÄN</t>
        </is>
      </c>
      <c r="E2930" t="inlineStr">
        <is>
          <t>STRÖMSUND</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21616-2024</t>
        </is>
      </c>
      <c r="B2931" s="1" t="n">
        <v>45442</v>
      </c>
      <c r="C2931" s="1" t="n">
        <v>45740</v>
      </c>
      <c r="D2931" t="inlineStr">
        <is>
          <t>JÄMTLANDS LÄN</t>
        </is>
      </c>
      <c r="E2931" t="inlineStr">
        <is>
          <t>STRÖMSUND</t>
        </is>
      </c>
      <c r="F2931" t="inlineStr">
        <is>
          <t>SCA</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21551-2024</t>
        </is>
      </c>
      <c r="B2932" s="1" t="n">
        <v>45441</v>
      </c>
      <c r="C2932" s="1" t="n">
        <v>45740</v>
      </c>
      <c r="D2932" t="inlineStr">
        <is>
          <t>JÄMTLANDS LÄN</t>
        </is>
      </c>
      <c r="E2932" t="inlineStr">
        <is>
          <t>STRÖMSUND</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21553-2024</t>
        </is>
      </c>
      <c r="B2933" s="1" t="n">
        <v>45441</v>
      </c>
      <c r="C2933" s="1" t="n">
        <v>45740</v>
      </c>
      <c r="D2933" t="inlineStr">
        <is>
          <t>JÄMTLANDS LÄN</t>
        </is>
      </c>
      <c r="E2933" t="inlineStr">
        <is>
          <t>STRÖMSUND</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21549-2024</t>
        </is>
      </c>
      <c r="B2934" s="1" t="n">
        <v>45441</v>
      </c>
      <c r="C2934" s="1" t="n">
        <v>45740</v>
      </c>
      <c r="D2934" t="inlineStr">
        <is>
          <t>JÄMTLANDS LÄN</t>
        </is>
      </c>
      <c r="E2934" t="inlineStr">
        <is>
          <t>STRÖMSUND</t>
        </is>
      </c>
      <c r="F2934" t="inlineStr">
        <is>
          <t>Holmen skog AB</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21554-2024</t>
        </is>
      </c>
      <c r="B2935" s="1" t="n">
        <v>45441</v>
      </c>
      <c r="C2935" s="1" t="n">
        <v>45740</v>
      </c>
      <c r="D2935" t="inlineStr">
        <is>
          <t>JÄMTLANDS LÄN</t>
        </is>
      </c>
      <c r="E2935" t="inlineStr">
        <is>
          <t>STRÖMSUND</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21550-2024</t>
        </is>
      </c>
      <c r="B2936" s="1" t="n">
        <v>45441</v>
      </c>
      <c r="C2936" s="1" t="n">
        <v>45740</v>
      </c>
      <c r="D2936" t="inlineStr">
        <is>
          <t>JÄMTLANDS LÄN</t>
        </is>
      </c>
      <c r="E2936" t="inlineStr">
        <is>
          <t>STRÖMSUND</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21713-2024</t>
        </is>
      </c>
      <c r="B2937" s="1" t="n">
        <v>45442</v>
      </c>
      <c r="C2937" s="1" t="n">
        <v>45740</v>
      </c>
      <c r="D2937" t="inlineStr">
        <is>
          <t>JÄMTLANDS LÄN</t>
        </is>
      </c>
      <c r="E2937" t="inlineStr">
        <is>
          <t>STRÖMSUND</t>
        </is>
      </c>
      <c r="F2937" t="inlineStr">
        <is>
          <t>Holmen skog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21840-2024</t>
        </is>
      </c>
      <c r="B2938" s="1" t="n">
        <v>45443</v>
      </c>
      <c r="C2938" s="1" t="n">
        <v>45740</v>
      </c>
      <c r="D2938" t="inlineStr">
        <is>
          <t>JÄMTLANDS LÄN</t>
        </is>
      </c>
      <c r="E2938" t="inlineStr">
        <is>
          <t>STRÖMSUND</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21735-2024</t>
        </is>
      </c>
      <c r="B2939" s="1" t="n">
        <v>45442</v>
      </c>
      <c r="C2939" s="1" t="n">
        <v>45740</v>
      </c>
      <c r="D2939" t="inlineStr">
        <is>
          <t>JÄMTLANDS LÄN</t>
        </is>
      </c>
      <c r="E2939" t="inlineStr">
        <is>
          <t>STRÖMSUND</t>
        </is>
      </c>
      <c r="G2939" t="n">
        <v>15.1</v>
      </c>
      <c r="H2939" t="n">
        <v>0</v>
      </c>
      <c r="I2939" t="n">
        <v>0</v>
      </c>
      <c r="J2939" t="n">
        <v>0</v>
      </c>
      <c r="K2939" t="n">
        <v>0</v>
      </c>
      <c r="L2939" t="n">
        <v>0</v>
      </c>
      <c r="M2939" t="n">
        <v>0</v>
      </c>
      <c r="N2939" t="n">
        <v>0</v>
      </c>
      <c r="O2939" t="n">
        <v>0</v>
      </c>
      <c r="P2939" t="n">
        <v>0</v>
      </c>
      <c r="Q2939" t="n">
        <v>0</v>
      </c>
      <c r="R2939" s="2" t="inlineStr"/>
    </row>
    <row r="2940" ht="15" customHeight="1">
      <c r="A2940" t="inlineStr">
        <is>
          <t>A 21861-2024</t>
        </is>
      </c>
      <c r="B2940" s="1" t="n">
        <v>45443</v>
      </c>
      <c r="C2940" s="1" t="n">
        <v>45740</v>
      </c>
      <c r="D2940" t="inlineStr">
        <is>
          <t>JÄMTLANDS LÄN</t>
        </is>
      </c>
      <c r="E2940" t="inlineStr">
        <is>
          <t>STRÖMSUND</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22115-2024</t>
        </is>
      </c>
      <c r="B2941" s="1" t="n">
        <v>45443</v>
      </c>
      <c r="C2941" s="1" t="n">
        <v>45740</v>
      </c>
      <c r="D2941" t="inlineStr">
        <is>
          <t>JÄMTLANDS LÄN</t>
        </is>
      </c>
      <c r="E2941" t="inlineStr">
        <is>
          <t>STRÖMSUND</t>
        </is>
      </c>
      <c r="F2941" t="inlineStr">
        <is>
          <t>SCA</t>
        </is>
      </c>
      <c r="G2941" t="n">
        <v>16.6</v>
      </c>
      <c r="H2941" t="n">
        <v>0</v>
      </c>
      <c r="I2941" t="n">
        <v>0</v>
      </c>
      <c r="J2941" t="n">
        <v>0</v>
      </c>
      <c r="K2941" t="n">
        <v>0</v>
      </c>
      <c r="L2941" t="n">
        <v>0</v>
      </c>
      <c r="M2941" t="n">
        <v>0</v>
      </c>
      <c r="N2941" t="n">
        <v>0</v>
      </c>
      <c r="O2941" t="n">
        <v>0</v>
      </c>
      <c r="P2941" t="n">
        <v>0</v>
      </c>
      <c r="Q2941" t="n">
        <v>0</v>
      </c>
      <c r="R2941" s="2" t="inlineStr"/>
    </row>
    <row r="2942" ht="15" customHeight="1">
      <c r="A2942" t="inlineStr">
        <is>
          <t>A 22139-2024</t>
        </is>
      </c>
      <c r="B2942" s="1" t="n">
        <v>45445</v>
      </c>
      <c r="C2942" s="1" t="n">
        <v>45740</v>
      </c>
      <c r="D2942" t="inlineStr">
        <is>
          <t>JÄMTLANDS LÄN</t>
        </is>
      </c>
      <c r="E2942" t="inlineStr">
        <is>
          <t>STRÖMSUND</t>
        </is>
      </c>
      <c r="F2942" t="inlineStr">
        <is>
          <t>SCA</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22138-2024</t>
        </is>
      </c>
      <c r="B2943" s="1" t="n">
        <v>45445</v>
      </c>
      <c r="C2943" s="1" t="n">
        <v>45740</v>
      </c>
      <c r="D2943" t="inlineStr">
        <is>
          <t>JÄMTLANDS LÄN</t>
        </is>
      </c>
      <c r="E2943" t="inlineStr">
        <is>
          <t>STRÖMSUND</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22141-2024</t>
        </is>
      </c>
      <c r="B2944" s="1" t="n">
        <v>45445</v>
      </c>
      <c r="C2944" s="1" t="n">
        <v>45740</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22140-2024</t>
        </is>
      </c>
      <c r="B2945" s="1" t="n">
        <v>45445</v>
      </c>
      <c r="C2945" s="1" t="n">
        <v>45740</v>
      </c>
      <c r="D2945" t="inlineStr">
        <is>
          <t>JÄMTLANDS LÄN</t>
        </is>
      </c>
      <c r="E2945" t="inlineStr">
        <is>
          <t>STRÖMSUND</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22451-2024</t>
        </is>
      </c>
      <c r="B2946" s="1" t="n">
        <v>45447</v>
      </c>
      <c r="C2946" s="1" t="n">
        <v>45740</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22445-2024</t>
        </is>
      </c>
      <c r="B2947" s="1" t="n">
        <v>45447</v>
      </c>
      <c r="C2947" s="1" t="n">
        <v>45740</v>
      </c>
      <c r="D2947" t="inlineStr">
        <is>
          <t>JÄMTLANDS LÄN</t>
        </is>
      </c>
      <c r="E2947" t="inlineStr">
        <is>
          <t>STRÖMSUND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22481-2024</t>
        </is>
      </c>
      <c r="B2948" s="1" t="n">
        <v>45447</v>
      </c>
      <c r="C2948" s="1" t="n">
        <v>45740</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22477-2024</t>
        </is>
      </c>
      <c r="B2949" s="1" t="n">
        <v>45447</v>
      </c>
      <c r="C2949" s="1" t="n">
        <v>45740</v>
      </c>
      <c r="D2949" t="inlineStr">
        <is>
          <t>JÄMTLANDS LÄN</t>
        </is>
      </c>
      <c r="E2949" t="inlineStr">
        <is>
          <t>STRÖMSUND</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22453-2024</t>
        </is>
      </c>
      <c r="B2950" s="1" t="n">
        <v>45447</v>
      </c>
      <c r="C2950" s="1" t="n">
        <v>45740</v>
      </c>
      <c r="D2950" t="inlineStr">
        <is>
          <t>JÄMTLANDS LÄN</t>
        </is>
      </c>
      <c r="E2950" t="inlineStr">
        <is>
          <t>STRÖMSUND</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22444-2024</t>
        </is>
      </c>
      <c r="B2951" s="1" t="n">
        <v>45447</v>
      </c>
      <c r="C2951" s="1" t="n">
        <v>45740</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22452-2024</t>
        </is>
      </c>
      <c r="B2952" s="1" t="n">
        <v>45447</v>
      </c>
      <c r="C2952" s="1" t="n">
        <v>45740</v>
      </c>
      <c r="D2952" t="inlineStr">
        <is>
          <t>JÄMTLANDS LÄN</t>
        </is>
      </c>
      <c r="E2952" t="inlineStr">
        <is>
          <t>STRÖMSUND</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22676-2024</t>
        </is>
      </c>
      <c r="B2953" s="1" t="n">
        <v>45448</v>
      </c>
      <c r="C2953" s="1" t="n">
        <v>45740</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22643-2024</t>
        </is>
      </c>
      <c r="B2954" s="1" t="n">
        <v>45447</v>
      </c>
      <c r="C2954" s="1" t="n">
        <v>45740</v>
      </c>
      <c r="D2954" t="inlineStr">
        <is>
          <t>JÄMTLANDS LÄN</t>
        </is>
      </c>
      <c r="E2954" t="inlineStr">
        <is>
          <t>STRÖMSUND</t>
        </is>
      </c>
      <c r="F2954" t="inlineStr">
        <is>
          <t>Holmen skog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22651-2024</t>
        </is>
      </c>
      <c r="B2955" s="1" t="n">
        <v>45447</v>
      </c>
      <c r="C2955" s="1" t="n">
        <v>45740</v>
      </c>
      <c r="D2955" t="inlineStr">
        <is>
          <t>JÄMTLANDS LÄN</t>
        </is>
      </c>
      <c r="E2955" t="inlineStr">
        <is>
          <t>STRÖMSUND</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23531-2024</t>
        </is>
      </c>
      <c r="B2956" s="1" t="n">
        <v>45454</v>
      </c>
      <c r="C2956" s="1" t="n">
        <v>45740</v>
      </c>
      <c r="D2956" t="inlineStr">
        <is>
          <t>JÄMTLANDS LÄN</t>
        </is>
      </c>
      <c r="E2956" t="inlineStr">
        <is>
          <t>STRÖMSUND</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23675-2024</t>
        </is>
      </c>
      <c r="B2957" s="1" t="n">
        <v>45454</v>
      </c>
      <c r="C2957" s="1" t="n">
        <v>45740</v>
      </c>
      <c r="D2957" t="inlineStr">
        <is>
          <t>JÄMTLANDS LÄN</t>
        </is>
      </c>
      <c r="E2957" t="inlineStr">
        <is>
          <t>STRÖMSUND</t>
        </is>
      </c>
      <c r="F2957" t="inlineStr">
        <is>
          <t>Holmen skog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23735-2024</t>
        </is>
      </c>
      <c r="B2958" s="1" t="n">
        <v>45455</v>
      </c>
      <c r="C2958" s="1" t="n">
        <v>45740</v>
      </c>
      <c r="D2958" t="inlineStr">
        <is>
          <t>JÄMTLANDS LÄN</t>
        </is>
      </c>
      <c r="E2958" t="inlineStr">
        <is>
          <t>STRÖMSUND</t>
        </is>
      </c>
      <c r="F2958" t="inlineStr">
        <is>
          <t>SCA</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23728-2024</t>
        </is>
      </c>
      <c r="B2959" s="1" t="n">
        <v>45455</v>
      </c>
      <c r="C2959" s="1" t="n">
        <v>45740</v>
      </c>
      <c r="D2959" t="inlineStr">
        <is>
          <t>JÄMTLANDS LÄN</t>
        </is>
      </c>
      <c r="E2959" t="inlineStr">
        <is>
          <t>STRÖMSUND</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23941-2024</t>
        </is>
      </c>
      <c r="B2960" s="1" t="n">
        <v>45456</v>
      </c>
      <c r="C2960" s="1" t="n">
        <v>45740</v>
      </c>
      <c r="D2960" t="inlineStr">
        <is>
          <t>JÄMTLANDS LÄN</t>
        </is>
      </c>
      <c r="E2960" t="inlineStr">
        <is>
          <t>STRÖMSUND</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23922-2024</t>
        </is>
      </c>
      <c r="B2961" s="1" t="n">
        <v>45456</v>
      </c>
      <c r="C2961" s="1" t="n">
        <v>45740</v>
      </c>
      <c r="D2961" t="inlineStr">
        <is>
          <t>JÄMTLANDS LÄN</t>
        </is>
      </c>
      <c r="E2961" t="inlineStr">
        <is>
          <t>STRÖMSUND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23934-2024</t>
        </is>
      </c>
      <c r="B2962" s="1" t="n">
        <v>45456</v>
      </c>
      <c r="C2962" s="1" t="n">
        <v>45740</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23942-2024</t>
        </is>
      </c>
      <c r="B2963" s="1" t="n">
        <v>45456</v>
      </c>
      <c r="C2963" s="1" t="n">
        <v>45740</v>
      </c>
      <c r="D2963" t="inlineStr">
        <is>
          <t>JÄMTLANDS LÄN</t>
        </is>
      </c>
      <c r="E2963" t="inlineStr">
        <is>
          <t>STRÖMSUND</t>
        </is>
      </c>
      <c r="F2963" t="inlineStr">
        <is>
          <t>SCA</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24060-2024</t>
        </is>
      </c>
      <c r="B2964" s="1" t="n">
        <v>45456</v>
      </c>
      <c r="C2964" s="1" t="n">
        <v>45740</v>
      </c>
      <c r="D2964" t="inlineStr">
        <is>
          <t>JÄMTLANDS LÄN</t>
        </is>
      </c>
      <c r="E2964" t="inlineStr">
        <is>
          <t>STRÖMSUND</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24042-2024</t>
        </is>
      </c>
      <c r="B2965" s="1" t="n">
        <v>45456</v>
      </c>
      <c r="C2965" s="1" t="n">
        <v>45740</v>
      </c>
      <c r="D2965" t="inlineStr">
        <is>
          <t>JÄMTLANDS LÄN</t>
        </is>
      </c>
      <c r="E2965" t="inlineStr">
        <is>
          <t>STRÖMSUND</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24059-2024</t>
        </is>
      </c>
      <c r="B2966" s="1" t="n">
        <v>45456</v>
      </c>
      <c r="C2966" s="1" t="n">
        <v>45740</v>
      </c>
      <c r="D2966" t="inlineStr">
        <is>
          <t>JÄMTLANDS LÄN</t>
        </is>
      </c>
      <c r="E2966" t="inlineStr">
        <is>
          <t>STRÖMSUND</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24206-2024</t>
        </is>
      </c>
      <c r="B2967" s="1" t="n">
        <v>45456</v>
      </c>
      <c r="C2967" s="1" t="n">
        <v>45740</v>
      </c>
      <c r="D2967" t="inlineStr">
        <is>
          <t>JÄMTLANDS LÄN</t>
        </is>
      </c>
      <c r="E2967" t="inlineStr">
        <is>
          <t>STRÖMSUND</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24214-2024</t>
        </is>
      </c>
      <c r="B2968" s="1" t="n">
        <v>45457</v>
      </c>
      <c r="C2968" s="1" t="n">
        <v>45740</v>
      </c>
      <c r="D2968" t="inlineStr">
        <is>
          <t>JÄMTLANDS LÄN</t>
        </is>
      </c>
      <c r="E2968" t="inlineStr">
        <is>
          <t>STRÖMSUND</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24430-2024</t>
        </is>
      </c>
      <c r="B2969" s="1" t="n">
        <v>45458</v>
      </c>
      <c r="C2969" s="1" t="n">
        <v>45740</v>
      </c>
      <c r="D2969" t="inlineStr">
        <is>
          <t>JÄMTLANDS LÄN</t>
        </is>
      </c>
      <c r="E2969" t="inlineStr">
        <is>
          <t>STRÖMSUND</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24438-2024</t>
        </is>
      </c>
      <c r="B2970" s="1" t="n">
        <v>45458</v>
      </c>
      <c r="C2970" s="1" t="n">
        <v>45740</v>
      </c>
      <c r="D2970" t="inlineStr">
        <is>
          <t>JÄMTLANDS LÄN</t>
        </is>
      </c>
      <c r="E2970" t="inlineStr">
        <is>
          <t>STRÖMSUND</t>
        </is>
      </c>
      <c r="F2970" t="inlineStr">
        <is>
          <t>SCA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24311-2024</t>
        </is>
      </c>
      <c r="B2971" s="1" t="n">
        <v>45457</v>
      </c>
      <c r="C2971" s="1" t="n">
        <v>45740</v>
      </c>
      <c r="D2971" t="inlineStr">
        <is>
          <t>JÄMTLANDS LÄN</t>
        </is>
      </c>
      <c r="E2971" t="inlineStr">
        <is>
          <t>STRÖMSUND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24429-2024</t>
        </is>
      </c>
      <c r="B2972" s="1" t="n">
        <v>45458</v>
      </c>
      <c r="C2972" s="1" t="n">
        <v>45740</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24804-2024</t>
        </is>
      </c>
      <c r="B2973" s="1" t="n">
        <v>45461</v>
      </c>
      <c r="C2973" s="1" t="n">
        <v>45740</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24800-2024</t>
        </is>
      </c>
      <c r="B2974" s="1" t="n">
        <v>45461</v>
      </c>
      <c r="C2974" s="1" t="n">
        <v>45740</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24802-2024</t>
        </is>
      </c>
      <c r="B2975" s="1" t="n">
        <v>45461</v>
      </c>
      <c r="C2975" s="1" t="n">
        <v>45740</v>
      </c>
      <c r="D2975" t="inlineStr">
        <is>
          <t>JÄMTLANDS LÄN</t>
        </is>
      </c>
      <c r="E2975" t="inlineStr">
        <is>
          <t>STRÖMSUND</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24801-2024</t>
        </is>
      </c>
      <c r="B2976" s="1" t="n">
        <v>45461</v>
      </c>
      <c r="C2976" s="1" t="n">
        <v>45740</v>
      </c>
      <c r="D2976" t="inlineStr">
        <is>
          <t>JÄMTLANDS LÄN</t>
        </is>
      </c>
      <c r="E2976" t="inlineStr">
        <is>
          <t>STRÖMSUND</t>
        </is>
      </c>
      <c r="F2976" t="inlineStr">
        <is>
          <t>SCA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24805-2024</t>
        </is>
      </c>
      <c r="B2977" s="1" t="n">
        <v>45461</v>
      </c>
      <c r="C2977" s="1" t="n">
        <v>45740</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25359-2024</t>
        </is>
      </c>
      <c r="B2978" s="1" t="n">
        <v>45463</v>
      </c>
      <c r="C2978" s="1" t="n">
        <v>45740</v>
      </c>
      <c r="D2978" t="inlineStr">
        <is>
          <t>JÄMTLANDS LÄN</t>
        </is>
      </c>
      <c r="E2978" t="inlineStr">
        <is>
          <t>STRÖMSUND</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25371-2024</t>
        </is>
      </c>
      <c r="B2979" s="1" t="n">
        <v>45463</v>
      </c>
      <c r="C2979" s="1" t="n">
        <v>45740</v>
      </c>
      <c r="D2979" t="inlineStr">
        <is>
          <t>JÄMTLANDS LÄN</t>
        </is>
      </c>
      <c r="E2979" t="inlineStr">
        <is>
          <t>STRÖMSUND</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25370-2024</t>
        </is>
      </c>
      <c r="B2980" s="1" t="n">
        <v>45463</v>
      </c>
      <c r="C2980" s="1" t="n">
        <v>45740</v>
      </c>
      <c r="D2980" t="inlineStr">
        <is>
          <t>JÄMTLANDS LÄN</t>
        </is>
      </c>
      <c r="E2980" t="inlineStr">
        <is>
          <t>STRÖMSUND</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25378-2024</t>
        </is>
      </c>
      <c r="B2981" s="1" t="n">
        <v>45463</v>
      </c>
      <c r="C2981" s="1" t="n">
        <v>45740</v>
      </c>
      <c r="D2981" t="inlineStr">
        <is>
          <t>JÄMTLANDS LÄN</t>
        </is>
      </c>
      <c r="E2981" t="inlineStr">
        <is>
          <t>STRÖMSUND</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25365-2024</t>
        </is>
      </c>
      <c r="B2982" s="1" t="n">
        <v>45463</v>
      </c>
      <c r="C2982" s="1" t="n">
        <v>45740</v>
      </c>
      <c r="D2982" t="inlineStr">
        <is>
          <t>JÄMTLANDS LÄN</t>
        </is>
      </c>
      <c r="E2982" t="inlineStr">
        <is>
          <t>STRÖMSUND</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25361-2024</t>
        </is>
      </c>
      <c r="B2983" s="1" t="n">
        <v>45463</v>
      </c>
      <c r="C2983" s="1" t="n">
        <v>45740</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25587-2024</t>
        </is>
      </c>
      <c r="B2984" s="1" t="n">
        <v>45463</v>
      </c>
      <c r="C2984" s="1" t="n">
        <v>45740</v>
      </c>
      <c r="D2984" t="inlineStr">
        <is>
          <t>JÄMTLANDS LÄN</t>
        </is>
      </c>
      <c r="E2984" t="inlineStr">
        <is>
          <t>STRÖMSUND</t>
        </is>
      </c>
      <c r="F2984" t="inlineStr">
        <is>
          <t>Holmen skog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25479-2024</t>
        </is>
      </c>
      <c r="B2985" s="1" t="n">
        <v>45463</v>
      </c>
      <c r="C2985" s="1" t="n">
        <v>45740</v>
      </c>
      <c r="D2985" t="inlineStr">
        <is>
          <t>JÄMTLANDS LÄN</t>
        </is>
      </c>
      <c r="E2985" t="inlineStr">
        <is>
          <t>STRÖMSUND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25445-2024</t>
        </is>
      </c>
      <c r="B2986" s="1" t="n">
        <v>45463</v>
      </c>
      <c r="C2986" s="1" t="n">
        <v>45740</v>
      </c>
      <c r="D2986" t="inlineStr">
        <is>
          <t>JÄMTLANDS LÄN</t>
        </is>
      </c>
      <c r="E2986" t="inlineStr">
        <is>
          <t>STRÖMSUND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25999-2024</t>
        </is>
      </c>
      <c r="B2987" s="1" t="n">
        <v>45468</v>
      </c>
      <c r="C2987" s="1" t="n">
        <v>45740</v>
      </c>
      <c r="D2987" t="inlineStr">
        <is>
          <t>JÄMTLANDS LÄN</t>
        </is>
      </c>
      <c r="E2987" t="inlineStr">
        <is>
          <t>STRÖMSUND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26035-2024</t>
        </is>
      </c>
      <c r="B2988" s="1" t="n">
        <v>45468</v>
      </c>
      <c r="C2988" s="1" t="n">
        <v>45740</v>
      </c>
      <c r="D2988" t="inlineStr">
        <is>
          <t>JÄMTLANDS LÄN</t>
        </is>
      </c>
      <c r="E2988" t="inlineStr">
        <is>
          <t>STRÖMSUND</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26036-2024</t>
        </is>
      </c>
      <c r="B2989" s="1" t="n">
        <v>45468</v>
      </c>
      <c r="C2989" s="1" t="n">
        <v>45740</v>
      </c>
      <c r="D2989" t="inlineStr">
        <is>
          <t>JÄMTLANDS LÄN</t>
        </is>
      </c>
      <c r="E2989" t="inlineStr">
        <is>
          <t>STRÖMSUND</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26033-2024</t>
        </is>
      </c>
      <c r="B2990" s="1" t="n">
        <v>45468</v>
      </c>
      <c r="C2990" s="1" t="n">
        <v>45740</v>
      </c>
      <c r="D2990" t="inlineStr">
        <is>
          <t>JÄMTLANDS LÄN</t>
        </is>
      </c>
      <c r="E2990" t="inlineStr">
        <is>
          <t>STRÖMSUND</t>
        </is>
      </c>
      <c r="F2990" t="inlineStr">
        <is>
          <t>SCA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26037-2024</t>
        </is>
      </c>
      <c r="B2991" s="1" t="n">
        <v>45468</v>
      </c>
      <c r="C2991" s="1" t="n">
        <v>45740</v>
      </c>
      <c r="D2991" t="inlineStr">
        <is>
          <t>JÄMTLANDS LÄN</t>
        </is>
      </c>
      <c r="E2991" t="inlineStr">
        <is>
          <t>STRÖMSUND</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26301-2024</t>
        </is>
      </c>
      <c r="B2992" s="1" t="n">
        <v>45469</v>
      </c>
      <c r="C2992" s="1" t="n">
        <v>45740</v>
      </c>
      <c r="D2992" t="inlineStr">
        <is>
          <t>JÄMTLANDS LÄN</t>
        </is>
      </c>
      <c r="E2992" t="inlineStr">
        <is>
          <t>STRÖMSUND</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26048-2024</t>
        </is>
      </c>
      <c r="B2993" s="1" t="n">
        <v>45468</v>
      </c>
      <c r="C2993" s="1" t="n">
        <v>45740</v>
      </c>
      <c r="D2993" t="inlineStr">
        <is>
          <t>JÄMTLANDS LÄN</t>
        </is>
      </c>
      <c r="E2993" t="inlineStr">
        <is>
          <t>STRÖMSUND</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26638-2024</t>
        </is>
      </c>
      <c r="B2994" s="1" t="n">
        <v>45470</v>
      </c>
      <c r="C2994" s="1" t="n">
        <v>45740</v>
      </c>
      <c r="D2994" t="inlineStr">
        <is>
          <t>JÄMTLANDS LÄN</t>
        </is>
      </c>
      <c r="E2994" t="inlineStr">
        <is>
          <t>STRÖMSUND</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26635-2024</t>
        </is>
      </c>
      <c r="B2995" s="1" t="n">
        <v>45470</v>
      </c>
      <c r="C2995" s="1" t="n">
        <v>45740</v>
      </c>
      <c r="D2995" t="inlineStr">
        <is>
          <t>JÄMTLANDS LÄN</t>
        </is>
      </c>
      <c r="E2995" t="inlineStr">
        <is>
          <t>STRÖMSUND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26667-2024</t>
        </is>
      </c>
      <c r="B2996" s="1" t="n">
        <v>45470</v>
      </c>
      <c r="C2996" s="1" t="n">
        <v>45740</v>
      </c>
      <c r="D2996" t="inlineStr">
        <is>
          <t>JÄMTLANDS LÄN</t>
        </is>
      </c>
      <c r="E2996" t="inlineStr">
        <is>
          <t>STRÖMSUND</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26665-2024</t>
        </is>
      </c>
      <c r="B2997" s="1" t="n">
        <v>45470</v>
      </c>
      <c r="C2997" s="1" t="n">
        <v>45740</v>
      </c>
      <c r="D2997" t="inlineStr">
        <is>
          <t>JÄMTLANDS LÄN</t>
        </is>
      </c>
      <c r="E2997" t="inlineStr">
        <is>
          <t>STRÖMSUND</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26663-2024</t>
        </is>
      </c>
      <c r="B2998" s="1" t="n">
        <v>45470</v>
      </c>
      <c r="C2998" s="1" t="n">
        <v>45740</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26650-2024</t>
        </is>
      </c>
      <c r="B2999" s="1" t="n">
        <v>45470</v>
      </c>
      <c r="C2999" s="1" t="n">
        <v>45740</v>
      </c>
      <c r="D2999" t="inlineStr">
        <is>
          <t>JÄMTLANDS LÄN</t>
        </is>
      </c>
      <c r="E2999" t="inlineStr">
        <is>
          <t>STRÖMSUND</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26666-2024</t>
        </is>
      </c>
      <c r="B3000" s="1" t="n">
        <v>45470</v>
      </c>
      <c r="C3000" s="1" t="n">
        <v>45740</v>
      </c>
      <c r="D3000" t="inlineStr">
        <is>
          <t>JÄMTLANDS LÄN</t>
        </is>
      </c>
      <c r="E3000" t="inlineStr">
        <is>
          <t>STRÖMSUND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26636-2024</t>
        </is>
      </c>
      <c r="B3001" s="1" t="n">
        <v>45470</v>
      </c>
      <c r="C3001" s="1" t="n">
        <v>45740</v>
      </c>
      <c r="D3001" t="inlineStr">
        <is>
          <t>JÄMTLANDS LÄN</t>
        </is>
      </c>
      <c r="E3001" t="inlineStr">
        <is>
          <t>STRÖMSUND</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26664-2024</t>
        </is>
      </c>
      <c r="B3002" s="1" t="n">
        <v>45470</v>
      </c>
      <c r="C3002" s="1" t="n">
        <v>45740</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26934-2024</t>
        </is>
      </c>
      <c r="B3003" s="1" t="n">
        <v>45471</v>
      </c>
      <c r="C3003" s="1" t="n">
        <v>45740</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26960-2024</t>
        </is>
      </c>
      <c r="B3004" s="1" t="n">
        <v>45471</v>
      </c>
      <c r="C3004" s="1" t="n">
        <v>45740</v>
      </c>
      <c r="D3004" t="inlineStr">
        <is>
          <t>JÄMTLANDS LÄN</t>
        </is>
      </c>
      <c r="E3004" t="inlineStr">
        <is>
          <t>STRÖMSUND</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27121-2024</t>
        </is>
      </c>
      <c r="B3005" s="1" t="n">
        <v>45471</v>
      </c>
      <c r="C3005" s="1" t="n">
        <v>45740</v>
      </c>
      <c r="D3005" t="inlineStr">
        <is>
          <t>JÄMTLANDS LÄN</t>
        </is>
      </c>
      <c r="E3005" t="inlineStr">
        <is>
          <t>STRÖMSUND</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27276-2024</t>
        </is>
      </c>
      <c r="B3006" s="1" t="n">
        <v>45472</v>
      </c>
      <c r="C3006" s="1" t="n">
        <v>45740</v>
      </c>
      <c r="D3006" t="inlineStr">
        <is>
          <t>JÄMTLANDS LÄN</t>
        </is>
      </c>
      <c r="E3006" t="inlineStr">
        <is>
          <t>STRÖMSUND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27298-2024</t>
        </is>
      </c>
      <c r="B3007" s="1" t="n">
        <v>45472</v>
      </c>
      <c r="C3007" s="1" t="n">
        <v>45740</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27279-2024</t>
        </is>
      </c>
      <c r="B3008" s="1" t="n">
        <v>45472</v>
      </c>
      <c r="C3008" s="1" t="n">
        <v>45740</v>
      </c>
      <c r="D3008" t="inlineStr">
        <is>
          <t>JÄMTLANDS LÄN</t>
        </is>
      </c>
      <c r="E3008" t="inlineStr">
        <is>
          <t>STRÖMSUND</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27323-2024</t>
        </is>
      </c>
      <c r="B3009" s="1" t="n">
        <v>45471</v>
      </c>
      <c r="C3009" s="1" t="n">
        <v>45740</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27587-2024</t>
        </is>
      </c>
      <c r="B3010" s="1" t="n">
        <v>45474</v>
      </c>
      <c r="C3010" s="1" t="n">
        <v>45740</v>
      </c>
      <c r="D3010" t="inlineStr">
        <is>
          <t>JÄMTLANDS LÄN</t>
        </is>
      </c>
      <c r="E3010" t="inlineStr">
        <is>
          <t>STRÖMSUND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27643-2024</t>
        </is>
      </c>
      <c r="B3011" s="1" t="n">
        <v>45475</v>
      </c>
      <c r="C3011" s="1" t="n">
        <v>45740</v>
      </c>
      <c r="D3011" t="inlineStr">
        <is>
          <t>JÄMTLANDS LÄN</t>
        </is>
      </c>
      <c r="E3011" t="inlineStr">
        <is>
          <t>STRÖMSUND</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27640-2024</t>
        </is>
      </c>
      <c r="B3012" s="1" t="n">
        <v>45475</v>
      </c>
      <c r="C3012" s="1" t="n">
        <v>45740</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27648-2024</t>
        </is>
      </c>
      <c r="B3013" s="1" t="n">
        <v>45475</v>
      </c>
      <c r="C3013" s="1" t="n">
        <v>45740</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27664-2024</t>
        </is>
      </c>
      <c r="B3014" s="1" t="n">
        <v>45475</v>
      </c>
      <c r="C3014" s="1" t="n">
        <v>45740</v>
      </c>
      <c r="D3014" t="inlineStr">
        <is>
          <t>JÄMTLANDS LÄN</t>
        </is>
      </c>
      <c r="E3014" t="inlineStr">
        <is>
          <t>STRÖMSUND</t>
        </is>
      </c>
      <c r="F3014" t="inlineStr">
        <is>
          <t>SCA</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27638-2024</t>
        </is>
      </c>
      <c r="B3015" s="1" t="n">
        <v>45475</v>
      </c>
      <c r="C3015" s="1" t="n">
        <v>45740</v>
      </c>
      <c r="D3015" t="inlineStr">
        <is>
          <t>JÄMTLANDS LÄN</t>
        </is>
      </c>
      <c r="E3015" t="inlineStr">
        <is>
          <t>STRÖMSUND</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27642-2024</t>
        </is>
      </c>
      <c r="B3016" s="1" t="n">
        <v>45475</v>
      </c>
      <c r="C3016" s="1" t="n">
        <v>45740</v>
      </c>
      <c r="D3016" t="inlineStr">
        <is>
          <t>JÄMTLANDS LÄN</t>
        </is>
      </c>
      <c r="E3016" t="inlineStr">
        <is>
          <t>STRÖMSUND</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27659-2024</t>
        </is>
      </c>
      <c r="B3017" s="1" t="n">
        <v>45475</v>
      </c>
      <c r="C3017" s="1" t="n">
        <v>45740</v>
      </c>
      <c r="D3017" t="inlineStr">
        <is>
          <t>JÄMTLANDS LÄN</t>
        </is>
      </c>
      <c r="E3017" t="inlineStr">
        <is>
          <t>STRÖMSUND</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27663-2024</t>
        </is>
      </c>
      <c r="B3018" s="1" t="n">
        <v>45475</v>
      </c>
      <c r="C3018" s="1" t="n">
        <v>45740</v>
      </c>
      <c r="D3018" t="inlineStr">
        <is>
          <t>JÄMTLANDS LÄN</t>
        </is>
      </c>
      <c r="E3018" t="inlineStr">
        <is>
          <t>STRÖMSUND</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27637-2024</t>
        </is>
      </c>
      <c r="B3019" s="1" t="n">
        <v>45475</v>
      </c>
      <c r="C3019" s="1" t="n">
        <v>45740</v>
      </c>
      <c r="D3019" t="inlineStr">
        <is>
          <t>JÄMTLANDS LÄN</t>
        </is>
      </c>
      <c r="E3019" t="inlineStr">
        <is>
          <t>STRÖMSUND</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27649-2024</t>
        </is>
      </c>
      <c r="B3020" s="1" t="n">
        <v>45475</v>
      </c>
      <c r="C3020" s="1" t="n">
        <v>45740</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27665-2024</t>
        </is>
      </c>
      <c r="B3021" s="1" t="n">
        <v>45475</v>
      </c>
      <c r="C3021" s="1" t="n">
        <v>45740</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27898-2024</t>
        </is>
      </c>
      <c r="B3022" s="1" t="n">
        <v>45476</v>
      </c>
      <c r="C3022" s="1" t="n">
        <v>45740</v>
      </c>
      <c r="D3022" t="inlineStr">
        <is>
          <t>JÄMTLANDS LÄN</t>
        </is>
      </c>
      <c r="E3022" t="inlineStr">
        <is>
          <t>STRÖMSUND</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27923-2024</t>
        </is>
      </c>
      <c r="B3023" s="1" t="n">
        <v>45476</v>
      </c>
      <c r="C3023" s="1" t="n">
        <v>45740</v>
      </c>
      <c r="D3023" t="inlineStr">
        <is>
          <t>JÄMTLANDS LÄN</t>
        </is>
      </c>
      <c r="E3023" t="inlineStr">
        <is>
          <t>STRÖMSUND</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28174-2024</t>
        </is>
      </c>
      <c r="B3024" s="1" t="n">
        <v>45477</v>
      </c>
      <c r="C3024" s="1" t="n">
        <v>45740</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28510-2024</t>
        </is>
      </c>
      <c r="B3025" s="1" t="n">
        <v>45478</v>
      </c>
      <c r="C3025" s="1" t="n">
        <v>45740</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28443-2024</t>
        </is>
      </c>
      <c r="B3026" s="1" t="n">
        <v>45477</v>
      </c>
      <c r="C3026" s="1" t="n">
        <v>45740</v>
      </c>
      <c r="D3026" t="inlineStr">
        <is>
          <t>JÄMTLANDS LÄN</t>
        </is>
      </c>
      <c r="E3026" t="inlineStr">
        <is>
          <t>STRÖMSUND</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28511-2024</t>
        </is>
      </c>
      <c r="B3027" s="1" t="n">
        <v>45478</v>
      </c>
      <c r="C3027" s="1" t="n">
        <v>45740</v>
      </c>
      <c r="D3027" t="inlineStr">
        <is>
          <t>JÄMTLANDS LÄN</t>
        </is>
      </c>
      <c r="E3027" t="inlineStr">
        <is>
          <t>STRÖMSUND</t>
        </is>
      </c>
      <c r="F3027" t="inlineStr">
        <is>
          <t>SCA</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28602-2024</t>
        </is>
      </c>
      <c r="B3028" s="1" t="n">
        <v>45478</v>
      </c>
      <c r="C3028" s="1" t="n">
        <v>45740</v>
      </c>
      <c r="D3028" t="inlineStr">
        <is>
          <t>JÄMTLANDS LÄN</t>
        </is>
      </c>
      <c r="E3028" t="inlineStr">
        <is>
          <t>STRÖMSUND</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28865-2024</t>
        </is>
      </c>
      <c r="B3029" s="1" t="n">
        <v>45479</v>
      </c>
      <c r="C3029" s="1" t="n">
        <v>45740</v>
      </c>
      <c r="D3029" t="inlineStr">
        <is>
          <t>JÄMTLANDS LÄN</t>
        </is>
      </c>
      <c r="E3029" t="inlineStr">
        <is>
          <t>STRÖMSUND</t>
        </is>
      </c>
      <c r="F3029" t="inlineStr">
        <is>
          <t>SCA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28874-2024</t>
        </is>
      </c>
      <c r="B3030" s="1" t="n">
        <v>45479</v>
      </c>
      <c r="C3030" s="1" t="n">
        <v>45740</v>
      </c>
      <c r="D3030" t="inlineStr">
        <is>
          <t>JÄMTLANDS LÄN</t>
        </is>
      </c>
      <c r="E3030" t="inlineStr">
        <is>
          <t>STRÖMSUND</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28878-2024</t>
        </is>
      </c>
      <c r="B3031" s="1" t="n">
        <v>45479</v>
      </c>
      <c r="C3031" s="1" t="n">
        <v>45740</v>
      </c>
      <c r="D3031" t="inlineStr">
        <is>
          <t>JÄMTLANDS LÄN</t>
        </is>
      </c>
      <c r="E3031" t="inlineStr">
        <is>
          <t>STRÖMSUND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28864-2024</t>
        </is>
      </c>
      <c r="B3032" s="1" t="n">
        <v>45479</v>
      </c>
      <c r="C3032" s="1" t="n">
        <v>45740</v>
      </c>
      <c r="D3032" t="inlineStr">
        <is>
          <t>JÄMTLANDS LÄN</t>
        </is>
      </c>
      <c r="E3032" t="inlineStr">
        <is>
          <t>STRÖMSUND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29113-2024</t>
        </is>
      </c>
      <c r="B3033" s="1" t="n">
        <v>45482</v>
      </c>
      <c r="C3033" s="1" t="n">
        <v>45740</v>
      </c>
      <c r="D3033" t="inlineStr">
        <is>
          <t>JÄMTLANDS LÄN</t>
        </is>
      </c>
      <c r="E3033" t="inlineStr">
        <is>
          <t>STRÖMSUND</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29096-2024</t>
        </is>
      </c>
      <c r="B3034" s="1" t="n">
        <v>45482</v>
      </c>
      <c r="C3034" s="1" t="n">
        <v>45740</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29091-2024</t>
        </is>
      </c>
      <c r="B3035" s="1" t="n">
        <v>45482</v>
      </c>
      <c r="C3035" s="1" t="n">
        <v>45740</v>
      </c>
      <c r="D3035" t="inlineStr">
        <is>
          <t>JÄMTLANDS LÄN</t>
        </is>
      </c>
      <c r="E3035" t="inlineStr">
        <is>
          <t>STRÖMSUND</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29107-2024</t>
        </is>
      </c>
      <c r="B3036" s="1" t="n">
        <v>45482</v>
      </c>
      <c r="C3036" s="1" t="n">
        <v>45740</v>
      </c>
      <c r="D3036" t="inlineStr">
        <is>
          <t>JÄMTLANDS LÄN</t>
        </is>
      </c>
      <c r="E3036" t="inlineStr">
        <is>
          <t>STRÖMSUND</t>
        </is>
      </c>
      <c r="F3036" t="inlineStr">
        <is>
          <t>SCA</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29098-2024</t>
        </is>
      </c>
      <c r="B3037" s="1" t="n">
        <v>45482</v>
      </c>
      <c r="C3037" s="1" t="n">
        <v>45740</v>
      </c>
      <c r="D3037" t="inlineStr">
        <is>
          <t>JÄMTLANDS LÄN</t>
        </is>
      </c>
      <c r="E3037" t="inlineStr">
        <is>
          <t>STRÖMSUND</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29097-2024</t>
        </is>
      </c>
      <c r="B3038" s="1" t="n">
        <v>45482</v>
      </c>
      <c r="C3038" s="1" t="n">
        <v>45740</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29221-2024</t>
        </is>
      </c>
      <c r="B3039" s="1" t="n">
        <v>45482</v>
      </c>
      <c r="C3039" s="1" t="n">
        <v>45740</v>
      </c>
      <c r="D3039" t="inlineStr">
        <is>
          <t>JÄMTLANDS LÄN</t>
        </is>
      </c>
      <c r="E3039" t="inlineStr">
        <is>
          <t>STRÖMSUND</t>
        </is>
      </c>
      <c r="G3039" t="n">
        <v>39.4</v>
      </c>
      <c r="H3039" t="n">
        <v>0</v>
      </c>
      <c r="I3039" t="n">
        <v>0</v>
      </c>
      <c r="J3039" t="n">
        <v>0</v>
      </c>
      <c r="K3039" t="n">
        <v>0</v>
      </c>
      <c r="L3039" t="n">
        <v>0</v>
      </c>
      <c r="M3039" t="n">
        <v>0</v>
      </c>
      <c r="N3039" t="n">
        <v>0</v>
      </c>
      <c r="O3039" t="n">
        <v>0</v>
      </c>
      <c r="P3039" t="n">
        <v>0</v>
      </c>
      <c r="Q3039" t="n">
        <v>0</v>
      </c>
      <c r="R3039" s="2" t="inlineStr"/>
    </row>
    <row r="3040" ht="15" customHeight="1">
      <c r="A3040" t="inlineStr">
        <is>
          <t>A 29274-2024</t>
        </is>
      </c>
      <c r="B3040" s="1" t="n">
        <v>45483</v>
      </c>
      <c r="C3040" s="1" t="n">
        <v>45740</v>
      </c>
      <c r="D3040" t="inlineStr">
        <is>
          <t>JÄMTLANDS LÄN</t>
        </is>
      </c>
      <c r="E3040" t="inlineStr">
        <is>
          <t>STRÖMSUND</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29242-2024</t>
        </is>
      </c>
      <c r="B3041" s="1" t="n">
        <v>45483</v>
      </c>
      <c r="C3041" s="1" t="n">
        <v>45740</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29171-2024</t>
        </is>
      </c>
      <c r="B3042" s="1" t="n">
        <v>45482</v>
      </c>
      <c r="C3042" s="1" t="n">
        <v>45740</v>
      </c>
      <c r="D3042" t="inlineStr">
        <is>
          <t>JÄMTLANDS LÄN</t>
        </is>
      </c>
      <c r="E3042" t="inlineStr">
        <is>
          <t>STRÖMSUND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29266-2024</t>
        </is>
      </c>
      <c r="B3043" s="1" t="n">
        <v>45483</v>
      </c>
      <c r="C3043" s="1" t="n">
        <v>45740</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29243-2024</t>
        </is>
      </c>
      <c r="B3044" s="1" t="n">
        <v>45483</v>
      </c>
      <c r="C3044" s="1" t="n">
        <v>45740</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29273-2024</t>
        </is>
      </c>
      <c r="B3045" s="1" t="n">
        <v>45483</v>
      </c>
      <c r="C3045" s="1" t="n">
        <v>45740</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29413-2024</t>
        </is>
      </c>
      <c r="B3046" s="1" t="n">
        <v>45483</v>
      </c>
      <c r="C3046" s="1" t="n">
        <v>45740</v>
      </c>
      <c r="D3046" t="inlineStr">
        <is>
          <t>JÄMTLANDS LÄN</t>
        </is>
      </c>
      <c r="E3046" t="inlineStr">
        <is>
          <t>STRÖMSUND</t>
        </is>
      </c>
      <c r="G3046" t="n">
        <v>18.1</v>
      </c>
      <c r="H3046" t="n">
        <v>0</v>
      </c>
      <c r="I3046" t="n">
        <v>0</v>
      </c>
      <c r="J3046" t="n">
        <v>0</v>
      </c>
      <c r="K3046" t="n">
        <v>0</v>
      </c>
      <c r="L3046" t="n">
        <v>0</v>
      </c>
      <c r="M3046" t="n">
        <v>0</v>
      </c>
      <c r="N3046" t="n">
        <v>0</v>
      </c>
      <c r="O3046" t="n">
        <v>0</v>
      </c>
      <c r="P3046" t="n">
        <v>0</v>
      </c>
      <c r="Q3046" t="n">
        <v>0</v>
      </c>
      <c r="R3046" s="2" t="inlineStr"/>
    </row>
    <row r="3047" ht="15" customHeight="1">
      <c r="A3047" t="inlineStr">
        <is>
          <t>A 29669-2024</t>
        </is>
      </c>
      <c r="B3047" s="1" t="n">
        <v>45485</v>
      </c>
      <c r="C3047" s="1" t="n">
        <v>45740</v>
      </c>
      <c r="D3047" t="inlineStr">
        <is>
          <t>JÄMTLANDS LÄN</t>
        </is>
      </c>
      <c r="E3047" t="inlineStr">
        <is>
          <t>STRÖMSUND</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29671-2024</t>
        </is>
      </c>
      <c r="B3048" s="1" t="n">
        <v>45485</v>
      </c>
      <c r="C3048" s="1" t="n">
        <v>45740</v>
      </c>
      <c r="D3048" t="inlineStr">
        <is>
          <t>JÄMTLANDS LÄN</t>
        </is>
      </c>
      <c r="E3048" t="inlineStr">
        <is>
          <t>STRÖMSUND</t>
        </is>
      </c>
      <c r="F3048" t="inlineStr">
        <is>
          <t>SCA</t>
        </is>
      </c>
      <c r="G3048" t="n">
        <v>42.3</v>
      </c>
      <c r="H3048" t="n">
        <v>0</v>
      </c>
      <c r="I3048" t="n">
        <v>0</v>
      </c>
      <c r="J3048" t="n">
        <v>0</v>
      </c>
      <c r="K3048" t="n">
        <v>0</v>
      </c>
      <c r="L3048" t="n">
        <v>0</v>
      </c>
      <c r="M3048" t="n">
        <v>0</v>
      </c>
      <c r="N3048" t="n">
        <v>0</v>
      </c>
      <c r="O3048" t="n">
        <v>0</v>
      </c>
      <c r="P3048" t="n">
        <v>0</v>
      </c>
      <c r="Q3048" t="n">
        <v>0</v>
      </c>
      <c r="R3048" s="2" t="inlineStr"/>
    </row>
    <row r="3049" ht="15" customHeight="1">
      <c r="A3049" t="inlineStr">
        <is>
          <t>A 29670-2024</t>
        </is>
      </c>
      <c r="B3049" s="1" t="n">
        <v>45485</v>
      </c>
      <c r="C3049" s="1" t="n">
        <v>45740</v>
      </c>
      <c r="D3049" t="inlineStr">
        <is>
          <t>JÄMTLANDS LÄN</t>
        </is>
      </c>
      <c r="E3049" t="inlineStr">
        <is>
          <t>STRÖMSUND</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29668-2024</t>
        </is>
      </c>
      <c r="B3050" s="1" t="n">
        <v>45485</v>
      </c>
      <c r="C3050" s="1" t="n">
        <v>45740</v>
      </c>
      <c r="D3050" t="inlineStr">
        <is>
          <t>JÄMTLANDS LÄN</t>
        </is>
      </c>
      <c r="E3050" t="inlineStr">
        <is>
          <t>STRÖMSUND</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29487-2024</t>
        </is>
      </c>
      <c r="B3051" s="1" t="n">
        <v>45484</v>
      </c>
      <c r="C3051" s="1" t="n">
        <v>45740</v>
      </c>
      <c r="D3051" t="inlineStr">
        <is>
          <t>JÄMTLANDS LÄN</t>
        </is>
      </c>
      <c r="E3051" t="inlineStr">
        <is>
          <t>STRÖMSUND</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29586-2024</t>
        </is>
      </c>
      <c r="B3052" s="1" t="n">
        <v>45484</v>
      </c>
      <c r="C3052" s="1" t="n">
        <v>45740</v>
      </c>
      <c r="D3052" t="inlineStr">
        <is>
          <t>JÄMTLANDS LÄN</t>
        </is>
      </c>
      <c r="E3052" t="inlineStr">
        <is>
          <t>STRÖMSUND</t>
        </is>
      </c>
      <c r="F3052" t="inlineStr">
        <is>
          <t>Holmen skog AB</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29875-2024</t>
        </is>
      </c>
      <c r="B3053" s="1" t="n">
        <v>45486</v>
      </c>
      <c r="C3053" s="1" t="n">
        <v>45740</v>
      </c>
      <c r="D3053" t="inlineStr">
        <is>
          <t>JÄMTLANDS LÄN</t>
        </is>
      </c>
      <c r="E3053" t="inlineStr">
        <is>
          <t>STRÖMSUND</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30062-2024</t>
        </is>
      </c>
      <c r="B3054" s="1" t="n">
        <v>45489</v>
      </c>
      <c r="C3054" s="1" t="n">
        <v>45740</v>
      </c>
      <c r="D3054" t="inlineStr">
        <is>
          <t>JÄMTLANDS LÄN</t>
        </is>
      </c>
      <c r="E3054" t="inlineStr">
        <is>
          <t>STRÖMSUND</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30064-2024</t>
        </is>
      </c>
      <c r="B3055" s="1" t="n">
        <v>45489</v>
      </c>
      <c r="C3055" s="1" t="n">
        <v>45740</v>
      </c>
      <c r="D3055" t="inlineStr">
        <is>
          <t>JÄMTLANDS LÄN</t>
        </is>
      </c>
      <c r="E3055" t="inlineStr">
        <is>
          <t>STRÖMSUND</t>
        </is>
      </c>
      <c r="F3055" t="inlineStr">
        <is>
          <t>SCA</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30354-2024</t>
        </is>
      </c>
      <c r="B3056" s="1" t="n">
        <v>45491</v>
      </c>
      <c r="C3056" s="1" t="n">
        <v>45740</v>
      </c>
      <c r="D3056" t="inlineStr">
        <is>
          <t>JÄMTLANDS LÄN</t>
        </is>
      </c>
      <c r="E3056" t="inlineStr">
        <is>
          <t>STRÖMSUND</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30330-2024</t>
        </is>
      </c>
      <c r="B3057" s="1" t="n">
        <v>45491</v>
      </c>
      <c r="C3057" s="1" t="n">
        <v>45740</v>
      </c>
      <c r="D3057" t="inlineStr">
        <is>
          <t>JÄMTLANDS LÄN</t>
        </is>
      </c>
      <c r="E3057" t="inlineStr">
        <is>
          <t>STRÖMSUND</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30352-2024</t>
        </is>
      </c>
      <c r="B3058" s="1" t="n">
        <v>45491</v>
      </c>
      <c r="C3058" s="1" t="n">
        <v>45740</v>
      </c>
      <c r="D3058" t="inlineStr">
        <is>
          <t>JÄMTLANDS LÄN</t>
        </is>
      </c>
      <c r="E3058" t="inlineStr">
        <is>
          <t>STRÖMSUND</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30376-2024</t>
        </is>
      </c>
      <c r="B3059" s="1" t="n">
        <v>45491</v>
      </c>
      <c r="C3059" s="1" t="n">
        <v>45740</v>
      </c>
      <c r="D3059" t="inlineStr">
        <is>
          <t>JÄMTLANDS LÄN</t>
        </is>
      </c>
      <c r="E3059" t="inlineStr">
        <is>
          <t>STRÖMSUND</t>
        </is>
      </c>
      <c r="F3059" t="inlineStr">
        <is>
          <t>Sveaskog</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30375-2024</t>
        </is>
      </c>
      <c r="B3060" s="1" t="n">
        <v>45491</v>
      </c>
      <c r="C3060" s="1" t="n">
        <v>45740</v>
      </c>
      <c r="D3060" t="inlineStr">
        <is>
          <t>JÄMTLANDS LÄN</t>
        </is>
      </c>
      <c r="E3060" t="inlineStr">
        <is>
          <t>STRÖMSUND</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30374-2024</t>
        </is>
      </c>
      <c r="B3061" s="1" t="n">
        <v>45491</v>
      </c>
      <c r="C3061" s="1" t="n">
        <v>45740</v>
      </c>
      <c r="D3061" t="inlineStr">
        <is>
          <t>JÄMTLANDS LÄN</t>
        </is>
      </c>
      <c r="E3061" t="inlineStr">
        <is>
          <t>STRÖMSUND</t>
        </is>
      </c>
      <c r="F3061" t="inlineStr">
        <is>
          <t>Sveaskog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30371-2024</t>
        </is>
      </c>
      <c r="B3062" s="1" t="n">
        <v>45491</v>
      </c>
      <c r="C3062" s="1" t="n">
        <v>45740</v>
      </c>
      <c r="D3062" t="inlineStr">
        <is>
          <t>JÄMTLANDS LÄN</t>
        </is>
      </c>
      <c r="E3062" t="inlineStr">
        <is>
          <t>STRÖMSUND</t>
        </is>
      </c>
      <c r="F3062" t="inlineStr">
        <is>
          <t>Sveaskog</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30585-2024</t>
        </is>
      </c>
      <c r="B3063" s="1" t="n">
        <v>45493</v>
      </c>
      <c r="C3063" s="1" t="n">
        <v>45740</v>
      </c>
      <c r="D3063" t="inlineStr">
        <is>
          <t>JÄMTLANDS LÄN</t>
        </is>
      </c>
      <c r="E3063" t="inlineStr">
        <is>
          <t>STRÖMSUND</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30586-2024</t>
        </is>
      </c>
      <c r="B3064" s="1" t="n">
        <v>45493</v>
      </c>
      <c r="C3064" s="1" t="n">
        <v>45740</v>
      </c>
      <c r="D3064" t="inlineStr">
        <is>
          <t>JÄMTLANDS LÄN</t>
        </is>
      </c>
      <c r="E3064" t="inlineStr">
        <is>
          <t>STRÖMSUND</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30809-2024</t>
        </is>
      </c>
      <c r="B3065" s="1" t="n">
        <v>45497</v>
      </c>
      <c r="C3065" s="1" t="n">
        <v>45740</v>
      </c>
      <c r="D3065" t="inlineStr">
        <is>
          <t>JÄMTLANDS LÄN</t>
        </is>
      </c>
      <c r="E3065" t="inlineStr">
        <is>
          <t>STRÖMSUND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31489-2024</t>
        </is>
      </c>
      <c r="B3066" s="1" t="n">
        <v>45506</v>
      </c>
      <c r="C3066" s="1" t="n">
        <v>45740</v>
      </c>
      <c r="D3066" t="inlineStr">
        <is>
          <t>JÄMTLANDS LÄN</t>
        </is>
      </c>
      <c r="E3066" t="inlineStr">
        <is>
          <t>STRÖMSUND</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31538-2024</t>
        </is>
      </c>
      <c r="B3067" s="1" t="n">
        <v>45506</v>
      </c>
      <c r="C3067" s="1" t="n">
        <v>45740</v>
      </c>
      <c r="D3067" t="inlineStr">
        <is>
          <t>JÄMTLANDS LÄN</t>
        </is>
      </c>
      <c r="E3067" t="inlineStr">
        <is>
          <t>STRÖMSUND</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31565-2024</t>
        </is>
      </c>
      <c r="B3068" s="1" t="n">
        <v>45506</v>
      </c>
      <c r="C3068" s="1" t="n">
        <v>45740</v>
      </c>
      <c r="D3068" t="inlineStr">
        <is>
          <t>JÄMTLANDS LÄN</t>
        </is>
      </c>
      <c r="E3068" t="inlineStr">
        <is>
          <t>STRÖMSUND</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31514-2024</t>
        </is>
      </c>
      <c r="B3069" s="1" t="n">
        <v>45506</v>
      </c>
      <c r="C3069" s="1" t="n">
        <v>45740</v>
      </c>
      <c r="D3069" t="inlineStr">
        <is>
          <t>JÄMTLANDS LÄN</t>
        </is>
      </c>
      <c r="E3069" t="inlineStr">
        <is>
          <t>STRÖMSUND</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31675-2024</t>
        </is>
      </c>
      <c r="B3070" s="1" t="n">
        <v>45507</v>
      </c>
      <c r="C3070" s="1" t="n">
        <v>45740</v>
      </c>
      <c r="D3070" t="inlineStr">
        <is>
          <t>JÄMTLANDS LÄN</t>
        </is>
      </c>
      <c r="E3070" t="inlineStr">
        <is>
          <t>STRÖMSUND</t>
        </is>
      </c>
      <c r="F3070" t="inlineStr">
        <is>
          <t>SCA</t>
        </is>
      </c>
      <c r="G3070" t="n">
        <v>12.4</v>
      </c>
      <c r="H3070" t="n">
        <v>0</v>
      </c>
      <c r="I3070" t="n">
        <v>0</v>
      </c>
      <c r="J3070" t="n">
        <v>0</v>
      </c>
      <c r="K3070" t="n">
        <v>0</v>
      </c>
      <c r="L3070" t="n">
        <v>0</v>
      </c>
      <c r="M3070" t="n">
        <v>0</v>
      </c>
      <c r="N3070" t="n">
        <v>0</v>
      </c>
      <c r="O3070" t="n">
        <v>0</v>
      </c>
      <c r="P3070" t="n">
        <v>0</v>
      </c>
      <c r="Q3070" t="n">
        <v>0</v>
      </c>
      <c r="R3070" s="2" t="inlineStr"/>
    </row>
    <row r="3071" ht="15" customHeight="1">
      <c r="A3071" t="inlineStr">
        <is>
          <t>A 31606-2024</t>
        </is>
      </c>
      <c r="B3071" s="1" t="n">
        <v>45506</v>
      </c>
      <c r="C3071" s="1" t="n">
        <v>45740</v>
      </c>
      <c r="D3071" t="inlineStr">
        <is>
          <t>JÄMTLANDS LÄN</t>
        </is>
      </c>
      <c r="E3071" t="inlineStr">
        <is>
          <t>STRÖMSUND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31685-2024</t>
        </is>
      </c>
      <c r="B3072" s="1" t="n">
        <v>45507</v>
      </c>
      <c r="C3072" s="1" t="n">
        <v>45740</v>
      </c>
      <c r="D3072" t="inlineStr">
        <is>
          <t>JÄMTLANDS LÄN</t>
        </is>
      </c>
      <c r="E3072" t="inlineStr">
        <is>
          <t>STRÖMSUND</t>
        </is>
      </c>
      <c r="F3072" t="inlineStr">
        <is>
          <t>SCA</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31710-2024</t>
        </is>
      </c>
      <c r="B3073" s="1" t="n">
        <v>45509</v>
      </c>
      <c r="C3073" s="1" t="n">
        <v>45740</v>
      </c>
      <c r="D3073" t="inlineStr">
        <is>
          <t>JÄMTLANDS LÄN</t>
        </is>
      </c>
      <c r="E3073" t="inlineStr">
        <is>
          <t>STRÖMSUND</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31741-2024</t>
        </is>
      </c>
      <c r="B3074" s="1" t="n">
        <v>45509</v>
      </c>
      <c r="C3074" s="1" t="n">
        <v>45740</v>
      </c>
      <c r="D3074" t="inlineStr">
        <is>
          <t>JÄMTLANDS LÄN</t>
        </is>
      </c>
      <c r="E3074" t="inlineStr">
        <is>
          <t>STRÖMSUND</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31898-2024</t>
        </is>
      </c>
      <c r="B3075" s="1" t="n">
        <v>45510</v>
      </c>
      <c r="C3075" s="1" t="n">
        <v>45740</v>
      </c>
      <c r="D3075" t="inlineStr">
        <is>
          <t>JÄMTLANDS LÄN</t>
        </is>
      </c>
      <c r="E3075" t="inlineStr">
        <is>
          <t>STRÖMSUND</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32066-2024</t>
        </is>
      </c>
      <c r="B3076" s="1" t="n">
        <v>45511</v>
      </c>
      <c r="C3076" s="1" t="n">
        <v>45740</v>
      </c>
      <c r="D3076" t="inlineStr">
        <is>
          <t>JÄMTLANDS LÄN</t>
        </is>
      </c>
      <c r="E3076" t="inlineStr">
        <is>
          <t>STRÖMSUND</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32107-2024</t>
        </is>
      </c>
      <c r="B3077" s="1" t="n">
        <v>45511</v>
      </c>
      <c r="C3077" s="1" t="n">
        <v>45740</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32254-2024</t>
        </is>
      </c>
      <c r="B3078" s="1" t="n">
        <v>45512</v>
      </c>
      <c r="C3078" s="1" t="n">
        <v>45740</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32261-2024</t>
        </is>
      </c>
      <c r="B3079" s="1" t="n">
        <v>45512</v>
      </c>
      <c r="C3079" s="1" t="n">
        <v>45740</v>
      </c>
      <c r="D3079" t="inlineStr">
        <is>
          <t>JÄMTLANDS LÄN</t>
        </is>
      </c>
      <c r="E3079" t="inlineStr">
        <is>
          <t>STRÖMSUND</t>
        </is>
      </c>
      <c r="F3079" t="inlineStr">
        <is>
          <t>SCA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32358-2024</t>
        </is>
      </c>
      <c r="B3080" s="1" t="n">
        <v>45512</v>
      </c>
      <c r="C3080" s="1" t="n">
        <v>45740</v>
      </c>
      <c r="D3080" t="inlineStr">
        <is>
          <t>JÄMTLANDS LÄN</t>
        </is>
      </c>
      <c r="E3080" t="inlineStr">
        <is>
          <t>STRÖMSUND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32443-2024</t>
        </is>
      </c>
      <c r="B3081" s="1" t="n">
        <v>45513</v>
      </c>
      <c r="C3081" s="1" t="n">
        <v>45740</v>
      </c>
      <c r="D3081" t="inlineStr">
        <is>
          <t>JÄMTLANDS LÄN</t>
        </is>
      </c>
      <c r="E3081" t="inlineStr">
        <is>
          <t>STRÖMSUND</t>
        </is>
      </c>
      <c r="F3081" t="inlineStr">
        <is>
          <t>SCA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32451-2024</t>
        </is>
      </c>
      <c r="B3082" s="1" t="n">
        <v>45513</v>
      </c>
      <c r="C3082" s="1" t="n">
        <v>45740</v>
      </c>
      <c r="D3082" t="inlineStr">
        <is>
          <t>JÄMTLANDS LÄN</t>
        </is>
      </c>
      <c r="E3082" t="inlineStr">
        <is>
          <t>STRÖMSUND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32444-2024</t>
        </is>
      </c>
      <c r="B3083" s="1" t="n">
        <v>45513</v>
      </c>
      <c r="C3083" s="1" t="n">
        <v>45740</v>
      </c>
      <c r="D3083" t="inlineStr">
        <is>
          <t>JÄMTLANDS LÄN</t>
        </is>
      </c>
      <c r="E3083" t="inlineStr">
        <is>
          <t>STRÖMSUND</t>
        </is>
      </c>
      <c r="F3083" t="inlineStr">
        <is>
          <t>SCA</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32452-2024</t>
        </is>
      </c>
      <c r="B3084" s="1" t="n">
        <v>45513</v>
      </c>
      <c r="C3084" s="1" t="n">
        <v>45740</v>
      </c>
      <c r="D3084" t="inlineStr">
        <is>
          <t>JÄMTLANDS LÄN</t>
        </is>
      </c>
      <c r="E3084" t="inlineStr">
        <is>
          <t>STRÖMSUND</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32396-2024</t>
        </is>
      </c>
      <c r="B3085" s="1" t="n">
        <v>45512</v>
      </c>
      <c r="C3085" s="1" t="n">
        <v>45740</v>
      </c>
      <c r="D3085" t="inlineStr">
        <is>
          <t>JÄMTLANDS LÄN</t>
        </is>
      </c>
      <c r="E3085" t="inlineStr">
        <is>
          <t>STRÖMSUND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32324-2024</t>
        </is>
      </c>
      <c r="B3086" s="1" t="n">
        <v>45512</v>
      </c>
      <c r="C3086" s="1" t="n">
        <v>45740</v>
      </c>
      <c r="D3086" t="inlineStr">
        <is>
          <t>JÄMTLANDS LÄN</t>
        </is>
      </c>
      <c r="E3086" t="inlineStr">
        <is>
          <t>STRÖMSUND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32453-2024</t>
        </is>
      </c>
      <c r="B3087" s="1" t="n">
        <v>45512</v>
      </c>
      <c r="C3087" s="1" t="n">
        <v>45740</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32650-2024</t>
        </is>
      </c>
      <c r="B3088" s="1" t="n">
        <v>45514</v>
      </c>
      <c r="C3088" s="1" t="n">
        <v>45740</v>
      </c>
      <c r="D3088" t="inlineStr">
        <is>
          <t>JÄMTLANDS LÄN</t>
        </is>
      </c>
      <c r="E3088" t="inlineStr">
        <is>
          <t>STRÖMSUND</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32673-2024</t>
        </is>
      </c>
      <c r="B3089" s="1" t="n">
        <v>45514</v>
      </c>
      <c r="C3089" s="1" t="n">
        <v>45740</v>
      </c>
      <c r="D3089" t="inlineStr">
        <is>
          <t>JÄMTLANDS LÄN</t>
        </is>
      </c>
      <c r="E3089" t="inlineStr">
        <is>
          <t>STRÖMSUND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32674-2024</t>
        </is>
      </c>
      <c r="B3090" s="1" t="n">
        <v>45514</v>
      </c>
      <c r="C3090" s="1" t="n">
        <v>45740</v>
      </c>
      <c r="D3090" t="inlineStr">
        <is>
          <t>JÄMTLANDS LÄN</t>
        </is>
      </c>
      <c r="E3090" t="inlineStr">
        <is>
          <t>STRÖMSUND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32672-2024</t>
        </is>
      </c>
      <c r="B3091" s="1" t="n">
        <v>45514</v>
      </c>
      <c r="C3091" s="1" t="n">
        <v>45740</v>
      </c>
      <c r="D3091" t="inlineStr">
        <is>
          <t>JÄMTLANDS LÄN</t>
        </is>
      </c>
      <c r="E3091" t="inlineStr">
        <is>
          <t>STRÖMSUND</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32803-2024</t>
        </is>
      </c>
      <c r="B3092" s="1" t="n">
        <v>45516</v>
      </c>
      <c r="C3092" s="1" t="n">
        <v>45740</v>
      </c>
      <c r="D3092" t="inlineStr">
        <is>
          <t>JÄMTLANDS LÄN</t>
        </is>
      </c>
      <c r="E3092" t="inlineStr">
        <is>
          <t>STRÖMSUND</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32900-2024</t>
        </is>
      </c>
      <c r="B3093" s="1" t="n">
        <v>45517</v>
      </c>
      <c r="C3093" s="1" t="n">
        <v>45740</v>
      </c>
      <c r="D3093" t="inlineStr">
        <is>
          <t>JÄMTLANDS LÄN</t>
        </is>
      </c>
      <c r="E3093" t="inlineStr">
        <is>
          <t>STRÖMSUND</t>
        </is>
      </c>
      <c r="F3093" t="inlineStr">
        <is>
          <t>SCA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32907-2024</t>
        </is>
      </c>
      <c r="B3094" s="1" t="n">
        <v>45517</v>
      </c>
      <c r="C3094" s="1" t="n">
        <v>45740</v>
      </c>
      <c r="D3094" t="inlineStr">
        <is>
          <t>JÄMTLANDS LÄN</t>
        </is>
      </c>
      <c r="E3094" t="inlineStr">
        <is>
          <t>STRÖMSUND</t>
        </is>
      </c>
      <c r="F3094" t="inlineStr">
        <is>
          <t>SCA</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32983-2024</t>
        </is>
      </c>
      <c r="B3095" s="1" t="n">
        <v>45517</v>
      </c>
      <c r="C3095" s="1" t="n">
        <v>45740</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33122-2024</t>
        </is>
      </c>
      <c r="B3096" s="1" t="n">
        <v>45518</v>
      </c>
      <c r="C3096" s="1" t="n">
        <v>45740</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33127-2024</t>
        </is>
      </c>
      <c r="B3097" s="1" t="n">
        <v>45518</v>
      </c>
      <c r="C3097" s="1" t="n">
        <v>45740</v>
      </c>
      <c r="D3097" t="inlineStr">
        <is>
          <t>JÄMTLANDS LÄN</t>
        </is>
      </c>
      <c r="E3097" t="inlineStr">
        <is>
          <t>STRÖMSUND</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33311-2024</t>
        </is>
      </c>
      <c r="B3098" s="1" t="n">
        <v>45518</v>
      </c>
      <c r="C3098" s="1" t="n">
        <v>45740</v>
      </c>
      <c r="D3098" t="inlineStr">
        <is>
          <t>JÄMTLANDS LÄN</t>
        </is>
      </c>
      <c r="E3098" t="inlineStr">
        <is>
          <t>STRÖMSUND</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33299-2024</t>
        </is>
      </c>
      <c r="B3099" s="1" t="n">
        <v>45519</v>
      </c>
      <c r="C3099" s="1" t="n">
        <v>45740</v>
      </c>
      <c r="D3099" t="inlineStr">
        <is>
          <t>JÄMTLANDS LÄN</t>
        </is>
      </c>
      <c r="E3099" t="inlineStr">
        <is>
          <t>STRÖMSUND</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33238-2024</t>
        </is>
      </c>
      <c r="B3100" s="1" t="n">
        <v>45518</v>
      </c>
      <c r="C3100" s="1" t="n">
        <v>45740</v>
      </c>
      <c r="D3100" t="inlineStr">
        <is>
          <t>JÄMTLANDS LÄN</t>
        </is>
      </c>
      <c r="E3100" t="inlineStr">
        <is>
          <t>STRÖMSUND</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33584-2024</t>
        </is>
      </c>
      <c r="B3101" s="1" t="n">
        <v>45520</v>
      </c>
      <c r="C3101" s="1" t="n">
        <v>45740</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34179-2024</t>
        </is>
      </c>
      <c r="B3102" s="1" t="n">
        <v>45524</v>
      </c>
      <c r="C3102" s="1" t="n">
        <v>45740</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34290-2024</t>
        </is>
      </c>
      <c r="B3103" s="1" t="n">
        <v>45524</v>
      </c>
      <c r="C3103" s="1" t="n">
        <v>45740</v>
      </c>
      <c r="D3103" t="inlineStr">
        <is>
          <t>JÄMTLANDS LÄN</t>
        </is>
      </c>
      <c r="E3103" t="inlineStr">
        <is>
          <t>STRÖMSUND</t>
        </is>
      </c>
      <c r="F3103" t="inlineStr">
        <is>
          <t>Sveaskog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34227-2024</t>
        </is>
      </c>
      <c r="B3104" s="1" t="n">
        <v>45524</v>
      </c>
      <c r="C3104" s="1" t="n">
        <v>45740</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34343-2024</t>
        </is>
      </c>
      <c r="B3105" s="1" t="n">
        <v>45525</v>
      </c>
      <c r="C3105" s="1" t="n">
        <v>45740</v>
      </c>
      <c r="D3105" t="inlineStr">
        <is>
          <t>JÄMTLANDS LÄN</t>
        </is>
      </c>
      <c r="E3105" t="inlineStr">
        <is>
          <t>STRÖMSUND</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34344-2024</t>
        </is>
      </c>
      <c r="B3106" s="1" t="n">
        <v>45525</v>
      </c>
      <c r="C3106" s="1" t="n">
        <v>45740</v>
      </c>
      <c r="D3106" t="inlineStr">
        <is>
          <t>JÄMTLANDS LÄN</t>
        </is>
      </c>
      <c r="E3106" t="inlineStr">
        <is>
          <t>STRÖMSUND</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34716-2024</t>
        </is>
      </c>
      <c r="B3107" s="1" t="n">
        <v>45526</v>
      </c>
      <c r="C3107" s="1" t="n">
        <v>45740</v>
      </c>
      <c r="D3107" t="inlineStr">
        <is>
          <t>JÄMTLANDS LÄN</t>
        </is>
      </c>
      <c r="E3107" t="inlineStr">
        <is>
          <t>STRÖMSUND</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34817-2024</t>
        </is>
      </c>
      <c r="B3108" s="1" t="n">
        <v>45526</v>
      </c>
      <c r="C3108" s="1" t="n">
        <v>45740</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34818-2024</t>
        </is>
      </c>
      <c r="B3109" s="1" t="n">
        <v>45526</v>
      </c>
      <c r="C3109" s="1" t="n">
        <v>45740</v>
      </c>
      <c r="D3109" t="inlineStr">
        <is>
          <t>JÄMTLANDS LÄN</t>
        </is>
      </c>
      <c r="E3109" t="inlineStr">
        <is>
          <t>STRÖMSUND</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34723-2024</t>
        </is>
      </c>
      <c r="B3110" s="1" t="n">
        <v>45526</v>
      </c>
      <c r="C3110" s="1" t="n">
        <v>45740</v>
      </c>
      <c r="D3110" t="inlineStr">
        <is>
          <t>JÄMTLANDS LÄN</t>
        </is>
      </c>
      <c r="E3110" t="inlineStr">
        <is>
          <t>STRÖMSUND</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35244-2024</t>
        </is>
      </c>
      <c r="B3111" s="1" t="n">
        <v>45530</v>
      </c>
      <c r="C3111" s="1" t="n">
        <v>45740</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35178-2024</t>
        </is>
      </c>
      <c r="B3112" s="1" t="n">
        <v>45530</v>
      </c>
      <c r="C3112" s="1" t="n">
        <v>45740</v>
      </c>
      <c r="D3112" t="inlineStr">
        <is>
          <t>JÄMTLANDS LÄN</t>
        </is>
      </c>
      <c r="E3112" t="inlineStr">
        <is>
          <t>STRÖMSUND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35185-2024</t>
        </is>
      </c>
      <c r="B3113" s="1" t="n">
        <v>45530</v>
      </c>
      <c r="C3113" s="1" t="n">
        <v>45740</v>
      </c>
      <c r="D3113" t="inlineStr">
        <is>
          <t>JÄMTLANDS LÄN</t>
        </is>
      </c>
      <c r="E3113" t="inlineStr">
        <is>
          <t>STRÖMSUND</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35410-2024</t>
        </is>
      </c>
      <c r="B3114" s="1" t="n">
        <v>45531</v>
      </c>
      <c r="C3114" s="1" t="n">
        <v>45740</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35418-2024</t>
        </is>
      </c>
      <c r="B3115" s="1" t="n">
        <v>45531</v>
      </c>
      <c r="C3115" s="1" t="n">
        <v>45740</v>
      </c>
      <c r="D3115" t="inlineStr">
        <is>
          <t>JÄMTLANDS LÄN</t>
        </is>
      </c>
      <c r="E3115" t="inlineStr">
        <is>
          <t>STRÖMSUND</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35578-2024</t>
        </is>
      </c>
      <c r="B3116" s="1" t="n">
        <v>45531</v>
      </c>
      <c r="C3116" s="1" t="n">
        <v>45740</v>
      </c>
      <c r="D3116" t="inlineStr">
        <is>
          <t>JÄMTLANDS LÄN</t>
        </is>
      </c>
      <c r="E3116" t="inlineStr">
        <is>
          <t>STRÖMSUND</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35407-2024</t>
        </is>
      </c>
      <c r="B3117" s="1" t="n">
        <v>45531</v>
      </c>
      <c r="C3117" s="1" t="n">
        <v>45740</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35397-2024</t>
        </is>
      </c>
      <c r="B3118" s="1" t="n">
        <v>45531</v>
      </c>
      <c r="C3118" s="1" t="n">
        <v>45740</v>
      </c>
      <c r="D3118" t="inlineStr">
        <is>
          <t>JÄMTLANDS LÄN</t>
        </is>
      </c>
      <c r="E3118" t="inlineStr">
        <is>
          <t>STRÖMSUND</t>
        </is>
      </c>
      <c r="F3118" t="inlineStr">
        <is>
          <t>SCA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35423-2024</t>
        </is>
      </c>
      <c r="B3119" s="1" t="n">
        <v>45531</v>
      </c>
      <c r="C3119" s="1" t="n">
        <v>45740</v>
      </c>
      <c r="D3119" t="inlineStr">
        <is>
          <t>JÄMTLANDS LÄN</t>
        </is>
      </c>
      <c r="E3119" t="inlineStr">
        <is>
          <t>STRÖMSUND</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35416-2024</t>
        </is>
      </c>
      <c r="B3120" s="1" t="n">
        <v>45531</v>
      </c>
      <c r="C3120" s="1" t="n">
        <v>45740</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35585-2024</t>
        </is>
      </c>
      <c r="B3121" s="1" t="n">
        <v>45531</v>
      </c>
      <c r="C3121" s="1" t="n">
        <v>45740</v>
      </c>
      <c r="D3121" t="inlineStr">
        <is>
          <t>JÄMTLANDS LÄN</t>
        </is>
      </c>
      <c r="E3121" t="inlineStr">
        <is>
          <t>STRÖMSUND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35583-2024</t>
        </is>
      </c>
      <c r="B3122" s="1" t="n">
        <v>45531</v>
      </c>
      <c r="C3122" s="1" t="n">
        <v>45740</v>
      </c>
      <c r="D3122" t="inlineStr">
        <is>
          <t>JÄMTLANDS LÄN</t>
        </is>
      </c>
      <c r="E3122" t="inlineStr">
        <is>
          <t>STRÖMSUND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35584-2024</t>
        </is>
      </c>
      <c r="B3123" s="1" t="n">
        <v>45531</v>
      </c>
      <c r="C3123" s="1" t="n">
        <v>45740</v>
      </c>
      <c r="D3123" t="inlineStr">
        <is>
          <t>JÄMTLANDS LÄN</t>
        </is>
      </c>
      <c r="E3123" t="inlineStr">
        <is>
          <t>STRÖMSUND</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35686-2024</t>
        </is>
      </c>
      <c r="B3124" s="1" t="n">
        <v>45532</v>
      </c>
      <c r="C3124" s="1" t="n">
        <v>45740</v>
      </c>
      <c r="D3124" t="inlineStr">
        <is>
          <t>JÄMTLANDS LÄN</t>
        </is>
      </c>
      <c r="E3124" t="inlineStr">
        <is>
          <t>STRÖMSUND</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35687-2024</t>
        </is>
      </c>
      <c r="B3125" s="1" t="n">
        <v>45532</v>
      </c>
      <c r="C3125" s="1" t="n">
        <v>45740</v>
      </c>
      <c r="D3125" t="inlineStr">
        <is>
          <t>JÄMTLANDS LÄN</t>
        </is>
      </c>
      <c r="E3125" t="inlineStr">
        <is>
          <t>STRÖMSUND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35747-2024</t>
        </is>
      </c>
      <c r="B3126" s="1" t="n">
        <v>45532</v>
      </c>
      <c r="C3126" s="1" t="n">
        <v>45740</v>
      </c>
      <c r="D3126" t="inlineStr">
        <is>
          <t>JÄMTLANDS LÄN</t>
        </is>
      </c>
      <c r="E3126" t="inlineStr">
        <is>
          <t>STRÖMSUND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35746-2024</t>
        </is>
      </c>
      <c r="B3127" s="1" t="n">
        <v>45532</v>
      </c>
      <c r="C3127" s="1" t="n">
        <v>45740</v>
      </c>
      <c r="D3127" t="inlineStr">
        <is>
          <t>JÄMTLANDS LÄN</t>
        </is>
      </c>
      <c r="E3127" t="inlineStr">
        <is>
          <t>STRÖMSUND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35748-2024</t>
        </is>
      </c>
      <c r="B3128" s="1" t="n">
        <v>45532</v>
      </c>
      <c r="C3128" s="1" t="n">
        <v>45740</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35904-2024</t>
        </is>
      </c>
      <c r="B3129" s="1" t="n">
        <v>45533</v>
      </c>
      <c r="C3129" s="1" t="n">
        <v>45740</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36328-2024</t>
        </is>
      </c>
      <c r="B3130" s="1" t="n">
        <v>45534</v>
      </c>
      <c r="C3130" s="1" t="n">
        <v>45740</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36176-2024</t>
        </is>
      </c>
      <c r="B3131" s="1" t="n">
        <v>45534</v>
      </c>
      <c r="C3131" s="1" t="n">
        <v>45740</v>
      </c>
      <c r="D3131" t="inlineStr">
        <is>
          <t>JÄMTLANDS LÄN</t>
        </is>
      </c>
      <c r="E3131" t="inlineStr">
        <is>
          <t>STRÖMSUND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36311-2024</t>
        </is>
      </c>
      <c r="B3132" s="1" t="n">
        <v>45534</v>
      </c>
      <c r="C3132" s="1" t="n">
        <v>45740</v>
      </c>
      <c r="D3132" t="inlineStr">
        <is>
          <t>JÄMTLANDS LÄN</t>
        </is>
      </c>
      <c r="E3132" t="inlineStr">
        <is>
          <t>STRÖMSUND</t>
        </is>
      </c>
      <c r="F3132" t="inlineStr">
        <is>
          <t>SCA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36347-2024</t>
        </is>
      </c>
      <c r="B3133" s="1" t="n">
        <v>45534</v>
      </c>
      <c r="C3133" s="1" t="n">
        <v>45740</v>
      </c>
      <c r="D3133" t="inlineStr">
        <is>
          <t>JÄMTLANDS LÄN</t>
        </is>
      </c>
      <c r="E3133" t="inlineStr">
        <is>
          <t>STRÖMSUND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36344-2024</t>
        </is>
      </c>
      <c r="B3134" s="1" t="n">
        <v>45534</v>
      </c>
      <c r="C3134" s="1" t="n">
        <v>45740</v>
      </c>
      <c r="D3134" t="inlineStr">
        <is>
          <t>JÄMTLANDS LÄN</t>
        </is>
      </c>
      <c r="E3134" t="inlineStr">
        <is>
          <t>STRÖMSUND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36327-2024</t>
        </is>
      </c>
      <c r="B3135" s="1" t="n">
        <v>45534</v>
      </c>
      <c r="C3135" s="1" t="n">
        <v>45740</v>
      </c>
      <c r="D3135" t="inlineStr">
        <is>
          <t>JÄMTLANDS LÄN</t>
        </is>
      </c>
      <c r="E3135" t="inlineStr">
        <is>
          <t>STRÖMSUND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36343-2024</t>
        </is>
      </c>
      <c r="B3136" s="1" t="n">
        <v>45534</v>
      </c>
      <c r="C3136" s="1" t="n">
        <v>45740</v>
      </c>
      <c r="D3136" t="inlineStr">
        <is>
          <t>JÄMTLANDS LÄN</t>
        </is>
      </c>
      <c r="E3136" t="inlineStr">
        <is>
          <t>STRÖMSUND</t>
        </is>
      </c>
      <c r="F3136" t="inlineStr">
        <is>
          <t>SCA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36346-2024</t>
        </is>
      </c>
      <c r="B3137" s="1" t="n">
        <v>45534</v>
      </c>
      <c r="C3137" s="1" t="n">
        <v>45740</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36500-2024</t>
        </is>
      </c>
      <c r="B3138" s="1" t="n">
        <v>45537</v>
      </c>
      <c r="C3138" s="1" t="n">
        <v>45740</v>
      </c>
      <c r="D3138" t="inlineStr">
        <is>
          <t>JÄMTLANDS LÄN</t>
        </is>
      </c>
      <c r="E3138" t="inlineStr">
        <is>
          <t>STRÖMSUND</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36836-2024</t>
        </is>
      </c>
      <c r="B3139" s="1" t="n">
        <v>45538</v>
      </c>
      <c r="C3139" s="1" t="n">
        <v>45740</v>
      </c>
      <c r="D3139" t="inlineStr">
        <is>
          <t>JÄMTLANDS LÄN</t>
        </is>
      </c>
      <c r="E3139" t="inlineStr">
        <is>
          <t>STRÖMSUND</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36914-2024</t>
        </is>
      </c>
      <c r="B3140" s="1" t="n">
        <v>45538</v>
      </c>
      <c r="C3140" s="1" t="n">
        <v>45740</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36913-2024</t>
        </is>
      </c>
      <c r="B3141" s="1" t="n">
        <v>45538</v>
      </c>
      <c r="C3141" s="1" t="n">
        <v>45740</v>
      </c>
      <c r="D3141" t="inlineStr">
        <is>
          <t>JÄMTLANDS LÄN</t>
        </is>
      </c>
      <c r="E3141" t="inlineStr">
        <is>
          <t>STRÖMSUND</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37150-2024</t>
        </is>
      </c>
      <c r="B3142" s="1" t="n">
        <v>45539</v>
      </c>
      <c r="C3142" s="1" t="n">
        <v>45740</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37207-2024</t>
        </is>
      </c>
      <c r="B3143" s="1" t="n">
        <v>45539</v>
      </c>
      <c r="C3143" s="1" t="n">
        <v>45740</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37205-2024</t>
        </is>
      </c>
      <c r="B3144" s="1" t="n">
        <v>45539</v>
      </c>
      <c r="C3144" s="1" t="n">
        <v>45740</v>
      </c>
      <c r="D3144" t="inlineStr">
        <is>
          <t>JÄMTLANDS LÄN</t>
        </is>
      </c>
      <c r="E3144" t="inlineStr">
        <is>
          <t>STRÖMSUND</t>
        </is>
      </c>
      <c r="F3144" t="inlineStr">
        <is>
          <t>SCA</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37147-2024</t>
        </is>
      </c>
      <c r="B3145" s="1" t="n">
        <v>45539</v>
      </c>
      <c r="C3145" s="1" t="n">
        <v>45740</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37208-2024</t>
        </is>
      </c>
      <c r="B3146" s="1" t="n">
        <v>45539</v>
      </c>
      <c r="C3146" s="1" t="n">
        <v>45740</v>
      </c>
      <c r="D3146" t="inlineStr">
        <is>
          <t>JÄMTLANDS LÄN</t>
        </is>
      </c>
      <c r="E3146" t="inlineStr">
        <is>
          <t>STRÖMSUND</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37302-2024</t>
        </is>
      </c>
      <c r="B3147" s="1" t="n">
        <v>45540</v>
      </c>
      <c r="C3147" s="1" t="n">
        <v>45740</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37567-2024</t>
        </is>
      </c>
      <c r="B3148" s="1" t="n">
        <v>45541</v>
      </c>
      <c r="C3148" s="1" t="n">
        <v>45740</v>
      </c>
      <c r="D3148" t="inlineStr">
        <is>
          <t>JÄMTLANDS LÄN</t>
        </is>
      </c>
      <c r="E3148" t="inlineStr">
        <is>
          <t>STRÖMSUND</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37632-2024</t>
        </is>
      </c>
      <c r="B3149" s="1" t="n">
        <v>45541</v>
      </c>
      <c r="C3149" s="1" t="n">
        <v>45740</v>
      </c>
      <c r="D3149" t="inlineStr">
        <is>
          <t>JÄMTLANDS LÄN</t>
        </is>
      </c>
      <c r="E3149" t="inlineStr">
        <is>
          <t>STRÖMSUND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37566-2024</t>
        </is>
      </c>
      <c r="B3150" s="1" t="n">
        <v>45541</v>
      </c>
      <c r="C3150" s="1" t="n">
        <v>45740</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37787-2024</t>
        </is>
      </c>
      <c r="B3151" s="1" t="n">
        <v>45542</v>
      </c>
      <c r="C3151" s="1" t="n">
        <v>45740</v>
      </c>
      <c r="D3151" t="inlineStr">
        <is>
          <t>JÄMTLANDS LÄN</t>
        </is>
      </c>
      <c r="E3151" t="inlineStr">
        <is>
          <t>STRÖMSUND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38104-2024</t>
        </is>
      </c>
      <c r="B3152" s="1" t="n">
        <v>45545</v>
      </c>
      <c r="C3152" s="1" t="n">
        <v>45740</v>
      </c>
      <c r="D3152" t="inlineStr">
        <is>
          <t>JÄMTLANDS LÄN</t>
        </is>
      </c>
      <c r="E3152" t="inlineStr">
        <is>
          <t>STRÖMSUND</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38093-2024</t>
        </is>
      </c>
      <c r="B3153" s="1" t="n">
        <v>45545</v>
      </c>
      <c r="C3153" s="1" t="n">
        <v>45740</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38301-2024</t>
        </is>
      </c>
      <c r="B3154" s="1" t="n">
        <v>45545</v>
      </c>
      <c r="C3154" s="1" t="n">
        <v>45740</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38279-2024</t>
        </is>
      </c>
      <c r="B3155" s="1" t="n">
        <v>45545</v>
      </c>
      <c r="C3155" s="1" t="n">
        <v>45740</v>
      </c>
      <c r="D3155" t="inlineStr">
        <is>
          <t>JÄMTLANDS LÄN</t>
        </is>
      </c>
      <c r="E3155" t="inlineStr">
        <is>
          <t>STRÖMSUND</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38283-2024</t>
        </is>
      </c>
      <c r="B3156" s="1" t="n">
        <v>45545</v>
      </c>
      <c r="C3156" s="1" t="n">
        <v>45740</v>
      </c>
      <c r="D3156" t="inlineStr">
        <is>
          <t>JÄMTLANDS LÄN</t>
        </is>
      </c>
      <c r="E3156" t="inlineStr">
        <is>
          <t>STRÖMSUND</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38280-2024</t>
        </is>
      </c>
      <c r="B3157" s="1" t="n">
        <v>45545</v>
      </c>
      <c r="C3157" s="1" t="n">
        <v>45740</v>
      </c>
      <c r="D3157" t="inlineStr">
        <is>
          <t>JÄMTLANDS LÄN</t>
        </is>
      </c>
      <c r="E3157" t="inlineStr">
        <is>
          <t>STRÖMSUND</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38284-2024</t>
        </is>
      </c>
      <c r="B3158" s="1" t="n">
        <v>45545</v>
      </c>
      <c r="C3158" s="1" t="n">
        <v>45740</v>
      </c>
      <c r="D3158" t="inlineStr">
        <is>
          <t>JÄMTLANDS LÄN</t>
        </is>
      </c>
      <c r="E3158" t="inlineStr">
        <is>
          <t>STRÖMSUND</t>
        </is>
      </c>
      <c r="F3158" t="inlineStr">
        <is>
          <t>SCA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38300-2024</t>
        </is>
      </c>
      <c r="B3159" s="1" t="n">
        <v>45545</v>
      </c>
      <c r="C3159" s="1" t="n">
        <v>45740</v>
      </c>
      <c r="D3159" t="inlineStr">
        <is>
          <t>JÄMTLANDS LÄN</t>
        </is>
      </c>
      <c r="E3159" t="inlineStr">
        <is>
          <t>STRÖMSUND</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38816-2024</t>
        </is>
      </c>
      <c r="B3160" s="1" t="n">
        <v>45547</v>
      </c>
      <c r="C3160" s="1" t="n">
        <v>45740</v>
      </c>
      <c r="D3160" t="inlineStr">
        <is>
          <t>JÄMTLANDS LÄN</t>
        </is>
      </c>
      <c r="E3160" t="inlineStr">
        <is>
          <t>STRÖMSUND</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39286-2024</t>
        </is>
      </c>
      <c r="B3161" s="1" t="n">
        <v>45551</v>
      </c>
      <c r="C3161" s="1" t="n">
        <v>45740</v>
      </c>
      <c r="D3161" t="inlineStr">
        <is>
          <t>JÄMTLANDS LÄN</t>
        </is>
      </c>
      <c r="E3161" t="inlineStr">
        <is>
          <t>STRÖMSUND</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39516-2024</t>
        </is>
      </c>
      <c r="B3162" s="1" t="n">
        <v>45551</v>
      </c>
      <c r="C3162" s="1" t="n">
        <v>45740</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39517-2024</t>
        </is>
      </c>
      <c r="B3163" s="1" t="n">
        <v>45551</v>
      </c>
      <c r="C3163" s="1" t="n">
        <v>45740</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39599-2024</t>
        </is>
      </c>
      <c r="B3164" s="1" t="n">
        <v>45552</v>
      </c>
      <c r="C3164" s="1" t="n">
        <v>45740</v>
      </c>
      <c r="D3164" t="inlineStr">
        <is>
          <t>JÄMTLANDS LÄN</t>
        </is>
      </c>
      <c r="E3164" t="inlineStr">
        <is>
          <t>STRÖMSUND</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39698-2024</t>
        </is>
      </c>
      <c r="B3165" s="1" t="n">
        <v>45552</v>
      </c>
      <c r="C3165" s="1" t="n">
        <v>45740</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39864-2024</t>
        </is>
      </c>
      <c r="B3166" s="1" t="n">
        <v>45553</v>
      </c>
      <c r="C3166" s="1" t="n">
        <v>45740</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39949-2024</t>
        </is>
      </c>
      <c r="B3167" s="1" t="n">
        <v>45553</v>
      </c>
      <c r="C3167" s="1" t="n">
        <v>45740</v>
      </c>
      <c r="D3167" t="inlineStr">
        <is>
          <t>JÄMTLANDS LÄN</t>
        </is>
      </c>
      <c r="E3167" t="inlineStr">
        <is>
          <t>STRÖMSUND</t>
        </is>
      </c>
      <c r="F3167" t="inlineStr">
        <is>
          <t>Kyrkan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39939-2024</t>
        </is>
      </c>
      <c r="B3168" s="1" t="n">
        <v>45553</v>
      </c>
      <c r="C3168" s="1" t="n">
        <v>45740</v>
      </c>
      <c r="D3168" t="inlineStr">
        <is>
          <t>JÄMTLANDS LÄN</t>
        </is>
      </c>
      <c r="E3168" t="inlineStr">
        <is>
          <t>STRÖMSUND</t>
        </is>
      </c>
      <c r="F3168" t="inlineStr">
        <is>
          <t>Kyrkan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39979-2024</t>
        </is>
      </c>
      <c r="B3169" s="1" t="n">
        <v>45553</v>
      </c>
      <c r="C3169" s="1" t="n">
        <v>45740</v>
      </c>
      <c r="D3169" t="inlineStr">
        <is>
          <t>JÄMTLANDS LÄN</t>
        </is>
      </c>
      <c r="E3169" t="inlineStr">
        <is>
          <t>STRÖMSUND</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40140-2024</t>
        </is>
      </c>
      <c r="B3170" s="1" t="n">
        <v>45554</v>
      </c>
      <c r="C3170" s="1" t="n">
        <v>45740</v>
      </c>
      <c r="D3170" t="inlineStr">
        <is>
          <t>JÄMTLANDS LÄN</t>
        </is>
      </c>
      <c r="E3170" t="inlineStr">
        <is>
          <t>STRÖMSUND</t>
        </is>
      </c>
      <c r="F3170" t="inlineStr">
        <is>
          <t>Kyrkan</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40090-2024</t>
        </is>
      </c>
      <c r="B3171" s="1" t="n">
        <v>45554</v>
      </c>
      <c r="C3171" s="1" t="n">
        <v>45740</v>
      </c>
      <c r="D3171" t="inlineStr">
        <is>
          <t>JÄMTLANDS LÄN</t>
        </is>
      </c>
      <c r="E3171" t="inlineStr">
        <is>
          <t>STRÖMSUND</t>
        </is>
      </c>
      <c r="F3171" t="inlineStr">
        <is>
          <t>Kyrkan</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40351-2024</t>
        </is>
      </c>
      <c r="B3172" s="1" t="n">
        <v>45555</v>
      </c>
      <c r="C3172" s="1" t="n">
        <v>45740</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40344-2024</t>
        </is>
      </c>
      <c r="B3173" s="1" t="n">
        <v>45555</v>
      </c>
      <c r="C3173" s="1" t="n">
        <v>45740</v>
      </c>
      <c r="D3173" t="inlineStr">
        <is>
          <t>JÄMTLANDS LÄN</t>
        </is>
      </c>
      <c r="E3173" t="inlineStr">
        <is>
          <t>STRÖMSUND</t>
        </is>
      </c>
      <c r="F3173" t="inlineStr">
        <is>
          <t>SCA</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40492-2024</t>
        </is>
      </c>
      <c r="B3174" s="1" t="n">
        <v>45555</v>
      </c>
      <c r="C3174" s="1" t="n">
        <v>45740</v>
      </c>
      <c r="D3174" t="inlineStr">
        <is>
          <t>JÄMTLANDS LÄN</t>
        </is>
      </c>
      <c r="E3174" t="inlineStr">
        <is>
          <t>STRÖMSUND</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40500-2024</t>
        </is>
      </c>
      <c r="B3175" s="1" t="n">
        <v>45555</v>
      </c>
      <c r="C3175" s="1" t="n">
        <v>45740</v>
      </c>
      <c r="D3175" t="inlineStr">
        <is>
          <t>JÄMTLANDS LÄN</t>
        </is>
      </c>
      <c r="E3175" t="inlineStr">
        <is>
          <t>STRÖMSUND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40426-2024</t>
        </is>
      </c>
      <c r="B3176" s="1" t="n">
        <v>45555</v>
      </c>
      <c r="C3176" s="1" t="n">
        <v>45740</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40450-2024</t>
        </is>
      </c>
      <c r="B3177" s="1" t="n">
        <v>45555</v>
      </c>
      <c r="C3177" s="1" t="n">
        <v>45740</v>
      </c>
      <c r="D3177" t="inlineStr">
        <is>
          <t>JÄMTLANDS LÄN</t>
        </is>
      </c>
      <c r="E3177" t="inlineStr">
        <is>
          <t>STRÖMSUND</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40574-2024</t>
        </is>
      </c>
      <c r="B3178" s="1" t="n">
        <v>45555</v>
      </c>
      <c r="C3178" s="1" t="n">
        <v>45740</v>
      </c>
      <c r="D3178" t="inlineStr">
        <is>
          <t>JÄMTLANDS LÄN</t>
        </is>
      </c>
      <c r="E3178" t="inlineStr">
        <is>
          <t>STRÖMSUND</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40447-2024</t>
        </is>
      </c>
      <c r="B3179" s="1" t="n">
        <v>45555</v>
      </c>
      <c r="C3179" s="1" t="n">
        <v>45740</v>
      </c>
      <c r="D3179" t="inlineStr">
        <is>
          <t>JÄMTLANDS LÄN</t>
        </is>
      </c>
      <c r="E3179" t="inlineStr">
        <is>
          <t>STRÖMSUND</t>
        </is>
      </c>
      <c r="F3179" t="inlineStr">
        <is>
          <t>SCA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40451-2024</t>
        </is>
      </c>
      <c r="B3180" s="1" t="n">
        <v>45555</v>
      </c>
      <c r="C3180" s="1" t="n">
        <v>45740</v>
      </c>
      <c r="D3180" t="inlineStr">
        <is>
          <t>JÄMTLANDS LÄN</t>
        </is>
      </c>
      <c r="E3180" t="inlineStr">
        <is>
          <t>STRÖMSUND</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40758-2024</t>
        </is>
      </c>
      <c r="B3181" s="1" t="n">
        <v>45558</v>
      </c>
      <c r="C3181" s="1" t="n">
        <v>45740</v>
      </c>
      <c r="D3181" t="inlineStr">
        <is>
          <t>JÄMTLANDS LÄN</t>
        </is>
      </c>
      <c r="E3181" t="inlineStr">
        <is>
          <t>STRÖMSUND</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40813-2024</t>
        </is>
      </c>
      <c r="B3182" s="1" t="n">
        <v>45558</v>
      </c>
      <c r="C3182" s="1" t="n">
        <v>45740</v>
      </c>
      <c r="D3182" t="inlineStr">
        <is>
          <t>JÄMTLANDS LÄN</t>
        </is>
      </c>
      <c r="E3182" t="inlineStr">
        <is>
          <t>STRÖMSUND</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40970-2024</t>
        </is>
      </c>
      <c r="B3183" s="1" t="n">
        <v>45558</v>
      </c>
      <c r="C3183" s="1" t="n">
        <v>45740</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40827-2024</t>
        </is>
      </c>
      <c r="B3184" s="1" t="n">
        <v>45558</v>
      </c>
      <c r="C3184" s="1" t="n">
        <v>45740</v>
      </c>
      <c r="D3184" t="inlineStr">
        <is>
          <t>JÄMTLANDS LÄN</t>
        </is>
      </c>
      <c r="E3184" t="inlineStr">
        <is>
          <t>STRÖMSUND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40891-2024</t>
        </is>
      </c>
      <c r="B3185" s="1" t="n">
        <v>45558</v>
      </c>
      <c r="C3185" s="1" t="n">
        <v>45740</v>
      </c>
      <c r="D3185" t="inlineStr">
        <is>
          <t>JÄMTLANDS LÄN</t>
        </is>
      </c>
      <c r="E3185" t="inlineStr">
        <is>
          <t>STRÖMSUND</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40976-2024</t>
        </is>
      </c>
      <c r="B3186" s="1" t="n">
        <v>45558</v>
      </c>
      <c r="C3186" s="1" t="n">
        <v>45740</v>
      </c>
      <c r="D3186" t="inlineStr">
        <is>
          <t>JÄMTLANDS LÄN</t>
        </is>
      </c>
      <c r="E3186" t="inlineStr">
        <is>
          <t>STRÖMSUND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41070-2024</t>
        </is>
      </c>
      <c r="B3187" s="1" t="n">
        <v>45559</v>
      </c>
      <c r="C3187" s="1" t="n">
        <v>45740</v>
      </c>
      <c r="D3187" t="inlineStr">
        <is>
          <t>JÄMTLANDS LÄN</t>
        </is>
      </c>
      <c r="E3187" t="inlineStr">
        <is>
          <t>STRÖMSUND</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41116-2024</t>
        </is>
      </c>
      <c r="B3188" s="1" t="n">
        <v>45559</v>
      </c>
      <c r="C3188" s="1" t="n">
        <v>45740</v>
      </c>
      <c r="D3188" t="inlineStr">
        <is>
          <t>JÄMTLANDS LÄN</t>
        </is>
      </c>
      <c r="E3188" t="inlineStr">
        <is>
          <t>STRÖMSUND</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41141-2024</t>
        </is>
      </c>
      <c r="B3189" s="1" t="n">
        <v>45559</v>
      </c>
      <c r="C3189" s="1" t="n">
        <v>45740</v>
      </c>
      <c r="D3189" t="inlineStr">
        <is>
          <t>JÄMTLANDS LÄN</t>
        </is>
      </c>
      <c r="E3189" t="inlineStr">
        <is>
          <t>STRÖMSUND</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41140-2024</t>
        </is>
      </c>
      <c r="B3190" s="1" t="n">
        <v>45559</v>
      </c>
      <c r="C3190" s="1" t="n">
        <v>45740</v>
      </c>
      <c r="D3190" t="inlineStr">
        <is>
          <t>JÄMTLANDS LÄN</t>
        </is>
      </c>
      <c r="E3190" t="inlineStr">
        <is>
          <t>STRÖMSUND</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41292-2024</t>
        </is>
      </c>
      <c r="B3191" s="1" t="n">
        <v>45559</v>
      </c>
      <c r="C3191" s="1" t="n">
        <v>45740</v>
      </c>
      <c r="D3191" t="inlineStr">
        <is>
          <t>JÄMTLANDS LÄN</t>
        </is>
      </c>
      <c r="E3191" t="inlineStr">
        <is>
          <t>STRÖMSUND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41317-2024</t>
        </is>
      </c>
      <c r="B3192" s="1" t="n">
        <v>45559</v>
      </c>
      <c r="C3192" s="1" t="n">
        <v>45740</v>
      </c>
      <c r="D3192" t="inlineStr">
        <is>
          <t>JÄMTLANDS LÄN</t>
        </is>
      </c>
      <c r="E3192" t="inlineStr">
        <is>
          <t>STRÖMSUND</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41283-2024</t>
        </is>
      </c>
      <c r="B3193" s="1" t="n">
        <v>45559</v>
      </c>
      <c r="C3193" s="1" t="n">
        <v>45740</v>
      </c>
      <c r="D3193" t="inlineStr">
        <is>
          <t>JÄMTLANDS LÄN</t>
        </is>
      </c>
      <c r="E3193" t="inlineStr">
        <is>
          <t>STRÖMSUND</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41605-2024</t>
        </is>
      </c>
      <c r="B3194" s="1" t="n">
        <v>45560</v>
      </c>
      <c r="C3194" s="1" t="n">
        <v>45740</v>
      </c>
      <c r="D3194" t="inlineStr">
        <is>
          <t>JÄMTLANDS LÄN</t>
        </is>
      </c>
      <c r="E3194" t="inlineStr">
        <is>
          <t>STRÖMSUND</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41633-2024</t>
        </is>
      </c>
      <c r="B3195" s="1" t="n">
        <v>45560</v>
      </c>
      <c r="C3195" s="1" t="n">
        <v>45740</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41579-2024</t>
        </is>
      </c>
      <c r="B3196" s="1" t="n">
        <v>45560</v>
      </c>
      <c r="C3196" s="1" t="n">
        <v>45740</v>
      </c>
      <c r="D3196" t="inlineStr">
        <is>
          <t>JÄMTLANDS LÄN</t>
        </is>
      </c>
      <c r="E3196" t="inlineStr">
        <is>
          <t>STRÖMSUND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41783-2024</t>
        </is>
      </c>
      <c r="B3197" s="1" t="n">
        <v>45561</v>
      </c>
      <c r="C3197" s="1" t="n">
        <v>45740</v>
      </c>
      <c r="D3197" t="inlineStr">
        <is>
          <t>JÄMTLANDS LÄN</t>
        </is>
      </c>
      <c r="E3197" t="inlineStr">
        <is>
          <t>STRÖMSUND</t>
        </is>
      </c>
      <c r="F3197" t="inlineStr">
        <is>
          <t>SCA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41905-2024</t>
        </is>
      </c>
      <c r="B3198" s="1" t="n">
        <v>45561</v>
      </c>
      <c r="C3198" s="1" t="n">
        <v>45740</v>
      </c>
      <c r="D3198" t="inlineStr">
        <is>
          <t>JÄMTLANDS LÄN</t>
        </is>
      </c>
      <c r="E3198" t="inlineStr">
        <is>
          <t>STRÖMSUND</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41942-2024</t>
        </is>
      </c>
      <c r="B3199" s="1" t="n">
        <v>45561</v>
      </c>
      <c r="C3199" s="1" t="n">
        <v>45740</v>
      </c>
      <c r="D3199" t="inlineStr">
        <is>
          <t>JÄMTLANDS LÄN</t>
        </is>
      </c>
      <c r="E3199" t="inlineStr">
        <is>
          <t>STRÖMSUND</t>
        </is>
      </c>
      <c r="F3199" t="inlineStr">
        <is>
          <t>SCA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41986-2024</t>
        </is>
      </c>
      <c r="B3200" s="1" t="n">
        <v>45561</v>
      </c>
      <c r="C3200" s="1" t="n">
        <v>45740</v>
      </c>
      <c r="D3200" t="inlineStr">
        <is>
          <t>JÄMTLANDS LÄN</t>
        </is>
      </c>
      <c r="E3200" t="inlineStr">
        <is>
          <t>STRÖMSUND</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42006-2024</t>
        </is>
      </c>
      <c r="B3201" s="1" t="n">
        <v>45561</v>
      </c>
      <c r="C3201" s="1" t="n">
        <v>45740</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41902-2024</t>
        </is>
      </c>
      <c r="B3202" s="1" t="n">
        <v>45561</v>
      </c>
      <c r="C3202" s="1" t="n">
        <v>45740</v>
      </c>
      <c r="D3202" t="inlineStr">
        <is>
          <t>JÄMTLANDS LÄN</t>
        </is>
      </c>
      <c r="E3202" t="inlineStr">
        <is>
          <t>STRÖMSUND</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41939-2024</t>
        </is>
      </c>
      <c r="B3203" s="1" t="n">
        <v>45561</v>
      </c>
      <c r="C3203" s="1" t="n">
        <v>45740</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42005-2024</t>
        </is>
      </c>
      <c r="B3204" s="1" t="n">
        <v>45561</v>
      </c>
      <c r="C3204" s="1" t="n">
        <v>45740</v>
      </c>
      <c r="D3204" t="inlineStr">
        <is>
          <t>JÄMTLANDS LÄN</t>
        </is>
      </c>
      <c r="E3204" t="inlineStr">
        <is>
          <t>STRÖMSUND</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41987-2024</t>
        </is>
      </c>
      <c r="B3205" s="1" t="n">
        <v>45561</v>
      </c>
      <c r="C3205" s="1" t="n">
        <v>45740</v>
      </c>
      <c r="D3205" t="inlineStr">
        <is>
          <t>JÄMTLANDS LÄN</t>
        </is>
      </c>
      <c r="E3205" t="inlineStr">
        <is>
          <t>STRÖMSUND</t>
        </is>
      </c>
      <c r="F3205" t="inlineStr">
        <is>
          <t>SCA</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41940-2024</t>
        </is>
      </c>
      <c r="B3206" s="1" t="n">
        <v>45561</v>
      </c>
      <c r="C3206" s="1" t="n">
        <v>45740</v>
      </c>
      <c r="D3206" t="inlineStr">
        <is>
          <t>JÄMTLANDS LÄN</t>
        </is>
      </c>
      <c r="E3206" t="inlineStr">
        <is>
          <t>STRÖMSUND</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41988-2024</t>
        </is>
      </c>
      <c r="B3207" s="1" t="n">
        <v>45561</v>
      </c>
      <c r="C3207" s="1" t="n">
        <v>45740</v>
      </c>
      <c r="D3207" t="inlineStr">
        <is>
          <t>JÄMTLANDS LÄN</t>
        </is>
      </c>
      <c r="E3207" t="inlineStr">
        <is>
          <t>STRÖMSUND</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42208-2024</t>
        </is>
      </c>
      <c r="B3208" s="1" t="n">
        <v>45562</v>
      </c>
      <c r="C3208" s="1" t="n">
        <v>45740</v>
      </c>
      <c r="D3208" t="inlineStr">
        <is>
          <t>JÄMTLANDS LÄN</t>
        </is>
      </c>
      <c r="E3208" t="inlineStr">
        <is>
          <t>STRÖMSUND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42479-2024</t>
        </is>
      </c>
      <c r="B3209" s="1" t="n">
        <v>45565</v>
      </c>
      <c r="C3209" s="1" t="n">
        <v>45740</v>
      </c>
      <c r="D3209" t="inlineStr">
        <is>
          <t>JÄMTLANDS LÄN</t>
        </is>
      </c>
      <c r="E3209" t="inlineStr">
        <is>
          <t>STRÖMSUND</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42681-2024</t>
        </is>
      </c>
      <c r="B3210" s="1" t="n">
        <v>45566</v>
      </c>
      <c r="C3210" s="1" t="n">
        <v>45740</v>
      </c>
      <c r="D3210" t="inlineStr">
        <is>
          <t>JÄMTLANDS LÄN</t>
        </is>
      </c>
      <c r="E3210" t="inlineStr">
        <is>
          <t>STRÖMSUND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43090-2024</t>
        </is>
      </c>
      <c r="B3211" s="1" t="n">
        <v>45567</v>
      </c>
      <c r="C3211" s="1" t="n">
        <v>45740</v>
      </c>
      <c r="D3211" t="inlineStr">
        <is>
          <t>JÄMTLANDS LÄN</t>
        </is>
      </c>
      <c r="E3211" t="inlineStr">
        <is>
          <t>STRÖMSUND</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42992-2024</t>
        </is>
      </c>
      <c r="B3212" s="1" t="n">
        <v>45567</v>
      </c>
      <c r="C3212" s="1" t="n">
        <v>45740</v>
      </c>
      <c r="D3212" t="inlineStr">
        <is>
          <t>JÄMTLANDS LÄN</t>
        </is>
      </c>
      <c r="E3212" t="inlineStr">
        <is>
          <t>STRÖMSUND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42980-2024</t>
        </is>
      </c>
      <c r="B3213" s="1" t="n">
        <v>45567</v>
      </c>
      <c r="C3213" s="1" t="n">
        <v>45740</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42960-2024</t>
        </is>
      </c>
      <c r="B3214" s="1" t="n">
        <v>45567</v>
      </c>
      <c r="C3214" s="1" t="n">
        <v>45740</v>
      </c>
      <c r="D3214" t="inlineStr">
        <is>
          <t>JÄMTLANDS LÄN</t>
        </is>
      </c>
      <c r="E3214" t="inlineStr">
        <is>
          <t>STRÖMSUND</t>
        </is>
      </c>
      <c r="F3214" t="inlineStr">
        <is>
          <t>SCA</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42957-2024</t>
        </is>
      </c>
      <c r="B3215" s="1" t="n">
        <v>45567</v>
      </c>
      <c r="C3215" s="1" t="n">
        <v>45740</v>
      </c>
      <c r="D3215" t="inlineStr">
        <is>
          <t>JÄMTLANDS LÄN</t>
        </is>
      </c>
      <c r="E3215" t="inlineStr">
        <is>
          <t>STRÖMSUND</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42949-2024</t>
        </is>
      </c>
      <c r="B3216" s="1" t="n">
        <v>45567</v>
      </c>
      <c r="C3216" s="1" t="n">
        <v>45740</v>
      </c>
      <c r="D3216" t="inlineStr">
        <is>
          <t>JÄMTLANDS LÄN</t>
        </is>
      </c>
      <c r="E3216" t="inlineStr">
        <is>
          <t>STRÖMSUND</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42974-2024</t>
        </is>
      </c>
      <c r="B3217" s="1" t="n">
        <v>45567</v>
      </c>
      <c r="C3217" s="1" t="n">
        <v>45740</v>
      </c>
      <c r="D3217" t="inlineStr">
        <is>
          <t>JÄMTLANDS LÄN</t>
        </is>
      </c>
      <c r="E3217" t="inlineStr">
        <is>
          <t>STRÖMSUND</t>
        </is>
      </c>
      <c r="F3217" t="inlineStr">
        <is>
          <t>SCA</t>
        </is>
      </c>
      <c r="G3217" t="n">
        <v>20.5</v>
      </c>
      <c r="H3217" t="n">
        <v>0</v>
      </c>
      <c r="I3217" t="n">
        <v>0</v>
      </c>
      <c r="J3217" t="n">
        <v>0</v>
      </c>
      <c r="K3217" t="n">
        <v>0</v>
      </c>
      <c r="L3217" t="n">
        <v>0</v>
      </c>
      <c r="M3217" t="n">
        <v>0</v>
      </c>
      <c r="N3217" t="n">
        <v>0</v>
      </c>
      <c r="O3217" t="n">
        <v>0</v>
      </c>
      <c r="P3217" t="n">
        <v>0</v>
      </c>
      <c r="Q3217" t="n">
        <v>0</v>
      </c>
      <c r="R3217" s="2" t="inlineStr"/>
    </row>
    <row r="3218" ht="15" customHeight="1">
      <c r="A3218" t="inlineStr">
        <is>
          <t>A 42966-2024</t>
        </is>
      </c>
      <c r="B3218" s="1" t="n">
        <v>45567</v>
      </c>
      <c r="C3218" s="1" t="n">
        <v>45740</v>
      </c>
      <c r="D3218" t="inlineStr">
        <is>
          <t>JÄMTLANDS LÄN</t>
        </is>
      </c>
      <c r="E3218" t="inlineStr">
        <is>
          <t>STRÖMSUND</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42954-2024</t>
        </is>
      </c>
      <c r="B3219" s="1" t="n">
        <v>45567</v>
      </c>
      <c r="C3219" s="1" t="n">
        <v>45740</v>
      </c>
      <c r="D3219" t="inlineStr">
        <is>
          <t>JÄMTLANDS LÄN</t>
        </is>
      </c>
      <c r="E3219" t="inlineStr">
        <is>
          <t>STRÖMSUND</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43425-2024</t>
        </is>
      </c>
      <c r="B3220" s="1" t="n">
        <v>45568</v>
      </c>
      <c r="C3220" s="1" t="n">
        <v>45740</v>
      </c>
      <c r="D3220" t="inlineStr">
        <is>
          <t>JÄMTLANDS LÄN</t>
        </is>
      </c>
      <c r="E3220" t="inlineStr">
        <is>
          <t>STRÖMSUND</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43326-2024</t>
        </is>
      </c>
      <c r="B3221" s="1" t="n">
        <v>45568</v>
      </c>
      <c r="C3221" s="1" t="n">
        <v>45740</v>
      </c>
      <c r="D3221" t="inlineStr">
        <is>
          <t>JÄMTLANDS LÄN</t>
        </is>
      </c>
      <c r="E3221" t="inlineStr">
        <is>
          <t>STRÖMSUND</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43605-2024</t>
        </is>
      </c>
      <c r="B3222" s="1" t="n">
        <v>45569</v>
      </c>
      <c r="C3222" s="1" t="n">
        <v>45740</v>
      </c>
      <c r="D3222" t="inlineStr">
        <is>
          <t>JÄMTLANDS LÄN</t>
        </is>
      </c>
      <c r="E3222" t="inlineStr">
        <is>
          <t>STRÖMSUND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43889-2024</t>
        </is>
      </c>
      <c r="B3223" s="1" t="n">
        <v>45572</v>
      </c>
      <c r="C3223" s="1" t="n">
        <v>45740</v>
      </c>
      <c r="D3223" t="inlineStr">
        <is>
          <t>JÄMTLANDS LÄN</t>
        </is>
      </c>
      <c r="E3223" t="inlineStr">
        <is>
          <t>STRÖMSUND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44113-2024</t>
        </is>
      </c>
      <c r="B3224" s="1" t="n">
        <v>45572</v>
      </c>
      <c r="C3224" s="1" t="n">
        <v>45740</v>
      </c>
      <c r="D3224" t="inlineStr">
        <is>
          <t>JÄMTLANDS LÄN</t>
        </is>
      </c>
      <c r="E3224" t="inlineStr">
        <is>
          <t>STRÖMSUND</t>
        </is>
      </c>
      <c r="F3224" t="inlineStr">
        <is>
          <t>SCA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43890-2024</t>
        </is>
      </c>
      <c r="B3225" s="1" t="n">
        <v>45572</v>
      </c>
      <c r="C3225" s="1" t="n">
        <v>45740</v>
      </c>
      <c r="D3225" t="inlineStr">
        <is>
          <t>JÄMTLANDS LÄN</t>
        </is>
      </c>
      <c r="E3225" t="inlineStr">
        <is>
          <t>STRÖMSUND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44009-2024</t>
        </is>
      </c>
      <c r="B3226" s="1" t="n">
        <v>45572</v>
      </c>
      <c r="C3226" s="1" t="n">
        <v>45740</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44010-2024</t>
        </is>
      </c>
      <c r="B3227" s="1" t="n">
        <v>45572</v>
      </c>
      <c r="C3227" s="1" t="n">
        <v>45740</v>
      </c>
      <c r="D3227" t="inlineStr">
        <is>
          <t>JÄMTLANDS LÄN</t>
        </is>
      </c>
      <c r="E3227" t="inlineStr">
        <is>
          <t>STRÖMSUND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44112-2024</t>
        </is>
      </c>
      <c r="B3228" s="1" t="n">
        <v>45572</v>
      </c>
      <c r="C3228" s="1" t="n">
        <v>45740</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44599-2024</t>
        </is>
      </c>
      <c r="B3229" s="1" t="n">
        <v>45574</v>
      </c>
      <c r="C3229" s="1" t="n">
        <v>45740</v>
      </c>
      <c r="D3229" t="inlineStr">
        <is>
          <t>JÄMTLANDS LÄN</t>
        </is>
      </c>
      <c r="E3229" t="inlineStr">
        <is>
          <t>STRÖMSUND</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44615-2024</t>
        </is>
      </c>
      <c r="B3230" s="1" t="n">
        <v>45574</v>
      </c>
      <c r="C3230" s="1" t="n">
        <v>45740</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c r="U3230">
        <f>HYPERLINK("https://klasma.github.io/Logging_2313/knärot/A 44615-2024 karta knärot.png", "A 44615-2024")</f>
        <v/>
      </c>
      <c r="V3230">
        <f>HYPERLINK("https://klasma.github.io/Logging_2313/klagomål/A 44615-2024 FSC-klagomål.docx", "A 44615-2024")</f>
        <v/>
      </c>
      <c r="W3230">
        <f>HYPERLINK("https://klasma.github.io/Logging_2313/klagomålsmail/A 44615-2024 FSC-klagomål mail.docx", "A 44615-2024")</f>
        <v/>
      </c>
      <c r="X3230">
        <f>HYPERLINK("https://klasma.github.io/Logging_2313/tillsyn/A 44615-2024 tillsynsbegäran.docx", "A 44615-2024")</f>
        <v/>
      </c>
      <c r="Y3230">
        <f>HYPERLINK("https://klasma.github.io/Logging_2313/tillsynsmail/A 44615-2024 tillsynsbegäran mail.docx", "A 44615-2024")</f>
        <v/>
      </c>
    </row>
    <row r="3231" ht="15" customHeight="1">
      <c r="A3231" t="inlineStr">
        <is>
          <t>A 44623-2024</t>
        </is>
      </c>
      <c r="B3231" s="1" t="n">
        <v>45574</v>
      </c>
      <c r="C3231" s="1" t="n">
        <v>45740</v>
      </c>
      <c r="D3231" t="inlineStr">
        <is>
          <t>JÄMTLANDS LÄN</t>
        </is>
      </c>
      <c r="E3231" t="inlineStr">
        <is>
          <t>STRÖMSUND</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44618-2024</t>
        </is>
      </c>
      <c r="B3232" s="1" t="n">
        <v>45574</v>
      </c>
      <c r="C3232" s="1" t="n">
        <v>45740</v>
      </c>
      <c r="D3232" t="inlineStr">
        <is>
          <t>JÄMTLANDS LÄN</t>
        </is>
      </c>
      <c r="E3232" t="inlineStr">
        <is>
          <t>STRÖMSUND</t>
        </is>
      </c>
      <c r="F3232" t="inlineStr">
        <is>
          <t>SCA</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44811-2024</t>
        </is>
      </c>
      <c r="B3233" s="1" t="n">
        <v>45574</v>
      </c>
      <c r="C3233" s="1" t="n">
        <v>45740</v>
      </c>
      <c r="D3233" t="inlineStr">
        <is>
          <t>JÄMTLANDS LÄN</t>
        </is>
      </c>
      <c r="E3233" t="inlineStr">
        <is>
          <t>STRÖMSUND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44601-2024</t>
        </is>
      </c>
      <c r="B3234" s="1" t="n">
        <v>45574</v>
      </c>
      <c r="C3234" s="1" t="n">
        <v>45740</v>
      </c>
      <c r="D3234" t="inlineStr">
        <is>
          <t>JÄMTLANDS LÄN</t>
        </is>
      </c>
      <c r="E3234" t="inlineStr">
        <is>
          <t>STRÖMSUND</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44638-2024</t>
        </is>
      </c>
      <c r="B3235" s="1" t="n">
        <v>45574</v>
      </c>
      <c r="C3235" s="1" t="n">
        <v>45740</v>
      </c>
      <c r="D3235" t="inlineStr">
        <is>
          <t>JÄMTLANDS LÄN</t>
        </is>
      </c>
      <c r="E3235" t="inlineStr">
        <is>
          <t>STRÖMSUND</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44642-2024</t>
        </is>
      </c>
      <c r="B3236" s="1" t="n">
        <v>45574</v>
      </c>
      <c r="C3236" s="1" t="n">
        <v>45740</v>
      </c>
      <c r="D3236" t="inlineStr">
        <is>
          <t>JÄMTLANDS LÄN</t>
        </is>
      </c>
      <c r="E3236" t="inlineStr">
        <is>
          <t>STRÖMSUND</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44584-2024</t>
        </is>
      </c>
      <c r="B3237" s="1" t="n">
        <v>45574</v>
      </c>
      <c r="C3237" s="1" t="n">
        <v>45740</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44596-2024</t>
        </is>
      </c>
      <c r="B3238" s="1" t="n">
        <v>45574</v>
      </c>
      <c r="C3238" s="1" t="n">
        <v>45740</v>
      </c>
      <c r="D3238" t="inlineStr">
        <is>
          <t>JÄMTLANDS LÄN</t>
        </is>
      </c>
      <c r="E3238" t="inlineStr">
        <is>
          <t>STRÖMSUND</t>
        </is>
      </c>
      <c r="F3238" t="inlineStr">
        <is>
          <t>SCA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45005-2024</t>
        </is>
      </c>
      <c r="B3239" s="1" t="n">
        <v>45575</v>
      </c>
      <c r="C3239" s="1" t="n">
        <v>45740</v>
      </c>
      <c r="D3239" t="inlineStr">
        <is>
          <t>JÄMTLANDS LÄN</t>
        </is>
      </c>
      <c r="E3239" t="inlineStr">
        <is>
          <t>STRÖMSUND</t>
        </is>
      </c>
      <c r="F3239" t="inlineStr">
        <is>
          <t>SCA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45411-2024</t>
        </is>
      </c>
      <c r="B3240" s="1" t="n">
        <v>45576</v>
      </c>
      <c r="C3240" s="1" t="n">
        <v>45740</v>
      </c>
      <c r="D3240" t="inlineStr">
        <is>
          <t>JÄMTLANDS LÄN</t>
        </is>
      </c>
      <c r="E3240" t="inlineStr">
        <is>
          <t>STRÖMSUND</t>
        </is>
      </c>
      <c r="F3240" t="inlineStr">
        <is>
          <t>SCA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45251-2024</t>
        </is>
      </c>
      <c r="B3241" s="1" t="n">
        <v>45576</v>
      </c>
      <c r="C3241" s="1" t="n">
        <v>45740</v>
      </c>
      <c r="D3241" t="inlineStr">
        <is>
          <t>JÄMTLANDS LÄN</t>
        </is>
      </c>
      <c r="E3241" t="inlineStr">
        <is>
          <t>STRÖMSUND</t>
        </is>
      </c>
      <c r="F3241" t="inlineStr">
        <is>
          <t>Sveaskog</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45249-2024</t>
        </is>
      </c>
      <c r="B3242" s="1" t="n">
        <v>45576</v>
      </c>
      <c r="C3242" s="1" t="n">
        <v>45740</v>
      </c>
      <c r="D3242" t="inlineStr">
        <is>
          <t>JÄMTLANDS LÄN</t>
        </is>
      </c>
      <c r="E3242" t="inlineStr">
        <is>
          <t>STRÖMSUND</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45762-2024</t>
        </is>
      </c>
      <c r="B3243" s="1" t="n">
        <v>45579</v>
      </c>
      <c r="C3243" s="1" t="n">
        <v>45740</v>
      </c>
      <c r="D3243" t="inlineStr">
        <is>
          <t>JÄMTLANDS LÄN</t>
        </is>
      </c>
      <c r="E3243" t="inlineStr">
        <is>
          <t>STRÖMSUND</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45759-2024</t>
        </is>
      </c>
      <c r="B3244" s="1" t="n">
        <v>45579</v>
      </c>
      <c r="C3244" s="1" t="n">
        <v>45740</v>
      </c>
      <c r="D3244" t="inlineStr">
        <is>
          <t>JÄMTLANDS LÄN</t>
        </is>
      </c>
      <c r="E3244" t="inlineStr">
        <is>
          <t>STRÖMSUND</t>
        </is>
      </c>
      <c r="F3244" t="inlineStr">
        <is>
          <t>SCA</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46199-2024</t>
        </is>
      </c>
      <c r="B3245" s="1" t="n">
        <v>45581</v>
      </c>
      <c r="C3245" s="1" t="n">
        <v>45740</v>
      </c>
      <c r="D3245" t="inlineStr">
        <is>
          <t>JÄMTLANDS LÄN</t>
        </is>
      </c>
      <c r="E3245" t="inlineStr">
        <is>
          <t>STRÖMSUND</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46394-2024</t>
        </is>
      </c>
      <c r="B3246" s="1" t="n">
        <v>45582</v>
      </c>
      <c r="C3246" s="1" t="n">
        <v>45740</v>
      </c>
      <c r="D3246" t="inlineStr">
        <is>
          <t>JÄMTLANDS LÄN</t>
        </is>
      </c>
      <c r="E3246" t="inlineStr">
        <is>
          <t>STRÖMSUND</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46816-2024</t>
        </is>
      </c>
      <c r="B3247" s="1" t="n">
        <v>45583</v>
      </c>
      <c r="C3247" s="1" t="n">
        <v>45740</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46677-2024</t>
        </is>
      </c>
      <c r="B3248" s="1" t="n">
        <v>45583</v>
      </c>
      <c r="C3248" s="1" t="n">
        <v>45740</v>
      </c>
      <c r="D3248" t="inlineStr">
        <is>
          <t>JÄMTLANDS LÄN</t>
        </is>
      </c>
      <c r="E3248" t="inlineStr">
        <is>
          <t>STRÖMSUND</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46905-2024</t>
        </is>
      </c>
      <c r="B3249" s="1" t="n">
        <v>45583</v>
      </c>
      <c r="C3249" s="1" t="n">
        <v>45740</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47241-2024</t>
        </is>
      </c>
      <c r="B3250" s="1" t="n">
        <v>45586</v>
      </c>
      <c r="C3250" s="1" t="n">
        <v>45740</v>
      </c>
      <c r="D3250" t="inlineStr">
        <is>
          <t>JÄMTLANDS LÄN</t>
        </is>
      </c>
      <c r="E3250" t="inlineStr">
        <is>
          <t>STRÖMSUND</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47114-2024</t>
        </is>
      </c>
      <c r="B3251" s="1" t="n">
        <v>45586</v>
      </c>
      <c r="C3251" s="1" t="n">
        <v>45740</v>
      </c>
      <c r="D3251" t="inlineStr">
        <is>
          <t>JÄMTLANDS LÄN</t>
        </is>
      </c>
      <c r="E3251" t="inlineStr">
        <is>
          <t>STRÖMSUND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46980-2024</t>
        </is>
      </c>
      <c r="B3252" s="1" t="n">
        <v>45586</v>
      </c>
      <c r="C3252" s="1" t="n">
        <v>45740</v>
      </c>
      <c r="D3252" t="inlineStr">
        <is>
          <t>JÄMTLANDS LÄN</t>
        </is>
      </c>
      <c r="E3252" t="inlineStr">
        <is>
          <t>STRÖMSUND</t>
        </is>
      </c>
      <c r="F3252" t="inlineStr">
        <is>
          <t>Holmen skog AB</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46969-2024</t>
        </is>
      </c>
      <c r="B3253" s="1" t="n">
        <v>45586</v>
      </c>
      <c r="C3253" s="1" t="n">
        <v>45740</v>
      </c>
      <c r="D3253" t="inlineStr">
        <is>
          <t>JÄMTLANDS LÄN</t>
        </is>
      </c>
      <c r="E3253" t="inlineStr">
        <is>
          <t>STRÖMSUND</t>
        </is>
      </c>
      <c r="F3253" t="inlineStr">
        <is>
          <t>Holmen skog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47331-2024</t>
        </is>
      </c>
      <c r="B3254" s="1" t="n">
        <v>45587</v>
      </c>
      <c r="C3254" s="1" t="n">
        <v>45740</v>
      </c>
      <c r="D3254" t="inlineStr">
        <is>
          <t>JÄMTLANDS LÄN</t>
        </is>
      </c>
      <c r="E3254" t="inlineStr">
        <is>
          <t>STRÖMSUND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47356-2024</t>
        </is>
      </c>
      <c r="B3255" s="1" t="n">
        <v>45587</v>
      </c>
      <c r="C3255" s="1" t="n">
        <v>45740</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47633-2024</t>
        </is>
      </c>
      <c r="B3256" s="1" t="n">
        <v>45588</v>
      </c>
      <c r="C3256" s="1" t="n">
        <v>45740</v>
      </c>
      <c r="D3256" t="inlineStr">
        <is>
          <t>JÄMTLANDS LÄN</t>
        </is>
      </c>
      <c r="E3256" t="inlineStr">
        <is>
          <t>STRÖMSUND</t>
        </is>
      </c>
      <c r="F3256" t="inlineStr">
        <is>
          <t>SCA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47632-2024</t>
        </is>
      </c>
      <c r="B3257" s="1" t="n">
        <v>45588</v>
      </c>
      <c r="C3257" s="1" t="n">
        <v>45740</v>
      </c>
      <c r="D3257" t="inlineStr">
        <is>
          <t>JÄMTLANDS LÄN</t>
        </is>
      </c>
      <c r="E3257" t="inlineStr">
        <is>
          <t>STRÖMSUND</t>
        </is>
      </c>
      <c r="F3257" t="inlineStr">
        <is>
          <t>SCA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47806-2024</t>
        </is>
      </c>
      <c r="B3258" s="1" t="n">
        <v>45588</v>
      </c>
      <c r="C3258" s="1" t="n">
        <v>45740</v>
      </c>
      <c r="D3258" t="inlineStr">
        <is>
          <t>JÄMTLANDS LÄN</t>
        </is>
      </c>
      <c r="E3258" t="inlineStr">
        <is>
          <t>STRÖMSUND</t>
        </is>
      </c>
      <c r="F3258" t="inlineStr">
        <is>
          <t>SCA</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47657-2024</t>
        </is>
      </c>
      <c r="B3259" s="1" t="n">
        <v>45588</v>
      </c>
      <c r="C3259" s="1" t="n">
        <v>45740</v>
      </c>
      <c r="D3259" t="inlineStr">
        <is>
          <t>JÄMTLANDS LÄN</t>
        </is>
      </c>
      <c r="E3259" t="inlineStr">
        <is>
          <t>STRÖMSUND</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47655-2024</t>
        </is>
      </c>
      <c r="B3260" s="1" t="n">
        <v>45588</v>
      </c>
      <c r="C3260" s="1" t="n">
        <v>45740</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48134-2024</t>
        </is>
      </c>
      <c r="B3261" s="1" t="n">
        <v>45589</v>
      </c>
      <c r="C3261" s="1" t="n">
        <v>45740</v>
      </c>
      <c r="D3261" t="inlineStr">
        <is>
          <t>JÄMTLANDS LÄN</t>
        </is>
      </c>
      <c r="E3261" t="inlineStr">
        <is>
          <t>STRÖMSUND</t>
        </is>
      </c>
      <c r="G3261" t="n">
        <v>27.3</v>
      </c>
      <c r="H3261" t="n">
        <v>0</v>
      </c>
      <c r="I3261" t="n">
        <v>0</v>
      </c>
      <c r="J3261" t="n">
        <v>0</v>
      </c>
      <c r="K3261" t="n">
        <v>0</v>
      </c>
      <c r="L3261" t="n">
        <v>0</v>
      </c>
      <c r="M3261" t="n">
        <v>0</v>
      </c>
      <c r="N3261" t="n">
        <v>0</v>
      </c>
      <c r="O3261" t="n">
        <v>0</v>
      </c>
      <c r="P3261" t="n">
        <v>0</v>
      </c>
      <c r="Q3261" t="n">
        <v>0</v>
      </c>
      <c r="R3261" s="2" t="inlineStr"/>
    </row>
    <row r="3262" ht="15" customHeight="1">
      <c r="A3262" t="inlineStr">
        <is>
          <t>A 48194-2024</t>
        </is>
      </c>
      <c r="B3262" s="1" t="n">
        <v>45590</v>
      </c>
      <c r="C3262" s="1" t="n">
        <v>45740</v>
      </c>
      <c r="D3262" t="inlineStr">
        <is>
          <t>JÄMTLANDS LÄN</t>
        </is>
      </c>
      <c r="E3262" t="inlineStr">
        <is>
          <t>STRÖMSUND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48603-2024</t>
        </is>
      </c>
      <c r="B3263" s="1" t="n">
        <v>45593</v>
      </c>
      <c r="C3263" s="1" t="n">
        <v>45740</v>
      </c>
      <c r="D3263" t="inlineStr">
        <is>
          <t>JÄMTLANDS LÄN</t>
        </is>
      </c>
      <c r="E3263" t="inlineStr">
        <is>
          <t>STRÖMSUND</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48604-2024</t>
        </is>
      </c>
      <c r="B3264" s="1" t="n">
        <v>45593</v>
      </c>
      <c r="C3264" s="1" t="n">
        <v>45740</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48833-2024</t>
        </is>
      </c>
      <c r="B3265" s="1" t="n">
        <v>45593</v>
      </c>
      <c r="C3265" s="1" t="n">
        <v>45740</v>
      </c>
      <c r="D3265" t="inlineStr">
        <is>
          <t>JÄMTLANDS LÄN</t>
        </is>
      </c>
      <c r="E3265" t="inlineStr">
        <is>
          <t>STRÖMSUND</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48936-2024</t>
        </is>
      </c>
      <c r="B3266" s="1" t="n">
        <v>45594</v>
      </c>
      <c r="C3266" s="1" t="n">
        <v>45740</v>
      </c>
      <c r="D3266" t="inlineStr">
        <is>
          <t>JÄMTLANDS LÄN</t>
        </is>
      </c>
      <c r="E3266" t="inlineStr">
        <is>
          <t>STRÖMSUND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48910-2024</t>
        </is>
      </c>
      <c r="B3267" s="1" t="n">
        <v>45594</v>
      </c>
      <c r="C3267" s="1" t="n">
        <v>45740</v>
      </c>
      <c r="D3267" t="inlineStr">
        <is>
          <t>JÄMTLANDS LÄN</t>
        </is>
      </c>
      <c r="E3267" t="inlineStr">
        <is>
          <t>STRÖMSUND</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49126-2024</t>
        </is>
      </c>
      <c r="B3268" s="1" t="n">
        <v>45594</v>
      </c>
      <c r="C3268" s="1" t="n">
        <v>45740</v>
      </c>
      <c r="D3268" t="inlineStr">
        <is>
          <t>JÄMTLANDS LÄN</t>
        </is>
      </c>
      <c r="E3268" t="inlineStr">
        <is>
          <t>STRÖMSUND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48917-2024</t>
        </is>
      </c>
      <c r="B3269" s="1" t="n">
        <v>45594</v>
      </c>
      <c r="C3269" s="1" t="n">
        <v>45740</v>
      </c>
      <c r="D3269" t="inlineStr">
        <is>
          <t>JÄMTLANDS LÄN</t>
        </is>
      </c>
      <c r="E3269" t="inlineStr">
        <is>
          <t>STRÖMSUND</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48947-2024</t>
        </is>
      </c>
      <c r="B3270" s="1" t="n">
        <v>45594</v>
      </c>
      <c r="C3270" s="1" t="n">
        <v>45740</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49127-2024</t>
        </is>
      </c>
      <c r="B3271" s="1" t="n">
        <v>45594</v>
      </c>
      <c r="C3271" s="1" t="n">
        <v>45740</v>
      </c>
      <c r="D3271" t="inlineStr">
        <is>
          <t>JÄMTLANDS LÄN</t>
        </is>
      </c>
      <c r="E3271" t="inlineStr">
        <is>
          <t>STRÖMSUND</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49196-2024</t>
        </is>
      </c>
      <c r="B3272" s="1" t="n">
        <v>45595</v>
      </c>
      <c r="C3272" s="1" t="n">
        <v>45740</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49191-2024</t>
        </is>
      </c>
      <c r="B3273" s="1" t="n">
        <v>45595</v>
      </c>
      <c r="C3273" s="1" t="n">
        <v>45740</v>
      </c>
      <c r="D3273" t="inlineStr">
        <is>
          <t>JÄMTLANDS LÄN</t>
        </is>
      </c>
      <c r="E3273" t="inlineStr">
        <is>
          <t>STRÖMSUND</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49186-2024</t>
        </is>
      </c>
      <c r="B3274" s="1" t="n">
        <v>45595</v>
      </c>
      <c r="C3274" s="1" t="n">
        <v>45740</v>
      </c>
      <c r="D3274" t="inlineStr">
        <is>
          <t>JÄMTLANDS LÄN</t>
        </is>
      </c>
      <c r="E3274" t="inlineStr">
        <is>
          <t>STRÖMSUND</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49194-2024</t>
        </is>
      </c>
      <c r="B3275" s="1" t="n">
        <v>45595</v>
      </c>
      <c r="C3275" s="1" t="n">
        <v>45740</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49370-2024</t>
        </is>
      </c>
      <c r="B3276" s="1" t="n">
        <v>45595</v>
      </c>
      <c r="C3276" s="1" t="n">
        <v>45740</v>
      </c>
      <c r="D3276" t="inlineStr">
        <is>
          <t>JÄMTLANDS LÄN</t>
        </is>
      </c>
      <c r="E3276" t="inlineStr">
        <is>
          <t>STRÖMSUND</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49384-2024</t>
        </is>
      </c>
      <c r="B3277" s="1" t="n">
        <v>45595</v>
      </c>
      <c r="C3277" s="1" t="n">
        <v>45740</v>
      </c>
      <c r="D3277" t="inlineStr">
        <is>
          <t>JÄMTLANDS LÄN</t>
        </is>
      </c>
      <c r="E3277" t="inlineStr">
        <is>
          <t>STRÖMSUND</t>
        </is>
      </c>
      <c r="F3277" t="inlineStr">
        <is>
          <t>SCA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49396-2024</t>
        </is>
      </c>
      <c r="B3278" s="1" t="n">
        <v>45595</v>
      </c>
      <c r="C3278" s="1" t="n">
        <v>45740</v>
      </c>
      <c r="D3278" t="inlineStr">
        <is>
          <t>JÄMTLANDS LÄN</t>
        </is>
      </c>
      <c r="E3278" t="inlineStr">
        <is>
          <t>STRÖMSUND</t>
        </is>
      </c>
      <c r="F3278" t="inlineStr">
        <is>
          <t>SCA</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49685-2024</t>
        </is>
      </c>
      <c r="B3279" s="1" t="n">
        <v>45596</v>
      </c>
      <c r="C3279" s="1" t="n">
        <v>45740</v>
      </c>
      <c r="D3279" t="inlineStr">
        <is>
          <t>JÄMTLANDS LÄN</t>
        </is>
      </c>
      <c r="E3279" t="inlineStr">
        <is>
          <t>STRÖMSUND</t>
        </is>
      </c>
      <c r="G3279" t="n">
        <v>21.5</v>
      </c>
      <c r="H3279" t="n">
        <v>0</v>
      </c>
      <c r="I3279" t="n">
        <v>0</v>
      </c>
      <c r="J3279" t="n">
        <v>0</v>
      </c>
      <c r="K3279" t="n">
        <v>0</v>
      </c>
      <c r="L3279" t="n">
        <v>0</v>
      </c>
      <c r="M3279" t="n">
        <v>0</v>
      </c>
      <c r="N3279" t="n">
        <v>0</v>
      </c>
      <c r="O3279" t="n">
        <v>0</v>
      </c>
      <c r="P3279" t="n">
        <v>0</v>
      </c>
      <c r="Q3279" t="n">
        <v>0</v>
      </c>
      <c r="R3279" s="2" t="inlineStr"/>
    </row>
    <row r="3280" ht="15" customHeight="1">
      <c r="A3280" t="inlineStr">
        <is>
          <t>A 49686-2024</t>
        </is>
      </c>
      <c r="B3280" s="1" t="n">
        <v>45596</v>
      </c>
      <c r="C3280" s="1" t="n">
        <v>45740</v>
      </c>
      <c r="D3280" t="inlineStr">
        <is>
          <t>JÄMTLANDS LÄN</t>
        </is>
      </c>
      <c r="E3280" t="inlineStr">
        <is>
          <t>STRÖMSUND</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49566-2024</t>
        </is>
      </c>
      <c r="B3281" s="1" t="n">
        <v>45596</v>
      </c>
      <c r="C3281" s="1" t="n">
        <v>45740</v>
      </c>
      <c r="D3281" t="inlineStr">
        <is>
          <t>JÄMTLANDS LÄN</t>
        </is>
      </c>
      <c r="E3281" t="inlineStr">
        <is>
          <t>STRÖMSUND</t>
        </is>
      </c>
      <c r="F3281" t="inlineStr">
        <is>
          <t>SCA</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49732-2024</t>
        </is>
      </c>
      <c r="B3282" s="1" t="n">
        <v>45596</v>
      </c>
      <c r="C3282" s="1" t="n">
        <v>45740</v>
      </c>
      <c r="D3282" t="inlineStr">
        <is>
          <t>JÄMTLANDS LÄN</t>
        </is>
      </c>
      <c r="E3282" t="inlineStr">
        <is>
          <t>STRÖMSUND</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49547-2024</t>
        </is>
      </c>
      <c r="B3283" s="1" t="n">
        <v>45596</v>
      </c>
      <c r="C3283" s="1" t="n">
        <v>45740</v>
      </c>
      <c r="D3283" t="inlineStr">
        <is>
          <t>JÄMTLANDS LÄN</t>
        </is>
      </c>
      <c r="E3283" t="inlineStr">
        <is>
          <t>STRÖMSUND</t>
        </is>
      </c>
      <c r="F3283" t="inlineStr">
        <is>
          <t>SCA</t>
        </is>
      </c>
      <c r="G3283" t="n">
        <v>13.8</v>
      </c>
      <c r="H3283" t="n">
        <v>0</v>
      </c>
      <c r="I3283" t="n">
        <v>0</v>
      </c>
      <c r="J3283" t="n">
        <v>0</v>
      </c>
      <c r="K3283" t="n">
        <v>0</v>
      </c>
      <c r="L3283" t="n">
        <v>0</v>
      </c>
      <c r="M3283" t="n">
        <v>0</v>
      </c>
      <c r="N3283" t="n">
        <v>0</v>
      </c>
      <c r="O3283" t="n">
        <v>0</v>
      </c>
      <c r="P3283" t="n">
        <v>0</v>
      </c>
      <c r="Q3283" t="n">
        <v>0</v>
      </c>
      <c r="R3283" s="2" t="inlineStr"/>
    </row>
    <row r="3284" ht="15" customHeight="1">
      <c r="A3284" t="inlineStr">
        <is>
          <t>A 49898-2024</t>
        </is>
      </c>
      <c r="B3284" s="1" t="n">
        <v>45597</v>
      </c>
      <c r="C3284" s="1" t="n">
        <v>45740</v>
      </c>
      <c r="D3284" t="inlineStr">
        <is>
          <t>JÄMTLANDS LÄN</t>
        </is>
      </c>
      <c r="E3284" t="inlineStr">
        <is>
          <t>STRÖMSUND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49940-2024</t>
        </is>
      </c>
      <c r="B3285" s="1" t="n">
        <v>45597</v>
      </c>
      <c r="C3285" s="1" t="n">
        <v>45740</v>
      </c>
      <c r="D3285" t="inlineStr">
        <is>
          <t>JÄMTLANDS LÄN</t>
        </is>
      </c>
      <c r="E3285" t="inlineStr">
        <is>
          <t>STRÖMSUND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50031-2024</t>
        </is>
      </c>
      <c r="B3286" s="1" t="n">
        <v>45599</v>
      </c>
      <c r="C3286" s="1" t="n">
        <v>45740</v>
      </c>
      <c r="D3286" t="inlineStr">
        <is>
          <t>JÄMTLANDS LÄN</t>
        </is>
      </c>
      <c r="E3286" t="inlineStr">
        <is>
          <t>STRÖMSUND</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50108-2024</t>
        </is>
      </c>
      <c r="B3287" s="1" t="n">
        <v>45600</v>
      </c>
      <c r="C3287" s="1" t="n">
        <v>45740</v>
      </c>
      <c r="D3287" t="inlineStr">
        <is>
          <t>JÄMTLANDS LÄN</t>
        </is>
      </c>
      <c r="E3287" t="inlineStr">
        <is>
          <t>STRÖMSUND</t>
        </is>
      </c>
      <c r="F3287" t="inlineStr">
        <is>
          <t>SCA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50143-2024</t>
        </is>
      </c>
      <c r="B3288" s="1" t="n">
        <v>45600</v>
      </c>
      <c r="C3288" s="1" t="n">
        <v>45740</v>
      </c>
      <c r="D3288" t="inlineStr">
        <is>
          <t>JÄMTLANDS LÄN</t>
        </is>
      </c>
      <c r="E3288" t="inlineStr">
        <is>
          <t>STRÖMSUND</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50140-2024</t>
        </is>
      </c>
      <c r="B3289" s="1" t="n">
        <v>45600</v>
      </c>
      <c r="C3289" s="1" t="n">
        <v>45740</v>
      </c>
      <c r="D3289" t="inlineStr">
        <is>
          <t>JÄMTLANDS LÄN</t>
        </is>
      </c>
      <c r="E3289" t="inlineStr">
        <is>
          <t>STRÖMSUND</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50141-2024</t>
        </is>
      </c>
      <c r="B3290" s="1" t="n">
        <v>45600</v>
      </c>
      <c r="C3290" s="1" t="n">
        <v>45740</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50142-2024</t>
        </is>
      </c>
      <c r="B3291" s="1" t="n">
        <v>45600</v>
      </c>
      <c r="C3291" s="1" t="n">
        <v>45740</v>
      </c>
      <c r="D3291" t="inlineStr">
        <is>
          <t>JÄMTLANDS LÄN</t>
        </is>
      </c>
      <c r="E3291" t="inlineStr">
        <is>
          <t>STRÖMSUND</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50638-2024</t>
        </is>
      </c>
      <c r="B3292" s="1" t="n">
        <v>45601</v>
      </c>
      <c r="C3292" s="1" t="n">
        <v>45740</v>
      </c>
      <c r="D3292" t="inlineStr">
        <is>
          <t>JÄMTLANDS LÄN</t>
        </is>
      </c>
      <c r="E3292" t="inlineStr">
        <is>
          <t>STRÖMSUND</t>
        </is>
      </c>
      <c r="F3292" t="inlineStr">
        <is>
          <t>SCA</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50445-2024</t>
        </is>
      </c>
      <c r="B3293" s="1" t="n">
        <v>45601</v>
      </c>
      <c r="C3293" s="1" t="n">
        <v>45740</v>
      </c>
      <c r="D3293" t="inlineStr">
        <is>
          <t>JÄMTLANDS LÄN</t>
        </is>
      </c>
      <c r="E3293" t="inlineStr">
        <is>
          <t>STRÖMSUND</t>
        </is>
      </c>
      <c r="G3293" t="n">
        <v>17.3</v>
      </c>
      <c r="H3293" t="n">
        <v>0</v>
      </c>
      <c r="I3293" t="n">
        <v>0</v>
      </c>
      <c r="J3293" t="n">
        <v>0</v>
      </c>
      <c r="K3293" t="n">
        <v>0</v>
      </c>
      <c r="L3293" t="n">
        <v>0</v>
      </c>
      <c r="M3293" t="n">
        <v>0</v>
      </c>
      <c r="N3293" t="n">
        <v>0</v>
      </c>
      <c r="O3293" t="n">
        <v>0</v>
      </c>
      <c r="P3293" t="n">
        <v>0</v>
      </c>
      <c r="Q3293" t="n">
        <v>0</v>
      </c>
      <c r="R3293" s="2" t="inlineStr"/>
    </row>
    <row r="3294" ht="15" customHeight="1">
      <c r="A3294" t="inlineStr">
        <is>
          <t>A 51056-2024</t>
        </is>
      </c>
      <c r="B3294" s="1" t="n">
        <v>45603</v>
      </c>
      <c r="C3294" s="1" t="n">
        <v>45740</v>
      </c>
      <c r="D3294" t="inlineStr">
        <is>
          <t>JÄMTLANDS LÄN</t>
        </is>
      </c>
      <c r="E3294" t="inlineStr">
        <is>
          <t>STRÖMSUND</t>
        </is>
      </c>
      <c r="F3294" t="inlineStr">
        <is>
          <t>SCA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51154-2024</t>
        </is>
      </c>
      <c r="B3295" s="1" t="n">
        <v>45603</v>
      </c>
      <c r="C3295" s="1" t="n">
        <v>45740</v>
      </c>
      <c r="D3295" t="inlineStr">
        <is>
          <t>JÄMTLANDS LÄN</t>
        </is>
      </c>
      <c r="E3295" t="inlineStr">
        <is>
          <t>STRÖMSUND</t>
        </is>
      </c>
      <c r="F3295" t="inlineStr">
        <is>
          <t>SCA</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51404-2024</t>
        </is>
      </c>
      <c r="B3296" s="1" t="n">
        <v>45604</v>
      </c>
      <c r="C3296" s="1" t="n">
        <v>45740</v>
      </c>
      <c r="D3296" t="inlineStr">
        <is>
          <t>JÄMTLANDS LÄN</t>
        </is>
      </c>
      <c r="E3296" t="inlineStr">
        <is>
          <t>STRÖMSUND</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51432-2024</t>
        </is>
      </c>
      <c r="B3297" s="1" t="n">
        <v>45604</v>
      </c>
      <c r="C3297" s="1" t="n">
        <v>45740</v>
      </c>
      <c r="D3297" t="inlineStr">
        <is>
          <t>JÄMTLANDS LÄN</t>
        </is>
      </c>
      <c r="E3297" t="inlineStr">
        <is>
          <t>STRÖMSUND</t>
        </is>
      </c>
      <c r="F3297" t="inlineStr">
        <is>
          <t>SCA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51478-2024</t>
        </is>
      </c>
      <c r="B3298" s="1" t="n">
        <v>45604</v>
      </c>
      <c r="C3298" s="1" t="n">
        <v>45740</v>
      </c>
      <c r="D3298" t="inlineStr">
        <is>
          <t>JÄMTLANDS LÄN</t>
        </is>
      </c>
      <c r="E3298" t="inlineStr">
        <is>
          <t>STRÖMSUND</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51498-2024</t>
        </is>
      </c>
      <c r="B3299" s="1" t="n">
        <v>45604</v>
      </c>
      <c r="C3299" s="1" t="n">
        <v>45740</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51491-2024</t>
        </is>
      </c>
      <c r="B3300" s="1" t="n">
        <v>45604</v>
      </c>
      <c r="C3300" s="1" t="n">
        <v>45740</v>
      </c>
      <c r="D3300" t="inlineStr">
        <is>
          <t>JÄMTLANDS LÄN</t>
        </is>
      </c>
      <c r="E3300" t="inlineStr">
        <is>
          <t>STRÖMSUND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51585-2024</t>
        </is>
      </c>
      <c r="B3301" s="1" t="n">
        <v>45604</v>
      </c>
      <c r="C3301" s="1" t="n">
        <v>45740</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51593-2024</t>
        </is>
      </c>
      <c r="B3302" s="1" t="n">
        <v>45604</v>
      </c>
      <c r="C3302" s="1" t="n">
        <v>45740</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51606-2024</t>
        </is>
      </c>
      <c r="B3303" s="1" t="n">
        <v>45604</v>
      </c>
      <c r="C3303" s="1" t="n">
        <v>45740</v>
      </c>
      <c r="D3303" t="inlineStr">
        <is>
          <t>JÄMTLANDS LÄN</t>
        </is>
      </c>
      <c r="E3303" t="inlineStr">
        <is>
          <t>STRÖMSUND</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51943-2024</t>
        </is>
      </c>
      <c r="B3304" s="1" t="n">
        <v>45607</v>
      </c>
      <c r="C3304" s="1" t="n">
        <v>45740</v>
      </c>
      <c r="D3304" t="inlineStr">
        <is>
          <t>JÄMTLANDS LÄN</t>
        </is>
      </c>
      <c r="E3304" t="inlineStr">
        <is>
          <t>STRÖMSUND</t>
        </is>
      </c>
      <c r="F3304" t="inlineStr">
        <is>
          <t>SCA</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51685-2024</t>
        </is>
      </c>
      <c r="B3305" s="1" t="n">
        <v>45607</v>
      </c>
      <c r="C3305" s="1" t="n">
        <v>45740</v>
      </c>
      <c r="D3305" t="inlineStr">
        <is>
          <t>JÄMTLANDS LÄN</t>
        </is>
      </c>
      <c r="E3305" t="inlineStr">
        <is>
          <t>STRÖMSUND</t>
        </is>
      </c>
      <c r="F3305" t="inlineStr">
        <is>
          <t>SCA</t>
        </is>
      </c>
      <c r="G3305" t="n">
        <v>53.5</v>
      </c>
      <c r="H3305" t="n">
        <v>0</v>
      </c>
      <c r="I3305" t="n">
        <v>0</v>
      </c>
      <c r="J3305" t="n">
        <v>0</v>
      </c>
      <c r="K3305" t="n">
        <v>0</v>
      </c>
      <c r="L3305" t="n">
        <v>0</v>
      </c>
      <c r="M3305" t="n">
        <v>0</v>
      </c>
      <c r="N3305" t="n">
        <v>0</v>
      </c>
      <c r="O3305" t="n">
        <v>0</v>
      </c>
      <c r="P3305" t="n">
        <v>0</v>
      </c>
      <c r="Q3305" t="n">
        <v>0</v>
      </c>
      <c r="R3305" s="2" t="inlineStr"/>
    </row>
    <row r="3306" ht="15" customHeight="1">
      <c r="A3306" t="inlineStr">
        <is>
          <t>A 51689-2024</t>
        </is>
      </c>
      <c r="B3306" s="1" t="n">
        <v>45607</v>
      </c>
      <c r="C3306" s="1" t="n">
        <v>45740</v>
      </c>
      <c r="D3306" t="inlineStr">
        <is>
          <t>JÄMTLANDS LÄN</t>
        </is>
      </c>
      <c r="E3306" t="inlineStr">
        <is>
          <t>STRÖMSUND</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51763-2024</t>
        </is>
      </c>
      <c r="B3307" s="1" t="n">
        <v>45607</v>
      </c>
      <c r="C3307" s="1" t="n">
        <v>45740</v>
      </c>
      <c r="D3307" t="inlineStr">
        <is>
          <t>JÄMTLANDS LÄN</t>
        </is>
      </c>
      <c r="E3307" t="inlineStr">
        <is>
          <t>STRÖMSUND</t>
        </is>
      </c>
      <c r="F3307" t="inlineStr">
        <is>
          <t>Kommuner</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51803-2024</t>
        </is>
      </c>
      <c r="B3308" s="1" t="n">
        <v>45607</v>
      </c>
      <c r="C3308" s="1" t="n">
        <v>45740</v>
      </c>
      <c r="D3308" t="inlineStr">
        <is>
          <t>JÄMTLANDS LÄN</t>
        </is>
      </c>
      <c r="E3308" t="inlineStr">
        <is>
          <t>STRÖMSUND</t>
        </is>
      </c>
      <c r="F3308" t="inlineStr">
        <is>
          <t>Kommuner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51946-2024</t>
        </is>
      </c>
      <c r="B3309" s="1" t="n">
        <v>45607</v>
      </c>
      <c r="C3309" s="1" t="n">
        <v>45740</v>
      </c>
      <c r="D3309" t="inlineStr">
        <is>
          <t>JÄMTLANDS LÄN</t>
        </is>
      </c>
      <c r="E3309" t="inlineStr">
        <is>
          <t>STRÖMSUND</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51688-2024</t>
        </is>
      </c>
      <c r="B3310" s="1" t="n">
        <v>45607</v>
      </c>
      <c r="C3310" s="1" t="n">
        <v>45740</v>
      </c>
      <c r="D3310" t="inlineStr">
        <is>
          <t>JÄMTLANDS LÄN</t>
        </is>
      </c>
      <c r="E3310" t="inlineStr">
        <is>
          <t>STRÖMSUND</t>
        </is>
      </c>
      <c r="F3310" t="inlineStr">
        <is>
          <t>SCA</t>
        </is>
      </c>
      <c r="G3310" t="n">
        <v>36.3</v>
      </c>
      <c r="H3310" t="n">
        <v>0</v>
      </c>
      <c r="I3310" t="n">
        <v>0</v>
      </c>
      <c r="J3310" t="n">
        <v>0</v>
      </c>
      <c r="K3310" t="n">
        <v>0</v>
      </c>
      <c r="L3310" t="n">
        <v>0</v>
      </c>
      <c r="M3310" t="n">
        <v>0</v>
      </c>
      <c r="N3310" t="n">
        <v>0</v>
      </c>
      <c r="O3310" t="n">
        <v>0</v>
      </c>
      <c r="P3310" t="n">
        <v>0</v>
      </c>
      <c r="Q3310" t="n">
        <v>0</v>
      </c>
      <c r="R3310" s="2" t="inlineStr"/>
    </row>
    <row r="3311" ht="15" customHeight="1">
      <c r="A3311" t="inlineStr">
        <is>
          <t>A 51696-2024</t>
        </is>
      </c>
      <c r="B3311" s="1" t="n">
        <v>45607</v>
      </c>
      <c r="C3311" s="1" t="n">
        <v>45740</v>
      </c>
      <c r="D3311" t="inlineStr">
        <is>
          <t>JÄMTLANDS LÄN</t>
        </is>
      </c>
      <c r="E3311" t="inlineStr">
        <is>
          <t>STRÖMSUND</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51941-2024</t>
        </is>
      </c>
      <c r="B3312" s="1" t="n">
        <v>45607</v>
      </c>
      <c r="C3312" s="1" t="n">
        <v>45740</v>
      </c>
      <c r="D3312" t="inlineStr">
        <is>
          <t>JÄMTLANDS LÄN</t>
        </is>
      </c>
      <c r="E3312" t="inlineStr">
        <is>
          <t>STRÖMSUND</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51838-2024</t>
        </is>
      </c>
      <c r="B3313" s="1" t="n">
        <v>45607</v>
      </c>
      <c r="C3313" s="1" t="n">
        <v>45740</v>
      </c>
      <c r="D3313" t="inlineStr">
        <is>
          <t>JÄMTLANDS LÄN</t>
        </is>
      </c>
      <c r="E3313" t="inlineStr">
        <is>
          <t>STRÖMSUND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51757-2024</t>
        </is>
      </c>
      <c r="B3314" s="1" t="n">
        <v>45607</v>
      </c>
      <c r="C3314" s="1" t="n">
        <v>45740</v>
      </c>
      <c r="D3314" t="inlineStr">
        <is>
          <t>JÄMTLANDS LÄN</t>
        </is>
      </c>
      <c r="E3314" t="inlineStr">
        <is>
          <t>STRÖMSUND</t>
        </is>
      </c>
      <c r="F3314" t="inlineStr">
        <is>
          <t>Kommuner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51739-2024</t>
        </is>
      </c>
      <c r="B3315" s="1" t="n">
        <v>45607</v>
      </c>
      <c r="C3315" s="1" t="n">
        <v>45740</v>
      </c>
      <c r="D3315" t="inlineStr">
        <is>
          <t>JÄMTLANDS LÄN</t>
        </is>
      </c>
      <c r="E3315" t="inlineStr">
        <is>
          <t>STRÖMSUND</t>
        </is>
      </c>
      <c r="F3315" t="inlineStr">
        <is>
          <t>SCA</t>
        </is>
      </c>
      <c r="G3315" t="n">
        <v>16.1</v>
      </c>
      <c r="H3315" t="n">
        <v>0</v>
      </c>
      <c r="I3315" t="n">
        <v>0</v>
      </c>
      <c r="J3315" t="n">
        <v>0</v>
      </c>
      <c r="K3315" t="n">
        <v>0</v>
      </c>
      <c r="L3315" t="n">
        <v>0</v>
      </c>
      <c r="M3315" t="n">
        <v>0</v>
      </c>
      <c r="N3315" t="n">
        <v>0</v>
      </c>
      <c r="O3315" t="n">
        <v>0</v>
      </c>
      <c r="P3315" t="n">
        <v>0</v>
      </c>
      <c r="Q3315" t="n">
        <v>0</v>
      </c>
      <c r="R3315" s="2" t="inlineStr"/>
    </row>
    <row r="3316" ht="15" customHeight="1">
      <c r="A3316" t="inlineStr">
        <is>
          <t>A 51691-2024</t>
        </is>
      </c>
      <c r="B3316" s="1" t="n">
        <v>45607</v>
      </c>
      <c r="C3316" s="1" t="n">
        <v>45740</v>
      </c>
      <c r="D3316" t="inlineStr">
        <is>
          <t>JÄMTLANDS LÄN</t>
        </is>
      </c>
      <c r="E3316" t="inlineStr">
        <is>
          <t>STRÖMSUND</t>
        </is>
      </c>
      <c r="F3316" t="inlineStr">
        <is>
          <t>SCA</t>
        </is>
      </c>
      <c r="G3316" t="n">
        <v>35.8</v>
      </c>
      <c r="H3316" t="n">
        <v>0</v>
      </c>
      <c r="I3316" t="n">
        <v>0</v>
      </c>
      <c r="J3316" t="n">
        <v>0</v>
      </c>
      <c r="K3316" t="n">
        <v>0</v>
      </c>
      <c r="L3316" t="n">
        <v>0</v>
      </c>
      <c r="M3316" t="n">
        <v>0</v>
      </c>
      <c r="N3316" t="n">
        <v>0</v>
      </c>
      <c r="O3316" t="n">
        <v>0</v>
      </c>
      <c r="P3316" t="n">
        <v>0</v>
      </c>
      <c r="Q3316" t="n">
        <v>0</v>
      </c>
      <c r="R3316" s="2" t="inlineStr"/>
    </row>
    <row r="3317" ht="15" customHeight="1">
      <c r="A3317" t="inlineStr">
        <is>
          <t>A 51687-2024</t>
        </is>
      </c>
      <c r="B3317" s="1" t="n">
        <v>45607</v>
      </c>
      <c r="C3317" s="1" t="n">
        <v>45740</v>
      </c>
      <c r="D3317" t="inlineStr">
        <is>
          <t>JÄMTLANDS LÄN</t>
        </is>
      </c>
      <c r="E3317" t="inlineStr">
        <is>
          <t>STRÖMSUND</t>
        </is>
      </c>
      <c r="F3317" t="inlineStr">
        <is>
          <t>SCA</t>
        </is>
      </c>
      <c r="G3317" t="n">
        <v>21.4</v>
      </c>
      <c r="H3317" t="n">
        <v>0</v>
      </c>
      <c r="I3317" t="n">
        <v>0</v>
      </c>
      <c r="J3317" t="n">
        <v>0</v>
      </c>
      <c r="K3317" t="n">
        <v>0</v>
      </c>
      <c r="L3317" t="n">
        <v>0</v>
      </c>
      <c r="M3317" t="n">
        <v>0</v>
      </c>
      <c r="N3317" t="n">
        <v>0</v>
      </c>
      <c r="O3317" t="n">
        <v>0</v>
      </c>
      <c r="P3317" t="n">
        <v>0</v>
      </c>
      <c r="Q3317" t="n">
        <v>0</v>
      </c>
      <c r="R3317" s="2" t="inlineStr"/>
    </row>
    <row r="3318" ht="15" customHeight="1">
      <c r="A3318" t="inlineStr">
        <is>
          <t>A 51694-2024</t>
        </is>
      </c>
      <c r="B3318" s="1" t="n">
        <v>45607</v>
      </c>
      <c r="C3318" s="1" t="n">
        <v>45740</v>
      </c>
      <c r="D3318" t="inlineStr">
        <is>
          <t>JÄMTLANDS LÄN</t>
        </is>
      </c>
      <c r="E3318" t="inlineStr">
        <is>
          <t>STRÖMSUND</t>
        </is>
      </c>
      <c r="F3318" t="inlineStr">
        <is>
          <t>SCA</t>
        </is>
      </c>
      <c r="G3318" t="n">
        <v>82.7</v>
      </c>
      <c r="H3318" t="n">
        <v>0</v>
      </c>
      <c r="I3318" t="n">
        <v>0</v>
      </c>
      <c r="J3318" t="n">
        <v>0</v>
      </c>
      <c r="K3318" t="n">
        <v>0</v>
      </c>
      <c r="L3318" t="n">
        <v>0</v>
      </c>
      <c r="M3318" t="n">
        <v>0</v>
      </c>
      <c r="N3318" t="n">
        <v>0</v>
      </c>
      <c r="O3318" t="n">
        <v>0</v>
      </c>
      <c r="P3318" t="n">
        <v>0</v>
      </c>
      <c r="Q3318" t="n">
        <v>0</v>
      </c>
      <c r="R3318" s="2" t="inlineStr"/>
    </row>
    <row r="3319" ht="15" customHeight="1">
      <c r="A3319" t="inlineStr">
        <is>
          <t>A 51690-2024</t>
        </is>
      </c>
      <c r="B3319" s="1" t="n">
        <v>45607</v>
      </c>
      <c r="C3319" s="1" t="n">
        <v>45740</v>
      </c>
      <c r="D3319" t="inlineStr">
        <is>
          <t>JÄMTLANDS LÄN</t>
        </is>
      </c>
      <c r="E3319" t="inlineStr">
        <is>
          <t>STRÖMSUND</t>
        </is>
      </c>
      <c r="F3319" t="inlineStr">
        <is>
          <t>SCA</t>
        </is>
      </c>
      <c r="G3319" t="n">
        <v>22.8</v>
      </c>
      <c r="H3319" t="n">
        <v>0</v>
      </c>
      <c r="I3319" t="n">
        <v>0</v>
      </c>
      <c r="J3319" t="n">
        <v>0</v>
      </c>
      <c r="K3319" t="n">
        <v>0</v>
      </c>
      <c r="L3319" t="n">
        <v>0</v>
      </c>
      <c r="M3319" t="n">
        <v>0</v>
      </c>
      <c r="N3319" t="n">
        <v>0</v>
      </c>
      <c r="O3319" t="n">
        <v>0</v>
      </c>
      <c r="P3319" t="n">
        <v>0</v>
      </c>
      <c r="Q3319" t="n">
        <v>0</v>
      </c>
      <c r="R3319" s="2" t="inlineStr"/>
    </row>
    <row r="3320" ht="15" customHeight="1">
      <c r="A3320" t="inlineStr">
        <is>
          <t>A 51686-2024</t>
        </is>
      </c>
      <c r="B3320" s="1" t="n">
        <v>45607</v>
      </c>
      <c r="C3320" s="1" t="n">
        <v>45740</v>
      </c>
      <c r="D3320" t="inlineStr">
        <is>
          <t>JÄMTLANDS LÄN</t>
        </is>
      </c>
      <c r="E3320" t="inlineStr">
        <is>
          <t>STRÖMSUND</t>
        </is>
      </c>
      <c r="F3320" t="inlineStr">
        <is>
          <t>SCA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52158-2024</t>
        </is>
      </c>
      <c r="B3321" s="1" t="n">
        <v>45608</v>
      </c>
      <c r="C3321" s="1" t="n">
        <v>45740</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52153-2024</t>
        </is>
      </c>
      <c r="B3322" s="1" t="n">
        <v>45608</v>
      </c>
      <c r="C3322" s="1" t="n">
        <v>45740</v>
      </c>
      <c r="D3322" t="inlineStr">
        <is>
          <t>JÄMTLANDS LÄN</t>
        </is>
      </c>
      <c r="E3322" t="inlineStr">
        <is>
          <t>STRÖMSUND</t>
        </is>
      </c>
      <c r="F3322" t="inlineStr">
        <is>
          <t>SCA</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52151-2024</t>
        </is>
      </c>
      <c r="B3323" s="1" t="n">
        <v>45608</v>
      </c>
      <c r="C3323" s="1" t="n">
        <v>45740</v>
      </c>
      <c r="D3323" t="inlineStr">
        <is>
          <t>JÄMTLANDS LÄN</t>
        </is>
      </c>
      <c r="E3323" t="inlineStr">
        <is>
          <t>STRÖMSUND</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52147-2024</t>
        </is>
      </c>
      <c r="B3324" s="1" t="n">
        <v>45608</v>
      </c>
      <c r="C3324" s="1" t="n">
        <v>45740</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53556-2024</t>
        </is>
      </c>
      <c r="B3325" s="1" t="n">
        <v>45608</v>
      </c>
      <c r="C3325" s="1" t="n">
        <v>45740</v>
      </c>
      <c r="D3325" t="inlineStr">
        <is>
          <t>JÄMTLANDS LÄN</t>
        </is>
      </c>
      <c r="E3325" t="inlineStr">
        <is>
          <t>STRÖMSUND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52211-2024</t>
        </is>
      </c>
      <c r="B3326" s="1" t="n">
        <v>45608</v>
      </c>
      <c r="C3326" s="1" t="n">
        <v>45740</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52199-2024</t>
        </is>
      </c>
      <c r="B3327" s="1" t="n">
        <v>45608</v>
      </c>
      <c r="C3327" s="1" t="n">
        <v>45740</v>
      </c>
      <c r="D3327" t="inlineStr">
        <is>
          <t>JÄMTLANDS LÄN</t>
        </is>
      </c>
      <c r="E3327" t="inlineStr">
        <is>
          <t>STRÖMSUND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52559-2024</t>
        </is>
      </c>
      <c r="B3328" s="1" t="n">
        <v>45609</v>
      </c>
      <c r="C3328" s="1" t="n">
        <v>45740</v>
      </c>
      <c r="D3328" t="inlineStr">
        <is>
          <t>JÄMTLANDS LÄN</t>
        </is>
      </c>
      <c r="E3328" t="inlineStr">
        <is>
          <t>STRÖMSUND</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52583-2024</t>
        </is>
      </c>
      <c r="B3329" s="1" t="n">
        <v>45609</v>
      </c>
      <c r="C3329" s="1" t="n">
        <v>45740</v>
      </c>
      <c r="D3329" t="inlineStr">
        <is>
          <t>JÄMTLANDS LÄN</t>
        </is>
      </c>
      <c r="E3329" t="inlineStr">
        <is>
          <t>STRÖMSUND</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52582-2024</t>
        </is>
      </c>
      <c r="B3330" s="1" t="n">
        <v>45609</v>
      </c>
      <c r="C3330" s="1" t="n">
        <v>45740</v>
      </c>
      <c r="D3330" t="inlineStr">
        <is>
          <t>JÄMTLANDS LÄN</t>
        </is>
      </c>
      <c r="E3330" t="inlineStr">
        <is>
          <t>STRÖMSUND</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52645-2024</t>
        </is>
      </c>
      <c r="B3331" s="1" t="n">
        <v>45610</v>
      </c>
      <c r="C3331" s="1" t="n">
        <v>45740</v>
      </c>
      <c r="D3331" t="inlineStr">
        <is>
          <t>JÄMTLANDS LÄN</t>
        </is>
      </c>
      <c r="E3331" t="inlineStr">
        <is>
          <t>STRÖMSUND</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52906-2024</t>
        </is>
      </c>
      <c r="B3332" s="1" t="n">
        <v>45610</v>
      </c>
      <c r="C3332" s="1" t="n">
        <v>45740</v>
      </c>
      <c r="D3332" t="inlineStr">
        <is>
          <t>JÄMTLANDS LÄN</t>
        </is>
      </c>
      <c r="E3332" t="inlineStr">
        <is>
          <t>STRÖMSUND</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53132-2024</t>
        </is>
      </c>
      <c r="B3333" s="1" t="n">
        <v>45611</v>
      </c>
      <c r="C3333" s="1" t="n">
        <v>45740</v>
      </c>
      <c r="D3333" t="inlineStr">
        <is>
          <t>JÄMTLANDS LÄN</t>
        </is>
      </c>
      <c r="E3333" t="inlineStr">
        <is>
          <t>STRÖMSUND</t>
        </is>
      </c>
      <c r="F3333" t="inlineStr">
        <is>
          <t>SCA</t>
        </is>
      </c>
      <c r="G3333" t="n">
        <v>29.2</v>
      </c>
      <c r="H3333" t="n">
        <v>0</v>
      </c>
      <c r="I3333" t="n">
        <v>0</v>
      </c>
      <c r="J3333" t="n">
        <v>0</v>
      </c>
      <c r="K3333" t="n">
        <v>0</v>
      </c>
      <c r="L3333" t="n">
        <v>0</v>
      </c>
      <c r="M3333" t="n">
        <v>0</v>
      </c>
      <c r="N3333" t="n">
        <v>0</v>
      </c>
      <c r="O3333" t="n">
        <v>0</v>
      </c>
      <c r="P3333" t="n">
        <v>0</v>
      </c>
      <c r="Q3333" t="n">
        <v>0</v>
      </c>
      <c r="R3333" s="2" t="inlineStr"/>
    </row>
    <row r="3334" ht="15" customHeight="1">
      <c r="A3334" t="inlineStr">
        <is>
          <t>A 53131-2024</t>
        </is>
      </c>
      <c r="B3334" s="1" t="n">
        <v>45611</v>
      </c>
      <c r="C3334" s="1" t="n">
        <v>45740</v>
      </c>
      <c r="D3334" t="inlineStr">
        <is>
          <t>JÄMTLANDS LÄN</t>
        </is>
      </c>
      <c r="E3334" t="inlineStr">
        <is>
          <t>STRÖMSUND</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53219-2024</t>
        </is>
      </c>
      <c r="B3335" s="1" t="n">
        <v>45612</v>
      </c>
      <c r="C3335" s="1" t="n">
        <v>45740</v>
      </c>
      <c r="D3335" t="inlineStr">
        <is>
          <t>JÄMTLANDS LÄN</t>
        </is>
      </c>
      <c r="E3335" t="inlineStr">
        <is>
          <t>STRÖMSUND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53216-2024</t>
        </is>
      </c>
      <c r="B3336" s="1" t="n">
        <v>45612</v>
      </c>
      <c r="C3336" s="1" t="n">
        <v>45740</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53218-2024</t>
        </is>
      </c>
      <c r="B3337" s="1" t="n">
        <v>45612</v>
      </c>
      <c r="C3337" s="1" t="n">
        <v>45740</v>
      </c>
      <c r="D3337" t="inlineStr">
        <is>
          <t>JÄMTLANDS LÄN</t>
        </is>
      </c>
      <c r="E3337" t="inlineStr">
        <is>
          <t>STRÖMSUND</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53217-2024</t>
        </is>
      </c>
      <c r="B3338" s="1" t="n">
        <v>45612</v>
      </c>
      <c r="C3338" s="1" t="n">
        <v>45740</v>
      </c>
      <c r="D3338" t="inlineStr">
        <is>
          <t>JÄMTLANDS LÄN</t>
        </is>
      </c>
      <c r="E3338" t="inlineStr">
        <is>
          <t>STRÖMSUND</t>
        </is>
      </c>
      <c r="G3338" t="n">
        <v>27.9</v>
      </c>
      <c r="H3338" t="n">
        <v>0</v>
      </c>
      <c r="I3338" t="n">
        <v>0</v>
      </c>
      <c r="J3338" t="n">
        <v>0</v>
      </c>
      <c r="K3338" t="n">
        <v>0</v>
      </c>
      <c r="L3338" t="n">
        <v>0</v>
      </c>
      <c r="M3338" t="n">
        <v>0</v>
      </c>
      <c r="N3338" t="n">
        <v>0</v>
      </c>
      <c r="O3338" t="n">
        <v>0</v>
      </c>
      <c r="P3338" t="n">
        <v>0</v>
      </c>
      <c r="Q3338" t="n">
        <v>0</v>
      </c>
      <c r="R3338" s="2" t="inlineStr"/>
    </row>
    <row r="3339" ht="15" customHeight="1">
      <c r="A3339" t="inlineStr">
        <is>
          <t>A 53240-2024</t>
        </is>
      </c>
      <c r="B3339" s="1" t="n">
        <v>45613</v>
      </c>
      <c r="C3339" s="1" t="n">
        <v>45740</v>
      </c>
      <c r="D3339" t="inlineStr">
        <is>
          <t>JÄMTLANDS LÄN</t>
        </is>
      </c>
      <c r="E3339" t="inlineStr">
        <is>
          <t>STRÖMSUND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53241-2024</t>
        </is>
      </c>
      <c r="B3340" s="1" t="n">
        <v>45613</v>
      </c>
      <c r="C3340" s="1" t="n">
        <v>45740</v>
      </c>
      <c r="D3340" t="inlineStr">
        <is>
          <t>JÄMTLANDS LÄN</t>
        </is>
      </c>
      <c r="E3340" t="inlineStr">
        <is>
          <t>STRÖMSUND</t>
        </is>
      </c>
      <c r="G3340" t="n">
        <v>14.2</v>
      </c>
      <c r="H3340" t="n">
        <v>0</v>
      </c>
      <c r="I3340" t="n">
        <v>0</v>
      </c>
      <c r="J3340" t="n">
        <v>0</v>
      </c>
      <c r="K3340" t="n">
        <v>0</v>
      </c>
      <c r="L3340" t="n">
        <v>0</v>
      </c>
      <c r="M3340" t="n">
        <v>0</v>
      </c>
      <c r="N3340" t="n">
        <v>0</v>
      </c>
      <c r="O3340" t="n">
        <v>0</v>
      </c>
      <c r="P3340" t="n">
        <v>0</v>
      </c>
      <c r="Q3340" t="n">
        <v>0</v>
      </c>
      <c r="R3340" s="2" t="inlineStr"/>
    </row>
    <row r="3341" ht="15" customHeight="1">
      <c r="A3341" t="inlineStr">
        <is>
          <t>A 53609-2024</t>
        </is>
      </c>
      <c r="B3341" s="1" t="n">
        <v>45614</v>
      </c>
      <c r="C3341" s="1" t="n">
        <v>45740</v>
      </c>
      <c r="D3341" t="inlineStr">
        <is>
          <t>JÄMTLANDS LÄN</t>
        </is>
      </c>
      <c r="E3341" t="inlineStr">
        <is>
          <t>STRÖMSUND</t>
        </is>
      </c>
      <c r="F3341" t="inlineStr">
        <is>
          <t>SCA</t>
        </is>
      </c>
      <c r="G3341" t="n">
        <v>13.1</v>
      </c>
      <c r="H3341" t="n">
        <v>0</v>
      </c>
      <c r="I3341" t="n">
        <v>0</v>
      </c>
      <c r="J3341" t="n">
        <v>0</v>
      </c>
      <c r="K3341" t="n">
        <v>0</v>
      </c>
      <c r="L3341" t="n">
        <v>0</v>
      </c>
      <c r="M3341" t="n">
        <v>0</v>
      </c>
      <c r="N3341" t="n">
        <v>0</v>
      </c>
      <c r="O3341" t="n">
        <v>0</v>
      </c>
      <c r="P3341" t="n">
        <v>0</v>
      </c>
      <c r="Q3341" t="n">
        <v>0</v>
      </c>
      <c r="R3341" s="2" t="inlineStr"/>
    </row>
    <row r="3342" ht="15" customHeight="1">
      <c r="A3342" t="inlineStr">
        <is>
          <t>A 53328-2024</t>
        </is>
      </c>
      <c r="B3342" s="1" t="n">
        <v>45614</v>
      </c>
      <c r="C3342" s="1" t="n">
        <v>45740</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53795-2024</t>
        </is>
      </c>
      <c r="B3343" s="1" t="n">
        <v>45615</v>
      </c>
      <c r="C3343" s="1" t="n">
        <v>45740</v>
      </c>
      <c r="D3343" t="inlineStr">
        <is>
          <t>JÄMTLANDS LÄN</t>
        </is>
      </c>
      <c r="E3343" t="inlineStr">
        <is>
          <t>STRÖMSUND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53833-2024</t>
        </is>
      </c>
      <c r="B3344" s="1" t="n">
        <v>45615</v>
      </c>
      <c r="C3344" s="1" t="n">
        <v>45740</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53809-2024</t>
        </is>
      </c>
      <c r="B3345" s="1" t="n">
        <v>45615</v>
      </c>
      <c r="C3345" s="1" t="n">
        <v>45740</v>
      </c>
      <c r="D3345" t="inlineStr">
        <is>
          <t>JÄMTLANDS LÄN</t>
        </is>
      </c>
      <c r="E3345" t="inlineStr">
        <is>
          <t>STRÖMSUND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53817-2024</t>
        </is>
      </c>
      <c r="B3346" s="1" t="n">
        <v>45615</v>
      </c>
      <c r="C3346" s="1" t="n">
        <v>45740</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53865-2024</t>
        </is>
      </c>
      <c r="B3347" s="1" t="n">
        <v>45615</v>
      </c>
      <c r="C3347" s="1" t="n">
        <v>45740</v>
      </c>
      <c r="D3347" t="inlineStr">
        <is>
          <t>JÄMTLANDS LÄN</t>
        </is>
      </c>
      <c r="E3347" t="inlineStr">
        <is>
          <t>STRÖMSUND</t>
        </is>
      </c>
      <c r="G3347" t="n">
        <v>16.4</v>
      </c>
      <c r="H3347" t="n">
        <v>0</v>
      </c>
      <c r="I3347" t="n">
        <v>0</v>
      </c>
      <c r="J3347" t="n">
        <v>0</v>
      </c>
      <c r="K3347" t="n">
        <v>0</v>
      </c>
      <c r="L3347" t="n">
        <v>0</v>
      </c>
      <c r="M3347" t="n">
        <v>0</v>
      </c>
      <c r="N3347" t="n">
        <v>0</v>
      </c>
      <c r="O3347" t="n">
        <v>0</v>
      </c>
      <c r="P3347" t="n">
        <v>0</v>
      </c>
      <c r="Q3347" t="n">
        <v>0</v>
      </c>
      <c r="R3347" s="2" t="inlineStr"/>
    </row>
    <row r="3348" ht="15" customHeight="1">
      <c r="A3348" t="inlineStr">
        <is>
          <t>A 53885-2024</t>
        </is>
      </c>
      <c r="B3348" s="1" t="n">
        <v>45615</v>
      </c>
      <c r="C3348" s="1" t="n">
        <v>45740</v>
      </c>
      <c r="D3348" t="inlineStr">
        <is>
          <t>JÄMTLANDS LÄN</t>
        </is>
      </c>
      <c r="E3348" t="inlineStr">
        <is>
          <t>STRÖMSUND</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53886-2024</t>
        </is>
      </c>
      <c r="B3349" s="1" t="n">
        <v>45615</v>
      </c>
      <c r="C3349" s="1" t="n">
        <v>45740</v>
      </c>
      <c r="D3349" t="inlineStr">
        <is>
          <t>JÄMTLANDS LÄN</t>
        </is>
      </c>
      <c r="E3349" t="inlineStr">
        <is>
          <t>STRÖMSUND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53873-2024</t>
        </is>
      </c>
      <c r="B3350" s="1" t="n">
        <v>45615</v>
      </c>
      <c r="C3350" s="1" t="n">
        <v>45740</v>
      </c>
      <c r="D3350" t="inlineStr">
        <is>
          <t>JÄMTLANDS LÄN</t>
        </is>
      </c>
      <c r="E3350" t="inlineStr">
        <is>
          <t>STRÖMSUND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53884-2024</t>
        </is>
      </c>
      <c r="B3351" s="1" t="n">
        <v>45615</v>
      </c>
      <c r="C3351" s="1" t="n">
        <v>45740</v>
      </c>
      <c r="D3351" t="inlineStr">
        <is>
          <t>JÄMTLANDS LÄN</t>
        </is>
      </c>
      <c r="E3351" t="inlineStr">
        <is>
          <t>STRÖMSUND</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53894-2024</t>
        </is>
      </c>
      <c r="B3352" s="1" t="n">
        <v>45615</v>
      </c>
      <c r="C3352" s="1" t="n">
        <v>45740</v>
      </c>
      <c r="D3352" t="inlineStr">
        <is>
          <t>JÄMTLANDS LÄN</t>
        </is>
      </c>
      <c r="E3352" t="inlineStr">
        <is>
          <t>STRÖMSUND</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54178-2024</t>
        </is>
      </c>
      <c r="B3353" s="1" t="n">
        <v>45616</v>
      </c>
      <c r="C3353" s="1" t="n">
        <v>45740</v>
      </c>
      <c r="D3353" t="inlineStr">
        <is>
          <t>JÄMTLANDS LÄN</t>
        </is>
      </c>
      <c r="E3353" t="inlineStr">
        <is>
          <t>STRÖMSUND</t>
        </is>
      </c>
      <c r="F3353" t="inlineStr">
        <is>
          <t>SCA</t>
        </is>
      </c>
      <c r="G3353" t="n">
        <v>12.7</v>
      </c>
      <c r="H3353" t="n">
        <v>0</v>
      </c>
      <c r="I3353" t="n">
        <v>0</v>
      </c>
      <c r="J3353" t="n">
        <v>0</v>
      </c>
      <c r="K3353" t="n">
        <v>0</v>
      </c>
      <c r="L3353" t="n">
        <v>0</v>
      </c>
      <c r="M3353" t="n">
        <v>0</v>
      </c>
      <c r="N3353" t="n">
        <v>0</v>
      </c>
      <c r="O3353" t="n">
        <v>0</v>
      </c>
      <c r="P3353" t="n">
        <v>0</v>
      </c>
      <c r="Q3353" t="n">
        <v>0</v>
      </c>
      <c r="R3353" s="2" t="inlineStr"/>
    </row>
    <row r="3354" ht="15" customHeight="1">
      <c r="A3354" t="inlineStr">
        <is>
          <t>A 54262-2024</t>
        </is>
      </c>
      <c r="B3354" s="1" t="n">
        <v>45616</v>
      </c>
      <c r="C3354" s="1" t="n">
        <v>45740</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54389-2024</t>
        </is>
      </c>
      <c r="B3355" s="1" t="n">
        <v>45617</v>
      </c>
      <c r="C3355" s="1" t="n">
        <v>45740</v>
      </c>
      <c r="D3355" t="inlineStr">
        <is>
          <t>JÄMTLANDS LÄN</t>
        </is>
      </c>
      <c r="E3355" t="inlineStr">
        <is>
          <t>STRÖMSUND</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54320-2024</t>
        </is>
      </c>
      <c r="B3356" s="1" t="n">
        <v>45617</v>
      </c>
      <c r="C3356" s="1" t="n">
        <v>45740</v>
      </c>
      <c r="D3356" t="inlineStr">
        <is>
          <t>JÄMTLANDS LÄN</t>
        </is>
      </c>
      <c r="E3356" t="inlineStr">
        <is>
          <t>STRÖMSUND</t>
        </is>
      </c>
      <c r="G3356" t="n">
        <v>14.4</v>
      </c>
      <c r="H3356" t="n">
        <v>0</v>
      </c>
      <c r="I3356" t="n">
        <v>0</v>
      </c>
      <c r="J3356" t="n">
        <v>0</v>
      </c>
      <c r="K3356" t="n">
        <v>0</v>
      </c>
      <c r="L3356" t="n">
        <v>0</v>
      </c>
      <c r="M3356" t="n">
        <v>0</v>
      </c>
      <c r="N3356" t="n">
        <v>0</v>
      </c>
      <c r="O3356" t="n">
        <v>0</v>
      </c>
      <c r="P3356" t="n">
        <v>0</v>
      </c>
      <c r="Q3356" t="n">
        <v>0</v>
      </c>
      <c r="R3356" s="2" t="inlineStr"/>
    </row>
    <row r="3357" ht="15" customHeight="1">
      <c r="A3357" t="inlineStr">
        <is>
          <t>A 54763-2024</t>
        </is>
      </c>
      <c r="B3357" s="1" t="n">
        <v>45618</v>
      </c>
      <c r="C3357" s="1" t="n">
        <v>45740</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54805-2024</t>
        </is>
      </c>
      <c r="B3358" s="1" t="n">
        <v>45618</v>
      </c>
      <c r="C3358" s="1" t="n">
        <v>45740</v>
      </c>
      <c r="D3358" t="inlineStr">
        <is>
          <t>JÄMTLANDS LÄN</t>
        </is>
      </c>
      <c r="E3358" t="inlineStr">
        <is>
          <t>STRÖMSUND</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54945-2024</t>
        </is>
      </c>
      <c r="B3359" s="1" t="n">
        <v>45619</v>
      </c>
      <c r="C3359" s="1" t="n">
        <v>45740</v>
      </c>
      <c r="D3359" t="inlineStr">
        <is>
          <t>JÄMTLANDS LÄN</t>
        </is>
      </c>
      <c r="E3359" t="inlineStr">
        <is>
          <t>STRÖMSUND</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54966-2024</t>
        </is>
      </c>
      <c r="B3360" s="1" t="n">
        <v>45620</v>
      </c>
      <c r="C3360" s="1" t="n">
        <v>45740</v>
      </c>
      <c r="D3360" t="inlineStr">
        <is>
          <t>JÄMTLANDS LÄN</t>
        </is>
      </c>
      <c r="E3360" t="inlineStr">
        <is>
          <t>STRÖMSUND</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54964-2024</t>
        </is>
      </c>
      <c r="B3361" s="1" t="n">
        <v>45620</v>
      </c>
      <c r="C3361" s="1" t="n">
        <v>45740</v>
      </c>
      <c r="D3361" t="inlineStr">
        <is>
          <t>JÄMTLANDS LÄN</t>
        </is>
      </c>
      <c r="E3361" t="inlineStr">
        <is>
          <t>STRÖMSUND</t>
        </is>
      </c>
      <c r="F3361" t="inlineStr">
        <is>
          <t>SCA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54965-2024</t>
        </is>
      </c>
      <c r="B3362" s="1" t="n">
        <v>45620</v>
      </c>
      <c r="C3362" s="1" t="n">
        <v>45740</v>
      </c>
      <c r="D3362" t="inlineStr">
        <is>
          <t>JÄMTLANDS LÄN</t>
        </is>
      </c>
      <c r="E3362" t="inlineStr">
        <is>
          <t>STRÖMSUND</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55219-2024</t>
        </is>
      </c>
      <c r="B3363" s="1" t="n">
        <v>45621</v>
      </c>
      <c r="C3363" s="1" t="n">
        <v>45740</v>
      </c>
      <c r="D3363" t="inlineStr">
        <is>
          <t>JÄMTLANDS LÄN</t>
        </is>
      </c>
      <c r="E3363" t="inlineStr">
        <is>
          <t>STRÖMSUND</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55197-2024</t>
        </is>
      </c>
      <c r="B3364" s="1" t="n">
        <v>45621</v>
      </c>
      <c r="C3364" s="1" t="n">
        <v>45740</v>
      </c>
      <c r="D3364" t="inlineStr">
        <is>
          <t>JÄMTLANDS LÄN</t>
        </is>
      </c>
      <c r="E3364" t="inlineStr">
        <is>
          <t>STRÖMSUND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55325-2024</t>
        </is>
      </c>
      <c r="B3365" s="1" t="n">
        <v>45621</v>
      </c>
      <c r="C3365" s="1" t="n">
        <v>45740</v>
      </c>
      <c r="D3365" t="inlineStr">
        <is>
          <t>JÄMTLANDS LÄN</t>
        </is>
      </c>
      <c r="E3365" t="inlineStr">
        <is>
          <t>STRÖMSUND</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55311-2024</t>
        </is>
      </c>
      <c r="B3366" s="1" t="n">
        <v>45621</v>
      </c>
      <c r="C3366" s="1" t="n">
        <v>45740</v>
      </c>
      <c r="D3366" t="inlineStr">
        <is>
          <t>JÄMTLANDS LÄN</t>
        </is>
      </c>
      <c r="E3366" t="inlineStr">
        <is>
          <t>STRÖMSUND</t>
        </is>
      </c>
      <c r="F3366" t="inlineStr">
        <is>
          <t>SCA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55327-2024</t>
        </is>
      </c>
      <c r="B3367" s="1" t="n">
        <v>45621</v>
      </c>
      <c r="C3367" s="1" t="n">
        <v>45740</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55161-2024</t>
        </is>
      </c>
      <c r="B3368" s="1" t="n">
        <v>45621</v>
      </c>
      <c r="C3368" s="1" t="n">
        <v>45740</v>
      </c>
      <c r="D3368" t="inlineStr">
        <is>
          <t>JÄMTLANDS LÄN</t>
        </is>
      </c>
      <c r="E3368" t="inlineStr">
        <is>
          <t>STRÖMSUND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55690-2024</t>
        </is>
      </c>
      <c r="B3369" s="1" t="n">
        <v>45622</v>
      </c>
      <c r="C3369" s="1" t="n">
        <v>45740</v>
      </c>
      <c r="D3369" t="inlineStr">
        <is>
          <t>JÄMTLANDS LÄN</t>
        </is>
      </c>
      <c r="E3369" t="inlineStr">
        <is>
          <t>STRÖMSUND</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55675-2024</t>
        </is>
      </c>
      <c r="B3370" s="1" t="n">
        <v>45622</v>
      </c>
      <c r="C3370" s="1" t="n">
        <v>45740</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55942-2024</t>
        </is>
      </c>
      <c r="B3371" s="1" t="n">
        <v>45623</v>
      </c>
      <c r="C3371" s="1" t="n">
        <v>45740</v>
      </c>
      <c r="D3371" t="inlineStr">
        <is>
          <t>JÄMTLANDS LÄN</t>
        </is>
      </c>
      <c r="E3371" t="inlineStr">
        <is>
          <t>STRÖMSUND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56255-2024</t>
        </is>
      </c>
      <c r="B3372" s="1" t="n">
        <v>45624</v>
      </c>
      <c r="C3372" s="1" t="n">
        <v>45740</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56270-2024</t>
        </is>
      </c>
      <c r="B3373" s="1" t="n">
        <v>45624</v>
      </c>
      <c r="C3373" s="1" t="n">
        <v>45740</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56426-2024</t>
        </is>
      </c>
      <c r="B3374" s="1" t="n">
        <v>45624</v>
      </c>
      <c r="C3374" s="1" t="n">
        <v>45740</v>
      </c>
      <c r="D3374" t="inlineStr">
        <is>
          <t>JÄMTLANDS LÄN</t>
        </is>
      </c>
      <c r="E3374" t="inlineStr">
        <is>
          <t>STRÖMSUND</t>
        </is>
      </c>
      <c r="G3374" t="n">
        <v>16.2</v>
      </c>
      <c r="H3374" t="n">
        <v>0</v>
      </c>
      <c r="I3374" t="n">
        <v>0</v>
      </c>
      <c r="J3374" t="n">
        <v>0</v>
      </c>
      <c r="K3374" t="n">
        <v>0</v>
      </c>
      <c r="L3374" t="n">
        <v>0</v>
      </c>
      <c r="M3374" t="n">
        <v>0</v>
      </c>
      <c r="N3374" t="n">
        <v>0</v>
      </c>
      <c r="O3374" t="n">
        <v>0</v>
      </c>
      <c r="P3374" t="n">
        <v>0</v>
      </c>
      <c r="Q3374" t="n">
        <v>0</v>
      </c>
      <c r="R3374" s="2" t="inlineStr"/>
    </row>
    <row r="3375" ht="15" customHeight="1">
      <c r="A3375" t="inlineStr">
        <is>
          <t>A 56513-2024</t>
        </is>
      </c>
      <c r="B3375" s="1" t="n">
        <v>45625</v>
      </c>
      <c r="C3375" s="1" t="n">
        <v>45740</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56550-2024</t>
        </is>
      </c>
      <c r="B3376" s="1" t="n">
        <v>45625</v>
      </c>
      <c r="C3376" s="1" t="n">
        <v>45740</v>
      </c>
      <c r="D3376" t="inlineStr">
        <is>
          <t>JÄMTLANDS LÄN</t>
        </is>
      </c>
      <c r="E3376" t="inlineStr">
        <is>
          <t>STRÖMSUND</t>
        </is>
      </c>
      <c r="F3376" t="inlineStr">
        <is>
          <t>SCA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56516-2024</t>
        </is>
      </c>
      <c r="B3377" s="1" t="n">
        <v>45625</v>
      </c>
      <c r="C3377" s="1" t="n">
        <v>45740</v>
      </c>
      <c r="D3377" t="inlineStr">
        <is>
          <t>JÄMTLANDS LÄN</t>
        </is>
      </c>
      <c r="E3377" t="inlineStr">
        <is>
          <t>STRÖMSUND</t>
        </is>
      </c>
      <c r="F3377" t="inlineStr">
        <is>
          <t>SCA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56507-2024</t>
        </is>
      </c>
      <c r="B3378" s="1" t="n">
        <v>45625</v>
      </c>
      <c r="C3378" s="1" t="n">
        <v>45740</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56514-2024</t>
        </is>
      </c>
      <c r="B3379" s="1" t="n">
        <v>45625</v>
      </c>
      <c r="C3379" s="1" t="n">
        <v>45740</v>
      </c>
      <c r="D3379" t="inlineStr">
        <is>
          <t>JÄMTLANDS LÄN</t>
        </is>
      </c>
      <c r="E3379" t="inlineStr">
        <is>
          <t>STRÖMSUND</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56678-2024</t>
        </is>
      </c>
      <c r="B3380" s="1" t="n">
        <v>45627</v>
      </c>
      <c r="C3380" s="1" t="n">
        <v>45740</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56997-2024</t>
        </is>
      </c>
      <c r="B3381" s="1" t="n">
        <v>45628</v>
      </c>
      <c r="C3381" s="1" t="n">
        <v>45740</v>
      </c>
      <c r="D3381" t="inlineStr">
        <is>
          <t>JÄMTLANDS LÄN</t>
        </is>
      </c>
      <c r="E3381" t="inlineStr">
        <is>
          <t>STRÖMSUND</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57250-2024</t>
        </is>
      </c>
      <c r="B3382" s="1" t="n">
        <v>45628</v>
      </c>
      <c r="C3382" s="1" t="n">
        <v>45740</v>
      </c>
      <c r="D3382" t="inlineStr">
        <is>
          <t>JÄMTLANDS LÄN</t>
        </is>
      </c>
      <c r="E3382" t="inlineStr">
        <is>
          <t>STRÖMSUND</t>
        </is>
      </c>
      <c r="G3382" t="n">
        <v>14.1</v>
      </c>
      <c r="H3382" t="n">
        <v>0</v>
      </c>
      <c r="I3382" t="n">
        <v>0</v>
      </c>
      <c r="J3382" t="n">
        <v>0</v>
      </c>
      <c r="K3382" t="n">
        <v>0</v>
      </c>
      <c r="L3382" t="n">
        <v>0</v>
      </c>
      <c r="M3382" t="n">
        <v>0</v>
      </c>
      <c r="N3382" t="n">
        <v>0</v>
      </c>
      <c r="O3382" t="n">
        <v>0</v>
      </c>
      <c r="P3382" t="n">
        <v>0</v>
      </c>
      <c r="Q3382" t="n">
        <v>0</v>
      </c>
      <c r="R3382" s="2" t="inlineStr"/>
    </row>
    <row r="3383" ht="15" customHeight="1">
      <c r="A3383" t="inlineStr">
        <is>
          <t>A 56961-2024</t>
        </is>
      </c>
      <c r="B3383" s="1" t="n">
        <v>45628</v>
      </c>
      <c r="C3383" s="1" t="n">
        <v>45740</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57258-2024</t>
        </is>
      </c>
      <c r="B3384" s="1" t="n">
        <v>45628</v>
      </c>
      <c r="C3384" s="1" t="n">
        <v>45740</v>
      </c>
      <c r="D3384" t="inlineStr">
        <is>
          <t>JÄMTLANDS LÄN</t>
        </is>
      </c>
      <c r="E3384" t="inlineStr">
        <is>
          <t>STRÖMSUND</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57090-2024</t>
        </is>
      </c>
      <c r="B3385" s="1" t="n">
        <v>45629</v>
      </c>
      <c r="C3385" s="1" t="n">
        <v>45740</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57114-2024</t>
        </is>
      </c>
      <c r="B3386" s="1" t="n">
        <v>45629</v>
      </c>
      <c r="C3386" s="1" t="n">
        <v>45740</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57075-2024</t>
        </is>
      </c>
      <c r="B3387" s="1" t="n">
        <v>45629</v>
      </c>
      <c r="C3387" s="1" t="n">
        <v>45740</v>
      </c>
      <c r="D3387" t="inlineStr">
        <is>
          <t>JÄMTLANDS LÄN</t>
        </is>
      </c>
      <c r="E3387" t="inlineStr">
        <is>
          <t>STRÖMSUND</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57453-2024</t>
        </is>
      </c>
      <c r="B3388" s="1" t="n">
        <v>45630</v>
      </c>
      <c r="C3388" s="1" t="n">
        <v>45740</v>
      </c>
      <c r="D3388" t="inlineStr">
        <is>
          <t>JÄMTLANDS LÄN</t>
        </is>
      </c>
      <c r="E3388" t="inlineStr">
        <is>
          <t>STRÖMSUND</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57638-2024</t>
        </is>
      </c>
      <c r="B3389" s="1" t="n">
        <v>45630</v>
      </c>
      <c r="C3389" s="1" t="n">
        <v>45740</v>
      </c>
      <c r="D3389" t="inlineStr">
        <is>
          <t>JÄMTLANDS LÄN</t>
        </is>
      </c>
      <c r="E3389" t="inlineStr">
        <is>
          <t>STRÖMSUND</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57963-2024</t>
        </is>
      </c>
      <c r="B3390" s="1" t="n">
        <v>45631</v>
      </c>
      <c r="C3390" s="1" t="n">
        <v>45740</v>
      </c>
      <c r="D3390" t="inlineStr">
        <is>
          <t>JÄMTLANDS LÄN</t>
        </is>
      </c>
      <c r="E3390" t="inlineStr">
        <is>
          <t>STRÖMSUND</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58027-2024</t>
        </is>
      </c>
      <c r="B3391" s="1" t="n">
        <v>45631</v>
      </c>
      <c r="C3391" s="1" t="n">
        <v>45740</v>
      </c>
      <c r="D3391" t="inlineStr">
        <is>
          <t>JÄMTLANDS LÄN</t>
        </is>
      </c>
      <c r="E3391" t="inlineStr">
        <is>
          <t>STRÖMSUND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58206-2024</t>
        </is>
      </c>
      <c r="B3392" s="1" t="n">
        <v>45632</v>
      </c>
      <c r="C3392" s="1" t="n">
        <v>45740</v>
      </c>
      <c r="D3392" t="inlineStr">
        <is>
          <t>JÄMTLANDS LÄN</t>
        </is>
      </c>
      <c r="E3392" t="inlineStr">
        <is>
          <t>STRÖMSUND</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58393-2024</t>
        </is>
      </c>
      <c r="B3393" s="1" t="n">
        <v>45633</v>
      </c>
      <c r="C3393" s="1" t="n">
        <v>45740</v>
      </c>
      <c r="D3393" t="inlineStr">
        <is>
          <t>JÄMTLANDS LÄN</t>
        </is>
      </c>
      <c r="E3393" t="inlineStr">
        <is>
          <t>STRÖMSUND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58392-2024</t>
        </is>
      </c>
      <c r="B3394" s="1" t="n">
        <v>45633</v>
      </c>
      <c r="C3394" s="1" t="n">
        <v>45740</v>
      </c>
      <c r="D3394" t="inlineStr">
        <is>
          <t>JÄMTLANDS LÄN</t>
        </is>
      </c>
      <c r="E3394" t="inlineStr">
        <is>
          <t>STRÖMSUND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58391-2024</t>
        </is>
      </c>
      <c r="B3395" s="1" t="n">
        <v>45633</v>
      </c>
      <c r="C3395" s="1" t="n">
        <v>45740</v>
      </c>
      <c r="D3395" t="inlineStr">
        <is>
          <t>JÄMTLANDS LÄN</t>
        </is>
      </c>
      <c r="E3395" t="inlineStr">
        <is>
          <t>STRÖMSUND</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58647-2024</t>
        </is>
      </c>
      <c r="B3396" s="1" t="n">
        <v>45635</v>
      </c>
      <c r="C3396" s="1" t="n">
        <v>45740</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58515-2024</t>
        </is>
      </c>
      <c r="B3397" s="1" t="n">
        <v>45635</v>
      </c>
      <c r="C3397" s="1" t="n">
        <v>45740</v>
      </c>
      <c r="D3397" t="inlineStr">
        <is>
          <t>JÄMTLANDS LÄN</t>
        </is>
      </c>
      <c r="E3397" t="inlineStr">
        <is>
          <t>STRÖMSUND</t>
        </is>
      </c>
      <c r="F3397" t="inlineStr">
        <is>
          <t>SCA</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58646-2024</t>
        </is>
      </c>
      <c r="B3398" s="1" t="n">
        <v>45635</v>
      </c>
      <c r="C3398" s="1" t="n">
        <v>45740</v>
      </c>
      <c r="D3398" t="inlineStr">
        <is>
          <t>JÄMTLANDS LÄN</t>
        </is>
      </c>
      <c r="E3398" t="inlineStr">
        <is>
          <t>STRÖMSUND</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58493-2024</t>
        </is>
      </c>
      <c r="B3399" s="1" t="n">
        <v>45635</v>
      </c>
      <c r="C3399" s="1" t="n">
        <v>45740</v>
      </c>
      <c r="D3399" t="inlineStr">
        <is>
          <t>JÄMTLANDS LÄN</t>
        </is>
      </c>
      <c r="E3399" t="inlineStr">
        <is>
          <t>STRÖMSUND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58695-2024</t>
        </is>
      </c>
      <c r="B3400" s="1" t="n">
        <v>45635</v>
      </c>
      <c r="C3400" s="1" t="n">
        <v>45740</v>
      </c>
      <c r="D3400" t="inlineStr">
        <is>
          <t>JÄMTLANDS LÄN</t>
        </is>
      </c>
      <c r="E3400" t="inlineStr">
        <is>
          <t>STRÖMSUND</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58813-2024</t>
        </is>
      </c>
      <c r="B3401" s="1" t="n">
        <v>45636</v>
      </c>
      <c r="C3401" s="1" t="n">
        <v>45740</v>
      </c>
      <c r="D3401" t="inlineStr">
        <is>
          <t>JÄMTLANDS LÄN</t>
        </is>
      </c>
      <c r="E3401" t="inlineStr">
        <is>
          <t>STRÖMSUND</t>
        </is>
      </c>
      <c r="F3401" t="inlineStr">
        <is>
          <t>SCA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58968-2024</t>
        </is>
      </c>
      <c r="B3402" s="1" t="n">
        <v>45636</v>
      </c>
      <c r="C3402" s="1" t="n">
        <v>45740</v>
      </c>
      <c r="D3402" t="inlineStr">
        <is>
          <t>JÄMTLANDS LÄN</t>
        </is>
      </c>
      <c r="E3402" t="inlineStr">
        <is>
          <t>STRÖMSUND</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58947-2024</t>
        </is>
      </c>
      <c r="B3403" s="1" t="n">
        <v>45636</v>
      </c>
      <c r="C3403" s="1" t="n">
        <v>45740</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59152-2024</t>
        </is>
      </c>
      <c r="B3404" s="1" t="n">
        <v>45637</v>
      </c>
      <c r="C3404" s="1" t="n">
        <v>45740</v>
      </c>
      <c r="D3404" t="inlineStr">
        <is>
          <t>JÄMTLANDS LÄN</t>
        </is>
      </c>
      <c r="E3404" t="inlineStr">
        <is>
          <t>STRÖMSUND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59141-2024</t>
        </is>
      </c>
      <c r="B3405" s="1" t="n">
        <v>45637</v>
      </c>
      <c r="C3405" s="1" t="n">
        <v>45740</v>
      </c>
      <c r="D3405" t="inlineStr">
        <is>
          <t>JÄMTLANDS LÄN</t>
        </is>
      </c>
      <c r="E3405" t="inlineStr">
        <is>
          <t>STRÖMSUND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59550-2024</t>
        </is>
      </c>
      <c r="B3406" s="1" t="n">
        <v>45638</v>
      </c>
      <c r="C3406" s="1" t="n">
        <v>45740</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59508-2024</t>
        </is>
      </c>
      <c r="B3407" s="1" t="n">
        <v>45638</v>
      </c>
      <c r="C3407" s="1" t="n">
        <v>45740</v>
      </c>
      <c r="D3407" t="inlineStr">
        <is>
          <t>JÄMTLANDS LÄN</t>
        </is>
      </c>
      <c r="E3407" t="inlineStr">
        <is>
          <t>STRÖMSUND</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59568-2024</t>
        </is>
      </c>
      <c r="B3408" s="1" t="n">
        <v>45638</v>
      </c>
      <c r="C3408" s="1" t="n">
        <v>45740</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59530-2024</t>
        </is>
      </c>
      <c r="B3409" s="1" t="n">
        <v>45638</v>
      </c>
      <c r="C3409" s="1" t="n">
        <v>45740</v>
      </c>
      <c r="D3409" t="inlineStr">
        <is>
          <t>JÄMTLANDS LÄN</t>
        </is>
      </c>
      <c r="E3409" t="inlineStr">
        <is>
          <t>STRÖMSUND</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59821-2024</t>
        </is>
      </c>
      <c r="B3410" s="1" t="n">
        <v>45639</v>
      </c>
      <c r="C3410" s="1" t="n">
        <v>45740</v>
      </c>
      <c r="D3410" t="inlineStr">
        <is>
          <t>JÄMTLANDS LÄN</t>
        </is>
      </c>
      <c r="E3410" t="inlineStr">
        <is>
          <t>STRÖMSUND</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59655-2024</t>
        </is>
      </c>
      <c r="B3411" s="1" t="n">
        <v>45639</v>
      </c>
      <c r="C3411" s="1" t="n">
        <v>45740</v>
      </c>
      <c r="D3411" t="inlineStr">
        <is>
          <t>JÄMTLANDS LÄN</t>
        </is>
      </c>
      <c r="E3411" t="inlineStr">
        <is>
          <t>STRÖMSUND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59742-2024</t>
        </is>
      </c>
      <c r="B3412" s="1" t="n">
        <v>45639</v>
      </c>
      <c r="C3412" s="1" t="n">
        <v>45740</v>
      </c>
      <c r="D3412" t="inlineStr">
        <is>
          <t>JÄMTLANDS LÄN</t>
        </is>
      </c>
      <c r="E3412" t="inlineStr">
        <is>
          <t>STRÖMSUND</t>
        </is>
      </c>
      <c r="F3412" t="inlineStr">
        <is>
          <t>SCA</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60171-2024</t>
        </is>
      </c>
      <c r="B3413" s="1" t="n">
        <v>45642</v>
      </c>
      <c r="C3413" s="1" t="n">
        <v>45740</v>
      </c>
      <c r="D3413" t="inlineStr">
        <is>
          <t>JÄMTLANDS LÄN</t>
        </is>
      </c>
      <c r="E3413" t="inlineStr">
        <is>
          <t>STRÖMSUND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60170-2024</t>
        </is>
      </c>
      <c r="B3414" s="1" t="n">
        <v>45642</v>
      </c>
      <c r="C3414" s="1" t="n">
        <v>45740</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59986-2024</t>
        </is>
      </c>
      <c r="B3415" s="1" t="n">
        <v>45642</v>
      </c>
      <c r="C3415" s="1" t="n">
        <v>45740</v>
      </c>
      <c r="D3415" t="inlineStr">
        <is>
          <t>JÄMTLANDS LÄN</t>
        </is>
      </c>
      <c r="E3415" t="inlineStr">
        <is>
          <t>STRÖMSUND</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60053-2024</t>
        </is>
      </c>
      <c r="B3416" s="1" t="n">
        <v>45642</v>
      </c>
      <c r="C3416" s="1" t="n">
        <v>45740</v>
      </c>
      <c r="D3416" t="inlineStr">
        <is>
          <t>JÄMTLANDS LÄN</t>
        </is>
      </c>
      <c r="E3416" t="inlineStr">
        <is>
          <t>STRÖMSUND</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60310-2024</t>
        </is>
      </c>
      <c r="B3417" s="1" t="n">
        <v>45643</v>
      </c>
      <c r="C3417" s="1" t="n">
        <v>45740</v>
      </c>
      <c r="D3417" t="inlineStr">
        <is>
          <t>JÄMTLANDS LÄN</t>
        </is>
      </c>
      <c r="E3417" t="inlineStr">
        <is>
          <t>STRÖMSUND</t>
        </is>
      </c>
      <c r="F3417" t="inlineStr">
        <is>
          <t>SCA</t>
        </is>
      </c>
      <c r="G3417" t="n">
        <v>15.6</v>
      </c>
      <c r="H3417" t="n">
        <v>0</v>
      </c>
      <c r="I3417" t="n">
        <v>0</v>
      </c>
      <c r="J3417" t="n">
        <v>0</v>
      </c>
      <c r="K3417" t="n">
        <v>0</v>
      </c>
      <c r="L3417" t="n">
        <v>0</v>
      </c>
      <c r="M3417" t="n">
        <v>0</v>
      </c>
      <c r="N3417" t="n">
        <v>0</v>
      </c>
      <c r="O3417" t="n">
        <v>0</v>
      </c>
      <c r="P3417" t="n">
        <v>0</v>
      </c>
      <c r="Q3417" t="n">
        <v>0</v>
      </c>
      <c r="R3417" s="2" t="inlineStr"/>
    </row>
    <row r="3418" ht="15" customHeight="1">
      <c r="A3418" t="inlineStr">
        <is>
          <t>A 60366-2024</t>
        </is>
      </c>
      <c r="B3418" s="1" t="n">
        <v>45643</v>
      </c>
      <c r="C3418" s="1" t="n">
        <v>45740</v>
      </c>
      <c r="D3418" t="inlineStr">
        <is>
          <t>JÄMTLANDS LÄN</t>
        </is>
      </c>
      <c r="E3418" t="inlineStr">
        <is>
          <t>STRÖMSUND</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60791-2024</t>
        </is>
      </c>
      <c r="B3419" s="1" t="n">
        <v>45644</v>
      </c>
      <c r="C3419" s="1" t="n">
        <v>45740</v>
      </c>
      <c r="D3419" t="inlineStr">
        <is>
          <t>JÄMTLANDS LÄN</t>
        </is>
      </c>
      <c r="E3419" t="inlineStr">
        <is>
          <t>STRÖMSUND</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60800-2024</t>
        </is>
      </c>
      <c r="B3420" s="1" t="n">
        <v>45644</v>
      </c>
      <c r="C3420" s="1" t="n">
        <v>45740</v>
      </c>
      <c r="D3420" t="inlineStr">
        <is>
          <t>JÄMTLANDS LÄN</t>
        </is>
      </c>
      <c r="E3420" t="inlineStr">
        <is>
          <t>STRÖMSUND</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60917-2024</t>
        </is>
      </c>
      <c r="B3421" s="1" t="n">
        <v>45644</v>
      </c>
      <c r="C3421" s="1" t="n">
        <v>45740</v>
      </c>
      <c r="D3421" t="inlineStr">
        <is>
          <t>JÄMTLANDS LÄN</t>
        </is>
      </c>
      <c r="E3421" t="inlineStr">
        <is>
          <t>STRÖMSUND</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60911-2024</t>
        </is>
      </c>
      <c r="B3422" s="1" t="n">
        <v>45644</v>
      </c>
      <c r="C3422" s="1" t="n">
        <v>45740</v>
      </c>
      <c r="D3422" t="inlineStr">
        <is>
          <t>JÄMTLANDS LÄN</t>
        </is>
      </c>
      <c r="E3422" t="inlineStr">
        <is>
          <t>STRÖMSUND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60905-2024</t>
        </is>
      </c>
      <c r="B3423" s="1" t="n">
        <v>45644</v>
      </c>
      <c r="C3423" s="1" t="n">
        <v>45740</v>
      </c>
      <c r="D3423" t="inlineStr">
        <is>
          <t>JÄMTLANDS LÄN</t>
        </is>
      </c>
      <c r="E3423" t="inlineStr">
        <is>
          <t>STRÖMSUND</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61015-2024</t>
        </is>
      </c>
      <c r="B3424" s="1" t="n">
        <v>45645</v>
      </c>
      <c r="C3424" s="1" t="n">
        <v>45740</v>
      </c>
      <c r="D3424" t="inlineStr">
        <is>
          <t>JÄMTLANDS LÄN</t>
        </is>
      </c>
      <c r="E3424" t="inlineStr">
        <is>
          <t>STRÖMSUND</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61163-2024</t>
        </is>
      </c>
      <c r="B3425" s="1" t="n">
        <v>45645</v>
      </c>
      <c r="C3425" s="1" t="n">
        <v>45740</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61481-2024</t>
        </is>
      </c>
      <c r="B3426" s="1" t="n">
        <v>45645</v>
      </c>
      <c r="C3426" s="1" t="n">
        <v>45740</v>
      </c>
      <c r="D3426" t="inlineStr">
        <is>
          <t>JÄMTLANDS LÄN</t>
        </is>
      </c>
      <c r="E3426" t="inlineStr">
        <is>
          <t>STRÖMSUND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61160-2024</t>
        </is>
      </c>
      <c r="B3427" s="1" t="n">
        <v>45645</v>
      </c>
      <c r="C3427" s="1" t="n">
        <v>45740</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61475-2024</t>
        </is>
      </c>
      <c r="B3428" s="1" t="n">
        <v>45645</v>
      </c>
      <c r="C3428" s="1" t="n">
        <v>45740</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61402-2024</t>
        </is>
      </c>
      <c r="B3429" s="1" t="n">
        <v>45646</v>
      </c>
      <c r="C3429" s="1" t="n">
        <v>45740</v>
      </c>
      <c r="D3429" t="inlineStr">
        <is>
          <t>JÄMTLANDS LÄN</t>
        </is>
      </c>
      <c r="E3429" t="inlineStr">
        <is>
          <t>STRÖMSUND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61540-2024</t>
        </is>
      </c>
      <c r="B3430" s="1" t="n">
        <v>45646</v>
      </c>
      <c r="C3430" s="1" t="n">
        <v>45740</v>
      </c>
      <c r="D3430" t="inlineStr">
        <is>
          <t>JÄMTLANDS LÄN</t>
        </is>
      </c>
      <c r="E3430" t="inlineStr">
        <is>
          <t>STRÖMSUND</t>
        </is>
      </c>
      <c r="F3430" t="inlineStr">
        <is>
          <t>SCA</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61538-2024</t>
        </is>
      </c>
      <c r="B3431" s="1" t="n">
        <v>45646</v>
      </c>
      <c r="C3431" s="1" t="n">
        <v>45740</v>
      </c>
      <c r="D3431" t="inlineStr">
        <is>
          <t>JÄMTLANDS LÄN</t>
        </is>
      </c>
      <c r="E3431" t="inlineStr">
        <is>
          <t>STRÖMSUND</t>
        </is>
      </c>
      <c r="F3431" t="inlineStr">
        <is>
          <t>SCA</t>
        </is>
      </c>
      <c r="G3431" t="n">
        <v>24.4</v>
      </c>
      <c r="H3431" t="n">
        <v>0</v>
      </c>
      <c r="I3431" t="n">
        <v>0</v>
      </c>
      <c r="J3431" t="n">
        <v>0</v>
      </c>
      <c r="K3431" t="n">
        <v>0</v>
      </c>
      <c r="L3431" t="n">
        <v>0</v>
      </c>
      <c r="M3431" t="n">
        <v>0</v>
      </c>
      <c r="N3431" t="n">
        <v>0</v>
      </c>
      <c r="O3431" t="n">
        <v>0</v>
      </c>
      <c r="P3431" t="n">
        <v>0</v>
      </c>
      <c r="Q3431" t="n">
        <v>0</v>
      </c>
      <c r="R3431" s="2" t="inlineStr"/>
    </row>
    <row r="3432" ht="15" customHeight="1">
      <c r="A3432" t="inlineStr">
        <is>
          <t>A 61365-2024</t>
        </is>
      </c>
      <c r="B3432" s="1" t="n">
        <v>45646</v>
      </c>
      <c r="C3432" s="1" t="n">
        <v>45740</v>
      </c>
      <c r="D3432" t="inlineStr">
        <is>
          <t>JÄMTLANDS LÄN</t>
        </is>
      </c>
      <c r="E3432" t="inlineStr">
        <is>
          <t>STRÖMSUND</t>
        </is>
      </c>
      <c r="F3432" t="inlineStr">
        <is>
          <t>SCA</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61539-2024</t>
        </is>
      </c>
      <c r="B3433" s="1" t="n">
        <v>45646</v>
      </c>
      <c r="C3433" s="1" t="n">
        <v>45740</v>
      </c>
      <c r="D3433" t="inlineStr">
        <is>
          <t>JÄMTLANDS LÄN</t>
        </is>
      </c>
      <c r="E3433" t="inlineStr">
        <is>
          <t>STRÖMSUND</t>
        </is>
      </c>
      <c r="F3433" t="inlineStr">
        <is>
          <t>SCA</t>
        </is>
      </c>
      <c r="G3433" t="n">
        <v>25.5</v>
      </c>
      <c r="H3433" t="n">
        <v>0</v>
      </c>
      <c r="I3433" t="n">
        <v>0</v>
      </c>
      <c r="J3433" t="n">
        <v>0</v>
      </c>
      <c r="K3433" t="n">
        <v>0</v>
      </c>
      <c r="L3433" t="n">
        <v>0</v>
      </c>
      <c r="M3433" t="n">
        <v>0</v>
      </c>
      <c r="N3433" t="n">
        <v>0</v>
      </c>
      <c r="O3433" t="n">
        <v>0</v>
      </c>
      <c r="P3433" t="n">
        <v>0</v>
      </c>
      <c r="Q3433" t="n">
        <v>0</v>
      </c>
      <c r="R3433" s="2" t="inlineStr"/>
    </row>
    <row r="3434" ht="15" customHeight="1">
      <c r="A3434" t="inlineStr">
        <is>
          <t>A 61363-2024</t>
        </is>
      </c>
      <c r="B3434" s="1" t="n">
        <v>45646</v>
      </c>
      <c r="C3434" s="1" t="n">
        <v>45740</v>
      </c>
      <c r="D3434" t="inlineStr">
        <is>
          <t>JÄMTLANDS LÄN</t>
        </is>
      </c>
      <c r="E3434" t="inlineStr">
        <is>
          <t>STRÖMSUND</t>
        </is>
      </c>
      <c r="F3434" t="inlineStr">
        <is>
          <t>SCA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61854-2024</t>
        </is>
      </c>
      <c r="B3435" s="1" t="n">
        <v>45649</v>
      </c>
      <c r="C3435" s="1" t="n">
        <v>45740</v>
      </c>
      <c r="D3435" t="inlineStr">
        <is>
          <t>JÄMTLANDS LÄN</t>
        </is>
      </c>
      <c r="E3435" t="inlineStr">
        <is>
          <t>STRÖMSUND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52-2025</t>
        </is>
      </c>
      <c r="B3436" s="1" t="n">
        <v>45649</v>
      </c>
      <c r="C3436" s="1" t="n">
        <v>45740</v>
      </c>
      <c r="D3436" t="inlineStr">
        <is>
          <t>JÄMTLANDS LÄN</t>
        </is>
      </c>
      <c r="E3436" t="inlineStr">
        <is>
          <t>STRÖMSUND</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50-2025</t>
        </is>
      </c>
      <c r="B3437" s="1" t="n">
        <v>45649</v>
      </c>
      <c r="C3437" s="1" t="n">
        <v>45740</v>
      </c>
      <c r="D3437" t="inlineStr">
        <is>
          <t>JÄMTLANDS LÄN</t>
        </is>
      </c>
      <c r="E3437" t="inlineStr">
        <is>
          <t>STRÖMSUND</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61954-2024</t>
        </is>
      </c>
      <c r="B3438" s="1" t="n">
        <v>45653</v>
      </c>
      <c r="C3438" s="1" t="n">
        <v>45740</v>
      </c>
      <c r="D3438" t="inlineStr">
        <is>
          <t>JÄMTLANDS LÄN</t>
        </is>
      </c>
      <c r="E3438" t="inlineStr">
        <is>
          <t>STRÖMSUND</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61959-2024</t>
        </is>
      </c>
      <c r="B3439" s="1" t="n">
        <v>45653</v>
      </c>
      <c r="C3439" s="1" t="n">
        <v>45740</v>
      </c>
      <c r="D3439" t="inlineStr">
        <is>
          <t>JÄMTLANDS LÄN</t>
        </is>
      </c>
      <c r="E3439" t="inlineStr">
        <is>
          <t>STRÖMSUND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40-2025</t>
        </is>
      </c>
      <c r="B3440" s="1" t="n">
        <v>45659</v>
      </c>
      <c r="C3440" s="1" t="n">
        <v>45740</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135-2025</t>
        </is>
      </c>
      <c r="B3441" s="1" t="n">
        <v>45659</v>
      </c>
      <c r="C3441" s="1" t="n">
        <v>45740</v>
      </c>
      <c r="D3441" t="inlineStr">
        <is>
          <t>JÄMTLANDS LÄN</t>
        </is>
      </c>
      <c r="E3441" t="inlineStr">
        <is>
          <t>STRÖMSUND</t>
        </is>
      </c>
      <c r="F3441" t="inlineStr">
        <is>
          <t>SCA</t>
        </is>
      </c>
      <c r="G3441" t="n">
        <v>31.4</v>
      </c>
      <c r="H3441" t="n">
        <v>0</v>
      </c>
      <c r="I3441" t="n">
        <v>0</v>
      </c>
      <c r="J3441" t="n">
        <v>0</v>
      </c>
      <c r="K3441" t="n">
        <v>0</v>
      </c>
      <c r="L3441" t="n">
        <v>0</v>
      </c>
      <c r="M3441" t="n">
        <v>0</v>
      </c>
      <c r="N3441" t="n">
        <v>0</v>
      </c>
      <c r="O3441" t="n">
        <v>0</v>
      </c>
      <c r="P3441" t="n">
        <v>0</v>
      </c>
      <c r="Q3441" t="n">
        <v>0</v>
      </c>
      <c r="R3441" s="2" t="inlineStr"/>
    </row>
    <row r="3442" ht="15" customHeight="1">
      <c r="A3442" t="inlineStr">
        <is>
          <t>A 354-2025</t>
        </is>
      </c>
      <c r="B3442" s="1" t="n">
        <v>45659</v>
      </c>
      <c r="C3442" s="1" t="n">
        <v>45740</v>
      </c>
      <c r="D3442" t="inlineStr">
        <is>
          <t>JÄMTLANDS LÄN</t>
        </is>
      </c>
      <c r="E3442" t="inlineStr">
        <is>
          <t>STRÖMSUND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355-2025</t>
        </is>
      </c>
      <c r="B3443" s="1" t="n">
        <v>45659</v>
      </c>
      <c r="C3443" s="1" t="n">
        <v>45740</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294-2025</t>
        </is>
      </c>
      <c r="B3444" s="1" t="n">
        <v>45660</v>
      </c>
      <c r="C3444" s="1" t="n">
        <v>45740</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217-2025</t>
        </is>
      </c>
      <c r="B3445" s="1" t="n">
        <v>45660</v>
      </c>
      <c r="C3445" s="1" t="n">
        <v>45740</v>
      </c>
      <c r="D3445" t="inlineStr">
        <is>
          <t>JÄMTLANDS LÄN</t>
        </is>
      </c>
      <c r="E3445" t="inlineStr">
        <is>
          <t>STRÖMSUND</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293-2025</t>
        </is>
      </c>
      <c r="B3446" s="1" t="n">
        <v>45660</v>
      </c>
      <c r="C3446" s="1" t="n">
        <v>45740</v>
      </c>
      <c r="D3446" t="inlineStr">
        <is>
          <t>JÄMTLANDS LÄN</t>
        </is>
      </c>
      <c r="E3446" t="inlineStr">
        <is>
          <t>STRÖMSUND</t>
        </is>
      </c>
      <c r="F3446" t="inlineStr">
        <is>
          <t>SCA</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216-2025</t>
        </is>
      </c>
      <c r="B3447" s="1" t="n">
        <v>45660</v>
      </c>
      <c r="C3447" s="1" t="n">
        <v>45740</v>
      </c>
      <c r="D3447" t="inlineStr">
        <is>
          <t>JÄMTLANDS LÄN</t>
        </is>
      </c>
      <c r="E3447" t="inlineStr">
        <is>
          <t>STRÖMSUND</t>
        </is>
      </c>
      <c r="F3447" t="inlineStr">
        <is>
          <t>SCA</t>
        </is>
      </c>
      <c r="G3447" t="n">
        <v>33.5</v>
      </c>
      <c r="H3447" t="n">
        <v>0</v>
      </c>
      <c r="I3447" t="n">
        <v>0</v>
      </c>
      <c r="J3447" t="n">
        <v>0</v>
      </c>
      <c r="K3447" t="n">
        <v>0</v>
      </c>
      <c r="L3447" t="n">
        <v>0</v>
      </c>
      <c r="M3447" t="n">
        <v>0</v>
      </c>
      <c r="N3447" t="n">
        <v>0</v>
      </c>
      <c r="O3447" t="n">
        <v>0</v>
      </c>
      <c r="P3447" t="n">
        <v>0</v>
      </c>
      <c r="Q3447" t="n">
        <v>0</v>
      </c>
      <c r="R3447" s="2" t="inlineStr"/>
    </row>
    <row r="3448" ht="15" customHeight="1">
      <c r="A3448" t="inlineStr">
        <is>
          <t>A 292-2025</t>
        </is>
      </c>
      <c r="B3448" s="1" t="n">
        <v>45660</v>
      </c>
      <c r="C3448" s="1" t="n">
        <v>45740</v>
      </c>
      <c r="D3448" t="inlineStr">
        <is>
          <t>JÄMTLANDS LÄN</t>
        </is>
      </c>
      <c r="E3448" t="inlineStr">
        <is>
          <t>STRÖMSUND</t>
        </is>
      </c>
      <c r="F3448" t="inlineStr">
        <is>
          <t>SCA</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630-2025</t>
        </is>
      </c>
      <c r="B3449" s="1" t="n">
        <v>45664</v>
      </c>
      <c r="C3449" s="1" t="n">
        <v>45740</v>
      </c>
      <c r="D3449" t="inlineStr">
        <is>
          <t>JÄMTLANDS LÄN</t>
        </is>
      </c>
      <c r="E3449" t="inlineStr">
        <is>
          <t>STRÖMSUND</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473-2025</t>
        </is>
      </c>
      <c r="B3450" s="1" t="n">
        <v>45664</v>
      </c>
      <c r="C3450" s="1" t="n">
        <v>45740</v>
      </c>
      <c r="D3450" t="inlineStr">
        <is>
          <t>JÄMTLANDS LÄN</t>
        </is>
      </c>
      <c r="E3450" t="inlineStr">
        <is>
          <t>STRÖMSUND</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1126-2025</t>
        </is>
      </c>
      <c r="B3451" s="1" t="n">
        <v>45666</v>
      </c>
      <c r="C3451" s="1" t="n">
        <v>45740</v>
      </c>
      <c r="D3451" t="inlineStr">
        <is>
          <t>JÄMTLANDS LÄN</t>
        </is>
      </c>
      <c r="E3451" t="inlineStr">
        <is>
          <t>STRÖMSUND</t>
        </is>
      </c>
      <c r="F3451" t="inlineStr">
        <is>
          <t>SCA</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992-2025</t>
        </is>
      </c>
      <c r="B3452" s="1" t="n">
        <v>45666</v>
      </c>
      <c r="C3452" s="1" t="n">
        <v>45740</v>
      </c>
      <c r="D3452" t="inlineStr">
        <is>
          <t>JÄMTLANDS LÄN</t>
        </is>
      </c>
      <c r="E3452" t="inlineStr">
        <is>
          <t>STRÖMSUND</t>
        </is>
      </c>
      <c r="F3452" t="inlineStr">
        <is>
          <t>SCA</t>
        </is>
      </c>
      <c r="G3452" t="n">
        <v>16.4</v>
      </c>
      <c r="H3452" t="n">
        <v>0</v>
      </c>
      <c r="I3452" t="n">
        <v>0</v>
      </c>
      <c r="J3452" t="n">
        <v>0</v>
      </c>
      <c r="K3452" t="n">
        <v>0</v>
      </c>
      <c r="L3452" t="n">
        <v>0</v>
      </c>
      <c r="M3452" t="n">
        <v>0</v>
      </c>
      <c r="N3452" t="n">
        <v>0</v>
      </c>
      <c r="O3452" t="n">
        <v>0</v>
      </c>
      <c r="P3452" t="n">
        <v>0</v>
      </c>
      <c r="Q3452" t="n">
        <v>0</v>
      </c>
      <c r="R3452" s="2" t="inlineStr"/>
    </row>
    <row r="3453" ht="15" customHeight="1">
      <c r="A3453" t="inlineStr">
        <is>
          <t>A 1117-2025</t>
        </is>
      </c>
      <c r="B3453" s="1" t="n">
        <v>45666</v>
      </c>
      <c r="C3453" s="1" t="n">
        <v>45740</v>
      </c>
      <c r="D3453" t="inlineStr">
        <is>
          <t>JÄMTLANDS LÄN</t>
        </is>
      </c>
      <c r="E3453" t="inlineStr">
        <is>
          <t>STRÖMSUND</t>
        </is>
      </c>
      <c r="F3453" t="inlineStr">
        <is>
          <t>SCA</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1391-2025</t>
        </is>
      </c>
      <c r="B3454" s="1" t="n">
        <v>45667</v>
      </c>
      <c r="C3454" s="1" t="n">
        <v>45740</v>
      </c>
      <c r="D3454" t="inlineStr">
        <is>
          <t>JÄMTLANDS LÄN</t>
        </is>
      </c>
      <c r="E3454" t="inlineStr">
        <is>
          <t>STRÖMSUND</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1421-2025</t>
        </is>
      </c>
      <c r="B3455" s="1" t="n">
        <v>45668</v>
      </c>
      <c r="C3455" s="1" t="n">
        <v>45740</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1429-2025</t>
        </is>
      </c>
      <c r="B3456" s="1" t="n">
        <v>45669</v>
      </c>
      <c r="C3456" s="1" t="n">
        <v>45740</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1545-2025</t>
        </is>
      </c>
      <c r="B3457" s="1" t="n">
        <v>45670</v>
      </c>
      <c r="C3457" s="1" t="n">
        <v>45740</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1546-2025</t>
        </is>
      </c>
      <c r="B3458" s="1" t="n">
        <v>45670</v>
      </c>
      <c r="C3458" s="1" t="n">
        <v>45740</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1542-2025</t>
        </is>
      </c>
      <c r="B3459" s="1" t="n">
        <v>45670</v>
      </c>
      <c r="C3459" s="1" t="n">
        <v>45740</v>
      </c>
      <c r="D3459" t="inlineStr">
        <is>
          <t>JÄMTLANDS LÄN</t>
        </is>
      </c>
      <c r="E3459" t="inlineStr">
        <is>
          <t>STRÖMSUND</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1548-2025</t>
        </is>
      </c>
      <c r="B3460" s="1" t="n">
        <v>45670</v>
      </c>
      <c r="C3460" s="1" t="n">
        <v>45740</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1544-2025</t>
        </is>
      </c>
      <c r="B3461" s="1" t="n">
        <v>45670</v>
      </c>
      <c r="C3461" s="1" t="n">
        <v>45740</v>
      </c>
      <c r="D3461" t="inlineStr">
        <is>
          <t>JÄMTLANDS LÄN</t>
        </is>
      </c>
      <c r="E3461" t="inlineStr">
        <is>
          <t>STRÖMSUND</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1671-2025</t>
        </is>
      </c>
      <c r="B3462" s="1" t="n">
        <v>45670</v>
      </c>
      <c r="C3462" s="1" t="n">
        <v>45740</v>
      </c>
      <c r="D3462" t="inlineStr">
        <is>
          <t>JÄMTLANDS LÄN</t>
        </is>
      </c>
      <c r="E3462" t="inlineStr">
        <is>
          <t>STRÖMSUND</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45740</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1498-2025</t>
        </is>
      </c>
      <c r="B3464" s="1" t="n">
        <v>45670</v>
      </c>
      <c r="C3464" s="1" t="n">
        <v>45740</v>
      </c>
      <c r="D3464" t="inlineStr">
        <is>
          <t>JÄMTLANDS LÄN</t>
        </is>
      </c>
      <c r="E3464" t="inlineStr">
        <is>
          <t>STRÖMSUND</t>
        </is>
      </c>
      <c r="F3464" t="inlineStr">
        <is>
          <t>SCA</t>
        </is>
      </c>
      <c r="G3464" t="n">
        <v>22.6</v>
      </c>
      <c r="H3464" t="n">
        <v>0</v>
      </c>
      <c r="I3464" t="n">
        <v>0</v>
      </c>
      <c r="J3464" t="n">
        <v>0</v>
      </c>
      <c r="K3464" t="n">
        <v>0</v>
      </c>
      <c r="L3464" t="n">
        <v>0</v>
      </c>
      <c r="M3464" t="n">
        <v>0</v>
      </c>
      <c r="N3464" t="n">
        <v>0</v>
      </c>
      <c r="O3464" t="n">
        <v>0</v>
      </c>
      <c r="P3464" t="n">
        <v>0</v>
      </c>
      <c r="Q3464" t="n">
        <v>0</v>
      </c>
      <c r="R3464" s="2" t="inlineStr"/>
    </row>
    <row r="3465" ht="15" customHeight="1">
      <c r="A3465" t="inlineStr">
        <is>
          <t>A 1547-2025</t>
        </is>
      </c>
      <c r="B3465" s="1" t="n">
        <v>45670</v>
      </c>
      <c r="C3465" s="1" t="n">
        <v>45740</v>
      </c>
      <c r="D3465" t="inlineStr">
        <is>
          <t>JÄMTLANDS LÄN</t>
        </is>
      </c>
      <c r="E3465" t="inlineStr">
        <is>
          <t>STRÖMSUND</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1543-2025</t>
        </is>
      </c>
      <c r="B3466" s="1" t="n">
        <v>45670</v>
      </c>
      <c r="C3466" s="1" t="n">
        <v>45740</v>
      </c>
      <c r="D3466" t="inlineStr">
        <is>
          <t>JÄMTLANDS LÄN</t>
        </is>
      </c>
      <c r="E3466" t="inlineStr">
        <is>
          <t>STRÖMSUND</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1670-2025</t>
        </is>
      </c>
      <c r="B3467" s="1" t="n">
        <v>45670</v>
      </c>
      <c r="C3467" s="1" t="n">
        <v>45740</v>
      </c>
      <c r="D3467" t="inlineStr">
        <is>
          <t>JÄMTLANDS LÄN</t>
        </is>
      </c>
      <c r="E3467" t="inlineStr">
        <is>
          <t>STRÖMSUND</t>
        </is>
      </c>
      <c r="F3467" t="inlineStr">
        <is>
          <t>SCA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45740</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1722-2025</t>
        </is>
      </c>
      <c r="B3469" s="1" t="n">
        <v>45671</v>
      </c>
      <c r="C3469" s="1" t="n">
        <v>45740</v>
      </c>
      <c r="D3469" t="inlineStr">
        <is>
          <t>JÄMTLANDS LÄN</t>
        </is>
      </c>
      <c r="E3469" t="inlineStr">
        <is>
          <t>STRÖMSUND</t>
        </is>
      </c>
      <c r="F3469" t="inlineStr">
        <is>
          <t>SCA</t>
        </is>
      </c>
      <c r="G3469" t="n">
        <v>37.1</v>
      </c>
      <c r="H3469" t="n">
        <v>0</v>
      </c>
      <c r="I3469" t="n">
        <v>0</v>
      </c>
      <c r="J3469" t="n">
        <v>0</v>
      </c>
      <c r="K3469" t="n">
        <v>0</v>
      </c>
      <c r="L3469" t="n">
        <v>0</v>
      </c>
      <c r="M3469" t="n">
        <v>0</v>
      </c>
      <c r="N3469" t="n">
        <v>0</v>
      </c>
      <c r="O3469" t="n">
        <v>0</v>
      </c>
      <c r="P3469" t="n">
        <v>0</v>
      </c>
      <c r="Q3469" t="n">
        <v>0</v>
      </c>
      <c r="R3469" s="2" t="inlineStr"/>
    </row>
    <row r="3470" ht="15" customHeight="1">
      <c r="A3470" t="inlineStr">
        <is>
          <t>A 1721-2025</t>
        </is>
      </c>
      <c r="B3470" s="1" t="n">
        <v>45671</v>
      </c>
      <c r="C3470" s="1" t="n">
        <v>45740</v>
      </c>
      <c r="D3470" t="inlineStr">
        <is>
          <t>JÄMTLANDS LÄN</t>
        </is>
      </c>
      <c r="E3470" t="inlineStr">
        <is>
          <t>STRÖMSUND</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1822-2025</t>
        </is>
      </c>
      <c r="B3471" s="1" t="n">
        <v>45671</v>
      </c>
      <c r="C3471" s="1" t="n">
        <v>45740</v>
      </c>
      <c r="D3471" t="inlineStr">
        <is>
          <t>JÄMTLANDS LÄN</t>
        </is>
      </c>
      <c r="E3471" t="inlineStr">
        <is>
          <t>STRÖMSUND</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1878-2025</t>
        </is>
      </c>
      <c r="B3472" s="1" t="n">
        <v>45671</v>
      </c>
      <c r="C3472" s="1" t="n">
        <v>45740</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1824-2025</t>
        </is>
      </c>
      <c r="B3473" s="1" t="n">
        <v>45671</v>
      </c>
      <c r="C3473" s="1" t="n">
        <v>45740</v>
      </c>
      <c r="D3473" t="inlineStr">
        <is>
          <t>JÄMTLANDS LÄN</t>
        </is>
      </c>
      <c r="E3473" t="inlineStr">
        <is>
          <t>STRÖMSUND</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1823-2025</t>
        </is>
      </c>
      <c r="B3474" s="1" t="n">
        <v>45671</v>
      </c>
      <c r="C3474" s="1" t="n">
        <v>45740</v>
      </c>
      <c r="D3474" t="inlineStr">
        <is>
          <t>JÄMTLANDS LÄN</t>
        </is>
      </c>
      <c r="E3474" t="inlineStr">
        <is>
          <t>STRÖMSUND</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1925-2025</t>
        </is>
      </c>
      <c r="B3475" s="1" t="n">
        <v>45671</v>
      </c>
      <c r="C3475" s="1" t="n">
        <v>45740</v>
      </c>
      <c r="D3475" t="inlineStr">
        <is>
          <t>JÄMTLANDS LÄN</t>
        </is>
      </c>
      <c r="E3475" t="inlineStr">
        <is>
          <t>STRÖMSUND</t>
        </is>
      </c>
      <c r="F3475" t="inlineStr">
        <is>
          <t>SCA</t>
        </is>
      </c>
      <c r="G3475" t="n">
        <v>37.6</v>
      </c>
      <c r="H3475" t="n">
        <v>0</v>
      </c>
      <c r="I3475" t="n">
        <v>0</v>
      </c>
      <c r="J3475" t="n">
        <v>0</v>
      </c>
      <c r="K3475" t="n">
        <v>0</v>
      </c>
      <c r="L3475" t="n">
        <v>0</v>
      </c>
      <c r="M3475" t="n">
        <v>0</v>
      </c>
      <c r="N3475" t="n">
        <v>0</v>
      </c>
      <c r="O3475" t="n">
        <v>0</v>
      </c>
      <c r="P3475" t="n">
        <v>0</v>
      </c>
      <c r="Q3475" t="n">
        <v>0</v>
      </c>
      <c r="R3475" s="2" t="inlineStr"/>
    </row>
    <row r="3476" ht="15" customHeight="1">
      <c r="A3476" t="inlineStr">
        <is>
          <t>A 2124-2025</t>
        </is>
      </c>
      <c r="B3476" s="1" t="n">
        <v>45672</v>
      </c>
      <c r="C3476" s="1" t="n">
        <v>45740</v>
      </c>
      <c r="D3476" t="inlineStr">
        <is>
          <t>JÄMTLANDS LÄN</t>
        </is>
      </c>
      <c r="E3476" t="inlineStr">
        <is>
          <t>STRÖMSUND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2304-2025</t>
        </is>
      </c>
      <c r="B3477" s="1" t="n">
        <v>45673</v>
      </c>
      <c r="C3477" s="1" t="n">
        <v>45740</v>
      </c>
      <c r="D3477" t="inlineStr">
        <is>
          <t>JÄMTLANDS LÄN</t>
        </is>
      </c>
      <c r="E3477" t="inlineStr">
        <is>
          <t>STRÖMSUND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2568-2025</t>
        </is>
      </c>
      <c r="B3478" s="1" t="n">
        <v>45673</v>
      </c>
      <c r="C3478" s="1" t="n">
        <v>45740</v>
      </c>
      <c r="D3478" t="inlineStr">
        <is>
          <t>JÄMTLANDS LÄN</t>
        </is>
      </c>
      <c r="E3478" t="inlineStr">
        <is>
          <t>STRÖMSUND</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2533-2025</t>
        </is>
      </c>
      <c r="B3479" s="1" t="n">
        <v>45674</v>
      </c>
      <c r="C3479" s="1" t="n">
        <v>45740</v>
      </c>
      <c r="D3479" t="inlineStr">
        <is>
          <t>JÄMTLANDS LÄN</t>
        </is>
      </c>
      <c r="E3479" t="inlineStr">
        <is>
          <t>STRÖMSUND</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2535-2025</t>
        </is>
      </c>
      <c r="B3480" s="1" t="n">
        <v>45674</v>
      </c>
      <c r="C3480" s="1" t="n">
        <v>45740</v>
      </c>
      <c r="D3480" t="inlineStr">
        <is>
          <t>JÄMTLANDS LÄN</t>
        </is>
      </c>
      <c r="E3480" t="inlineStr">
        <is>
          <t>STRÖMSUND</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2534-2025</t>
        </is>
      </c>
      <c r="B3481" s="1" t="n">
        <v>45674</v>
      </c>
      <c r="C3481" s="1" t="n">
        <v>45740</v>
      </c>
      <c r="D3481" t="inlineStr">
        <is>
          <t>JÄMTLANDS LÄN</t>
        </is>
      </c>
      <c r="E3481" t="inlineStr">
        <is>
          <t>STRÖMSUND</t>
        </is>
      </c>
      <c r="F3481" t="inlineStr">
        <is>
          <t>SCA</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2618-2025</t>
        </is>
      </c>
      <c r="B3482" s="1" t="n">
        <v>45675</v>
      </c>
      <c r="C3482" s="1" t="n">
        <v>45740</v>
      </c>
      <c r="D3482" t="inlineStr">
        <is>
          <t>JÄMTLANDS LÄN</t>
        </is>
      </c>
      <c r="E3482" t="inlineStr">
        <is>
          <t>STRÖMSUND</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2686-2025</t>
        </is>
      </c>
      <c r="B3483" s="1" t="n">
        <v>45677</v>
      </c>
      <c r="C3483" s="1" t="n">
        <v>45740</v>
      </c>
      <c r="D3483" t="inlineStr">
        <is>
          <t>JÄMTLANDS LÄN</t>
        </is>
      </c>
      <c r="E3483" t="inlineStr">
        <is>
          <t>STRÖMSUND</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2749-2025</t>
        </is>
      </c>
      <c r="B3484" s="1" t="n">
        <v>45677</v>
      </c>
      <c r="C3484" s="1" t="n">
        <v>45740</v>
      </c>
      <c r="D3484" t="inlineStr">
        <is>
          <t>JÄMTLANDS LÄN</t>
        </is>
      </c>
      <c r="E3484" t="inlineStr">
        <is>
          <t>STRÖMSUND</t>
        </is>
      </c>
      <c r="G3484" t="n">
        <v>20.6</v>
      </c>
      <c r="H3484" t="n">
        <v>0</v>
      </c>
      <c r="I3484" t="n">
        <v>0</v>
      </c>
      <c r="J3484" t="n">
        <v>0</v>
      </c>
      <c r="K3484" t="n">
        <v>0</v>
      </c>
      <c r="L3484" t="n">
        <v>0</v>
      </c>
      <c r="M3484" t="n">
        <v>0</v>
      </c>
      <c r="N3484" t="n">
        <v>0</v>
      </c>
      <c r="O3484" t="n">
        <v>0</v>
      </c>
      <c r="P3484" t="n">
        <v>0</v>
      </c>
      <c r="Q3484" t="n">
        <v>0</v>
      </c>
      <c r="R3484" s="2" t="inlineStr"/>
    </row>
    <row r="3485" ht="15" customHeight="1">
      <c r="A3485" t="inlineStr">
        <is>
          <t>A 2808-2025</t>
        </is>
      </c>
      <c r="B3485" s="1" t="n">
        <v>45677</v>
      </c>
      <c r="C3485" s="1" t="n">
        <v>45740</v>
      </c>
      <c r="D3485" t="inlineStr">
        <is>
          <t>JÄMTLANDS LÄN</t>
        </is>
      </c>
      <c r="E3485" t="inlineStr">
        <is>
          <t>STRÖMSUND</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2990-2025</t>
        </is>
      </c>
      <c r="B3486" s="1" t="n">
        <v>45678</v>
      </c>
      <c r="C3486" s="1" t="n">
        <v>45740</v>
      </c>
      <c r="D3486" t="inlineStr">
        <is>
          <t>JÄMTLANDS LÄN</t>
        </is>
      </c>
      <c r="E3486" t="inlineStr">
        <is>
          <t>STRÖMSUND</t>
        </is>
      </c>
      <c r="F3486" t="inlineStr">
        <is>
          <t>SCA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3019-2025</t>
        </is>
      </c>
      <c r="B3487" s="1" t="n">
        <v>45678</v>
      </c>
      <c r="C3487" s="1" t="n">
        <v>45740</v>
      </c>
      <c r="D3487" t="inlineStr">
        <is>
          <t>JÄMTLANDS LÄN</t>
        </is>
      </c>
      <c r="E3487" t="inlineStr">
        <is>
          <t>STRÖMSUND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2989-2025</t>
        </is>
      </c>
      <c r="B3488" s="1" t="n">
        <v>45678</v>
      </c>
      <c r="C3488" s="1" t="n">
        <v>45740</v>
      </c>
      <c r="D3488" t="inlineStr">
        <is>
          <t>JÄMTLANDS LÄN</t>
        </is>
      </c>
      <c r="E3488" t="inlineStr">
        <is>
          <t>STRÖMSUND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3328-2025</t>
        </is>
      </c>
      <c r="B3489" s="1" t="n">
        <v>45679</v>
      </c>
      <c r="C3489" s="1" t="n">
        <v>45740</v>
      </c>
      <c r="D3489" t="inlineStr">
        <is>
          <t>JÄMTLANDS LÄN</t>
        </is>
      </c>
      <c r="E3489" t="inlineStr">
        <is>
          <t>STRÖMSUND</t>
        </is>
      </c>
      <c r="F3489" t="inlineStr">
        <is>
          <t>SCA</t>
        </is>
      </c>
      <c r="G3489" t="n">
        <v>24.7</v>
      </c>
      <c r="H3489" t="n">
        <v>0</v>
      </c>
      <c r="I3489" t="n">
        <v>0</v>
      </c>
      <c r="J3489" t="n">
        <v>0</v>
      </c>
      <c r="K3489" t="n">
        <v>0</v>
      </c>
      <c r="L3489" t="n">
        <v>0</v>
      </c>
      <c r="M3489" t="n">
        <v>0</v>
      </c>
      <c r="N3489" t="n">
        <v>0</v>
      </c>
      <c r="O3489" t="n">
        <v>0</v>
      </c>
      <c r="P3489" t="n">
        <v>0</v>
      </c>
      <c r="Q3489" t="n">
        <v>0</v>
      </c>
      <c r="R3489" s="2" t="inlineStr"/>
    </row>
    <row r="3490" ht="15" customHeight="1">
      <c r="A3490" t="inlineStr">
        <is>
          <t>A 3427-2025</t>
        </is>
      </c>
      <c r="B3490" s="1" t="n">
        <v>45680</v>
      </c>
      <c r="C3490" s="1" t="n">
        <v>45740</v>
      </c>
      <c r="D3490" t="inlineStr">
        <is>
          <t>JÄMTLANDS LÄN</t>
        </is>
      </c>
      <c r="E3490" t="inlineStr">
        <is>
          <t>STRÖMSUND</t>
        </is>
      </c>
      <c r="F3490" t="inlineStr">
        <is>
          <t>SCA</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3443-2025</t>
        </is>
      </c>
      <c r="B3491" s="1" t="n">
        <v>45680</v>
      </c>
      <c r="C3491" s="1" t="n">
        <v>45740</v>
      </c>
      <c r="D3491" t="inlineStr">
        <is>
          <t>JÄMTLANDS LÄN</t>
        </is>
      </c>
      <c r="E3491" t="inlineStr">
        <is>
          <t>STRÖMSUND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3388-2025</t>
        </is>
      </c>
      <c r="B3492" s="1" t="n">
        <v>45680</v>
      </c>
      <c r="C3492" s="1" t="n">
        <v>45740</v>
      </c>
      <c r="D3492" t="inlineStr">
        <is>
          <t>JÄMTLANDS LÄN</t>
        </is>
      </c>
      <c r="E3492" t="inlineStr">
        <is>
          <t>STRÖMSUND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45740</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3751-2025</t>
        </is>
      </c>
      <c r="B3494" s="1" t="n">
        <v>45681</v>
      </c>
      <c r="C3494" s="1" t="n">
        <v>45740</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3650-2025</t>
        </is>
      </c>
      <c r="B3495" s="1" t="n">
        <v>45681</v>
      </c>
      <c r="C3495" s="1" t="n">
        <v>45740</v>
      </c>
      <c r="D3495" t="inlineStr">
        <is>
          <t>JÄMTLANDS LÄN</t>
        </is>
      </c>
      <c r="E3495" t="inlineStr">
        <is>
          <t>STRÖMSUND</t>
        </is>
      </c>
      <c r="F3495" t="inlineStr">
        <is>
          <t>SCA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3667-2025</t>
        </is>
      </c>
      <c r="B3496" s="1" t="n">
        <v>45681</v>
      </c>
      <c r="C3496" s="1" t="n">
        <v>45740</v>
      </c>
      <c r="D3496" t="inlineStr">
        <is>
          <t>JÄMTLANDS LÄN</t>
        </is>
      </c>
      <c r="E3496" t="inlineStr">
        <is>
          <t>STRÖMSUND</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3695-2025</t>
        </is>
      </c>
      <c r="B3497" s="1" t="n">
        <v>45681</v>
      </c>
      <c r="C3497" s="1" t="n">
        <v>45740</v>
      </c>
      <c r="D3497" t="inlineStr">
        <is>
          <t>JÄMTLANDS LÄN</t>
        </is>
      </c>
      <c r="E3497" t="inlineStr">
        <is>
          <t>STRÖMSUND</t>
        </is>
      </c>
      <c r="F3497" t="inlineStr">
        <is>
          <t>SCA</t>
        </is>
      </c>
      <c r="G3497" t="n">
        <v>15.9</v>
      </c>
      <c r="H3497" t="n">
        <v>0</v>
      </c>
      <c r="I3497" t="n">
        <v>0</v>
      </c>
      <c r="J3497" t="n">
        <v>0</v>
      </c>
      <c r="K3497" t="n">
        <v>0</v>
      </c>
      <c r="L3497" t="n">
        <v>0</v>
      </c>
      <c r="M3497" t="n">
        <v>0</v>
      </c>
      <c r="N3497" t="n">
        <v>0</v>
      </c>
      <c r="O3497" t="n">
        <v>0</v>
      </c>
      <c r="P3497" t="n">
        <v>0</v>
      </c>
      <c r="Q3497" t="n">
        <v>0</v>
      </c>
      <c r="R3497" s="2" t="inlineStr"/>
    </row>
    <row r="3498" ht="15" customHeight="1">
      <c r="A3498" t="inlineStr">
        <is>
          <t>A 4043-2025</t>
        </is>
      </c>
      <c r="B3498" s="1" t="n">
        <v>45684</v>
      </c>
      <c r="C3498" s="1" t="n">
        <v>45740</v>
      </c>
      <c r="D3498" t="inlineStr">
        <is>
          <t>JÄMTLANDS LÄN</t>
        </is>
      </c>
      <c r="E3498" t="inlineStr">
        <is>
          <t>STRÖMSUND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3911-2025</t>
        </is>
      </c>
      <c r="B3499" s="1" t="n">
        <v>45684</v>
      </c>
      <c r="C3499" s="1" t="n">
        <v>45740</v>
      </c>
      <c r="D3499" t="inlineStr">
        <is>
          <t>JÄMTLANDS LÄN</t>
        </is>
      </c>
      <c r="E3499" t="inlineStr">
        <is>
          <t>STRÖMSUND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3918-2025</t>
        </is>
      </c>
      <c r="B3500" s="1" t="n">
        <v>45684</v>
      </c>
      <c r="C3500" s="1" t="n">
        <v>45740</v>
      </c>
      <c r="D3500" t="inlineStr">
        <is>
          <t>JÄMTLANDS LÄN</t>
        </is>
      </c>
      <c r="E3500" t="inlineStr">
        <is>
          <t>STRÖMSUND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4036-2025</t>
        </is>
      </c>
      <c r="B3501" s="1" t="n">
        <v>45684</v>
      </c>
      <c r="C3501" s="1" t="n">
        <v>45740</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45740</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3917-2025</t>
        </is>
      </c>
      <c r="B3503" s="1" t="n">
        <v>45684</v>
      </c>
      <c r="C3503" s="1" t="n">
        <v>45740</v>
      </c>
      <c r="D3503" t="inlineStr">
        <is>
          <t>JÄMTLANDS LÄN</t>
        </is>
      </c>
      <c r="E3503" t="inlineStr">
        <is>
          <t>STRÖMSUND</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4026-2025</t>
        </is>
      </c>
      <c r="B3504" s="1" t="n">
        <v>45684</v>
      </c>
      <c r="C3504" s="1" t="n">
        <v>45740</v>
      </c>
      <c r="D3504" t="inlineStr">
        <is>
          <t>JÄMTLANDS LÄN</t>
        </is>
      </c>
      <c r="E3504" t="inlineStr">
        <is>
          <t>STRÖMSUND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4034-2025</t>
        </is>
      </c>
      <c r="B3505" s="1" t="n">
        <v>45684</v>
      </c>
      <c r="C3505" s="1" t="n">
        <v>45740</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4042-2025</t>
        </is>
      </c>
      <c r="B3506" s="1" t="n">
        <v>45684</v>
      </c>
      <c r="C3506" s="1" t="n">
        <v>45740</v>
      </c>
      <c r="D3506" t="inlineStr">
        <is>
          <t>JÄMTLANDS LÄN</t>
        </is>
      </c>
      <c r="E3506" t="inlineStr">
        <is>
          <t>STRÖMSUND</t>
        </is>
      </c>
      <c r="F3506" t="inlineStr">
        <is>
          <t>SCA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45740</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4033-2025</t>
        </is>
      </c>
      <c r="B3508" s="1" t="n">
        <v>45684</v>
      </c>
      <c r="C3508" s="1" t="n">
        <v>45740</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4045-2025</t>
        </is>
      </c>
      <c r="B3509" s="1" t="n">
        <v>45684</v>
      </c>
      <c r="C3509" s="1" t="n">
        <v>45740</v>
      </c>
      <c r="D3509" t="inlineStr">
        <is>
          <t>JÄMTLANDS LÄN</t>
        </is>
      </c>
      <c r="E3509" t="inlineStr">
        <is>
          <t>STRÖMSUND</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4334-2025</t>
        </is>
      </c>
      <c r="B3510" s="1" t="n">
        <v>45685</v>
      </c>
      <c r="C3510" s="1" t="n">
        <v>45740</v>
      </c>
      <c r="D3510" t="inlineStr">
        <is>
          <t>JÄMTLANDS LÄN</t>
        </is>
      </c>
      <c r="E3510" t="inlineStr">
        <is>
          <t>STRÖMSUND</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4315-2025</t>
        </is>
      </c>
      <c r="B3511" s="1" t="n">
        <v>45685</v>
      </c>
      <c r="C3511" s="1" t="n">
        <v>45740</v>
      </c>
      <c r="D3511" t="inlineStr">
        <is>
          <t>JÄMTLANDS LÄN</t>
        </is>
      </c>
      <c r="E3511" t="inlineStr">
        <is>
          <t>STRÖMSUND</t>
        </is>
      </c>
      <c r="G3511" t="n">
        <v>9.4</v>
      </c>
      <c r="H3511" t="n">
        <v>0</v>
      </c>
      <c r="I3511" t="n">
        <v>0</v>
      </c>
      <c r="J3511" t="n">
        <v>0</v>
      </c>
      <c r="K3511" t="n">
        <v>0</v>
      </c>
      <c r="L3511" t="n">
        <v>0</v>
      </c>
      <c r="M3511" t="n">
        <v>0</v>
      </c>
      <c r="N3511" t="n">
        <v>0</v>
      </c>
      <c r="O3511" t="n">
        <v>0</v>
      </c>
      <c r="P3511" t="n">
        <v>0</v>
      </c>
      <c r="Q3511" t="n">
        <v>0</v>
      </c>
      <c r="R3511" s="2" t="inlineStr"/>
    </row>
    <row r="3512" ht="15" customHeight="1">
      <c r="A3512" t="inlineStr">
        <is>
          <t>A 4410-2025</t>
        </is>
      </c>
      <c r="B3512" s="1" t="n">
        <v>45686</v>
      </c>
      <c r="C3512" s="1" t="n">
        <v>45740</v>
      </c>
      <c r="D3512" t="inlineStr">
        <is>
          <t>JÄMTLANDS LÄN</t>
        </is>
      </c>
      <c r="E3512" t="inlineStr">
        <is>
          <t>STRÖMSUND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4370-2025</t>
        </is>
      </c>
      <c r="B3513" s="1" t="n">
        <v>45686</v>
      </c>
      <c r="C3513" s="1" t="n">
        <v>45740</v>
      </c>
      <c r="D3513" t="inlineStr">
        <is>
          <t>JÄMTLANDS LÄN</t>
        </is>
      </c>
      <c r="E3513" t="inlineStr">
        <is>
          <t>STRÖMSUND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45740</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4910-2025</t>
        </is>
      </c>
      <c r="B3515" s="1" t="n">
        <v>45688</v>
      </c>
      <c r="C3515" s="1" t="n">
        <v>45740</v>
      </c>
      <c r="D3515" t="inlineStr">
        <is>
          <t>JÄMTLANDS LÄN</t>
        </is>
      </c>
      <c r="E3515" t="inlineStr">
        <is>
          <t>STRÖMSUND</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4881-2025</t>
        </is>
      </c>
      <c r="B3516" s="1" t="n">
        <v>45688</v>
      </c>
      <c r="C3516" s="1" t="n">
        <v>45740</v>
      </c>
      <c r="D3516" t="inlineStr">
        <is>
          <t>JÄMTLANDS LÄN</t>
        </is>
      </c>
      <c r="E3516" t="inlineStr">
        <is>
          <t>STRÖMSUND</t>
        </is>
      </c>
      <c r="F3516" t="inlineStr">
        <is>
          <t>SCA</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4855-2025</t>
        </is>
      </c>
      <c r="B3517" s="1" t="n">
        <v>45688</v>
      </c>
      <c r="C3517" s="1" t="n">
        <v>45740</v>
      </c>
      <c r="D3517" t="inlineStr">
        <is>
          <t>JÄMTLANDS LÄN</t>
        </is>
      </c>
      <c r="E3517" t="inlineStr">
        <is>
          <t>STRÖMSUND</t>
        </is>
      </c>
      <c r="F3517" t="inlineStr">
        <is>
          <t>SCA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4835-2025</t>
        </is>
      </c>
      <c r="B3518" s="1" t="n">
        <v>45688</v>
      </c>
      <c r="C3518" s="1" t="n">
        <v>45740</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4860-2025</t>
        </is>
      </c>
      <c r="B3519" s="1" t="n">
        <v>45688</v>
      </c>
      <c r="C3519" s="1" t="n">
        <v>45740</v>
      </c>
      <c r="D3519" t="inlineStr">
        <is>
          <t>JÄMTLANDS LÄN</t>
        </is>
      </c>
      <c r="E3519" t="inlineStr">
        <is>
          <t>STRÖMSUND</t>
        </is>
      </c>
      <c r="F3519" t="inlineStr">
        <is>
          <t>SCA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5047-2025</t>
        </is>
      </c>
      <c r="B3520" s="1" t="n">
        <v>45691</v>
      </c>
      <c r="C3520" s="1" t="n">
        <v>45740</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5210-2025</t>
        </is>
      </c>
      <c r="B3521" s="1" t="n">
        <v>45691</v>
      </c>
      <c r="C3521" s="1" t="n">
        <v>45740</v>
      </c>
      <c r="D3521" t="inlineStr">
        <is>
          <t>JÄMTLANDS LÄN</t>
        </is>
      </c>
      <c r="E3521" t="inlineStr">
        <is>
          <t>STRÖMSUND</t>
        </is>
      </c>
      <c r="F3521" t="inlineStr">
        <is>
          <t>SCA</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5377-2025</t>
        </is>
      </c>
      <c r="B3522" s="1" t="n">
        <v>45692</v>
      </c>
      <c r="C3522" s="1" t="n">
        <v>45740</v>
      </c>
      <c r="D3522" t="inlineStr">
        <is>
          <t>JÄMTLANDS LÄN</t>
        </is>
      </c>
      <c r="E3522" t="inlineStr">
        <is>
          <t>STRÖMSUND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5607-2025</t>
        </is>
      </c>
      <c r="B3523" s="1" t="n">
        <v>45693</v>
      </c>
      <c r="C3523" s="1" t="n">
        <v>45740</v>
      </c>
      <c r="D3523" t="inlineStr">
        <is>
          <t>JÄMTLANDS LÄN</t>
        </is>
      </c>
      <c r="E3523" t="inlineStr">
        <is>
          <t>STRÖMSUND</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5617-2025</t>
        </is>
      </c>
      <c r="B3524" s="1" t="n">
        <v>45693</v>
      </c>
      <c r="C3524" s="1" t="n">
        <v>45740</v>
      </c>
      <c r="D3524" t="inlineStr">
        <is>
          <t>JÄMTLANDS LÄN</t>
        </is>
      </c>
      <c r="E3524" t="inlineStr">
        <is>
          <t>STRÖMSUND</t>
        </is>
      </c>
      <c r="F3524" t="inlineStr">
        <is>
          <t>SCA</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5627-2025</t>
        </is>
      </c>
      <c r="B3525" s="1" t="n">
        <v>45693</v>
      </c>
      <c r="C3525" s="1" t="n">
        <v>45740</v>
      </c>
      <c r="D3525" t="inlineStr">
        <is>
          <t>JÄMTLANDS LÄN</t>
        </is>
      </c>
      <c r="E3525" t="inlineStr">
        <is>
          <t>STRÖMSUND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5775-2025</t>
        </is>
      </c>
      <c r="B3526" s="1" t="n">
        <v>45694</v>
      </c>
      <c r="C3526" s="1" t="n">
        <v>45740</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5694-2025</t>
        </is>
      </c>
      <c r="B3527" s="1" t="n">
        <v>45694</v>
      </c>
      <c r="C3527" s="1" t="n">
        <v>45740</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5807-2025</t>
        </is>
      </c>
      <c r="B3528" s="1" t="n">
        <v>45694</v>
      </c>
      <c r="C3528" s="1" t="n">
        <v>45740</v>
      </c>
      <c r="D3528" t="inlineStr">
        <is>
          <t>JÄMTLANDS LÄN</t>
        </is>
      </c>
      <c r="E3528" t="inlineStr">
        <is>
          <t>STRÖMSUND</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5808-2025</t>
        </is>
      </c>
      <c r="B3529" s="1" t="n">
        <v>45694</v>
      </c>
      <c r="C3529" s="1" t="n">
        <v>45740</v>
      </c>
      <c r="D3529" t="inlineStr">
        <is>
          <t>JÄMTLANDS LÄN</t>
        </is>
      </c>
      <c r="E3529" t="inlineStr">
        <is>
          <t>STRÖMSUND</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45740</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45740</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5871-2025</t>
        </is>
      </c>
      <c r="B3532" s="1" t="n">
        <v>45695</v>
      </c>
      <c r="C3532" s="1" t="n">
        <v>45740</v>
      </c>
      <c r="D3532" t="inlineStr">
        <is>
          <t>JÄMTLANDS LÄN</t>
        </is>
      </c>
      <c r="E3532" t="inlineStr">
        <is>
          <t>STRÖMSUND</t>
        </is>
      </c>
      <c r="F3532" t="inlineStr">
        <is>
          <t>SCA</t>
        </is>
      </c>
      <c r="G3532" t="n">
        <v>32.6</v>
      </c>
      <c r="H3532" t="n">
        <v>0</v>
      </c>
      <c r="I3532" t="n">
        <v>0</v>
      </c>
      <c r="J3532" t="n">
        <v>0</v>
      </c>
      <c r="K3532" t="n">
        <v>0</v>
      </c>
      <c r="L3532" t="n">
        <v>0</v>
      </c>
      <c r="M3532" t="n">
        <v>0</v>
      </c>
      <c r="N3532" t="n">
        <v>0</v>
      </c>
      <c r="O3532" t="n">
        <v>0</v>
      </c>
      <c r="P3532" t="n">
        <v>0</v>
      </c>
      <c r="Q3532" t="n">
        <v>0</v>
      </c>
      <c r="R3532" s="2" t="inlineStr"/>
    </row>
    <row r="3533" ht="15" customHeight="1">
      <c r="A3533" t="inlineStr">
        <is>
          <t>A 5948-2025</t>
        </is>
      </c>
      <c r="B3533" s="1" t="n">
        <v>45695</v>
      </c>
      <c r="C3533" s="1" t="n">
        <v>45740</v>
      </c>
      <c r="D3533" t="inlineStr">
        <is>
          <t>JÄMTLANDS LÄN</t>
        </is>
      </c>
      <c r="E3533" t="inlineStr">
        <is>
          <t>STRÖMSUND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6129-2025</t>
        </is>
      </c>
      <c r="B3534" s="1" t="n">
        <v>45698</v>
      </c>
      <c r="C3534" s="1" t="n">
        <v>45740</v>
      </c>
      <c r="D3534" t="inlineStr">
        <is>
          <t>JÄMTLANDS LÄN</t>
        </is>
      </c>
      <c r="E3534" t="inlineStr">
        <is>
          <t>STRÖMSUND</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45740</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6172-2025</t>
        </is>
      </c>
      <c r="B3536" s="1" t="n">
        <v>45698</v>
      </c>
      <c r="C3536" s="1" t="n">
        <v>45740</v>
      </c>
      <c r="D3536" t="inlineStr">
        <is>
          <t>JÄMTLANDS LÄN</t>
        </is>
      </c>
      <c r="E3536" t="inlineStr">
        <is>
          <t>STRÖMSUND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6232-2025</t>
        </is>
      </c>
      <c r="B3537" s="1" t="n">
        <v>45698</v>
      </c>
      <c r="C3537" s="1" t="n">
        <v>45740</v>
      </c>
      <c r="D3537" t="inlineStr">
        <is>
          <t>JÄMTLANDS LÄN</t>
        </is>
      </c>
      <c r="E3537" t="inlineStr">
        <is>
          <t>STRÖMSUND</t>
        </is>
      </c>
      <c r="F3537" t="inlineStr">
        <is>
          <t>SCA</t>
        </is>
      </c>
      <c r="G3537" t="n">
        <v>24.2</v>
      </c>
      <c r="H3537" t="n">
        <v>0</v>
      </c>
      <c r="I3537" t="n">
        <v>0</v>
      </c>
      <c r="J3537" t="n">
        <v>0</v>
      </c>
      <c r="K3537" t="n">
        <v>0</v>
      </c>
      <c r="L3537" t="n">
        <v>0</v>
      </c>
      <c r="M3537" t="n">
        <v>0</v>
      </c>
      <c r="N3537" t="n">
        <v>0</v>
      </c>
      <c r="O3537" t="n">
        <v>0</v>
      </c>
      <c r="P3537" t="n">
        <v>0</v>
      </c>
      <c r="Q3537" t="n">
        <v>0</v>
      </c>
      <c r="R3537" s="2" t="inlineStr"/>
      <c r="U3537">
        <f>HYPERLINK("https://klasma.github.io/Logging_2313/knärot/A 6232-2025 karta knärot.png", "A 6232-2025")</f>
        <v/>
      </c>
      <c r="V3537">
        <f>HYPERLINK("https://klasma.github.io/Logging_2313/klagomål/A 6232-2025 FSC-klagomål.docx", "A 6232-2025")</f>
        <v/>
      </c>
      <c r="W3537">
        <f>HYPERLINK("https://klasma.github.io/Logging_2313/klagomålsmail/A 6232-2025 FSC-klagomål mail.docx", "A 6232-2025")</f>
        <v/>
      </c>
      <c r="X3537">
        <f>HYPERLINK("https://klasma.github.io/Logging_2313/tillsyn/A 6232-2025 tillsynsbegäran.docx", "A 6232-2025")</f>
        <v/>
      </c>
      <c r="Y3537">
        <f>HYPERLINK("https://klasma.github.io/Logging_2313/tillsynsmail/A 6232-2025 tillsynsbegäran mail.docx", "A 6232-2025")</f>
        <v/>
      </c>
    </row>
    <row r="3538" ht="15" customHeight="1">
      <c r="A3538" t="inlineStr">
        <is>
          <t>A 6527-2025</t>
        </is>
      </c>
      <c r="B3538" s="1" t="n">
        <v>45699</v>
      </c>
      <c r="C3538" s="1" t="n">
        <v>45740</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45740</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45740</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45740</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6414-2025</t>
        </is>
      </c>
      <c r="B3542" s="1" t="n">
        <v>45699</v>
      </c>
      <c r="C3542" s="1" t="n">
        <v>45740</v>
      </c>
      <c r="D3542" t="inlineStr">
        <is>
          <t>JÄMTLANDS LÄN</t>
        </is>
      </c>
      <c r="E3542" t="inlineStr">
        <is>
          <t>STRÖMSUND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6347-2025</t>
        </is>
      </c>
      <c r="B3543" s="1" t="n">
        <v>45699</v>
      </c>
      <c r="C3543" s="1" t="n">
        <v>45740</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6502-2025</t>
        </is>
      </c>
      <c r="B3544" s="1" t="n">
        <v>45699</v>
      </c>
      <c r="C3544" s="1" t="n">
        <v>45740</v>
      </c>
      <c r="D3544" t="inlineStr">
        <is>
          <t>JÄMTLANDS LÄN</t>
        </is>
      </c>
      <c r="E3544" t="inlineStr">
        <is>
          <t>STRÖMSUND</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6685-2025</t>
        </is>
      </c>
      <c r="B3545" s="1" t="n">
        <v>45700</v>
      </c>
      <c r="C3545" s="1" t="n">
        <v>45740</v>
      </c>
      <c r="D3545" t="inlineStr">
        <is>
          <t>JÄMTLANDS LÄN</t>
        </is>
      </c>
      <c r="E3545" t="inlineStr">
        <is>
          <t>STRÖMSUND</t>
        </is>
      </c>
      <c r="F3545" t="inlineStr">
        <is>
          <t>SCA</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45740</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6787-2025</t>
        </is>
      </c>
      <c r="B3547" s="1" t="n">
        <v>45700</v>
      </c>
      <c r="C3547" s="1" t="n">
        <v>45740</v>
      </c>
      <c r="D3547" t="inlineStr">
        <is>
          <t>JÄMTLANDS LÄN</t>
        </is>
      </c>
      <c r="E3547" t="inlineStr">
        <is>
          <t>STRÖMSUND</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7082-2025</t>
        </is>
      </c>
      <c r="B3548" s="1" t="n">
        <v>45701</v>
      </c>
      <c r="C3548" s="1" t="n">
        <v>45740</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6883-2025</t>
        </is>
      </c>
      <c r="B3549" s="1" t="n">
        <v>45701</v>
      </c>
      <c r="C3549" s="1" t="n">
        <v>45740</v>
      </c>
      <c r="D3549" t="inlineStr">
        <is>
          <t>JÄMTLANDS LÄN</t>
        </is>
      </c>
      <c r="E3549" t="inlineStr">
        <is>
          <t>STRÖMSUND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6879-2025</t>
        </is>
      </c>
      <c r="B3550" s="1" t="n">
        <v>45701</v>
      </c>
      <c r="C3550" s="1" t="n">
        <v>45740</v>
      </c>
      <c r="D3550" t="inlineStr">
        <is>
          <t>JÄMTLANDS LÄN</t>
        </is>
      </c>
      <c r="E3550" t="inlineStr">
        <is>
          <t>STRÖMSUND</t>
        </is>
      </c>
      <c r="F3550" t="inlineStr">
        <is>
          <t>SCA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45740</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6885-2025</t>
        </is>
      </c>
      <c r="B3552" s="1" t="n">
        <v>45701</v>
      </c>
      <c r="C3552" s="1" t="n">
        <v>45740</v>
      </c>
      <c r="D3552" t="inlineStr">
        <is>
          <t>JÄMTLANDS LÄN</t>
        </is>
      </c>
      <c r="E3552" t="inlineStr">
        <is>
          <t>STRÖMSUND</t>
        </is>
      </c>
      <c r="F3552" t="inlineStr">
        <is>
          <t>SCA</t>
        </is>
      </c>
      <c r="G3552" t="n">
        <v>15.2</v>
      </c>
      <c r="H3552" t="n">
        <v>0</v>
      </c>
      <c r="I3552" t="n">
        <v>0</v>
      </c>
      <c r="J3552" t="n">
        <v>0</v>
      </c>
      <c r="K3552" t="n">
        <v>0</v>
      </c>
      <c r="L3552" t="n">
        <v>0</v>
      </c>
      <c r="M3552" t="n">
        <v>0</v>
      </c>
      <c r="N3552" t="n">
        <v>0</v>
      </c>
      <c r="O3552" t="n">
        <v>0</v>
      </c>
      <c r="P3552" t="n">
        <v>0</v>
      </c>
      <c r="Q3552" t="n">
        <v>0</v>
      </c>
      <c r="R3552" s="2" t="inlineStr"/>
    </row>
    <row r="3553" ht="15" customHeight="1">
      <c r="A3553" t="inlineStr">
        <is>
          <t>A 7124-2025</t>
        </is>
      </c>
      <c r="B3553" s="1" t="n">
        <v>45702</v>
      </c>
      <c r="C3553" s="1" t="n">
        <v>45740</v>
      </c>
      <c r="D3553" t="inlineStr">
        <is>
          <t>JÄMTLANDS LÄN</t>
        </is>
      </c>
      <c r="E3553" t="inlineStr">
        <is>
          <t>STRÖMSUND</t>
        </is>
      </c>
      <c r="F3553" t="inlineStr">
        <is>
          <t>SCA</t>
        </is>
      </c>
      <c r="G3553" t="n">
        <v>25.7</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45740</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45740</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45740</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7135-2025</t>
        </is>
      </c>
      <c r="B3557" s="1" t="n">
        <v>45702</v>
      </c>
      <c r="C3557" s="1" t="n">
        <v>45740</v>
      </c>
      <c r="D3557" t="inlineStr">
        <is>
          <t>JÄMTLANDS LÄN</t>
        </is>
      </c>
      <c r="E3557" t="inlineStr">
        <is>
          <t>STRÖMSUND</t>
        </is>
      </c>
      <c r="F3557" t="inlineStr">
        <is>
          <t>SCA</t>
        </is>
      </c>
      <c r="G3557" t="n">
        <v>32.9</v>
      </c>
      <c r="H3557" t="n">
        <v>0</v>
      </c>
      <c r="I3557" t="n">
        <v>0</v>
      </c>
      <c r="J3557" t="n">
        <v>0</v>
      </c>
      <c r="K3557" t="n">
        <v>0</v>
      </c>
      <c r="L3557" t="n">
        <v>0</v>
      </c>
      <c r="M3557" t="n">
        <v>0</v>
      </c>
      <c r="N3557" t="n">
        <v>0</v>
      </c>
      <c r="O3557" t="n">
        <v>0</v>
      </c>
      <c r="P3557" t="n">
        <v>0</v>
      </c>
      <c r="Q3557" t="n">
        <v>0</v>
      </c>
      <c r="R3557" s="2" t="inlineStr"/>
    </row>
    <row r="3558" ht="15" customHeight="1">
      <c r="A3558" t="inlineStr">
        <is>
          <t>A 7479-2025</t>
        </is>
      </c>
      <c r="B3558" s="1" t="n">
        <v>45705</v>
      </c>
      <c r="C3558" s="1" t="n">
        <v>45740</v>
      </c>
      <c r="D3558" t="inlineStr">
        <is>
          <t>JÄMTLANDS LÄN</t>
        </is>
      </c>
      <c r="E3558" t="inlineStr">
        <is>
          <t>STRÖMSUND</t>
        </is>
      </c>
      <c r="F3558" t="inlineStr">
        <is>
          <t>SCA</t>
        </is>
      </c>
      <c r="G3558" t="n">
        <v>17.2</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45740</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45740</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45740</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7546-2025</t>
        </is>
      </c>
      <c r="B3562" s="1" t="n">
        <v>45705</v>
      </c>
      <c r="C3562" s="1" t="n">
        <v>45740</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7542-2025</t>
        </is>
      </c>
      <c r="B3563" s="1" t="n">
        <v>45705</v>
      </c>
      <c r="C3563" s="1" t="n">
        <v>45740</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7544-2025</t>
        </is>
      </c>
      <c r="B3564" s="1" t="n">
        <v>45705</v>
      </c>
      <c r="C3564" s="1" t="n">
        <v>45740</v>
      </c>
      <c r="D3564" t="inlineStr">
        <is>
          <t>JÄMTLANDS LÄN</t>
        </is>
      </c>
      <c r="E3564" t="inlineStr">
        <is>
          <t>STRÖMSUND</t>
        </is>
      </c>
      <c r="F3564" t="inlineStr">
        <is>
          <t>SCA</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45740</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45740</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45740</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7999-2025</t>
        </is>
      </c>
      <c r="B3568" s="1" t="n">
        <v>45706</v>
      </c>
      <c r="C3568" s="1" t="n">
        <v>45740</v>
      </c>
      <c r="D3568" t="inlineStr">
        <is>
          <t>JÄMTLANDS LÄN</t>
        </is>
      </c>
      <c r="E3568" t="inlineStr">
        <is>
          <t>STRÖMSUND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8480-2025</t>
        </is>
      </c>
      <c r="B3569" s="1" t="n">
        <v>45706</v>
      </c>
      <c r="C3569" s="1" t="n">
        <v>45740</v>
      </c>
      <c r="D3569" t="inlineStr">
        <is>
          <t>JÄMTLANDS LÄN</t>
        </is>
      </c>
      <c r="E3569" t="inlineStr">
        <is>
          <t>STRÖMSUND</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45740</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7964-2025</t>
        </is>
      </c>
      <c r="B3571" s="1" t="n">
        <v>45707</v>
      </c>
      <c r="C3571" s="1" t="n">
        <v>45740</v>
      </c>
      <c r="D3571" t="inlineStr">
        <is>
          <t>JÄMTLANDS LÄN</t>
        </is>
      </c>
      <c r="E3571" t="inlineStr">
        <is>
          <t>STRÖMSUND</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45740</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8347-2025</t>
        </is>
      </c>
      <c r="B3573" s="1" t="n">
        <v>45708</v>
      </c>
      <c r="C3573" s="1" t="n">
        <v>45740</v>
      </c>
      <c r="D3573" t="inlineStr">
        <is>
          <t>JÄMTLANDS LÄN</t>
        </is>
      </c>
      <c r="E3573" t="inlineStr">
        <is>
          <t>STRÖMSUND</t>
        </is>
      </c>
      <c r="F3573" t="inlineStr">
        <is>
          <t>SCA</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8325-2025</t>
        </is>
      </c>
      <c r="B3574" s="1" t="n">
        <v>45708</v>
      </c>
      <c r="C3574" s="1" t="n">
        <v>45740</v>
      </c>
      <c r="D3574" t="inlineStr">
        <is>
          <t>JÄMTLANDS LÄN</t>
        </is>
      </c>
      <c r="E3574" t="inlineStr">
        <is>
          <t>STRÖMSUND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45740</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8158-2025</t>
        </is>
      </c>
      <c r="B3576" s="1" t="n">
        <v>45708</v>
      </c>
      <c r="C3576" s="1" t="n">
        <v>45740</v>
      </c>
      <c r="D3576" t="inlineStr">
        <is>
          <t>JÄMTLANDS LÄN</t>
        </is>
      </c>
      <c r="E3576" t="inlineStr">
        <is>
          <t>STRÖMSUND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8327-2025</t>
        </is>
      </c>
      <c r="B3577" s="1" t="n">
        <v>45708</v>
      </c>
      <c r="C3577" s="1" t="n">
        <v>45740</v>
      </c>
      <c r="D3577" t="inlineStr">
        <is>
          <t>JÄMTLANDS LÄN</t>
        </is>
      </c>
      <c r="E3577" t="inlineStr">
        <is>
          <t>STRÖMSUND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8495-2025</t>
        </is>
      </c>
      <c r="B3578" s="1" t="n">
        <v>45709</v>
      </c>
      <c r="C3578" s="1" t="n">
        <v>45740</v>
      </c>
      <c r="D3578" t="inlineStr">
        <is>
          <t>JÄMTLANDS LÄN</t>
        </is>
      </c>
      <c r="E3578" t="inlineStr">
        <is>
          <t>STRÖMSUND</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45740</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8660-2025</t>
        </is>
      </c>
      <c r="B3580" s="1" t="n">
        <v>45712</v>
      </c>
      <c r="C3580" s="1" t="n">
        <v>45740</v>
      </c>
      <c r="D3580" t="inlineStr">
        <is>
          <t>JÄMTLANDS LÄN</t>
        </is>
      </c>
      <c r="E3580" t="inlineStr">
        <is>
          <t>STRÖMSUND</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8758-2025</t>
        </is>
      </c>
      <c r="B3581" s="1" t="n">
        <v>45712</v>
      </c>
      <c r="C3581" s="1" t="n">
        <v>45740</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8756-2025</t>
        </is>
      </c>
      <c r="B3582" s="1" t="n">
        <v>45712</v>
      </c>
      <c r="C3582" s="1" t="n">
        <v>45740</v>
      </c>
      <c r="D3582" t="inlineStr">
        <is>
          <t>JÄMTLANDS LÄN</t>
        </is>
      </c>
      <c r="E3582" t="inlineStr">
        <is>
          <t>STRÖMSUND</t>
        </is>
      </c>
      <c r="F3582" t="inlineStr">
        <is>
          <t>SCA</t>
        </is>
      </c>
      <c r="G3582" t="n">
        <v>27.9</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45740</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45740</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8809-2025</t>
        </is>
      </c>
      <c r="B3585" s="1" t="n">
        <v>45712</v>
      </c>
      <c r="C3585" s="1" t="n">
        <v>45740</v>
      </c>
      <c r="D3585" t="inlineStr">
        <is>
          <t>JÄMTLANDS LÄN</t>
        </is>
      </c>
      <c r="E3585" t="inlineStr">
        <is>
          <t>STRÖMSUND</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9008-2025</t>
        </is>
      </c>
      <c r="B3586" s="1" t="n">
        <v>45713</v>
      </c>
      <c r="C3586" s="1" t="n">
        <v>45740</v>
      </c>
      <c r="D3586" t="inlineStr">
        <is>
          <t>JÄMTLANDS LÄN</t>
        </is>
      </c>
      <c r="E3586" t="inlineStr">
        <is>
          <t>STRÖMSUND</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9195-2025</t>
        </is>
      </c>
      <c r="B3587" s="1" t="n">
        <v>45714</v>
      </c>
      <c r="C3587" s="1" t="n">
        <v>45740</v>
      </c>
      <c r="D3587" t="inlineStr">
        <is>
          <t>JÄMTLANDS LÄN</t>
        </is>
      </c>
      <c r="E3587" t="inlineStr">
        <is>
          <t>STRÖMSUND</t>
        </is>
      </c>
      <c r="F3587" t="inlineStr">
        <is>
          <t>SCA</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9257-2025</t>
        </is>
      </c>
      <c r="B3588" s="1" t="n">
        <v>45714</v>
      </c>
      <c r="C3588" s="1" t="n">
        <v>45740</v>
      </c>
      <c r="D3588" t="inlineStr">
        <is>
          <t>JÄMTLANDS LÄN</t>
        </is>
      </c>
      <c r="E3588" t="inlineStr">
        <is>
          <t>STRÖMSUND</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9234-2025</t>
        </is>
      </c>
      <c r="B3589" s="1" t="n">
        <v>45714</v>
      </c>
      <c r="C3589" s="1" t="n">
        <v>45740</v>
      </c>
      <c r="D3589" t="inlineStr">
        <is>
          <t>JÄMTLANDS LÄN</t>
        </is>
      </c>
      <c r="E3589" t="inlineStr">
        <is>
          <t>STRÖMSUND</t>
        </is>
      </c>
      <c r="F3589" t="inlineStr">
        <is>
          <t>SCA</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9258-2025</t>
        </is>
      </c>
      <c r="B3590" s="1" t="n">
        <v>45714</v>
      </c>
      <c r="C3590" s="1" t="n">
        <v>45740</v>
      </c>
      <c r="D3590" t="inlineStr">
        <is>
          <t>JÄMTLANDS LÄN</t>
        </is>
      </c>
      <c r="E3590" t="inlineStr">
        <is>
          <t>STRÖMSUND</t>
        </is>
      </c>
      <c r="F3590" t="inlineStr">
        <is>
          <t>SCA</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9318-2025</t>
        </is>
      </c>
      <c r="B3591" s="1" t="n">
        <v>45714</v>
      </c>
      <c r="C3591" s="1" t="n">
        <v>45740</v>
      </c>
      <c r="D3591" t="inlineStr">
        <is>
          <t>JÄMTLANDS LÄN</t>
        </is>
      </c>
      <c r="E3591" t="inlineStr">
        <is>
          <t>STRÖMSUND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9390-2025</t>
        </is>
      </c>
      <c r="B3592" s="1" t="n">
        <v>45714</v>
      </c>
      <c r="C3592" s="1" t="n">
        <v>45740</v>
      </c>
      <c r="D3592" t="inlineStr">
        <is>
          <t>JÄMTLANDS LÄN</t>
        </is>
      </c>
      <c r="E3592" t="inlineStr">
        <is>
          <t>STRÖMSUND</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9631-2025</t>
        </is>
      </c>
      <c r="B3593" s="1" t="n">
        <v>45715</v>
      </c>
      <c r="C3593" s="1" t="n">
        <v>45740</v>
      </c>
      <c r="D3593" t="inlineStr">
        <is>
          <t>JÄMTLANDS LÄN</t>
        </is>
      </c>
      <c r="E3593" t="inlineStr">
        <is>
          <t>STRÖMSUND</t>
        </is>
      </c>
      <c r="F3593" t="inlineStr">
        <is>
          <t>SCA</t>
        </is>
      </c>
      <c r="G3593" t="n">
        <v>19.3</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45740</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45740</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9798-2025</t>
        </is>
      </c>
      <c r="B3596" s="1" t="n">
        <v>45716</v>
      </c>
      <c r="C3596" s="1" t="n">
        <v>45740</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9956-2025</t>
        </is>
      </c>
      <c r="B3597" s="1" t="n">
        <v>45719</v>
      </c>
      <c r="C3597" s="1" t="n">
        <v>45740</v>
      </c>
      <c r="D3597" t="inlineStr">
        <is>
          <t>JÄMTLANDS LÄN</t>
        </is>
      </c>
      <c r="E3597" t="inlineStr">
        <is>
          <t>STRÖMSUND</t>
        </is>
      </c>
      <c r="F3597" t="inlineStr">
        <is>
          <t>Holmen skog AB</t>
        </is>
      </c>
      <c r="G3597" t="n">
        <v>21.4</v>
      </c>
      <c r="H3597" t="n">
        <v>0</v>
      </c>
      <c r="I3597" t="n">
        <v>0</v>
      </c>
      <c r="J3597" t="n">
        <v>0</v>
      </c>
      <c r="K3597" t="n">
        <v>0</v>
      </c>
      <c r="L3597" t="n">
        <v>0</v>
      </c>
      <c r="M3597" t="n">
        <v>0</v>
      </c>
      <c r="N3597" t="n">
        <v>0</v>
      </c>
      <c r="O3597" t="n">
        <v>0</v>
      </c>
      <c r="P3597" t="n">
        <v>0</v>
      </c>
      <c r="Q3597" t="n">
        <v>0</v>
      </c>
      <c r="R3597" s="2" t="inlineStr"/>
    </row>
    <row r="3598" ht="15" customHeight="1">
      <c r="A3598" t="inlineStr">
        <is>
          <t>A 9949-2025</t>
        </is>
      </c>
      <c r="B3598" s="1" t="n">
        <v>45719</v>
      </c>
      <c r="C3598" s="1" t="n">
        <v>45740</v>
      </c>
      <c r="D3598" t="inlineStr">
        <is>
          <t>JÄMTLANDS LÄN</t>
        </is>
      </c>
      <c r="E3598" t="inlineStr">
        <is>
          <t>STRÖMSUND</t>
        </is>
      </c>
      <c r="F3598" t="inlineStr">
        <is>
          <t>Holmen skog AB</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10092-2025</t>
        </is>
      </c>
      <c r="B3599" s="1" t="n">
        <v>45719</v>
      </c>
      <c r="C3599" s="1" t="n">
        <v>45740</v>
      </c>
      <c r="D3599" t="inlineStr">
        <is>
          <t>JÄMTLANDS LÄN</t>
        </is>
      </c>
      <c r="E3599" t="inlineStr">
        <is>
          <t>STRÖMSUND</t>
        </is>
      </c>
      <c r="G3599" t="n">
        <v>59.9</v>
      </c>
      <c r="H3599" t="n">
        <v>0</v>
      </c>
      <c r="I3599" t="n">
        <v>0</v>
      </c>
      <c r="J3599" t="n">
        <v>0</v>
      </c>
      <c r="K3599" t="n">
        <v>0</v>
      </c>
      <c r="L3599" t="n">
        <v>0</v>
      </c>
      <c r="M3599" t="n">
        <v>0</v>
      </c>
      <c r="N3599" t="n">
        <v>0</v>
      </c>
      <c r="O3599" t="n">
        <v>0</v>
      </c>
      <c r="P3599" t="n">
        <v>0</v>
      </c>
      <c r="Q3599" t="n">
        <v>0</v>
      </c>
      <c r="R3599" s="2" t="inlineStr"/>
    </row>
    <row r="3600" ht="15" customHeight="1">
      <c r="A3600" t="inlineStr">
        <is>
          <t>A 10089-2025</t>
        </is>
      </c>
      <c r="B3600" s="1" t="n">
        <v>45719</v>
      </c>
      <c r="C3600" s="1" t="n">
        <v>45740</v>
      </c>
      <c r="D3600" t="inlineStr">
        <is>
          <t>JÄMTLANDS LÄN</t>
        </is>
      </c>
      <c r="E3600" t="inlineStr">
        <is>
          <t>STRÖMSUND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10093-2025</t>
        </is>
      </c>
      <c r="B3601" s="1" t="n">
        <v>45719</v>
      </c>
      <c r="C3601" s="1" t="n">
        <v>45740</v>
      </c>
      <c r="D3601" t="inlineStr">
        <is>
          <t>JÄMTLANDS LÄN</t>
        </is>
      </c>
      <c r="E3601" t="inlineStr">
        <is>
          <t>STRÖMSUND</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10016-2025</t>
        </is>
      </c>
      <c r="B3602" s="1" t="n">
        <v>45719</v>
      </c>
      <c r="C3602" s="1" t="n">
        <v>45740</v>
      </c>
      <c r="D3602" t="inlineStr">
        <is>
          <t>JÄMTLANDS LÄN</t>
        </is>
      </c>
      <c r="E3602" t="inlineStr">
        <is>
          <t>STRÖMSUND</t>
        </is>
      </c>
      <c r="F3602" t="inlineStr">
        <is>
          <t>SCA</t>
        </is>
      </c>
      <c r="G3602" t="n">
        <v>14.3</v>
      </c>
      <c r="H3602" t="n">
        <v>0</v>
      </c>
      <c r="I3602" t="n">
        <v>0</v>
      </c>
      <c r="J3602" t="n">
        <v>0</v>
      </c>
      <c r="K3602" t="n">
        <v>0</v>
      </c>
      <c r="L3602" t="n">
        <v>0</v>
      </c>
      <c r="M3602" t="n">
        <v>0</v>
      </c>
      <c r="N3602" t="n">
        <v>0</v>
      </c>
      <c r="O3602" t="n">
        <v>0</v>
      </c>
      <c r="P3602" t="n">
        <v>0</v>
      </c>
      <c r="Q3602" t="n">
        <v>0</v>
      </c>
      <c r="R3602" s="2" t="inlineStr"/>
    </row>
    <row r="3603" ht="15" customHeight="1">
      <c r="A3603" t="inlineStr">
        <is>
          <t>A 10091-2025</t>
        </is>
      </c>
      <c r="B3603" s="1" t="n">
        <v>45719</v>
      </c>
      <c r="C3603" s="1" t="n">
        <v>45740</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10163-2025</t>
        </is>
      </c>
      <c r="B3604" s="1" t="n">
        <v>45719</v>
      </c>
      <c r="C3604" s="1" t="n">
        <v>45740</v>
      </c>
      <c r="D3604" t="inlineStr">
        <is>
          <t>JÄMTLANDS LÄN</t>
        </is>
      </c>
      <c r="E3604" t="inlineStr">
        <is>
          <t>STRÖMSUND</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10047-2025</t>
        </is>
      </c>
      <c r="B3605" s="1" t="n">
        <v>45719</v>
      </c>
      <c r="C3605" s="1" t="n">
        <v>45740</v>
      </c>
      <c r="D3605" t="inlineStr">
        <is>
          <t>JÄMTLANDS LÄN</t>
        </is>
      </c>
      <c r="E3605" t="inlineStr">
        <is>
          <t>STRÖMSUND</t>
        </is>
      </c>
      <c r="F3605" t="inlineStr">
        <is>
          <t>SCA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10132-2025</t>
        </is>
      </c>
      <c r="B3606" s="1" t="n">
        <v>45719</v>
      </c>
      <c r="C3606" s="1" t="n">
        <v>45740</v>
      </c>
      <c r="D3606" t="inlineStr">
        <is>
          <t>JÄMTLANDS LÄN</t>
        </is>
      </c>
      <c r="E3606" t="inlineStr">
        <is>
          <t>STRÖMSUND</t>
        </is>
      </c>
      <c r="F3606" t="inlineStr">
        <is>
          <t>SCA</t>
        </is>
      </c>
      <c r="G3606" t="n">
        <v>30.1</v>
      </c>
      <c r="H3606" t="n">
        <v>0</v>
      </c>
      <c r="I3606" t="n">
        <v>0</v>
      </c>
      <c r="J3606" t="n">
        <v>0</v>
      </c>
      <c r="K3606" t="n">
        <v>0</v>
      </c>
      <c r="L3606" t="n">
        <v>0</v>
      </c>
      <c r="M3606" t="n">
        <v>0</v>
      </c>
      <c r="N3606" t="n">
        <v>0</v>
      </c>
      <c r="O3606" t="n">
        <v>0</v>
      </c>
      <c r="P3606" t="n">
        <v>0</v>
      </c>
      <c r="Q3606" t="n">
        <v>0</v>
      </c>
      <c r="R3606" s="2" t="inlineStr"/>
    </row>
    <row r="3607" ht="15" customHeight="1">
      <c r="A3607" t="inlineStr">
        <is>
          <t>A 10168-2025</t>
        </is>
      </c>
      <c r="B3607" s="1" t="n">
        <v>45719</v>
      </c>
      <c r="C3607" s="1" t="n">
        <v>45740</v>
      </c>
      <c r="D3607" t="inlineStr">
        <is>
          <t>JÄMTLANDS LÄN</t>
        </is>
      </c>
      <c r="E3607" t="inlineStr">
        <is>
          <t>STRÖMSUND</t>
        </is>
      </c>
      <c r="F3607" t="inlineStr">
        <is>
          <t>Kyrkan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45740</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10236-2025</t>
        </is>
      </c>
      <c r="B3609" s="1" t="n">
        <v>45720</v>
      </c>
      <c r="C3609" s="1" t="n">
        <v>45740</v>
      </c>
      <c r="D3609" t="inlineStr">
        <is>
          <t>JÄMTLANDS LÄN</t>
        </is>
      </c>
      <c r="E3609" t="inlineStr">
        <is>
          <t>STRÖMSUND</t>
        </is>
      </c>
      <c r="F3609" t="inlineStr">
        <is>
          <t>SCA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45740</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10428-2025</t>
        </is>
      </c>
      <c r="B3611" s="1" t="n">
        <v>45720</v>
      </c>
      <c r="C3611" s="1" t="n">
        <v>45740</v>
      </c>
      <c r="D3611" t="inlineStr">
        <is>
          <t>JÄMTLANDS LÄN</t>
        </is>
      </c>
      <c r="E3611" t="inlineStr">
        <is>
          <t>STRÖMSUND</t>
        </is>
      </c>
      <c r="F3611" t="inlineStr">
        <is>
          <t>SCA</t>
        </is>
      </c>
      <c r="G3611" t="n">
        <v>14.2</v>
      </c>
      <c r="H3611" t="n">
        <v>0</v>
      </c>
      <c r="I3611" t="n">
        <v>0</v>
      </c>
      <c r="J3611" t="n">
        <v>0</v>
      </c>
      <c r="K3611" t="n">
        <v>0</v>
      </c>
      <c r="L3611" t="n">
        <v>0</v>
      </c>
      <c r="M3611" t="n">
        <v>0</v>
      </c>
      <c r="N3611" t="n">
        <v>0</v>
      </c>
      <c r="O3611" t="n">
        <v>0</v>
      </c>
      <c r="P3611" t="n">
        <v>0</v>
      </c>
      <c r="Q3611" t="n">
        <v>0</v>
      </c>
      <c r="R3611" s="2" t="inlineStr"/>
    </row>
    <row r="3612" ht="15" customHeight="1">
      <c r="A3612" t="inlineStr">
        <is>
          <t>A 10443-2025</t>
        </is>
      </c>
      <c r="B3612" s="1" t="n">
        <v>45720</v>
      </c>
      <c r="C3612" s="1" t="n">
        <v>45740</v>
      </c>
      <c r="D3612" t="inlineStr">
        <is>
          <t>JÄMTLANDS LÄN</t>
        </is>
      </c>
      <c r="E3612" t="inlineStr">
        <is>
          <t>STRÖMSUND</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10504-2025</t>
        </is>
      </c>
      <c r="B3613" s="1" t="n">
        <v>45721</v>
      </c>
      <c r="C3613" s="1" t="n">
        <v>45740</v>
      </c>
      <c r="D3613" t="inlineStr">
        <is>
          <t>JÄMTLANDS LÄN</t>
        </is>
      </c>
      <c r="E3613" t="inlineStr">
        <is>
          <t>STRÖMSUND</t>
        </is>
      </c>
      <c r="F3613" t="inlineStr">
        <is>
          <t>SCA</t>
        </is>
      </c>
      <c r="G3613" t="n">
        <v>13.2</v>
      </c>
      <c r="H3613" t="n">
        <v>0</v>
      </c>
      <c r="I3613" t="n">
        <v>0</v>
      </c>
      <c r="J3613" t="n">
        <v>0</v>
      </c>
      <c r="K3613" t="n">
        <v>0</v>
      </c>
      <c r="L3613" t="n">
        <v>0</v>
      </c>
      <c r="M3613" t="n">
        <v>0</v>
      </c>
      <c r="N3613" t="n">
        <v>0</v>
      </c>
      <c r="O3613" t="n">
        <v>0</v>
      </c>
      <c r="P3613" t="n">
        <v>0</v>
      </c>
      <c r="Q3613" t="n">
        <v>0</v>
      </c>
      <c r="R3613" s="2" t="inlineStr"/>
    </row>
    <row r="3614" ht="15" customHeight="1">
      <c r="A3614" t="inlineStr">
        <is>
          <t>A 10585-2025</t>
        </is>
      </c>
      <c r="B3614" s="1" t="n">
        <v>45721</v>
      </c>
      <c r="C3614" s="1" t="n">
        <v>45740</v>
      </c>
      <c r="D3614" t="inlineStr">
        <is>
          <t>JÄMTLANDS LÄN</t>
        </is>
      </c>
      <c r="E3614" t="inlineStr">
        <is>
          <t>STRÖMSUND</t>
        </is>
      </c>
      <c r="F3614" t="inlineStr">
        <is>
          <t>SCA</t>
        </is>
      </c>
      <c r="G3614" t="n">
        <v>27.4</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45740</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10629-2025</t>
        </is>
      </c>
      <c r="B3616" s="1" t="n">
        <v>45721</v>
      </c>
      <c r="C3616" s="1" t="n">
        <v>45740</v>
      </c>
      <c r="D3616" t="inlineStr">
        <is>
          <t>JÄMTLANDS LÄN</t>
        </is>
      </c>
      <c r="E3616" t="inlineStr">
        <is>
          <t>STRÖMSUND</t>
        </is>
      </c>
      <c r="F3616" t="inlineStr">
        <is>
          <t>SCA</t>
        </is>
      </c>
      <c r="G3616" t="n">
        <v>18.7</v>
      </c>
      <c r="H3616" t="n">
        <v>0</v>
      </c>
      <c r="I3616" t="n">
        <v>0</v>
      </c>
      <c r="J3616" t="n">
        <v>0</v>
      </c>
      <c r="K3616" t="n">
        <v>0</v>
      </c>
      <c r="L3616" t="n">
        <v>0</v>
      </c>
      <c r="M3616" t="n">
        <v>0</v>
      </c>
      <c r="N3616" t="n">
        <v>0</v>
      </c>
      <c r="O3616" t="n">
        <v>0</v>
      </c>
      <c r="P3616" t="n">
        <v>0</v>
      </c>
      <c r="Q3616" t="n">
        <v>0</v>
      </c>
      <c r="R3616" s="2" t="inlineStr"/>
    </row>
    <row r="3617" ht="15" customHeight="1">
      <c r="A3617" t="inlineStr">
        <is>
          <t>A 10584-2025</t>
        </is>
      </c>
      <c r="B3617" s="1" t="n">
        <v>45721</v>
      </c>
      <c r="C3617" s="1" t="n">
        <v>45740</v>
      </c>
      <c r="D3617" t="inlineStr">
        <is>
          <t>JÄMTLANDS LÄN</t>
        </is>
      </c>
      <c r="E3617" t="inlineStr">
        <is>
          <t>STRÖMSUND</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10864-2025</t>
        </is>
      </c>
      <c r="B3618" s="1" t="n">
        <v>45722</v>
      </c>
      <c r="C3618" s="1" t="n">
        <v>45740</v>
      </c>
      <c r="D3618" t="inlineStr">
        <is>
          <t>JÄMTLANDS LÄN</t>
        </is>
      </c>
      <c r="E3618" t="inlineStr">
        <is>
          <t>STRÖMSUND</t>
        </is>
      </c>
      <c r="F3618" t="inlineStr">
        <is>
          <t>SCA</t>
        </is>
      </c>
      <c r="G3618" t="n">
        <v>21.1</v>
      </c>
      <c r="H3618" t="n">
        <v>0</v>
      </c>
      <c r="I3618" t="n">
        <v>0</v>
      </c>
      <c r="J3618" t="n">
        <v>0</v>
      </c>
      <c r="K3618" t="n">
        <v>0</v>
      </c>
      <c r="L3618" t="n">
        <v>0</v>
      </c>
      <c r="M3618" t="n">
        <v>0</v>
      </c>
      <c r="N3618" t="n">
        <v>0</v>
      </c>
      <c r="O3618" t="n">
        <v>0</v>
      </c>
      <c r="P3618" t="n">
        <v>0</v>
      </c>
      <c r="Q3618" t="n">
        <v>0</v>
      </c>
      <c r="R3618" s="2" t="inlineStr"/>
    </row>
    <row r="3619" ht="15" customHeight="1">
      <c r="A3619" t="inlineStr">
        <is>
          <t>A 10857-2025</t>
        </is>
      </c>
      <c r="B3619" s="1" t="n">
        <v>45722</v>
      </c>
      <c r="C3619" s="1" t="n">
        <v>45740</v>
      </c>
      <c r="D3619" t="inlineStr">
        <is>
          <t>JÄMTLANDS LÄN</t>
        </is>
      </c>
      <c r="E3619" t="inlineStr">
        <is>
          <t>STRÖMSUND</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10855-2025</t>
        </is>
      </c>
      <c r="B3620" s="1" t="n">
        <v>45722</v>
      </c>
      <c r="C3620" s="1" t="n">
        <v>45740</v>
      </c>
      <c r="D3620" t="inlineStr">
        <is>
          <t>JÄMTLANDS LÄN</t>
        </is>
      </c>
      <c r="E3620" t="inlineStr">
        <is>
          <t>STRÖMSUND</t>
        </is>
      </c>
      <c r="F3620" t="inlineStr">
        <is>
          <t>SCA</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10927-2025</t>
        </is>
      </c>
      <c r="B3621" s="1" t="n">
        <v>45722</v>
      </c>
      <c r="C3621" s="1" t="n">
        <v>45740</v>
      </c>
      <c r="D3621" t="inlineStr">
        <is>
          <t>JÄMTLANDS LÄN</t>
        </is>
      </c>
      <c r="E3621" t="inlineStr">
        <is>
          <t>STRÖMSUND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10951-2025</t>
        </is>
      </c>
      <c r="B3622" s="1" t="n">
        <v>45723</v>
      </c>
      <c r="C3622" s="1" t="n">
        <v>45740</v>
      </c>
      <c r="D3622" t="inlineStr">
        <is>
          <t>JÄMTLANDS LÄN</t>
        </is>
      </c>
      <c r="E3622" t="inlineStr">
        <is>
          <t>STRÖMSUND</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11027-2025</t>
        </is>
      </c>
      <c r="B3623" s="1" t="n">
        <v>45723</v>
      </c>
      <c r="C3623" s="1" t="n">
        <v>45740</v>
      </c>
      <c r="D3623" t="inlineStr">
        <is>
          <t>JÄMTLANDS LÄN</t>
        </is>
      </c>
      <c r="E3623" t="inlineStr">
        <is>
          <t>STRÖMSUND</t>
        </is>
      </c>
      <c r="F3623" t="inlineStr">
        <is>
          <t>SCA</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11157-2025</t>
        </is>
      </c>
      <c r="B3624" s="1" t="n">
        <v>45723</v>
      </c>
      <c r="C3624" s="1" t="n">
        <v>45740</v>
      </c>
      <c r="D3624" t="inlineStr">
        <is>
          <t>JÄMTLANDS LÄN</t>
        </is>
      </c>
      <c r="E3624" t="inlineStr">
        <is>
          <t>STRÖMSUND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11169-2025</t>
        </is>
      </c>
      <c r="B3625" s="1" t="n">
        <v>45724</v>
      </c>
      <c r="C3625" s="1" t="n">
        <v>45740</v>
      </c>
      <c r="D3625" t="inlineStr">
        <is>
          <t>JÄMTLANDS LÄN</t>
        </is>
      </c>
      <c r="E3625" t="inlineStr">
        <is>
          <t>STRÖMSUND</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11224-2025</t>
        </is>
      </c>
      <c r="B3626" s="1" t="n">
        <v>45726</v>
      </c>
      <c r="C3626" s="1" t="n">
        <v>45740</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11396-2025</t>
        </is>
      </c>
      <c r="B3627" s="1" t="n">
        <v>45726</v>
      </c>
      <c r="C3627" s="1" t="n">
        <v>45740</v>
      </c>
      <c r="D3627" t="inlineStr">
        <is>
          <t>JÄMTLANDS LÄN</t>
        </is>
      </c>
      <c r="E3627" t="inlineStr">
        <is>
          <t>STRÖMSUND</t>
        </is>
      </c>
      <c r="F3627" t="inlineStr">
        <is>
          <t>SCA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11546-2025</t>
        </is>
      </c>
      <c r="B3628" s="1" t="n">
        <v>45727</v>
      </c>
      <c r="C3628" s="1" t="n">
        <v>45740</v>
      </c>
      <c r="D3628" t="inlineStr">
        <is>
          <t>JÄMTLANDS LÄN</t>
        </is>
      </c>
      <c r="E3628" t="inlineStr">
        <is>
          <t>STRÖMSUND</t>
        </is>
      </c>
      <c r="F3628" t="inlineStr">
        <is>
          <t>SCA</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11681-2025</t>
        </is>
      </c>
      <c r="B3629" s="1" t="n">
        <v>45727</v>
      </c>
      <c r="C3629" s="1" t="n">
        <v>45740</v>
      </c>
      <c r="D3629" t="inlineStr">
        <is>
          <t>JÄMTLANDS LÄN</t>
        </is>
      </c>
      <c r="E3629" t="inlineStr">
        <is>
          <t>STRÖMSUND</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11738-2025</t>
        </is>
      </c>
      <c r="B3630" s="1" t="n">
        <v>45727</v>
      </c>
      <c r="C3630" s="1" t="n">
        <v>45740</v>
      </c>
      <c r="D3630" t="inlineStr">
        <is>
          <t>JÄMTLANDS LÄN</t>
        </is>
      </c>
      <c r="E3630" t="inlineStr">
        <is>
          <t>STRÖMSUND</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11664-2025</t>
        </is>
      </c>
      <c r="B3631" s="1" t="n">
        <v>45727</v>
      </c>
      <c r="C3631" s="1" t="n">
        <v>45740</v>
      </c>
      <c r="D3631" t="inlineStr">
        <is>
          <t>JÄMTLANDS LÄN</t>
        </is>
      </c>
      <c r="E3631" t="inlineStr">
        <is>
          <t>STRÖMSUND</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11733-2025</t>
        </is>
      </c>
      <c r="B3632" s="1" t="n">
        <v>45727</v>
      </c>
      <c r="C3632" s="1" t="n">
        <v>45740</v>
      </c>
      <c r="D3632" t="inlineStr">
        <is>
          <t>JÄMTLANDS LÄN</t>
        </is>
      </c>
      <c r="E3632" t="inlineStr">
        <is>
          <t>STRÖMSUND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11838-2025</t>
        </is>
      </c>
      <c r="B3633" s="1" t="n">
        <v>45728</v>
      </c>
      <c r="C3633" s="1" t="n">
        <v>45740</v>
      </c>
      <c r="D3633" t="inlineStr">
        <is>
          <t>JÄMTLANDS LÄN</t>
        </is>
      </c>
      <c r="E3633" t="inlineStr">
        <is>
          <t>STRÖMSUND</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11930-2025</t>
        </is>
      </c>
      <c r="B3634" s="1" t="n">
        <v>45728</v>
      </c>
      <c r="C3634" s="1" t="n">
        <v>45740</v>
      </c>
      <c r="D3634" t="inlineStr">
        <is>
          <t>JÄMTLANDS LÄN</t>
        </is>
      </c>
      <c r="E3634" t="inlineStr">
        <is>
          <t>STRÖMSUND</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12099-2025</t>
        </is>
      </c>
      <c r="B3635" s="1" t="n">
        <v>45729</v>
      </c>
      <c r="C3635" s="1" t="n">
        <v>45740</v>
      </c>
      <c r="D3635" t="inlineStr">
        <is>
          <t>JÄMTLANDS LÄN</t>
        </is>
      </c>
      <c r="E3635" t="inlineStr">
        <is>
          <t>STRÖMSUND</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12175-2025</t>
        </is>
      </c>
      <c r="B3636" s="1" t="n">
        <v>45729</v>
      </c>
      <c r="C3636" s="1" t="n">
        <v>45740</v>
      </c>
      <c r="D3636" t="inlineStr">
        <is>
          <t>JÄMTLANDS LÄN</t>
        </is>
      </c>
      <c r="E3636" t="inlineStr">
        <is>
          <t>STRÖMSUND</t>
        </is>
      </c>
      <c r="F3636" t="inlineStr">
        <is>
          <t>SCA</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12097-2025</t>
        </is>
      </c>
      <c r="B3637" s="1" t="n">
        <v>45729</v>
      </c>
      <c r="C3637" s="1" t="n">
        <v>45740</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12201-2025</t>
        </is>
      </c>
      <c r="B3638" s="1" t="n">
        <v>45729</v>
      </c>
      <c r="C3638" s="1" t="n">
        <v>45740</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12188-2025</t>
        </is>
      </c>
      <c r="B3639" s="1" t="n">
        <v>45729</v>
      </c>
      <c r="C3639" s="1" t="n">
        <v>45740</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45740</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12641-2025</t>
        </is>
      </c>
      <c r="B3641" s="1" t="n">
        <v>45733</v>
      </c>
      <c r="C3641" s="1" t="n">
        <v>45740</v>
      </c>
      <c r="D3641" t="inlineStr">
        <is>
          <t>JÄMTLANDS LÄN</t>
        </is>
      </c>
      <c r="E3641" t="inlineStr">
        <is>
          <t>STRÖMSUND</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12666-2025</t>
        </is>
      </c>
      <c r="B3642" s="1" t="n">
        <v>45733</v>
      </c>
      <c r="C3642" s="1" t="n">
        <v>45740</v>
      </c>
      <c r="D3642" t="inlineStr">
        <is>
          <t>JÄMTLANDS LÄN</t>
        </is>
      </c>
      <c r="E3642" t="inlineStr">
        <is>
          <t>STRÖMSUND</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12835-2025</t>
        </is>
      </c>
      <c r="B3643" s="1" t="n">
        <v>45733</v>
      </c>
      <c r="C3643" s="1" t="n">
        <v>45740</v>
      </c>
      <c r="D3643" t="inlineStr">
        <is>
          <t>JÄMTLANDS LÄN</t>
        </is>
      </c>
      <c r="E3643" t="inlineStr">
        <is>
          <t>STRÖMSUND</t>
        </is>
      </c>
      <c r="F3643" t="inlineStr">
        <is>
          <t>SCA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12870-2025</t>
        </is>
      </c>
      <c r="B3644" s="1" t="n">
        <v>45733</v>
      </c>
      <c r="C3644" s="1" t="n">
        <v>45740</v>
      </c>
      <c r="D3644" t="inlineStr">
        <is>
          <t>JÄMTLANDS LÄN</t>
        </is>
      </c>
      <c r="E3644" t="inlineStr">
        <is>
          <t>STRÖMSUND</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13022-2025</t>
        </is>
      </c>
      <c r="B3645" s="1" t="n">
        <v>45734</v>
      </c>
      <c r="C3645" s="1" t="n">
        <v>45740</v>
      </c>
      <c r="D3645" t="inlineStr">
        <is>
          <t>JÄMTLANDS LÄN</t>
        </is>
      </c>
      <c r="E3645" t="inlineStr">
        <is>
          <t>STRÖMSUND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13146-2025</t>
        </is>
      </c>
      <c r="B3646" s="1" t="n">
        <v>45734</v>
      </c>
      <c r="C3646" s="1" t="n">
        <v>45740</v>
      </c>
      <c r="D3646" t="inlineStr">
        <is>
          <t>JÄMTLANDS LÄN</t>
        </is>
      </c>
      <c r="E3646" t="inlineStr">
        <is>
          <t>STRÖMSUND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13044-2025</t>
        </is>
      </c>
      <c r="B3647" s="1" t="n">
        <v>45734</v>
      </c>
      <c r="C3647" s="1" t="n">
        <v>45740</v>
      </c>
      <c r="D3647" t="inlineStr">
        <is>
          <t>JÄMTLANDS LÄN</t>
        </is>
      </c>
      <c r="E3647" t="inlineStr">
        <is>
          <t>STRÖMSUND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13053-2025</t>
        </is>
      </c>
      <c r="B3648" s="1" t="n">
        <v>45734</v>
      </c>
      <c r="C3648" s="1" t="n">
        <v>45740</v>
      </c>
      <c r="D3648" t="inlineStr">
        <is>
          <t>JÄMTLANDS LÄN</t>
        </is>
      </c>
      <c r="E3648" t="inlineStr">
        <is>
          <t>STRÖMSUND</t>
        </is>
      </c>
      <c r="F3648" t="inlineStr">
        <is>
          <t>SCA</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13054-2025</t>
        </is>
      </c>
      <c r="B3649" s="1" t="n">
        <v>45734</v>
      </c>
      <c r="C3649" s="1" t="n">
        <v>45740</v>
      </c>
      <c r="D3649" t="inlineStr">
        <is>
          <t>JÄMTLANDS LÄN</t>
        </is>
      </c>
      <c r="E3649" t="inlineStr">
        <is>
          <t>STRÖMSUND</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13298-2025</t>
        </is>
      </c>
      <c r="B3650" s="1" t="n">
        <v>45735</v>
      </c>
      <c r="C3650" s="1" t="n">
        <v>45740</v>
      </c>
      <c r="D3650" t="inlineStr">
        <is>
          <t>JÄMTLANDS LÄN</t>
        </is>
      </c>
      <c r="E3650" t="inlineStr">
        <is>
          <t>STRÖMSUND</t>
        </is>
      </c>
      <c r="F3650" t="inlineStr">
        <is>
          <t>SCA</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13262-2025</t>
        </is>
      </c>
      <c r="B3651" s="1" t="n">
        <v>45735</v>
      </c>
      <c r="C3651" s="1" t="n">
        <v>45740</v>
      </c>
      <c r="D3651" t="inlineStr">
        <is>
          <t>JÄMTLANDS LÄN</t>
        </is>
      </c>
      <c r="E3651" t="inlineStr">
        <is>
          <t>STRÖMSUND</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13350-2025</t>
        </is>
      </c>
      <c r="B3652" s="1" t="n">
        <v>45735</v>
      </c>
      <c r="C3652" s="1" t="n">
        <v>45740</v>
      </c>
      <c r="D3652" t="inlineStr">
        <is>
          <t>JÄMTLANDS LÄN</t>
        </is>
      </c>
      <c r="E3652" t="inlineStr">
        <is>
          <t>STRÖMSUND</t>
        </is>
      </c>
      <c r="F3652" t="inlineStr">
        <is>
          <t>SCA</t>
        </is>
      </c>
      <c r="G3652" t="n">
        <v>13.7</v>
      </c>
      <c r="H3652" t="n">
        <v>0</v>
      </c>
      <c r="I3652" t="n">
        <v>0</v>
      </c>
      <c r="J3652" t="n">
        <v>0</v>
      </c>
      <c r="K3652" t="n">
        <v>0</v>
      </c>
      <c r="L3652" t="n">
        <v>0</v>
      </c>
      <c r="M3652" t="n">
        <v>0</v>
      </c>
      <c r="N3652" t="n">
        <v>0</v>
      </c>
      <c r="O3652" t="n">
        <v>0</v>
      </c>
      <c r="P3652" t="n">
        <v>0</v>
      </c>
      <c r="Q3652" t="n">
        <v>0</v>
      </c>
      <c r="R3652" s="2" t="inlineStr"/>
    </row>
    <row r="3653" ht="15" customHeight="1">
      <c r="A3653" t="inlineStr">
        <is>
          <t>A 13320-2025</t>
        </is>
      </c>
      <c r="B3653" s="1" t="n">
        <v>45735</v>
      </c>
      <c r="C3653" s="1" t="n">
        <v>45740</v>
      </c>
      <c r="D3653" t="inlineStr">
        <is>
          <t>JÄMTLANDS LÄN</t>
        </is>
      </c>
      <c r="E3653" t="inlineStr">
        <is>
          <t>STRÖMSUND</t>
        </is>
      </c>
      <c r="F3653" t="inlineStr">
        <is>
          <t>SCA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45740</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13442-2025</t>
        </is>
      </c>
      <c r="B3655" s="1" t="n">
        <v>45736</v>
      </c>
      <c r="C3655" s="1" t="n">
        <v>45740</v>
      </c>
      <c r="D3655" t="inlineStr">
        <is>
          <t>JÄMTLANDS LÄN</t>
        </is>
      </c>
      <c r="E3655" t="inlineStr">
        <is>
          <t>STRÖMSUND</t>
        </is>
      </c>
      <c r="F3655" t="inlineStr">
        <is>
          <t>SCA</t>
        </is>
      </c>
      <c r="G3655" t="n">
        <v>23.9</v>
      </c>
      <c r="H3655" t="n">
        <v>0</v>
      </c>
      <c r="I3655" t="n">
        <v>0</v>
      </c>
      <c r="J3655" t="n">
        <v>0</v>
      </c>
      <c r="K3655" t="n">
        <v>0</v>
      </c>
      <c r="L3655" t="n">
        <v>0</v>
      </c>
      <c r="M3655" t="n">
        <v>0</v>
      </c>
      <c r="N3655" t="n">
        <v>0</v>
      </c>
      <c r="O3655" t="n">
        <v>0</v>
      </c>
      <c r="P3655" t="n">
        <v>0</v>
      </c>
      <c r="Q3655" t="n">
        <v>0</v>
      </c>
      <c r="R3655" s="2" t="inlineStr"/>
    </row>
    <row r="3656" ht="15" customHeight="1">
      <c r="A3656" t="inlineStr">
        <is>
          <t>A 13444-2025</t>
        </is>
      </c>
      <c r="B3656" s="1" t="n">
        <v>45736</v>
      </c>
      <c r="C3656" s="1" t="n">
        <v>45740</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13522-2025</t>
        </is>
      </c>
      <c r="B3657" s="1" t="n">
        <v>45736</v>
      </c>
      <c r="C3657" s="1" t="n">
        <v>45740</v>
      </c>
      <c r="D3657" t="inlineStr">
        <is>
          <t>JÄMTLANDS LÄN</t>
        </is>
      </c>
      <c r="E3657" t="inlineStr">
        <is>
          <t>STRÖMSUND</t>
        </is>
      </c>
      <c r="F3657" t="inlineStr">
        <is>
          <t>SCA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13617-2025</t>
        </is>
      </c>
      <c r="B3658" s="1" t="n">
        <v>45736</v>
      </c>
      <c r="C3658" s="1" t="n">
        <v>45740</v>
      </c>
      <c r="D3658" t="inlineStr">
        <is>
          <t>JÄMTLANDS LÄN</t>
        </is>
      </c>
      <c r="E3658" t="inlineStr">
        <is>
          <t>STRÖMSUND</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13777-2025</t>
        </is>
      </c>
      <c r="B3659" s="1" t="n">
        <v>45736</v>
      </c>
      <c r="C3659" s="1" t="n">
        <v>45740</v>
      </c>
      <c r="D3659" t="inlineStr">
        <is>
          <t>JÄMTLANDS LÄN</t>
        </is>
      </c>
      <c r="E3659" t="inlineStr">
        <is>
          <t>STRÖMSUND</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13776-2025</t>
        </is>
      </c>
      <c r="B3660" s="1" t="n">
        <v>45736</v>
      </c>
      <c r="C3660" s="1" t="n">
        <v>45740</v>
      </c>
      <c r="D3660" t="inlineStr">
        <is>
          <t>JÄMTLANDS LÄN</t>
        </is>
      </c>
      <c r="E3660" t="inlineStr">
        <is>
          <t>STRÖMSUND</t>
        </is>
      </c>
      <c r="G3660" t="n">
        <v>10.9</v>
      </c>
      <c r="H3660" t="n">
        <v>0</v>
      </c>
      <c r="I3660" t="n">
        <v>0</v>
      </c>
      <c r="J3660" t="n">
        <v>0</v>
      </c>
      <c r="K3660" t="n">
        <v>0</v>
      </c>
      <c r="L3660" t="n">
        <v>0</v>
      </c>
      <c r="M3660" t="n">
        <v>0</v>
      </c>
      <c r="N3660" t="n">
        <v>0</v>
      </c>
      <c r="O3660" t="n">
        <v>0</v>
      </c>
      <c r="P3660" t="n">
        <v>0</v>
      </c>
      <c r="Q3660" t="n">
        <v>0</v>
      </c>
      <c r="R3660" s="2" t="inlineStr"/>
    </row>
    <row r="3661" ht="15" customHeight="1">
      <c r="A3661" t="inlineStr">
        <is>
          <t>A 13654-2025</t>
        </is>
      </c>
      <c r="B3661" s="1" t="n">
        <v>45736</v>
      </c>
      <c r="C3661" s="1" t="n">
        <v>45740</v>
      </c>
      <c r="D3661" t="inlineStr">
        <is>
          <t>JÄMTLANDS LÄN</t>
        </is>
      </c>
      <c r="E3661" t="inlineStr">
        <is>
          <t>STRÖMSUND</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45740</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13782-2025</t>
        </is>
      </c>
      <c r="B3663" s="1" t="n">
        <v>45736</v>
      </c>
      <c r="C3663" s="1" t="n">
        <v>45740</v>
      </c>
      <c r="D3663" t="inlineStr">
        <is>
          <t>JÄMTLANDS LÄN</t>
        </is>
      </c>
      <c r="E3663" t="inlineStr">
        <is>
          <t>STRÖMSUND</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13899-2025</t>
        </is>
      </c>
      <c r="B3664" s="1" t="n">
        <v>45737</v>
      </c>
      <c r="C3664" s="1" t="n">
        <v>45740</v>
      </c>
      <c r="D3664" t="inlineStr">
        <is>
          <t>JÄMTLANDS LÄN</t>
        </is>
      </c>
      <c r="E3664" t="inlineStr">
        <is>
          <t>STRÖMSUND</t>
        </is>
      </c>
      <c r="G3664" t="n">
        <v>1.5</v>
      </c>
      <c r="H3664" t="n">
        <v>0</v>
      </c>
      <c r="I3664" t="n">
        <v>0</v>
      </c>
      <c r="J3664" t="n">
        <v>0</v>
      </c>
      <c r="K3664" t="n">
        <v>0</v>
      </c>
      <c r="L3664" t="n">
        <v>0</v>
      </c>
      <c r="M3664" t="n">
        <v>0</v>
      </c>
      <c r="N3664" t="n">
        <v>0</v>
      </c>
      <c r="O3664" t="n">
        <v>0</v>
      </c>
      <c r="P3664" t="n">
        <v>0</v>
      </c>
      <c r="Q3664" t="n">
        <v>0</v>
      </c>
      <c r="R3664" s="2" t="inlineStr"/>
    </row>
    <row r="3665">
      <c r="A3665" t="inlineStr">
        <is>
          <t>A 13898-2025</t>
        </is>
      </c>
      <c r="B3665" s="1" t="n">
        <v>45737</v>
      </c>
      <c r="C3665" s="1" t="n">
        <v>45740</v>
      </c>
      <c r="D3665" t="inlineStr">
        <is>
          <t>JÄMTLANDS LÄN</t>
        </is>
      </c>
      <c r="E3665" t="inlineStr">
        <is>
          <t>STRÖMSUND</t>
        </is>
      </c>
      <c r="G3665" t="n">
        <v>4</v>
      </c>
      <c r="H3665" t="n">
        <v>0</v>
      </c>
      <c r="I3665" t="n">
        <v>0</v>
      </c>
      <c r="J3665" t="n">
        <v>0</v>
      </c>
      <c r="K3665" t="n">
        <v>0</v>
      </c>
      <c r="L3665" t="n">
        <v>0</v>
      </c>
      <c r="M3665" t="n">
        <v>0</v>
      </c>
      <c r="N3665" t="n">
        <v>0</v>
      </c>
      <c r="O3665" t="n">
        <v>0</v>
      </c>
      <c r="P3665" t="n">
        <v>0</v>
      </c>
      <c r="Q3665" t="n">
        <v>0</v>
      </c>
      <c r="R3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2025-03-24T18:04:05Z</dcterms:created>
  <dcterms:modified xmlns:dcterms="http://purl.org/dc/terms/" xmlns:xsi="http://www.w3.org/2001/XMLSchema-instance" xsi:type="dcterms:W3CDTF">2025-03-24T18:04:08Z</dcterms:modified>
</cp:coreProperties>
</file>