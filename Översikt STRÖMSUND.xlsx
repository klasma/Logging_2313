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45513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45513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45513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45513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45513</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45513</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45513</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45513</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45513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45513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45513</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45513</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45513</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45513</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45513</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45513</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45513</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45513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45513</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45513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45513</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45513</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45513</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45513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45513</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45513</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45513</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45513</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45513</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45513</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45513</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45513</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45513</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45513</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45513</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45513</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45513</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45513</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45513</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45513</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45513</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45513</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45513</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45513</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45513</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45513</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45513</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45513</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45513</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45513</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45513</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45513</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45513</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45513</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45513</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45513</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45513</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45513</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45513</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45513</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45513</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45513</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45513</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45513</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45513</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45513</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45513</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45513</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45513</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45513</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45513</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45513</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45513</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45513</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45513</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45513</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45513</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45513</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45513</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45513</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45513</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45513</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45513</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45513</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45513</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45513</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45513</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45513</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45513</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45513</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45513</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45513</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45513</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45513</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45513</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45513</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45513</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45513</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45513</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45513</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45513</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45513</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45513</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45513</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45513</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45513</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45513</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45513</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45513</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45513</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45513</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45513</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45513</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45513</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45513</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45513</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45513</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45513</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45513</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45513</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45513</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45513</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45513</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45513</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45513</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45513</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45513</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45513</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45513</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45513</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45513</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45513</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45513</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45513</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45513</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45513</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45513</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45513</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45513</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45513</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45513</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45513</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45513</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45513</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45513</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45513</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45513</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45513</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45513</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45513</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45513</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45513</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45513</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45513</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45513</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45513</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45513</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45513</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45513</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45513</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45513</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45513</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45513</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45513</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45513</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45513</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45513</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45513</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45513</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45513</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45513</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45513</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45513</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45513</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45513</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45513</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45513</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45513</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45513</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45513</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45513</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45513</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45513</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45513</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45513</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45513</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45513</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45513</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45513</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45513</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45513</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45513</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45513</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45513</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45513</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45513</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45513</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45513</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45513</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45513</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45513</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45513</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45513</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45513</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45513</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45513</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45513</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45513</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45513</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45513</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45513</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45513</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45513</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45513</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45513</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45513</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45513</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45513</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45513</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45513</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45513</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45513</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45513</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45513</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45513</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45513</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45513</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45513</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45513</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45513</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45513</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45513</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45513</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45513</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45513</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45513</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45513</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45513</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45513</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45513</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30350-2024</t>
        </is>
      </c>
      <c r="B242" s="1" t="n">
        <v>45491</v>
      </c>
      <c r="C242" s="1" t="n">
        <v>45513</v>
      </c>
      <c r="D242" t="inlineStr">
        <is>
          <t>JÄMTLANDS LÄN</t>
        </is>
      </c>
      <c r="E242" t="inlineStr">
        <is>
          <t>STRÖMSUND</t>
        </is>
      </c>
      <c r="F242" t="inlineStr">
        <is>
          <t>SCA</t>
        </is>
      </c>
      <c r="G242" t="n">
        <v>3.9</v>
      </c>
      <c r="H242" t="n">
        <v>1</v>
      </c>
      <c r="I242" t="n">
        <v>2</v>
      </c>
      <c r="J242" t="n">
        <v>0</v>
      </c>
      <c r="K242" t="n">
        <v>0</v>
      </c>
      <c r="L242" t="n">
        <v>0</v>
      </c>
      <c r="M242" t="n">
        <v>0</v>
      </c>
      <c r="N242" t="n">
        <v>0</v>
      </c>
      <c r="O242" t="n">
        <v>0</v>
      </c>
      <c r="P242" t="n">
        <v>0</v>
      </c>
      <c r="Q242" t="n">
        <v>2</v>
      </c>
      <c r="R242" s="2" t="inlineStr">
        <is>
          <t>Granriska
Tvåblad</t>
        </is>
      </c>
      <c r="S242">
        <f>HYPERLINK("https://klasma.github.io/Logging_2313/artfynd/A 30350-2024 artfynd.xlsx", "A 30350-2024")</f>
        <v/>
      </c>
      <c r="T242">
        <f>HYPERLINK("https://klasma.github.io/Logging_2313/kartor/A 30350-2024 karta.png", "A 30350-2024")</f>
        <v/>
      </c>
      <c r="V242">
        <f>HYPERLINK("https://klasma.github.io/Logging_2313/klagomål/A 30350-2024 FSC-klagomål.docx", "A 30350-2024")</f>
        <v/>
      </c>
      <c r="W242">
        <f>HYPERLINK("https://klasma.github.io/Logging_2313/klagomålsmail/A 30350-2024 FSC-klagomål mail.docx", "A 30350-2024")</f>
        <v/>
      </c>
      <c r="X242">
        <f>HYPERLINK("https://klasma.github.io/Logging_2313/tillsyn/A 30350-2024 tillsynsbegäran.docx", "A 30350-2024")</f>
        <v/>
      </c>
      <c r="Y242">
        <f>HYPERLINK("https://klasma.github.io/Logging_2313/tillsynsmail/A 30350-2024 tillsynsbegäran mail.docx", "A 30350-2024")</f>
        <v/>
      </c>
    </row>
    <row r="243" ht="15" customHeight="1">
      <c r="A243" t="inlineStr">
        <is>
          <t>A 30351-2024</t>
        </is>
      </c>
      <c r="B243" s="1" t="n">
        <v>45491</v>
      </c>
      <c r="C243" s="1" t="n">
        <v>45513</v>
      </c>
      <c r="D243" t="inlineStr">
        <is>
          <t>JÄMTLANDS LÄN</t>
        </is>
      </c>
      <c r="E243" t="inlineStr">
        <is>
          <t>STRÖMSUND</t>
        </is>
      </c>
      <c r="F243" t="inlineStr">
        <is>
          <t>SCA</t>
        </is>
      </c>
      <c r="G243" t="n">
        <v>4.8</v>
      </c>
      <c r="H243" t="n">
        <v>0</v>
      </c>
      <c r="I243" t="n">
        <v>0</v>
      </c>
      <c r="J243" t="n">
        <v>1</v>
      </c>
      <c r="K243" t="n">
        <v>1</v>
      </c>
      <c r="L243" t="n">
        <v>0</v>
      </c>
      <c r="M243" t="n">
        <v>0</v>
      </c>
      <c r="N243" t="n">
        <v>0</v>
      </c>
      <c r="O243" t="n">
        <v>2</v>
      </c>
      <c r="P243" t="n">
        <v>1</v>
      </c>
      <c r="Q243" t="n">
        <v>2</v>
      </c>
      <c r="R243" s="2" t="inlineStr">
        <is>
          <t>Rynkskinn
Gammelgransskål</t>
        </is>
      </c>
      <c r="S243">
        <f>HYPERLINK("https://klasma.github.io/Logging_2313/artfynd/A 30351-2024 artfynd.xlsx", "A 30351-2024")</f>
        <v/>
      </c>
      <c r="T243">
        <f>HYPERLINK("https://klasma.github.io/Logging_2313/kartor/A 30351-2024 karta.png", "A 30351-2024")</f>
        <v/>
      </c>
      <c r="V243">
        <f>HYPERLINK("https://klasma.github.io/Logging_2313/klagomål/A 30351-2024 FSC-klagomål.docx", "A 30351-2024")</f>
        <v/>
      </c>
      <c r="W243">
        <f>HYPERLINK("https://klasma.github.io/Logging_2313/klagomålsmail/A 30351-2024 FSC-klagomål mail.docx", "A 30351-2024")</f>
        <v/>
      </c>
      <c r="X243">
        <f>HYPERLINK("https://klasma.github.io/Logging_2313/tillsyn/A 30351-2024 tillsynsbegäran.docx", "A 30351-2024")</f>
        <v/>
      </c>
      <c r="Y243">
        <f>HYPERLINK("https://klasma.github.io/Logging_2313/tillsynsmail/A 30351-2024 tillsynsbegäran mail.docx", "A 30351-2024")</f>
        <v/>
      </c>
    </row>
    <row r="244" ht="15" customHeight="1">
      <c r="A244" t="inlineStr">
        <is>
          <t>A 21660-2019</t>
        </is>
      </c>
      <c r="B244" s="1" t="n">
        <v>43581</v>
      </c>
      <c r="C244" s="1" t="n">
        <v>45513</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45513</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45513</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45513</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45513</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45513</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45513</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45513</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45513</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45513</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45513</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45513</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45513</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45513</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45513</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45513</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45513</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45513</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45513</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45513</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45513</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45513</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45513</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45513</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45513</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45513</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45513</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45513</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45513</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45513</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45513</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45513</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45513</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45513</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45513</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45513</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45513</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45513</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45513</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45513</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45513</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45513</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45513</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45513</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45513</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45513</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45513</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45513</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45513</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45513</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45513</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45513</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45513</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45513</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45513</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45513</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45513</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45513</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45513</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45513</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45513</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45513</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45513</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45513</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45513</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45513</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45513</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45513</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45513</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45513</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45513</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45513</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45513</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45513</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45513</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45513</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45513</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45513</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45513</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45513</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45513</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45513</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45513</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45513</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45513</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45513</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45513</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45513</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45513</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45513</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45513</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45513</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45513</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45513</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45513</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45513</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45513</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45513</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45513</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45513</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45513</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45513</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45513</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45513</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45513</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45513</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45513</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45513</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45513</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45513</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45513</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45513</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45513</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45513</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45513</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45513</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45513</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45513</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45513</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45513</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45513</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45513</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45513</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45513</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45513</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45513</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45513</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45513</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45513</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45513</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45513</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45513</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45513</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45513</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45513</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45513</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45513</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45513</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45513</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45513</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45513</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45513</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45513</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45513</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45513</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45513</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45513</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45513</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45513</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45513</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45513</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45513</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45513</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45513</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45513</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45513</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45513</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45513</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45513</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45513</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45513</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45513</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45513</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45513</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45513</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45513</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45513</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45513</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45513</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45513</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45513</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45513</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45513</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45513</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45513</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45513</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45513</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45513</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45513</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45513</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45513</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45513</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45513</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45513</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45513</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45513</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45513</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45513</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45513</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45513</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45513</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45513</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45513</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45513</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45513</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45513</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45513</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45513</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45513</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45513</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45513</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45513</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45513</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45513</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45513</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45513</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45513</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45513</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45513</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45513</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45513</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45513</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45513</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45513</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45513</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45513</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45513</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45513</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45513</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45513</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45513</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45513</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45513</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45513</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45513</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45513</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45513</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45513</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45513</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45513</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45513</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45513</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45513</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45513</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45513</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45513</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45513</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45513</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45513</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45513</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45513</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45513</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45513</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45513</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45513</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45513</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45513</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45513</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45513</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45513</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45513</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45513</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45513</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45513</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45513</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45513</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45513</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45513</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45513</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45513</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45513</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45513</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45513</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45513</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45513</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45513</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45513</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45513</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45513</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45513</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45513</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45513</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45513</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45513</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45513</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45513</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45513</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45513</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45513</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45513</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45513</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45513</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45513</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45513</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45513</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45513</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45513</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45513</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45513</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45513</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45513</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45513</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45513</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45513</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45513</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45513</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45513</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45513</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45513</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45513</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45513</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45513</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45513</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45513</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45513</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45513</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45513</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45513</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45513</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45513</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45513</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45513</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45513</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45513</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45513</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45513</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45513</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45513</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45513</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45513</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45513</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45513</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45513</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45513</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45513</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45513</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45513</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45513</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45513</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45513</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45513</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45513</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45513</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45513</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45513</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45513</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45513</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45513</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45513</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45513</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45513</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45513</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45513</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45513</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45513</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45513</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45513</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45513</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45513</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45513</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45513</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45513</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45513</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45513</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45513</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45513</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45513</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45513</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45513</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45513</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45513</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45513</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45513</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45513</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45513</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45513</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45513</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45513</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45513</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45513</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45513</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45513</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45513</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45513</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45513</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45513</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45513</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45513</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45513</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45513</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45513</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45513</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45513</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45513</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45513</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45513</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45513</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45513</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45513</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45513</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45513</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45513</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45513</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45513</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45513</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45513</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45513</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45513</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45513</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45513</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45513</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45513</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45513</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45513</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45513</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45513</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45513</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45513</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45513</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45513</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45513</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45513</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45513</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45513</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45513</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45513</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45513</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45513</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45513</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45513</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45513</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45513</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45513</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45513</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45513</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45513</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45513</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45513</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45513</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45513</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45513</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45513</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45513</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45513</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45513</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45513</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45513</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45513</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45513</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45513</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45513</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45513</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45513</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45513</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45513</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45513</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45513</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45513</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45513</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45513</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45513</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45513</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45513</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45513</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45513</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45513</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45513</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45513</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45513</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45513</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45513</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45513</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45513</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45513</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45513</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45513</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45513</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45513</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45513</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45513</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45513</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45513</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45513</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45513</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45513</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45513</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45513</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45513</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45513</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45513</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45513</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45513</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45513</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45513</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45513</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45513</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45513</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45513</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45513</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45513</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45513</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45513</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45513</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45513</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45513</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45513</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45513</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45513</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45513</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45513</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45513</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45513</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45513</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45513</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45513</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45513</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45513</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45513</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45513</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45513</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45513</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45513</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45513</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45513</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45513</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45513</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45513</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45513</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45513</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45513</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45513</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45513</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45513</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45513</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45513</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45513</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45513</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45513</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45513</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45513</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45513</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45513</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45513</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45513</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45513</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45513</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45513</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45513</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45513</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45513</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45513</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45513</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45513</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45513</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45513</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45513</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45513</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45513</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45513</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45513</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45513</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45513</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45513</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45513</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45513</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45513</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45513</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45513</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45513</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45513</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45513</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45513</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45513</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45513</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45513</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45513</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45513</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45513</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45513</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45513</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45513</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45513</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45513</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45513</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45513</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45513</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45513</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45513</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45513</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45513</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45513</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45513</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45513</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45513</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45513</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45513</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45513</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45513</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45513</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45513</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45513</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45513</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45513</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45513</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45513</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45513</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45513</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45513</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45513</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45513</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45513</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45513</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45513</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45513</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45513</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45513</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45513</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45513</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45513</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45513</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45513</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45513</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45513</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45513</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45513</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45513</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45513</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45513</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45513</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45513</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45513</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45513</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45513</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45513</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45513</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45513</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45513</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45513</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45513</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45513</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45513</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45513</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45513</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45513</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45513</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45513</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45513</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45513</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45513</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45513</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45513</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45513</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45513</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45513</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45513</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45513</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45513</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45513</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45513</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45513</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45513</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45513</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45513</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45513</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45513</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45513</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45513</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45513</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45513</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45513</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45513</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45513</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45513</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45513</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45513</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45513</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45513</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45513</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45513</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45513</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45513</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45513</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45513</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45513</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45513</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45513</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45513</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45513</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45513</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45513</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45513</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45513</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45513</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45513</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45513</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45513</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45513</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45513</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45513</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45513</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45513</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45513</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45513</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45513</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45513</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45513</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45513</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45513</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45513</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45513</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45513</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45513</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45513</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45513</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45513</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45513</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45513</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45513</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45513</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45513</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45513</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45513</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45513</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45513</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45513</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45513</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45513</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45513</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45513</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45513</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45513</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45513</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45513</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45513</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45513</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45513</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45513</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45513</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45513</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45513</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45513</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45513</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45513</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45513</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45513</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45513</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45513</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45513</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45513</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45513</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45513</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45513</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45513</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45513</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45513</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45513</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45513</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45513</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45513</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45513</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45513</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45513</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45513</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45513</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45513</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45513</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45513</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45513</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45513</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45513</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45513</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45513</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45513</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45513</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45513</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45513</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45513</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45513</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45513</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45513</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45513</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45513</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45513</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45513</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45513</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45513</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45513</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45513</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45513</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45513</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45513</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45513</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45513</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45513</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45513</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45513</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45513</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45513</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45513</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45513</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45513</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45513</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45513</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45513</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45513</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45513</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45513</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45513</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45513</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45513</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45513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45513</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45513</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45513</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45513</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45513</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45513</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45513</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45513</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45513</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45513</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45513</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45513</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45513</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45513</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45513</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45513</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45513</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45513</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45513</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45513</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45513</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45513</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45513</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45513</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45513</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45513</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45513</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45513</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45513</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45513</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45513</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45513</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45513</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45513</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45513</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45513</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45513</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45513</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45513</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45513</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45513</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45513</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45513</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45513</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45513</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45513</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45513</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45513</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45513</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45513</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45513</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45513</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45513</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45513</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45513</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45513</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45513</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45513</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45513</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45513</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45513</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45513</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45513</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45513</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45513</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45513</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45513</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45513</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45513</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45513</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45513</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45513</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45513</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45513</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45513</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45513</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45513</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45513</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45513</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45513</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45513</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45513</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45513</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45513</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45513</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45513</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45513</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45513</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45513</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45513</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45513</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45513</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45513</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45513</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45513</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45513</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45513</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45513</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45513</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45513</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45513</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45513</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45513</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45513</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45513</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45513</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45513</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45513</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45513</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45513</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45513</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45513</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45513</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45513</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45513</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45513</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45513</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45513</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45513</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45513</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45513</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45513</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45513</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45513</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45513</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45513</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45513</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45513</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45513</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45513</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45513</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45513</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45513</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45513</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45513</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45513</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45513</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45513</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45513</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45513</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45513</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45513</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45513</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45513</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45513</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45513</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45513</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45513</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45513</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45513</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45513</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45513</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45513</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45513</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45513</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45513</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45513</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45513</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45513</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45513</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45513</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45513</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45513</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45513</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45513</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45513</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45513</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45513</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45513</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45513</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45513</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45513</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45513</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45513</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45513</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45513</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45513</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45513</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45513</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45513</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45513</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45513</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45513</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45513</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45513</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45513</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45513</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45513</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45513</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45513</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45513</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45513</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45513</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45513</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45513</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45513</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45513</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45513</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45513</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45513</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45513</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45513</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45513</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45513</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45513</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45513</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45513</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45513</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45513</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45513</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45513</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45513</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45513</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45513</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45513</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45513</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45513</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45513</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45513</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45513</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45513</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45513</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45513</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45513</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45513</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45513</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45513</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45513</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45513</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45513</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45513</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45513</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45513</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45513</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45513</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45513</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45513</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45513</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45513</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45513</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45513</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45513</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45513</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45513</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45513</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45513</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45513</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45513</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45513</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45513</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45513</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45513</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45513</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45513</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45513</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45513</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45513</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45513</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45513</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45513</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45513</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45513</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45513</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45513</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45513</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45513</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45513</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45513</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45513</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45513</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45513</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45513</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45513</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45513</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45513</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45513</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45513</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45513</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45513</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45513</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45513</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45513</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45513</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45513</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45513</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45513</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45513</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45513</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45513</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45513</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45513</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45513</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45513</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45513</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45513</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45513</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45513</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45513</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45513</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45513</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45513</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45513</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45513</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45513</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45513</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45513</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45513</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45513</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45513</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45513</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45513</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45513</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45513</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45513</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45513</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45513</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45513</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45513</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45513</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45513</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45513</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45513</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45513</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45513</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45513</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45513</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45513</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45513</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45513</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45513</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45513</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45513</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45513</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45513</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45513</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45513</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45513</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45513</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45513</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45513</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45513</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45513</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45513</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45513</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45513</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45513</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45513</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45513</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45513</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45513</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45513</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45513</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45513</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45513</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45513</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45513</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45513</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45513</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45513</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45513</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45513</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45513</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45513</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45513</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45513</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45513</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45513</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45513</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45513</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45513</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45513</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45513</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45513</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45513</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45513</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45513</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45513</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45513</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45513</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45513</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45513</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45513</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45513</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45513</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45513</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45513</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45513</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45513</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45513</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45513</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45513</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45513</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45513</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45513</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45513</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45513</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45513</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45513</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45513</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45513</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45513</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45513</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45513</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45513</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45513</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45513</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45513</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45513</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45513</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45513</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45513</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45513</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45513</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45513</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45513</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45513</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45513</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45513</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45513</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45513</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45513</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45513</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45513</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45513</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45513</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45513</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45513</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45513</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45513</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45513</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45513</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45513</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45513</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45513</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45513</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45513</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45513</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45513</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45513</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45513</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45513</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45513</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45513</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45513</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45513</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45513</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45513</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45513</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45513</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45513</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45513</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45513</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45513</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45513</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45513</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45513</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45513</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45513</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45513</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45513</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45513</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45513</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45513</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45513</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45513</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45513</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45513</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45513</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45513</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45513</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45513</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45513</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45513</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45513</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45513</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45513</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45513</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45513</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45513</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45513</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45513</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45513</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45513</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45513</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45513</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45513</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45513</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45513</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45513</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45513</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45513</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45513</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45513</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45513</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45513</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45513</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45513</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45513</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45513</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45513</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45513</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45513</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45513</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45513</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45513</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45513</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45513</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45513</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45513</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45513</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45513</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45513</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45513</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45513</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45513</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45513</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45513</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45513</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45513</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45513</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45513</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45513</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45513</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45513</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45513</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45513</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45513</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45513</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45513</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45513</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45513</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45513</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45513</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45513</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45513</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45513</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45513</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45513</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45513</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45513</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45513</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45513</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45513</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45513</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45513</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45513</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45513</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45513</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45513</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45513</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45513</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45513</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45513</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45513</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45513</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45513</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45513</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45513</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45513</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45513</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45513</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45513</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45513</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45513</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45513</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45513</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45513</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45513</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45513</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45513</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45513</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45513</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45513</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45513</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45513</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45513</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45513</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45513</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45513</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45513</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45513</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45513</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45513</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45513</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45513</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45513</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45513</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45513</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45513</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45513</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45513</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45513</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45513</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45513</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45513</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45513</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45513</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45513</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45513</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45513</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45513</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45513</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45513</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45513</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45513</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45513</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45513</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45513</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45513</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45513</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45513</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45513</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45513</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45513</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45513</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45513</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45513</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45513</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45513</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45513</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45513</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45513</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45513</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45513</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45513</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45513</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45513</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45513</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45513</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45513</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45513</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45513</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45513</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45513</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45513</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45513</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45513</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45513</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45513</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45513</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45513</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45513</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45513</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45513</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45513</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45513</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45513</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45513</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45513</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45513</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45513</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45513</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45513</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45513</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45513</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45513</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45513</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45513</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45513</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45513</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45513</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45513</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45513</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45513</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45513</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45513</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45513</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45513</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45513</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45513</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45513</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45513</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45513</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45513</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45513</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45513</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45513</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45513</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45513</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45513</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45513</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45513</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45513</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45513</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45513</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45513</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45513</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45513</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45513</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45513</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45513</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45513</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45513</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45513</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45513</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45513</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45513</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45513</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45513</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45513</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45513</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45513</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45513</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45513</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45513</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45513</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45513</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45513</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45513</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45513</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45513</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45513</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45513</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45513</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45513</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45513</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45513</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45513</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45513</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45513</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45513</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45513</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45513</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45513</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45513</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45513</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45513</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45513</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45513</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45513</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45513</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45513</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45513</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45513</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45513</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45513</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45513</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45513</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45513</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45513</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45513</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45513</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45513</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45513</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45513</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45513</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45513</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45513</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45513</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45513</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45513</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45513</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45513</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45513</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45513</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45513</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45513</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45513</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45513</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45513</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45513</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45513</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45513</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45513</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45513</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45513</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45513</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45513</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45513</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45513</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45513</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45513</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45513</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45513</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45513</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45513</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45513</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45513</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45513</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45513</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45513</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45513</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45513</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45513</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45513</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45513</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45513</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45513</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45513</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45513</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45513</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45513</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45513</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45513</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45513</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45513</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45513</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45513</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45513</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45513</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45513</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45513</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45513</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45513</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45513</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45513</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45513</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45513</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45513</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45513</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45513</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45513</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45513</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45513</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45513</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45513</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45513</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45513</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45513</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45513</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45513</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45513</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45513</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45513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45513</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45513</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45513</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45513</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45513</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45513</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45513</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45513</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45513</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45513</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45513</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45513</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45513</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45513</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45513</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45513</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45513</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45513</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45513</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45513</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45513</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45513</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45513</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45513</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45513</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45513</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45513</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45513</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45513</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45513</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45513</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45513</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45513</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45513</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45513</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45513</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45513</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45513</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45513</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45513</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45513</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45513</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45513</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45513</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45513</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45513</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45513</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45513</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45513</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45513</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45513</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45513</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45513</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45513</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45513</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45513</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45513</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45513</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45513</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45513</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45513</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45513</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45513</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45513</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45513</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45513</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45513</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45513</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45513</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45513</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45513</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45513</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45513</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45513</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45513</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45513</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45513</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45513</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45513</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45513</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45513</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45513</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45513</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45513</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45513</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45513</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45513</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45513</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45513</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45513</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45513</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45513</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45513</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45513</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45513</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45513</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45513</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45513</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45513</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45513</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45513</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45513</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45513</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45513</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45513</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45513</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45513</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45513</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45513</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45513</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45513</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45513</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45513</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45513</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45513</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45513</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45513</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45513</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45513</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45513</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45513</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45513</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45513</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45513</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45513</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45513</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45513</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45513</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45513</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45513</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45513</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45513</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45513</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45513</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45513</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45513</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45513</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45513</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45513</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45513</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45513</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45513</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45513</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45513</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45513</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45513</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45513</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45513</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45513</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45513</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45513</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45513</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45513</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45513</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45513</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45513</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45513</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45513</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45513</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45513</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45513</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45513</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45513</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45513</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45513</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45513</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45513</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45513</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45513</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45513</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45513</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45513</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45513</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45513</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45513</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45513</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45513</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45513</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45513</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45513</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45513</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45513</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45513</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45513</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45513</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45513</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45513</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45513</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45513</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45513</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45513</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45513</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45513</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45513</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45513</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45513</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45513</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45513</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45513</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45513</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45513</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45513</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45513</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45513</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45513</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45513</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45513</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45513</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45513</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45513</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45513</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45513</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45513</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45513</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45513</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45513</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45513</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45513</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45513</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45513</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45513</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45513</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45513</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45513</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45513</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45513</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45513</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45513</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45513</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45513</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45513</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45513</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45513</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45513</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45513</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45513</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45513</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45513</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45513</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45513</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45513</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45513</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45513</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45513</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45513</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45513</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45513</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45513</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45513</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45513</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45513</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45513</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45513</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45513</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45513</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45513</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45513</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45513</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45513</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45513</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45513</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45513</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45513</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45513</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45513</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45513</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45513</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45513</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45513</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45513</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45513</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45513</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45513</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45513</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45513</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45513</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45513</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45513</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45513</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45513</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45513</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45513</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45513</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45513</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45513</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45513</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45513</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45513</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45513</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45513</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45513</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45513</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45513</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45513</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45513</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45513</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45513</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45513</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45513</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45513</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45513</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45513</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45513</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45513</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45513</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45513</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45513</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45513</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45513</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45513</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45513</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45513</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45513</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45513</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45513</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45513</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45513</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45513</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45513</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45513</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45513</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45513</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45513</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45513</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45513</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45513</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45513</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45513</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45513</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45513</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45513</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45513</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45513</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45513</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45513</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45513</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45513</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45513</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45513</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45513</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45513</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45513</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45513</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45513</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45513</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45513</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45513</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45513</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45513</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45513</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45513</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45513</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45513</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45513</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45513</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45513</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45513</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45513</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45513</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45513</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45513</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45513</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45513</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45513</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45513</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45513</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45513</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45513</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45513</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45513</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45513</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45513</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45513</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45513</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45513</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45513</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45513</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45513</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45513</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45513</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45513</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45513</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45513</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45513</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45513</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45513</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45513</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45513</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45513</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45513</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45513</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45513</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45513</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45513</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45513</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45513</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45513</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45513</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45513</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45513</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45513</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45513</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45513</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45513</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45513</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45513</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45513</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45513</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45513</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45513</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45513</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45513</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45513</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45513</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45513</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45513</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45513</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45513</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45513</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45513</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45513</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45513</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45513</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45513</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45513</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45513</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45513</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45513</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45513</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45513</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45513</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45513</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45513</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45513</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45513</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45513</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45513</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45513</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45513</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45513</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45513</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45513</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45513</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45513</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45513</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45513</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45513</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45513</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45513</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45513</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45513</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45513</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45513</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45513</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45513</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45513</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45513</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45513</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45513</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45513</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45513</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45513</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45513</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45513</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45513</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45513</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45513</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45513</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45513</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45513</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45513</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45513</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45513</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45513</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45513</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45513</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45513</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45513</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45513</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45513</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45513</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45513</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45513</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45513</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45513</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45513</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45513</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45513</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45513</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45513</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45513</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45513</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45513</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45513</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45513</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45513</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45513</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45513</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45513</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45513</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45513</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45513</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45513</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45513</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45513</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45513</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45513</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45513</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45513</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45513</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45513</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45513</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45513</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45513</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45513</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45513</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45513</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45513</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45513</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45513</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45513</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45513</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45513</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45513</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45513</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45513</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45513</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45513</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45513</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45513</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45513</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45513</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45513</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45513</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45513</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45513</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45513</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45513</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45513</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45513</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45513</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45513</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45513</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45513</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45513</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45513</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45513</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45513</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45513</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45513</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45513</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45513</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45513</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45513</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45513</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45513</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45513</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45513</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45513</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45513</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45513</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45513</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45513</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45513</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45513</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45513</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45513</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45513</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45513</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45513</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45513</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45513</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45513</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45513</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45513</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45513</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45513</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45513</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45513</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45513</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45513</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45513</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45513</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45513</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45513</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45513</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45513</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45513</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45513</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45513</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45513</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45513</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45513</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45513</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45513</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45513</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45513</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45513</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45513</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45513</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45513</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45513</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45513</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45513</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45513</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45513</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45513</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45513</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45513</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45513</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45513</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45513</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45513</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45513</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45513</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45513</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45513</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45513</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45513</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45513</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45513</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45513</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45513</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45513</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45513</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45513</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45513</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45513</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45513</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45513</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45513</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45513</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45513</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45513</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45513</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45513</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45513</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45513</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45513</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45513</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45513</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45513</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45513</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45513</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45513</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45513</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45513</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45513</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45513</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45513</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45513</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45513</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45513</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45513</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45513</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45513</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45513</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45513</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45513</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45513</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45513</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45513</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45513</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45513</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45513</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45513</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45513</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45513</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45513</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45513</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45513</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45513</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45513</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45513</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45513</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45513</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45513</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45513</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45513</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45513</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45513</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45513</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45513</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45513</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45513</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45513</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45513</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45513</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45513</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45513</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45513</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45513</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45513</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45513</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45513</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45513</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45513</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45513</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45513</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45513</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45513</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45513</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45513</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45513</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45513</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45513</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45513</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45513</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45513</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45513</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45513</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45513</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45513</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45513</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45513</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45513</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45513</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45513</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45513</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45513</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45513</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45513</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45513</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45513</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45513</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45513</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45513</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45513</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45513</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45513</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45513</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45513</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45513</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45513</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45513</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45513</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45513</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45513</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45513</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45513</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45513</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45513</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45513</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45513</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45513</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45513</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45513</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45513</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45513</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45513</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45513</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45513</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45513</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45513</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45513</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45513</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45513</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45513</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45513</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45513</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45513</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45513</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45513</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45513</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45513</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45513</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45513</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45513</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45513</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45513</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45513</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45513</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45513</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45513</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45513</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45513</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45513</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45513</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45513</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45513</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45513</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45513</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45513</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45513</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45513</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45513</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45513</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45513</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45513</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45513</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45513</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45513</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45513</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45513</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45513</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45513</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45513</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45513</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45513</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45513</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45513</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45513</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45513</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45513</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45513</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45513</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45513</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45513</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45513</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45513</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45513</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45513</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45513</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45513</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45513</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45513</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45513</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45513</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45513</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45513</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45513</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45513</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45513</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45513</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45513</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45513</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45513</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45513</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45513</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45513</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45513</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45513</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45513</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45513</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45513</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45513</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45513</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45513</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45513</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45513</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45513</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45513</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45513</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45513</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45513</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45513</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45513</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45513</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45513</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45513</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45513</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45513</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45513</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45513</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45513</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45513</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45513</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45513</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45513</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45513</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45513</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45513</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45513</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45513</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45513</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45513</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45513</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45513</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45513</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45513</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45513</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45513</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45513</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45513</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45513</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45513</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45513</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45513</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45513</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45513</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45513</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45513</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45513</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45513</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45513</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45513</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45513</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45513</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45513</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45513</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45513</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45513</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45513</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45513</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45513</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45513</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45513</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45513</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45513</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45513</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45513</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45513</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45513</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45513</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45513</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45513</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45513</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45513</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45513</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45513</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45513</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45513</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45513</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45513</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45513</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45513</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45513</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45513</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45513</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45513</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45513</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45513</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45513</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45513</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45513</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45513</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45513</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45513</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45513</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45513</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45513</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45513</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45513</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45513</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45513</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45513</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45513</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45513</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45513</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45513</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45513</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45513</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45513</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45513</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45513</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45513</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45513</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45513</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45513</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45513</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45513</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45513</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45513</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45513</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45513</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45513</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45513</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45513</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45513</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45513</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45513</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45513</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45513</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45513</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45513</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45513</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45513</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45513</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45513</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45513</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45513</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45513</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45513</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45513</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45513</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45513</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45513</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45513</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45513</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45513</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45513</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45513</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45513</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45513</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45513</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45513</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45513</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45513</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45513</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45513</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45513</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45513</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45513</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45513</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45513</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45513</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45513</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45513</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45513</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45513</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45513</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45513</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45513</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45513</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45513</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45513</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45513</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45513</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45513</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45513</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45513</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45513</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45513</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45513</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45513</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45513</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45513</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45513</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45513</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45513</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45513</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45513</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45513</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45513</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45513</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45513</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45513</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45513</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45513</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45513</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45513</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45513</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45513</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45513</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45513</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45513</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45513</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45513</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45513</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45513</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45513</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45513</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45513</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45513</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45513</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45513</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45513</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45513</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45513</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45513</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45513</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45513</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45513</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45513</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45513</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45513</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45513</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45513</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45513</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45513</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45513</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45513</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45513</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45513</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45513</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45513</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45513</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45513</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45513</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45513</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45513</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45513</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45513</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45513</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45513</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45513</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45513</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45513</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45513</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45513</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45513</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45513</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45513</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45513</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45513</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45513</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45513</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45513</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45513</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45513</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45513</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45513</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29113-2024</t>
        </is>
      </c>
      <c r="B2961" s="1" t="n">
        <v>45482</v>
      </c>
      <c r="C2961" s="1" t="n">
        <v>45513</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29096-2024</t>
        </is>
      </c>
      <c r="B2962" s="1" t="n">
        <v>45482</v>
      </c>
      <c r="C2962" s="1" t="n">
        <v>45513</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29091-2024</t>
        </is>
      </c>
      <c r="B2963" s="1" t="n">
        <v>45482</v>
      </c>
      <c r="C2963" s="1" t="n">
        <v>45513</v>
      </c>
      <c r="D2963" t="inlineStr">
        <is>
          <t>JÄMTLANDS LÄN</t>
        </is>
      </c>
      <c r="E2963" t="inlineStr">
        <is>
          <t>STRÖMSUND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45513</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29098-2024</t>
        </is>
      </c>
      <c r="B2965" s="1" t="n">
        <v>45482</v>
      </c>
      <c r="C2965" s="1" t="n">
        <v>45513</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45513</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29221-2024</t>
        </is>
      </c>
      <c r="B2967" s="1" t="n">
        <v>45482</v>
      </c>
      <c r="C2967" s="1" t="n">
        <v>45513</v>
      </c>
      <c r="D2967" t="inlineStr">
        <is>
          <t>JÄMTLANDS LÄN</t>
        </is>
      </c>
      <c r="E2967" t="inlineStr">
        <is>
          <t>STRÖMSUND</t>
        </is>
      </c>
      <c r="G2967" t="n">
        <v>39.4</v>
      </c>
      <c r="H2967" t="n">
        <v>0</v>
      </c>
      <c r="I2967" t="n">
        <v>0</v>
      </c>
      <c r="J2967" t="n">
        <v>0</v>
      </c>
      <c r="K2967" t="n">
        <v>0</v>
      </c>
      <c r="L2967" t="n">
        <v>0</v>
      </c>
      <c r="M2967" t="n">
        <v>0</v>
      </c>
      <c r="N2967" t="n">
        <v>0</v>
      </c>
      <c r="O2967" t="n">
        <v>0</v>
      </c>
      <c r="P2967" t="n">
        <v>0</v>
      </c>
      <c r="Q2967" t="n">
        <v>0</v>
      </c>
      <c r="R2967" s="2" t="inlineStr"/>
    </row>
    <row r="2968" ht="15" customHeight="1">
      <c r="A2968" t="inlineStr">
        <is>
          <t>A 29274-2024</t>
        </is>
      </c>
      <c r="B2968" s="1" t="n">
        <v>45483</v>
      </c>
      <c r="C2968" s="1" t="n">
        <v>45513</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29242-2024</t>
        </is>
      </c>
      <c r="B2969" s="1" t="n">
        <v>45483</v>
      </c>
      <c r="C2969" s="1" t="n">
        <v>45513</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29171-2024</t>
        </is>
      </c>
      <c r="B2970" s="1" t="n">
        <v>45482</v>
      </c>
      <c r="C2970" s="1" t="n">
        <v>45513</v>
      </c>
      <c r="D2970" t="inlineStr">
        <is>
          <t>JÄMTLANDS LÄN</t>
        </is>
      </c>
      <c r="E2970" t="inlineStr">
        <is>
          <t>STRÖMSUND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29266-2024</t>
        </is>
      </c>
      <c r="B2971" s="1" t="n">
        <v>45483</v>
      </c>
      <c r="C2971" s="1" t="n">
        <v>45513</v>
      </c>
      <c r="D2971" t="inlineStr">
        <is>
          <t>JÄMTLANDS LÄN</t>
        </is>
      </c>
      <c r="E2971" t="inlineStr">
        <is>
          <t>STRÖMSUND</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29243-2024</t>
        </is>
      </c>
      <c r="B2972" s="1" t="n">
        <v>45483</v>
      </c>
      <c r="C2972" s="1" t="n">
        <v>45513</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29273-2024</t>
        </is>
      </c>
      <c r="B2973" s="1" t="n">
        <v>45483</v>
      </c>
      <c r="C2973" s="1" t="n">
        <v>45513</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45513</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29586-2024</t>
        </is>
      </c>
      <c r="B2975" s="1" t="n">
        <v>45484</v>
      </c>
      <c r="C2975" s="1" t="n">
        <v>45513</v>
      </c>
      <c r="D2975" t="inlineStr">
        <is>
          <t>JÄMTLANDS LÄN</t>
        </is>
      </c>
      <c r="E2975" t="inlineStr">
        <is>
          <t>STRÖMSUND</t>
        </is>
      </c>
      <c r="F2975" t="inlineStr">
        <is>
          <t>Holmen skog AB</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29670-2024</t>
        </is>
      </c>
      <c r="B2976" s="1" t="n">
        <v>45485</v>
      </c>
      <c r="C2976" s="1" t="n">
        <v>45513</v>
      </c>
      <c r="D2976" t="inlineStr">
        <is>
          <t>JÄMTLANDS LÄN</t>
        </is>
      </c>
      <c r="E2976" t="inlineStr">
        <is>
          <t>STRÖMSUND</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29495-2024</t>
        </is>
      </c>
      <c r="B2977" s="1" t="n">
        <v>45484</v>
      </c>
      <c r="C2977" s="1" t="n">
        <v>45513</v>
      </c>
      <c r="D2977" t="inlineStr">
        <is>
          <t>JÄMTLANDS LÄN</t>
        </is>
      </c>
      <c r="E2977" t="inlineStr">
        <is>
          <t>STRÖMSUND</t>
        </is>
      </c>
      <c r="F2977" t="inlineStr">
        <is>
          <t>Holmen skog AB</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29487-2024</t>
        </is>
      </c>
      <c r="B2978" s="1" t="n">
        <v>45484</v>
      </c>
      <c r="C2978" s="1" t="n">
        <v>45513</v>
      </c>
      <c r="D2978" t="inlineStr">
        <is>
          <t>JÄMTLANDS LÄN</t>
        </is>
      </c>
      <c r="E2978" t="inlineStr">
        <is>
          <t>STRÖMSUND</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29671-2024</t>
        </is>
      </c>
      <c r="B2979" s="1" t="n">
        <v>45485</v>
      </c>
      <c r="C2979" s="1" t="n">
        <v>45513</v>
      </c>
      <c r="D2979" t="inlineStr">
        <is>
          <t>JÄMTLANDS LÄN</t>
        </is>
      </c>
      <c r="E2979" t="inlineStr">
        <is>
          <t>STRÖMSUND</t>
        </is>
      </c>
      <c r="F2979" t="inlineStr">
        <is>
          <t>SCA</t>
        </is>
      </c>
      <c r="G2979" t="n">
        <v>42.3</v>
      </c>
      <c r="H2979" t="n">
        <v>0</v>
      </c>
      <c r="I2979" t="n">
        <v>0</v>
      </c>
      <c r="J2979" t="n">
        <v>0</v>
      </c>
      <c r="K2979" t="n">
        <v>0</v>
      </c>
      <c r="L2979" t="n">
        <v>0</v>
      </c>
      <c r="M2979" t="n">
        <v>0</v>
      </c>
      <c r="N2979" t="n">
        <v>0</v>
      </c>
      <c r="O2979" t="n">
        <v>0</v>
      </c>
      <c r="P2979" t="n">
        <v>0</v>
      </c>
      <c r="Q2979" t="n">
        <v>0</v>
      </c>
      <c r="R2979" s="2" t="inlineStr"/>
    </row>
    <row r="2980" ht="15" customHeight="1">
      <c r="A2980" t="inlineStr">
        <is>
          <t>A 29668-2024</t>
        </is>
      </c>
      <c r="B2980" s="1" t="n">
        <v>45485</v>
      </c>
      <c r="C2980" s="1" t="n">
        <v>45513</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29669-2024</t>
        </is>
      </c>
      <c r="B2981" s="1" t="n">
        <v>45485</v>
      </c>
      <c r="C2981" s="1" t="n">
        <v>45513</v>
      </c>
      <c r="D2981" t="inlineStr">
        <is>
          <t>JÄMTLANDS LÄN</t>
        </is>
      </c>
      <c r="E2981" t="inlineStr">
        <is>
          <t>STRÖMSUND</t>
        </is>
      </c>
      <c r="F2981" t="inlineStr">
        <is>
          <t>SCA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45513</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30062-2024</t>
        </is>
      </c>
      <c r="B2983" s="1" t="n">
        <v>45489</v>
      </c>
      <c r="C2983" s="1" t="n">
        <v>45513</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30064-2024</t>
        </is>
      </c>
      <c r="B2984" s="1" t="n">
        <v>45489</v>
      </c>
      <c r="C2984" s="1" t="n">
        <v>45513</v>
      </c>
      <c r="D2984" t="inlineStr">
        <is>
          <t>JÄMTLANDS LÄN</t>
        </is>
      </c>
      <c r="E2984" t="inlineStr">
        <is>
          <t>STRÖMSUND</t>
        </is>
      </c>
      <c r="F2984" t="inlineStr">
        <is>
          <t>SCA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45513</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45513</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30352-2024</t>
        </is>
      </c>
      <c r="B2987" s="1" t="n">
        <v>45491</v>
      </c>
      <c r="C2987" s="1" t="n">
        <v>45513</v>
      </c>
      <c r="D2987" t="inlineStr">
        <is>
          <t>JÄMTLANDS LÄN</t>
        </is>
      </c>
      <c r="E2987" t="inlineStr">
        <is>
          <t>STRÖMSUND</t>
        </is>
      </c>
      <c r="F2987" t="inlineStr">
        <is>
          <t>SCA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30376-2024</t>
        </is>
      </c>
      <c r="B2988" s="1" t="n">
        <v>45491</v>
      </c>
      <c r="C2988" s="1" t="n">
        <v>45513</v>
      </c>
      <c r="D2988" t="inlineStr">
        <is>
          <t>JÄMTLANDS LÄN</t>
        </is>
      </c>
      <c r="E2988" t="inlineStr">
        <is>
          <t>STRÖMSUND</t>
        </is>
      </c>
      <c r="F2988" t="inlineStr">
        <is>
          <t>Sveaskog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30371-2024</t>
        </is>
      </c>
      <c r="B2989" s="1" t="n">
        <v>45491</v>
      </c>
      <c r="C2989" s="1" t="n">
        <v>45513</v>
      </c>
      <c r="D2989" t="inlineStr">
        <is>
          <t>JÄMTLANDS LÄN</t>
        </is>
      </c>
      <c r="E2989" t="inlineStr">
        <is>
          <t>STRÖMSUND</t>
        </is>
      </c>
      <c r="F2989" t="inlineStr">
        <is>
          <t>Sveaskog</t>
        </is>
      </c>
      <c r="G2989" t="n">
        <v>17.5</v>
      </c>
      <c r="H2989" t="n">
        <v>0</v>
      </c>
      <c r="I2989" t="n">
        <v>0</v>
      </c>
      <c r="J2989" t="n">
        <v>0</v>
      </c>
      <c r="K2989" t="n">
        <v>0</v>
      </c>
      <c r="L2989" t="n">
        <v>0</v>
      </c>
      <c r="M2989" t="n">
        <v>0</v>
      </c>
      <c r="N2989" t="n">
        <v>0</v>
      </c>
      <c r="O2989" t="n">
        <v>0</v>
      </c>
      <c r="P2989" t="n">
        <v>0</v>
      </c>
      <c r="Q2989" t="n">
        <v>0</v>
      </c>
      <c r="R2989" s="2" t="inlineStr"/>
    </row>
    <row r="2990" ht="15" customHeight="1">
      <c r="A2990" t="inlineStr">
        <is>
          <t>A 30375-2024</t>
        </is>
      </c>
      <c r="B2990" s="1" t="n">
        <v>45491</v>
      </c>
      <c r="C2990" s="1" t="n">
        <v>45513</v>
      </c>
      <c r="D2990" t="inlineStr">
        <is>
          <t>JÄMTLANDS LÄN</t>
        </is>
      </c>
      <c r="E2990" t="inlineStr">
        <is>
          <t>STRÖMSUND</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30374-2024</t>
        </is>
      </c>
      <c r="B2991" s="1" t="n">
        <v>45491</v>
      </c>
      <c r="C2991" s="1" t="n">
        <v>45513</v>
      </c>
      <c r="D2991" t="inlineStr">
        <is>
          <t>JÄMTLANDS LÄN</t>
        </is>
      </c>
      <c r="E2991" t="inlineStr">
        <is>
          <t>STRÖMSUND</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30585-2024</t>
        </is>
      </c>
      <c r="B2992" s="1" t="n">
        <v>45493</v>
      </c>
      <c r="C2992" s="1" t="n">
        <v>45513</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30586-2024</t>
        </is>
      </c>
      <c r="B2993" s="1" t="n">
        <v>45493</v>
      </c>
      <c r="C2993" s="1" t="n">
        <v>45513</v>
      </c>
      <c r="D2993" t="inlineStr">
        <is>
          <t>JÄMTLANDS LÄN</t>
        </is>
      </c>
      <c r="E2993" t="inlineStr">
        <is>
          <t>STRÖMSUND</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45513</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31489-2024</t>
        </is>
      </c>
      <c r="B2995" s="1" t="n">
        <v>45506</v>
      </c>
      <c r="C2995" s="1" t="n">
        <v>45513</v>
      </c>
      <c r="D2995" t="inlineStr">
        <is>
          <t>JÄMTLANDS LÄN</t>
        </is>
      </c>
      <c r="E2995" t="inlineStr">
        <is>
          <t>STRÖMSUND</t>
        </is>
      </c>
      <c r="F2995" t="inlineStr">
        <is>
          <t>SCA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31514-2024</t>
        </is>
      </c>
      <c r="B2996" s="1" t="n">
        <v>45506</v>
      </c>
      <c r="C2996" s="1" t="n">
        <v>45513</v>
      </c>
      <c r="D2996" t="inlineStr">
        <is>
          <t>JÄMTLANDS LÄN</t>
        </is>
      </c>
      <c r="E2996" t="inlineStr">
        <is>
          <t>STRÖMSUND</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31538-2024</t>
        </is>
      </c>
      <c r="B2997" s="1" t="n">
        <v>45506</v>
      </c>
      <c r="C2997" s="1" t="n">
        <v>45513</v>
      </c>
      <c r="D2997" t="inlineStr">
        <is>
          <t>JÄMTLANDS LÄN</t>
        </is>
      </c>
      <c r="E2997" t="inlineStr">
        <is>
          <t>STRÖMSUND</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45513</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45513</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31675-2024</t>
        </is>
      </c>
      <c r="B3000" s="1" t="n">
        <v>45507</v>
      </c>
      <c r="C3000" s="1" t="n">
        <v>45513</v>
      </c>
      <c r="D3000" t="inlineStr">
        <is>
          <t>JÄMTLANDS LÄN</t>
        </is>
      </c>
      <c r="E3000" t="inlineStr">
        <is>
          <t>STRÖMSUND</t>
        </is>
      </c>
      <c r="F3000" t="inlineStr">
        <is>
          <t>SCA</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31685-2024</t>
        </is>
      </c>
      <c r="B3001" s="1" t="n">
        <v>45507</v>
      </c>
      <c r="C3001" s="1" t="n">
        <v>45513</v>
      </c>
      <c r="D3001" t="inlineStr">
        <is>
          <t>JÄMTLANDS LÄN</t>
        </is>
      </c>
      <c r="E3001" t="inlineStr">
        <is>
          <t>STRÖMSUND</t>
        </is>
      </c>
      <c r="F3001" t="inlineStr">
        <is>
          <t>SCA</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31710-2024</t>
        </is>
      </c>
      <c r="B3002" s="1" t="n">
        <v>45509</v>
      </c>
      <c r="C3002" s="1" t="n">
        <v>45513</v>
      </c>
      <c r="D3002" t="inlineStr">
        <is>
          <t>JÄMTLANDS LÄN</t>
        </is>
      </c>
      <c r="E3002" t="inlineStr">
        <is>
          <t>STRÖMSUND</t>
        </is>
      </c>
      <c r="F3002" t="inlineStr">
        <is>
          <t>SCA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31741-2024</t>
        </is>
      </c>
      <c r="B3003" s="1" t="n">
        <v>45509</v>
      </c>
      <c r="C3003" s="1" t="n">
        <v>45513</v>
      </c>
      <c r="D3003" t="inlineStr">
        <is>
          <t>JÄMTLANDS LÄN</t>
        </is>
      </c>
      <c r="E3003" t="inlineStr">
        <is>
          <t>STRÖMSUND</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31898-2024</t>
        </is>
      </c>
      <c r="B3004" s="1" t="n">
        <v>45510</v>
      </c>
      <c r="C3004" s="1" t="n">
        <v>45513</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32066-2024</t>
        </is>
      </c>
      <c r="B3005" s="1" t="n">
        <v>45511</v>
      </c>
      <c r="C3005" s="1" t="n">
        <v>45513</v>
      </c>
      <c r="D3005" t="inlineStr">
        <is>
          <t>JÄMTLANDS LÄN</t>
        </is>
      </c>
      <c r="E3005" t="inlineStr">
        <is>
          <t>STRÖMSUND</t>
        </is>
      </c>
      <c r="F3005" t="inlineStr">
        <is>
          <t>SCA</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32358-2024</t>
        </is>
      </c>
      <c r="B3006" s="1" t="n">
        <v>45512</v>
      </c>
      <c r="C3006" s="1" t="n">
        <v>45513</v>
      </c>
      <c r="D3006" t="inlineStr">
        <is>
          <t>JÄMTLANDS LÄN</t>
        </is>
      </c>
      <c r="E3006" t="inlineStr">
        <is>
          <t>STRÖMSUND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32396-2024</t>
        </is>
      </c>
      <c r="B3007" s="1" t="n">
        <v>45512</v>
      </c>
      <c r="C3007" s="1" t="n">
        <v>45513</v>
      </c>
      <c r="D3007" t="inlineStr">
        <is>
          <t>JÄMTLANDS LÄN</t>
        </is>
      </c>
      <c r="E3007" t="inlineStr">
        <is>
          <t>STRÖMSUND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32324-2024</t>
        </is>
      </c>
      <c r="B3008" s="1" t="n">
        <v>45512</v>
      </c>
      <c r="C3008" s="1" t="n">
        <v>45513</v>
      </c>
      <c r="D3008" t="inlineStr">
        <is>
          <t>JÄMTLANDS LÄN</t>
        </is>
      </c>
      <c r="E3008" t="inlineStr">
        <is>
          <t>STRÖMSUND</t>
        </is>
      </c>
      <c r="G3008" t="n">
        <v>3.6</v>
      </c>
      <c r="H3008" t="n">
        <v>0</v>
      </c>
      <c r="I3008" t="n">
        <v>0</v>
      </c>
      <c r="J3008" t="n">
        <v>0</v>
      </c>
      <c r="K3008" t="n">
        <v>0</v>
      </c>
      <c r="L3008" t="n">
        <v>0</v>
      </c>
      <c r="M3008" t="n">
        <v>0</v>
      </c>
      <c r="N3008" t="n">
        <v>0</v>
      </c>
      <c r="O3008" t="n">
        <v>0</v>
      </c>
      <c r="P3008" t="n">
        <v>0</v>
      </c>
      <c r="Q3008" t="n">
        <v>0</v>
      </c>
      <c r="R3008" s="2" t="inlineStr"/>
    </row>
    <row r="3009">
      <c r="A3009" t="inlineStr">
        <is>
          <t>A 32451-2024</t>
        </is>
      </c>
      <c r="B3009" s="1" t="n">
        <v>45513</v>
      </c>
      <c r="C3009" s="1" t="n">
        <v>45513</v>
      </c>
      <c r="D3009" t="inlineStr">
        <is>
          <t>JÄMTLANDS LÄN</t>
        </is>
      </c>
      <c r="E3009" t="inlineStr">
        <is>
          <t>STRÖMSUND</t>
        </is>
      </c>
      <c r="F3009" t="inlineStr">
        <is>
          <t>SCA</t>
        </is>
      </c>
      <c r="G3009" t="n">
        <v>2.6</v>
      </c>
      <c r="H3009" t="n">
        <v>0</v>
      </c>
      <c r="I3009" t="n">
        <v>0</v>
      </c>
      <c r="J3009" t="n">
        <v>0</v>
      </c>
      <c r="K3009" t="n">
        <v>0</v>
      </c>
      <c r="L3009" t="n">
        <v>0</v>
      </c>
      <c r="M3009" t="n">
        <v>0</v>
      </c>
      <c r="N3009" t="n">
        <v>0</v>
      </c>
      <c r="O3009" t="n">
        <v>0</v>
      </c>
      <c r="P3009" t="n">
        <v>0</v>
      </c>
      <c r="Q3009" t="n">
        <v>0</v>
      </c>
      <c r="R3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2024-08-09T10:40:03Z</dcterms:created>
  <dcterms:modified xmlns:dcterms="http://purl.org/dc/terms/" xmlns:xsi="http://www.w3.org/2001/XMLSchema-instance" xsi:type="dcterms:W3CDTF">2024-08-09T10:40:05Z</dcterms:modified>
</cp:coreProperties>
</file>