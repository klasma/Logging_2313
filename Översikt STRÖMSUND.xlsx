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45721</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45721</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45721</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45721</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45721</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45721</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45721</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45721</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45721</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45721</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45721</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45721</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45721</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45721</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45721</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45721</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45721</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45721</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45721</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45721</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45721</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45721</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45721</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45721</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45721</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45721</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45721</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45721</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45721</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45721</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45721</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45721</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45721</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45721</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45721</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1470-2023</t>
        </is>
      </c>
      <c r="B70" s="1" t="n">
        <v>44931</v>
      </c>
      <c r="C70" s="1" t="n">
        <v>45721</v>
      </c>
      <c r="D70" t="inlineStr">
        <is>
          <t>JÄMTLANDS LÄN</t>
        </is>
      </c>
      <c r="E70" t="inlineStr">
        <is>
          <t>STRÖMSUND</t>
        </is>
      </c>
      <c r="G70" t="n">
        <v>39.8</v>
      </c>
      <c r="H70" t="n">
        <v>3</v>
      </c>
      <c r="I70" t="n">
        <v>3</v>
      </c>
      <c r="J70" t="n">
        <v>6</v>
      </c>
      <c r="K70" t="n">
        <v>0</v>
      </c>
      <c r="L70" t="n">
        <v>0</v>
      </c>
      <c r="M70" t="n">
        <v>0</v>
      </c>
      <c r="N70" t="n">
        <v>0</v>
      </c>
      <c r="O70" t="n">
        <v>6</v>
      </c>
      <c r="P70" t="n">
        <v>0</v>
      </c>
      <c r="Q70" t="n">
        <v>10</v>
      </c>
      <c r="R70" s="2" t="inlineStr">
        <is>
          <t>Doftskinn
Garnlav
Granticka
Harticka
Talltita
Tretåig hackspett
Kransrams
Stuplav
Ögonpyrola
Fläcknycklar</t>
        </is>
      </c>
      <c r="S70">
        <f>HYPERLINK("https://klasma.github.io/Logging_2313/artfynd/A 1470-2023 artfynd.xlsx", "A 1470-2023")</f>
        <v/>
      </c>
      <c r="T70">
        <f>HYPERLINK("https://klasma.github.io/Logging_2313/kartor/A 1470-2023 karta.png", "A 1470-2023")</f>
        <v/>
      </c>
      <c r="V70">
        <f>HYPERLINK("https://klasma.github.io/Logging_2313/klagomål/A 1470-2023 FSC-klagomål.docx", "A 1470-2023")</f>
        <v/>
      </c>
      <c r="W70">
        <f>HYPERLINK("https://klasma.github.io/Logging_2313/klagomålsmail/A 1470-2023 FSC-klagomål mail.docx", "A 1470-2023")</f>
        <v/>
      </c>
      <c r="X70">
        <f>HYPERLINK("https://klasma.github.io/Logging_2313/tillsyn/A 1470-2023 tillsynsbegäran.docx", "A 1470-2023")</f>
        <v/>
      </c>
      <c r="Y70">
        <f>HYPERLINK("https://klasma.github.io/Logging_2313/tillsynsmail/A 1470-2023 tillsynsbegäran mail.docx", "A 1470-2023")</f>
        <v/>
      </c>
      <c r="Z70">
        <f>HYPERLINK("https://klasma.github.io/Logging_2313/fåglar/A 1470-2023 prioriterade fågelarter.docx", "A 1470-2023")</f>
        <v/>
      </c>
    </row>
    <row r="71" ht="15" customHeight="1">
      <c r="A71" t="inlineStr">
        <is>
          <t>A 43417-2023</t>
        </is>
      </c>
      <c r="B71" s="1" t="n">
        <v>45184</v>
      </c>
      <c r="C71" s="1" t="n">
        <v>45721</v>
      </c>
      <c r="D71" t="inlineStr">
        <is>
          <t>JÄMTLANDS LÄN</t>
        </is>
      </c>
      <c r="E71" t="inlineStr">
        <is>
          <t>STRÖMSUND</t>
        </is>
      </c>
      <c r="F71" t="inlineStr">
        <is>
          <t>SCA</t>
        </is>
      </c>
      <c r="G71" t="n">
        <v>8.199999999999999</v>
      </c>
      <c r="H71" t="n">
        <v>2</v>
      </c>
      <c r="I71" t="n">
        <v>4</v>
      </c>
      <c r="J71" t="n">
        <v>5</v>
      </c>
      <c r="K71" t="n">
        <v>1</v>
      </c>
      <c r="L71" t="n">
        <v>0</v>
      </c>
      <c r="M71" t="n">
        <v>0</v>
      </c>
      <c r="N71" t="n">
        <v>0</v>
      </c>
      <c r="O71" t="n">
        <v>6</v>
      </c>
      <c r="P71" t="n">
        <v>1</v>
      </c>
      <c r="Q71" t="n">
        <v>10</v>
      </c>
      <c r="R71" s="2" t="inlineStr">
        <is>
          <t>Doftticka
Doftskinn
Garnlav
Järpe
Lunglav
Mörk kolflarnlav
Bårdlav
Luddlav
Skinnlav
Stuplav</t>
        </is>
      </c>
      <c r="S71">
        <f>HYPERLINK("https://klasma.github.io/Logging_2313/artfynd/A 43417-2023 artfynd.xlsx", "A 43417-2023")</f>
        <v/>
      </c>
      <c r="T71">
        <f>HYPERLINK("https://klasma.github.io/Logging_2313/kartor/A 43417-2023 karta.png", "A 43417-2023")</f>
        <v/>
      </c>
      <c r="V71">
        <f>HYPERLINK("https://klasma.github.io/Logging_2313/klagomål/A 43417-2023 FSC-klagomål.docx", "A 43417-2023")</f>
        <v/>
      </c>
      <c r="W71">
        <f>HYPERLINK("https://klasma.github.io/Logging_2313/klagomålsmail/A 43417-2023 FSC-klagomål mail.docx", "A 43417-2023")</f>
        <v/>
      </c>
      <c r="X71">
        <f>HYPERLINK("https://klasma.github.io/Logging_2313/tillsyn/A 43417-2023 tillsynsbegäran.docx", "A 43417-2023")</f>
        <v/>
      </c>
      <c r="Y71">
        <f>HYPERLINK("https://klasma.github.io/Logging_2313/tillsynsmail/A 43417-2023 tillsynsbegäran mail.docx", "A 43417-2023")</f>
        <v/>
      </c>
      <c r="Z71">
        <f>HYPERLINK("https://klasma.github.io/Logging_2313/fåglar/A 43417-2023 prioriterade fågelarter.docx", "A 43417-2023")</f>
        <v/>
      </c>
    </row>
    <row r="72" ht="15" customHeight="1">
      <c r="A72" t="inlineStr">
        <is>
          <t>A 54229-2024</t>
        </is>
      </c>
      <c r="B72" s="1" t="n">
        <v>45616</v>
      </c>
      <c r="C72" s="1" t="n">
        <v>45721</v>
      </c>
      <c r="D72" t="inlineStr">
        <is>
          <t>JÄMTLANDS LÄN</t>
        </is>
      </c>
      <c r="E72" t="inlineStr">
        <is>
          <t>STRÖMSUND</t>
        </is>
      </c>
      <c r="G72" t="n">
        <v>66.2</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54229-2024 artfynd.xlsx", "A 54229-2024")</f>
        <v/>
      </c>
      <c r="T72">
        <f>HYPERLINK("https://klasma.github.io/Logging_2313/kartor/A 54229-2024 karta.png", "A 54229-2024")</f>
        <v/>
      </c>
      <c r="V72">
        <f>HYPERLINK("https://klasma.github.io/Logging_2313/klagomål/A 54229-2024 FSC-klagomål.docx", "A 54229-2024")</f>
        <v/>
      </c>
      <c r="W72">
        <f>HYPERLINK("https://klasma.github.io/Logging_2313/klagomålsmail/A 54229-2024 FSC-klagomål mail.docx", "A 54229-2024")</f>
        <v/>
      </c>
      <c r="X72">
        <f>HYPERLINK("https://klasma.github.io/Logging_2313/tillsyn/A 54229-2024 tillsynsbegäran.docx", "A 54229-2024")</f>
        <v/>
      </c>
      <c r="Y72">
        <f>HYPERLINK("https://klasma.github.io/Logging_2313/tillsynsmail/A 54229-2024 tillsynsbegäran mail.docx", "A 54229-2024")</f>
        <v/>
      </c>
    </row>
    <row r="73" ht="15" customHeight="1">
      <c r="A73" t="inlineStr">
        <is>
          <t>A 6776-2020</t>
        </is>
      </c>
      <c r="B73" s="1" t="n">
        <v>43867</v>
      </c>
      <c r="C73" s="1" t="n">
        <v>45721</v>
      </c>
      <c r="D73" t="inlineStr">
        <is>
          <t>JÄMTLANDS LÄN</t>
        </is>
      </c>
      <c r="E73" t="inlineStr">
        <is>
          <t>STRÖMSUND</t>
        </is>
      </c>
      <c r="G73" t="n">
        <v>10.7</v>
      </c>
      <c r="H73" t="n">
        <v>0</v>
      </c>
      <c r="I73" t="n">
        <v>4</v>
      </c>
      <c r="J73" t="n">
        <v>5</v>
      </c>
      <c r="K73" t="n">
        <v>0</v>
      </c>
      <c r="L73" t="n">
        <v>0</v>
      </c>
      <c r="M73" t="n">
        <v>0</v>
      </c>
      <c r="N73" t="n">
        <v>0</v>
      </c>
      <c r="O73" t="n">
        <v>5</v>
      </c>
      <c r="P73" t="n">
        <v>0</v>
      </c>
      <c r="Q73" t="n">
        <v>9</v>
      </c>
      <c r="R73" s="2" t="inlineStr">
        <is>
          <t>Granticka
Harticka
Lunglav
Skrovellav
Vedflikmossa
Bårdlav
Kransrams
Stuplav
Trådticka</t>
        </is>
      </c>
      <c r="S73">
        <f>HYPERLINK("https://klasma.github.io/Logging_2313/artfynd/A 6776-2020 artfynd.xlsx", "A 6776-2020")</f>
        <v/>
      </c>
      <c r="T73">
        <f>HYPERLINK("https://klasma.github.io/Logging_2313/kartor/A 6776-2020 karta.png", "A 6776-2020")</f>
        <v/>
      </c>
      <c r="V73">
        <f>HYPERLINK("https://klasma.github.io/Logging_2313/klagomål/A 6776-2020 FSC-klagomål.docx", "A 6776-2020")</f>
        <v/>
      </c>
      <c r="W73">
        <f>HYPERLINK("https://klasma.github.io/Logging_2313/klagomålsmail/A 6776-2020 FSC-klagomål mail.docx", "A 6776-2020")</f>
        <v/>
      </c>
      <c r="X73">
        <f>HYPERLINK("https://klasma.github.io/Logging_2313/tillsyn/A 6776-2020 tillsynsbegäran.docx", "A 6776-2020")</f>
        <v/>
      </c>
      <c r="Y73">
        <f>HYPERLINK("https://klasma.github.io/Logging_2313/tillsynsmail/A 6776-2020 tillsynsbegäran mail.docx", "A 6776-2020")</f>
        <v/>
      </c>
    </row>
    <row r="74" ht="15" customHeight="1">
      <c r="A74" t="inlineStr">
        <is>
          <t>A 44983-2020</t>
        </is>
      </c>
      <c r="B74" s="1" t="n">
        <v>44083</v>
      </c>
      <c r="C74" s="1" t="n">
        <v>45721</v>
      </c>
      <c r="D74" t="inlineStr">
        <is>
          <t>JÄMTLANDS LÄN</t>
        </is>
      </c>
      <c r="E74" t="inlineStr">
        <is>
          <t>STRÖMSUND</t>
        </is>
      </c>
      <c r="G74" t="n">
        <v>8.5</v>
      </c>
      <c r="H74" t="n">
        <v>1</v>
      </c>
      <c r="I74" t="n">
        <v>4</v>
      </c>
      <c r="J74" t="n">
        <v>3</v>
      </c>
      <c r="K74" t="n">
        <v>1</v>
      </c>
      <c r="L74" t="n">
        <v>0</v>
      </c>
      <c r="M74" t="n">
        <v>0</v>
      </c>
      <c r="N74" t="n">
        <v>0</v>
      </c>
      <c r="O74" t="n">
        <v>4</v>
      </c>
      <c r="P74" t="n">
        <v>1</v>
      </c>
      <c r="Q74" t="n">
        <v>9</v>
      </c>
      <c r="R74" s="2" t="inlineStr">
        <is>
          <t>Norsk näverlav
Brunpudrad nållav
Garnlav
Skrovellav
Bårdlav
Gytterlav
Norrlandslav
Stuplav
Revlummer</t>
        </is>
      </c>
      <c r="S74">
        <f>HYPERLINK("https://klasma.github.io/Logging_2313/artfynd/A 44983-2020 artfynd.xlsx", "A 44983-2020")</f>
        <v/>
      </c>
      <c r="T74">
        <f>HYPERLINK("https://klasma.github.io/Logging_2313/kartor/A 44983-2020 karta.png", "A 44983-2020")</f>
        <v/>
      </c>
      <c r="V74">
        <f>HYPERLINK("https://klasma.github.io/Logging_2313/klagomål/A 44983-2020 FSC-klagomål.docx", "A 44983-2020")</f>
        <v/>
      </c>
      <c r="W74">
        <f>HYPERLINK("https://klasma.github.io/Logging_2313/klagomålsmail/A 44983-2020 FSC-klagomål mail.docx", "A 44983-2020")</f>
        <v/>
      </c>
      <c r="X74">
        <f>HYPERLINK("https://klasma.github.io/Logging_2313/tillsyn/A 44983-2020 tillsynsbegäran.docx", "A 44983-2020")</f>
        <v/>
      </c>
      <c r="Y74">
        <f>HYPERLINK("https://klasma.github.io/Logging_2313/tillsynsmail/A 44983-2020 tillsynsbegäran mail.docx", "A 44983-2020")</f>
        <v/>
      </c>
    </row>
    <row r="75" ht="15" customHeight="1">
      <c r="A75" t="inlineStr">
        <is>
          <t>A 66118-2020</t>
        </is>
      </c>
      <c r="B75" s="1" t="n">
        <v>44175</v>
      </c>
      <c r="C75" s="1" t="n">
        <v>45721</v>
      </c>
      <c r="D75" t="inlineStr">
        <is>
          <t>JÄMTLANDS LÄN</t>
        </is>
      </c>
      <c r="E75" t="inlineStr">
        <is>
          <t>STRÖMSUND</t>
        </is>
      </c>
      <c r="F75" t="inlineStr">
        <is>
          <t>Holmen skog AB</t>
        </is>
      </c>
      <c r="G75" t="n">
        <v>24.6</v>
      </c>
      <c r="H75" t="n">
        <v>1</v>
      </c>
      <c r="I75" t="n">
        <v>1</v>
      </c>
      <c r="J75" t="n">
        <v>6</v>
      </c>
      <c r="K75" t="n">
        <v>2</v>
      </c>
      <c r="L75" t="n">
        <v>0</v>
      </c>
      <c r="M75" t="n">
        <v>0</v>
      </c>
      <c r="N75" t="n">
        <v>0</v>
      </c>
      <c r="O75" t="n">
        <v>8</v>
      </c>
      <c r="P75" t="n">
        <v>2</v>
      </c>
      <c r="Q75" t="n">
        <v>9</v>
      </c>
      <c r="R75" s="2" t="inlineStr">
        <is>
          <t>Liten sotlav
Norsk näverlav
Brunpudrad nållav
Garnlav
Granticka
Rödbrun blekspik
Skrovellav
Tretåig hackspett
Luddlav</t>
        </is>
      </c>
      <c r="S75">
        <f>HYPERLINK("https://klasma.github.io/Logging_2313/artfynd/A 66118-2020 artfynd.xlsx", "A 66118-2020")</f>
        <v/>
      </c>
      <c r="T75">
        <f>HYPERLINK("https://klasma.github.io/Logging_2313/kartor/A 66118-2020 karta.png", "A 66118-2020")</f>
        <v/>
      </c>
      <c r="V75">
        <f>HYPERLINK("https://klasma.github.io/Logging_2313/klagomål/A 66118-2020 FSC-klagomål.docx", "A 66118-2020")</f>
        <v/>
      </c>
      <c r="W75">
        <f>HYPERLINK("https://klasma.github.io/Logging_2313/klagomålsmail/A 66118-2020 FSC-klagomål mail.docx", "A 66118-2020")</f>
        <v/>
      </c>
      <c r="X75">
        <f>HYPERLINK("https://klasma.github.io/Logging_2313/tillsyn/A 66118-2020 tillsynsbegäran.docx", "A 66118-2020")</f>
        <v/>
      </c>
      <c r="Y75">
        <f>HYPERLINK("https://klasma.github.io/Logging_2313/tillsynsmail/A 66118-2020 tillsynsbegäran mail.docx", "A 66118-2020")</f>
        <v/>
      </c>
      <c r="Z75">
        <f>HYPERLINK("https://klasma.github.io/Logging_2313/fåglar/A 66118-2020 prioriterade fågelarter.docx", "A 66118-2020")</f>
        <v/>
      </c>
    </row>
    <row r="76" ht="15" customHeight="1">
      <c r="A76" t="inlineStr">
        <is>
          <t>A 69641-2020</t>
        </is>
      </c>
      <c r="B76" s="1" t="n">
        <v>44195</v>
      </c>
      <c r="C76" s="1" t="n">
        <v>45721</v>
      </c>
      <c r="D76" t="inlineStr">
        <is>
          <t>JÄMTLANDS LÄN</t>
        </is>
      </c>
      <c r="E76" t="inlineStr">
        <is>
          <t>STRÖMSUND</t>
        </is>
      </c>
      <c r="G76" t="n">
        <v>15.8</v>
      </c>
      <c r="H76" t="n">
        <v>3</v>
      </c>
      <c r="I76" t="n">
        <v>3</v>
      </c>
      <c r="J76" t="n">
        <v>5</v>
      </c>
      <c r="K76" t="n">
        <v>0</v>
      </c>
      <c r="L76" t="n">
        <v>0</v>
      </c>
      <c r="M76" t="n">
        <v>0</v>
      </c>
      <c r="N76" t="n">
        <v>0</v>
      </c>
      <c r="O76" t="n">
        <v>5</v>
      </c>
      <c r="P76" t="n">
        <v>0</v>
      </c>
      <c r="Q76" t="n">
        <v>9</v>
      </c>
      <c r="R76" s="2" t="inlineStr">
        <is>
          <t>Garnlav
Granticka
Lunglav
Spillkråka
Tretåig hackspett
Finbräken
Kransrams
Stuplav
Blåsippa</t>
        </is>
      </c>
      <c r="S76">
        <f>HYPERLINK("https://klasma.github.io/Logging_2313/artfynd/A 69641-2020 artfynd.xlsx", "A 69641-2020")</f>
        <v/>
      </c>
      <c r="T76">
        <f>HYPERLINK("https://klasma.github.io/Logging_2313/kartor/A 69641-2020 karta.png", "A 69641-2020")</f>
        <v/>
      </c>
      <c r="V76">
        <f>HYPERLINK("https://klasma.github.io/Logging_2313/klagomål/A 69641-2020 FSC-klagomål.docx", "A 69641-2020")</f>
        <v/>
      </c>
      <c r="W76">
        <f>HYPERLINK("https://klasma.github.io/Logging_2313/klagomålsmail/A 69641-2020 FSC-klagomål mail.docx", "A 69641-2020")</f>
        <v/>
      </c>
      <c r="X76">
        <f>HYPERLINK("https://klasma.github.io/Logging_2313/tillsyn/A 69641-2020 tillsynsbegäran.docx", "A 69641-2020")</f>
        <v/>
      </c>
      <c r="Y76">
        <f>HYPERLINK("https://klasma.github.io/Logging_2313/tillsynsmail/A 69641-2020 tillsynsbegäran mail.docx", "A 69641-2020")</f>
        <v/>
      </c>
      <c r="Z76">
        <f>HYPERLINK("https://klasma.github.io/Logging_2313/fåglar/A 69641-2020 prioriterade fågelarter.docx", "A 69641-2020")</f>
        <v/>
      </c>
    </row>
    <row r="77" ht="15" customHeight="1">
      <c r="A77" t="inlineStr">
        <is>
          <t>A 718-2021</t>
        </is>
      </c>
      <c r="B77" s="1" t="n">
        <v>44204</v>
      </c>
      <c r="C77" s="1" t="n">
        <v>45721</v>
      </c>
      <c r="D77" t="inlineStr">
        <is>
          <t>JÄMTLANDS LÄN</t>
        </is>
      </c>
      <c r="E77" t="inlineStr">
        <is>
          <t>STRÖMSUND</t>
        </is>
      </c>
      <c r="F77" t="inlineStr">
        <is>
          <t>SCA</t>
        </is>
      </c>
      <c r="G77" t="n">
        <v>50.1</v>
      </c>
      <c r="H77" t="n">
        <v>1</v>
      </c>
      <c r="I77" t="n">
        <v>2</v>
      </c>
      <c r="J77" t="n">
        <v>5</v>
      </c>
      <c r="K77" t="n">
        <v>2</v>
      </c>
      <c r="L77" t="n">
        <v>0</v>
      </c>
      <c r="M77" t="n">
        <v>0</v>
      </c>
      <c r="N77" t="n">
        <v>0</v>
      </c>
      <c r="O77" t="n">
        <v>7</v>
      </c>
      <c r="P77" t="n">
        <v>2</v>
      </c>
      <c r="Q77" t="n">
        <v>9</v>
      </c>
      <c r="R77" s="2" t="inlineStr">
        <is>
          <t>Liten sotlav
Norsk näverlav
Gammelgransskål
Garnlav
Granticka
Tretåig hackspett
Vitgrynig nållav
Bårdlav
Luddlav</t>
        </is>
      </c>
      <c r="S77">
        <f>HYPERLINK("https://klasma.github.io/Logging_2313/artfynd/A 718-2021 artfynd.xlsx", "A 718-2021")</f>
        <v/>
      </c>
      <c r="T77">
        <f>HYPERLINK("https://klasma.github.io/Logging_2313/kartor/A 718-2021 karta.png", "A 718-2021")</f>
        <v/>
      </c>
      <c r="V77">
        <f>HYPERLINK("https://klasma.github.io/Logging_2313/klagomål/A 718-2021 FSC-klagomål.docx", "A 718-2021")</f>
        <v/>
      </c>
      <c r="W77">
        <f>HYPERLINK("https://klasma.github.io/Logging_2313/klagomålsmail/A 718-2021 FSC-klagomål mail.docx", "A 718-2021")</f>
        <v/>
      </c>
      <c r="X77">
        <f>HYPERLINK("https://klasma.github.io/Logging_2313/tillsyn/A 718-2021 tillsynsbegäran.docx", "A 718-2021")</f>
        <v/>
      </c>
      <c r="Y77">
        <f>HYPERLINK("https://klasma.github.io/Logging_2313/tillsynsmail/A 718-2021 tillsynsbegäran mail.docx", "A 718-2021")</f>
        <v/>
      </c>
      <c r="Z77">
        <f>HYPERLINK("https://klasma.github.io/Logging_2313/fåglar/A 718-2021 prioriterade fågelarter.docx", "A 718-2021")</f>
        <v/>
      </c>
    </row>
    <row r="78" ht="15" customHeight="1">
      <c r="A78" t="inlineStr">
        <is>
          <t>A 33542-2021</t>
        </is>
      </c>
      <c r="B78" s="1" t="n">
        <v>44378</v>
      </c>
      <c r="C78" s="1" t="n">
        <v>45721</v>
      </c>
      <c r="D78" t="inlineStr">
        <is>
          <t>JÄMTLANDS LÄN</t>
        </is>
      </c>
      <c r="E78" t="inlineStr">
        <is>
          <t>STRÖMSUND</t>
        </is>
      </c>
      <c r="G78" t="n">
        <v>18.3</v>
      </c>
      <c r="H78" t="n">
        <v>2</v>
      </c>
      <c r="I78" t="n">
        <v>5</v>
      </c>
      <c r="J78" t="n">
        <v>4</v>
      </c>
      <c r="K78" t="n">
        <v>0</v>
      </c>
      <c r="L78" t="n">
        <v>0</v>
      </c>
      <c r="M78" t="n">
        <v>0</v>
      </c>
      <c r="N78" t="n">
        <v>0</v>
      </c>
      <c r="O78" t="n">
        <v>4</v>
      </c>
      <c r="P78" t="n">
        <v>0</v>
      </c>
      <c r="Q78" t="n">
        <v>9</v>
      </c>
      <c r="R78" s="2" t="inlineStr">
        <is>
          <t>Garnlav
Järpe
Lunglav
Skrovellav
Bollvitmossa
Dvärgtufs
Luddlav
Spindelblomster
Stuplav</t>
        </is>
      </c>
      <c r="S78">
        <f>HYPERLINK("https://klasma.github.io/Logging_2313/artfynd/A 33542-2021 artfynd.xlsx", "A 33542-2021")</f>
        <v/>
      </c>
      <c r="T78">
        <f>HYPERLINK("https://klasma.github.io/Logging_2313/kartor/A 33542-2021 karta.png", "A 33542-2021")</f>
        <v/>
      </c>
      <c r="V78">
        <f>HYPERLINK("https://klasma.github.io/Logging_2313/klagomål/A 33542-2021 FSC-klagomål.docx", "A 33542-2021")</f>
        <v/>
      </c>
      <c r="W78">
        <f>HYPERLINK("https://klasma.github.io/Logging_2313/klagomålsmail/A 33542-2021 FSC-klagomål mail.docx", "A 33542-2021")</f>
        <v/>
      </c>
      <c r="X78">
        <f>HYPERLINK("https://klasma.github.io/Logging_2313/tillsyn/A 33542-2021 tillsynsbegäran.docx", "A 33542-2021")</f>
        <v/>
      </c>
      <c r="Y78">
        <f>HYPERLINK("https://klasma.github.io/Logging_2313/tillsynsmail/A 33542-2021 tillsynsbegäran mail.docx", "A 33542-2021")</f>
        <v/>
      </c>
      <c r="Z78">
        <f>HYPERLINK("https://klasma.github.io/Logging_2313/fåglar/A 33542-2021 prioriterade fågelarter.docx", "A 33542-2021")</f>
        <v/>
      </c>
    </row>
    <row r="79" ht="15" customHeight="1">
      <c r="A79" t="inlineStr">
        <is>
          <t>A 69914-2021</t>
        </is>
      </c>
      <c r="B79" s="1" t="n">
        <v>44532</v>
      </c>
      <c r="C79" s="1" t="n">
        <v>45721</v>
      </c>
      <c r="D79" t="inlineStr">
        <is>
          <t>JÄMTLANDS LÄN</t>
        </is>
      </c>
      <c r="E79" t="inlineStr">
        <is>
          <t>STRÖMSUND</t>
        </is>
      </c>
      <c r="F79" t="inlineStr">
        <is>
          <t>SCA</t>
        </is>
      </c>
      <c r="G79" t="n">
        <v>4.9</v>
      </c>
      <c r="H79" t="n">
        <v>1</v>
      </c>
      <c r="I79" t="n">
        <v>4</v>
      </c>
      <c r="J79" t="n">
        <v>3</v>
      </c>
      <c r="K79" t="n">
        <v>2</v>
      </c>
      <c r="L79" t="n">
        <v>0</v>
      </c>
      <c r="M79" t="n">
        <v>0</v>
      </c>
      <c r="N79" t="n">
        <v>0</v>
      </c>
      <c r="O79" t="n">
        <v>5</v>
      </c>
      <c r="P79" t="n">
        <v>2</v>
      </c>
      <c r="Q79" t="n">
        <v>9</v>
      </c>
      <c r="R79" s="2" t="inlineStr">
        <is>
          <t>Knärot
Violettrandad spindling
Blå taggsvamp
Puderspindling
Rosenticka
Barrfagerspindling
Diskvaxskivling
Strimspindling
Zontaggsvamp</t>
        </is>
      </c>
      <c r="S79">
        <f>HYPERLINK("https://klasma.github.io/Logging_2313/artfynd/A 69914-2021 artfynd.xlsx", "A 69914-2021")</f>
        <v/>
      </c>
      <c r="T79">
        <f>HYPERLINK("https://klasma.github.io/Logging_2313/kartor/A 69914-2021 karta.png", "A 69914-2021")</f>
        <v/>
      </c>
      <c r="U79">
        <f>HYPERLINK("https://klasma.github.io/Logging_2313/knärot/A 69914-2021 karta knärot.png", "A 69914-2021")</f>
        <v/>
      </c>
      <c r="V79">
        <f>HYPERLINK("https://klasma.github.io/Logging_2313/klagomål/A 69914-2021 FSC-klagomål.docx", "A 69914-2021")</f>
        <v/>
      </c>
      <c r="W79">
        <f>HYPERLINK("https://klasma.github.io/Logging_2313/klagomålsmail/A 69914-2021 FSC-klagomål mail.docx", "A 69914-2021")</f>
        <v/>
      </c>
      <c r="X79">
        <f>HYPERLINK("https://klasma.github.io/Logging_2313/tillsyn/A 69914-2021 tillsynsbegäran.docx", "A 69914-2021")</f>
        <v/>
      </c>
      <c r="Y79">
        <f>HYPERLINK("https://klasma.github.io/Logging_2313/tillsynsmail/A 69914-2021 tillsynsbegäran mail.docx", "A 69914-2021")</f>
        <v/>
      </c>
    </row>
    <row r="80" ht="15" customHeight="1">
      <c r="A80" t="inlineStr">
        <is>
          <t>A 11485-2022</t>
        </is>
      </c>
      <c r="B80" s="1" t="n">
        <v>44630</v>
      </c>
      <c r="C80" s="1" t="n">
        <v>45721</v>
      </c>
      <c r="D80" t="inlineStr">
        <is>
          <t>JÄMTLANDS LÄN</t>
        </is>
      </c>
      <c r="E80" t="inlineStr">
        <is>
          <t>STRÖMSUND</t>
        </is>
      </c>
      <c r="F80" t="inlineStr">
        <is>
          <t>SCA</t>
        </is>
      </c>
      <c r="G80" t="n">
        <v>9.4</v>
      </c>
      <c r="H80" t="n">
        <v>0</v>
      </c>
      <c r="I80" t="n">
        <v>5</v>
      </c>
      <c r="J80" t="n">
        <v>4</v>
      </c>
      <c r="K80" t="n">
        <v>0</v>
      </c>
      <c r="L80" t="n">
        <v>0</v>
      </c>
      <c r="M80" t="n">
        <v>0</v>
      </c>
      <c r="N80" t="n">
        <v>0</v>
      </c>
      <c r="O80" t="n">
        <v>4</v>
      </c>
      <c r="P80" t="n">
        <v>0</v>
      </c>
      <c r="Q80" t="n">
        <v>9</v>
      </c>
      <c r="R80" s="2" t="inlineStr">
        <is>
          <t>Garnlav
Granticka
Lunglav
Ullticka
Bårdlav
Källmossa
Källmossor
Stuplav
Vedticka</t>
        </is>
      </c>
      <c r="S80">
        <f>HYPERLINK("https://klasma.github.io/Logging_2313/artfynd/A 11485-2022 artfynd.xlsx", "A 11485-2022")</f>
        <v/>
      </c>
      <c r="T80">
        <f>HYPERLINK("https://klasma.github.io/Logging_2313/kartor/A 11485-2022 karta.png", "A 11485-2022")</f>
        <v/>
      </c>
      <c r="V80">
        <f>HYPERLINK("https://klasma.github.io/Logging_2313/klagomål/A 11485-2022 FSC-klagomål.docx", "A 11485-2022")</f>
        <v/>
      </c>
      <c r="W80">
        <f>HYPERLINK("https://klasma.github.io/Logging_2313/klagomålsmail/A 11485-2022 FSC-klagomål mail.docx", "A 11485-2022")</f>
        <v/>
      </c>
      <c r="X80">
        <f>HYPERLINK("https://klasma.github.io/Logging_2313/tillsyn/A 11485-2022 tillsynsbegäran.docx", "A 11485-2022")</f>
        <v/>
      </c>
      <c r="Y80">
        <f>HYPERLINK("https://klasma.github.io/Logging_2313/tillsynsmail/A 11485-2022 tillsynsbegäran mail.docx", "A 11485-2022")</f>
        <v/>
      </c>
    </row>
    <row r="81" ht="15" customHeight="1">
      <c r="A81" t="inlineStr">
        <is>
          <t>A 11604-2022</t>
        </is>
      </c>
      <c r="B81" s="1" t="n">
        <v>44631</v>
      </c>
      <c r="C81" s="1" t="n">
        <v>45721</v>
      </c>
      <c r="D81" t="inlineStr">
        <is>
          <t>JÄMTLANDS LÄN</t>
        </is>
      </c>
      <c r="E81" t="inlineStr">
        <is>
          <t>STRÖMSUND</t>
        </is>
      </c>
      <c r="G81" t="n">
        <v>6.9</v>
      </c>
      <c r="H81" t="n">
        <v>1</v>
      </c>
      <c r="I81" t="n">
        <v>2</v>
      </c>
      <c r="J81" t="n">
        <v>6</v>
      </c>
      <c r="K81" t="n">
        <v>1</v>
      </c>
      <c r="L81" t="n">
        <v>0</v>
      </c>
      <c r="M81" t="n">
        <v>0</v>
      </c>
      <c r="N81" t="n">
        <v>0</v>
      </c>
      <c r="O81" t="n">
        <v>7</v>
      </c>
      <c r="P81" t="n">
        <v>1</v>
      </c>
      <c r="Q81" t="n">
        <v>9</v>
      </c>
      <c r="R81" s="2" t="inlineStr">
        <is>
          <t>Smalskaftslav
Granticka
Lunglav
Tretåig hackspett
Vedtrappmossa
Vitgrynig nållav
Äggvaxskivling
Korallblylav
Svavelriska</t>
        </is>
      </c>
      <c r="S81">
        <f>HYPERLINK("https://klasma.github.io/Logging_2313/artfynd/A 11604-2022 artfynd.xlsx", "A 11604-2022")</f>
        <v/>
      </c>
      <c r="T81">
        <f>HYPERLINK("https://klasma.github.io/Logging_2313/kartor/A 11604-2022 karta.png", "A 11604-2022")</f>
        <v/>
      </c>
      <c r="V81">
        <f>HYPERLINK("https://klasma.github.io/Logging_2313/klagomål/A 11604-2022 FSC-klagomål.docx", "A 11604-2022")</f>
        <v/>
      </c>
      <c r="W81">
        <f>HYPERLINK("https://klasma.github.io/Logging_2313/klagomålsmail/A 11604-2022 FSC-klagomål mail.docx", "A 11604-2022")</f>
        <v/>
      </c>
      <c r="X81">
        <f>HYPERLINK("https://klasma.github.io/Logging_2313/tillsyn/A 11604-2022 tillsynsbegäran.docx", "A 11604-2022")</f>
        <v/>
      </c>
      <c r="Y81">
        <f>HYPERLINK("https://klasma.github.io/Logging_2313/tillsynsmail/A 11604-2022 tillsynsbegäran mail.docx", "A 11604-2022")</f>
        <v/>
      </c>
      <c r="Z81">
        <f>HYPERLINK("https://klasma.github.io/Logging_2313/fåglar/A 11604-2022 prioriterade fågelarter.docx", "A 11604-2022")</f>
        <v/>
      </c>
    </row>
    <row r="82" ht="15" customHeight="1">
      <c r="A82" t="inlineStr">
        <is>
          <t>A 58174-2022</t>
        </is>
      </c>
      <c r="B82" s="1" t="n">
        <v>44900</v>
      </c>
      <c r="C82" s="1" t="n">
        <v>45721</v>
      </c>
      <c r="D82" t="inlineStr">
        <is>
          <t>JÄMTLANDS LÄN</t>
        </is>
      </c>
      <c r="E82" t="inlineStr">
        <is>
          <t>STRÖMSUND</t>
        </is>
      </c>
      <c r="G82" t="n">
        <v>0.3</v>
      </c>
      <c r="H82" t="n">
        <v>8</v>
      </c>
      <c r="I82" t="n">
        <v>0</v>
      </c>
      <c r="J82" t="n">
        <v>9</v>
      </c>
      <c r="K82" t="n">
        <v>0</v>
      </c>
      <c r="L82" t="n">
        <v>0</v>
      </c>
      <c r="M82" t="n">
        <v>0</v>
      </c>
      <c r="N82" t="n">
        <v>0</v>
      </c>
      <c r="O82" t="n">
        <v>9</v>
      </c>
      <c r="P82" t="n">
        <v>0</v>
      </c>
      <c r="Q82" t="n">
        <v>9</v>
      </c>
      <c r="R82" s="2" t="inlineStr">
        <is>
          <t>Björktrast
Drillsnäppa
Fiskmås
Järpe
Rödvingetrast
Skogshare
Svartvit flugsnappare
Talltita
Tretåig hackspett</t>
        </is>
      </c>
      <c r="S82">
        <f>HYPERLINK("https://klasma.github.io/Logging_2313/artfynd/A 58174-2022 artfynd.xlsx", "A 58174-2022")</f>
        <v/>
      </c>
      <c r="T82">
        <f>HYPERLINK("https://klasma.github.io/Logging_2313/kartor/A 58174-2022 karta.png", "A 58174-2022")</f>
        <v/>
      </c>
      <c r="V82">
        <f>HYPERLINK("https://klasma.github.io/Logging_2313/klagomål/A 58174-2022 FSC-klagomål.docx", "A 58174-2022")</f>
        <v/>
      </c>
      <c r="W82">
        <f>HYPERLINK("https://klasma.github.io/Logging_2313/klagomålsmail/A 58174-2022 FSC-klagomål mail.docx", "A 58174-2022")</f>
        <v/>
      </c>
      <c r="X82">
        <f>HYPERLINK("https://klasma.github.io/Logging_2313/tillsyn/A 58174-2022 tillsynsbegäran.docx", "A 58174-2022")</f>
        <v/>
      </c>
      <c r="Y82">
        <f>HYPERLINK("https://klasma.github.io/Logging_2313/tillsynsmail/A 58174-2022 tillsynsbegäran mail.docx", "A 58174-2022")</f>
        <v/>
      </c>
      <c r="Z82">
        <f>HYPERLINK("https://klasma.github.io/Logging_2313/fåglar/A 58174-2022 prioriterade fågelarter.docx", "A 58174-2022")</f>
        <v/>
      </c>
    </row>
    <row r="83" ht="15" customHeight="1">
      <c r="A83" t="inlineStr">
        <is>
          <t>A 18948-2023</t>
        </is>
      </c>
      <c r="B83" s="1" t="n">
        <v>45043</v>
      </c>
      <c r="C83" s="1" t="n">
        <v>45721</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45721</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45721</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45721</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45721</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45721</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45721</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45721</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45721</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45721</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45721</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45721</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45721</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45721</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45721</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45721</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45721</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45721</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45721</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45721</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45721</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45721</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45721</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45721</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45721</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45721</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45721</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45721</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45721</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45721</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45721</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45721</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45721</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45721</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45721</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45721</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45721</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45721</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45721</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45721</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45721</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45721</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45721</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45721</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45721</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45721</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45721</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45721</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45721</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45721</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45721</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45721</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45721</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45721</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45721</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45721</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45721</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45721</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45721</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45721</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45721</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45721</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45721</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45721</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45721</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45721</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45721</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45721</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45721</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45721</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45721</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45721</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45721</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45721</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45721</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45721</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45721</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45721</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45721</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45721</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45721</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45721</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45721</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45721</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45721</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45721</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45721</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45721</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45721</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45721</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45721</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45721</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45721</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45721</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45721</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45721</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45721</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45721</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45721</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45721</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45721</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45721</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45721</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45721</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45721</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45721</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45721</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45721</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45721</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45721</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45721</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45721</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45721</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45721</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45721</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45721</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45721</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45721</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45721</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45721</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45721</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45721</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45721</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45721</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45721</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45721</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45721</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45721</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45721</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45721</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45721</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45721</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45721</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45721</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45721</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45721</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45721</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45721</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45721</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45721</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45721</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45721</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45721</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45721</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45721</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45721</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45721</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45721</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45721</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45721</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45721</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45721</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45721</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45721</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45721</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45721</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45721</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45721</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45721</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45721</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45721</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45721</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45721</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45721</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45721</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45721</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45721</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45721</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45721</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45721</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45721</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45721</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45721</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45721</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45721</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45721</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45721</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45721</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45721</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45721</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45721</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45721</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45721</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45721</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45721</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45721</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45721</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45721</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45721</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45721</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45721</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45721</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45721</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45721</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45721</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45721</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45721</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45721</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45721</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45721</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45721</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45721</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45721</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45721</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45721</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45721</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45721</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45721</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45721</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45721</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45721</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45721</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45721</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45721</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45721</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45721</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45721</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45721</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45721</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45721</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45721</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45721</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45721</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45721</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45721</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45721</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45721</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45721</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45721</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45721</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45721</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45721</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45721</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45721</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45721</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45721</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45721</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45721</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45721</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45721</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45721</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45721</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45721</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45721</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45721</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45721</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45721</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45721</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45721</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45721</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45721</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45721</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45721</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45721</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45721</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45721</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45721</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45721</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45721</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45721</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45721</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45721</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45721</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45721</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45721</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45721</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45721</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45721</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45721</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45721</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45721</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45721</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45721</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45721</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45721</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45721</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45721</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45721</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45721</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45721</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45721</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45721</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45721</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45721</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45721</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45721</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45721</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45721</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45721</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45721</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45721</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45721</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45721</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45721</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45721</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45721</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45721</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45721</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45721</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45721</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45721</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45721</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45721</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45721</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45721</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45721</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45721</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45721</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45721</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45721</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45721</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45721</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45721</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45721</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45721</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45721</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45721</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45721</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45721</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45721</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45721</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45721</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45721</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45721</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45721</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45721</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45721</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45721</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45721</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45721</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45721</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45721</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45721</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45721</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45721</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45721</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45721</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45721</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45721</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45721</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45721</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45721</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45721</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45721</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45721</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45721</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45721</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45721</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45721</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45721</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45721</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45721</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45721</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45721</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45721</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45721</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45721</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45721</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45721</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45721</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45721</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45721</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45721</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45721</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45721</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45721</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45721</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45721</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45721</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45721</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45721</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45721</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45721</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45721</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45721</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45721</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45721</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45721</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45721</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45721</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45721</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45721</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45721</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45721</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45721</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45721</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45721</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45721</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45721</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45721</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45721</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45721</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45721</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45721</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45721</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45721</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45721</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45721</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45721</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45721</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45721</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45721</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45721</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45721</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45721</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45721</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45721</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45721</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45721</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45721</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45721</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45721</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45721</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45721</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45721</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45721</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45721</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45721</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45721</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45721</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45721</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45721</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45721</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45721</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45721</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45721</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45721</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45721</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45721</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45721</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45721</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45721</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45721</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45721</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45721</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45721</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45721</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45721</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45721</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45721</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45721</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45721</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45721</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45721</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45721</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45721</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45721</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45721</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45721</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45721</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45721</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45721</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45721</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45721</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45721</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45721</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45721</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45721</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45721</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45721</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45721</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45721</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45721</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45721</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45721</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45721</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45721</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45721</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45721</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45721</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45721</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45721</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45721</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45721</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45721</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45721</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45721</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45721</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45721</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45721</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45721</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45721</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45721</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45721</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45721</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45721</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45721</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45721</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45721</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45721</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45721</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45721</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45721</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45721</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45721</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45721</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45721</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45721</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45721</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45721</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45721</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45721</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45721</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45721</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45721</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45721</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45721</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45721</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45721</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45721</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45721</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45721</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45721</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45721</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45721</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45721</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45721</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45721</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45721</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45721</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45721</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45721</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45721</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45721</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45721</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45721</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45721</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45721</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45721</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45721</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45721</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45721</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45721</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45721</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45721</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45721</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45721</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45721</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45721</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45721</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45721</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45721</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45721</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45721</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45721</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45721</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45721</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45721</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45721</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45721</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45721</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45721</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45721</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45721</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45721</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45721</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45721</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45721</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45721</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45721</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45721</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45721</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45721</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45721</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45721</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45721</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45721</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45721</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45721</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45721</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45721</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45721</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45721</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45721</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45721</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45721</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45721</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45721</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45721</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45721</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45721</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45721</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45721</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45721</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45721</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45721</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45721</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45721</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45721</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45721</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45721</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45721</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45721</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45721</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45721</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45721</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45721</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45721</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45721</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45721</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45721</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45721</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45721</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45721</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45721</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45721</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45721</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45721</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45721</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45721</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45721</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45721</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45721</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45721</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45721</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45721</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45721</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45721</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45721</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45721</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45721</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45721</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45721</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45721</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45721</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45721</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45721</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45721</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45721</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45721</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45721</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45721</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45721</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45721</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45721</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45721</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45721</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45721</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45721</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45721</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45721</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45721</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45721</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45721</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45721</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45721</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45721</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45721</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45721</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45721</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45721</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45721</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45721</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45721</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45721</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45721</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45721</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45721</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45721</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45721</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45721</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45721</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45721</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45721</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45721</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45721</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45721</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45721</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45721</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45721</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45721</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45721</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45721</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45721</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45721</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45721</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45721</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45721</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45721</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45721</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45721</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45721</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45721</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45721</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45721</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45721</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45721</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45721</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45721</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45721</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45721</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45721</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45721</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45721</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45721</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45721</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45721</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45721</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45721</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45721</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45721</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45721</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45721</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45721</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45721</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45721</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45721</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45721</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45721</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45721</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45721</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45721</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45721</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45721</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45721</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45721</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45721</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45721</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45721</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45721</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45721</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45721</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45721</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45721</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45721</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45721</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45721</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45721</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45721</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45721</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45721</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45721</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45721</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45721</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45721</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45721</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45721</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45721</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45721</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45721</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45721</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45721</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45721</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45721</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45721</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45721</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45721</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45721</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45721</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45721</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45721</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45721</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45721</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45721</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45721</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45721</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45721</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45721</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45721</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45721</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45721</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45721</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45721</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45721</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45721</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45721</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45721</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45721</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45721</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45721</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45721</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45721</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45721</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45721</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45721</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45721</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45721</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45721</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45721</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45721</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45721</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45721</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45721</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45721</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45721</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45721</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45721</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45721</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45721</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45721</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45721</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45721</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45721</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45721</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45721</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45721</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45721</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45721</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45721</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45721</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45721</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45721</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45721</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45721</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45721</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45721</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45721</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45721</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45721</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45721</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45721</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45721</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45721</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45721</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45721</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45721</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45721</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45721</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45721</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45721</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45721</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45721</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45721</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45721</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45721</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45721</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45721</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45721</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45721</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45721</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45721</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45721</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45721</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45721</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45721</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45721</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45721</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45721</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45721</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45721</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45721</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45721</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45721</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45721</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45721</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45721</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45721</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45721</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45721</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45721</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45721</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45721</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45721</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45721</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45721</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45721</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45721</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45721</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45721</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45721</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45721</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45721</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45721</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45721</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45721</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45721</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45721</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45721</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45721</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45721</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45721</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45721</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45721</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45721</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45721</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45721</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45721</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45721</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45721</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45721</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45721</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45721</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45721</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45721</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45721</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45721</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45721</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45721</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45721</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45721</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45721</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45721</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45721</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45721</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45721</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45721</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45721</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45721</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45721</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45721</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45721</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45721</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45721</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45721</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45721</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45721</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45721</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45721</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45721</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45721</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45721</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45721</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45721</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45721</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45721</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45721</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45721</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45721</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45721</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45721</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45721</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45721</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45721</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45721</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45721</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45721</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45721</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45721</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45721</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45721</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45721</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45721</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45721</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45721</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45721</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45721</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45721</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45721</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45721</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45721</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45721</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45721</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45721</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45721</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45721</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45721</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45721</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45721</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45721</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45721</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45721</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45721</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45721</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45721</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45721</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45721</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45721</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45721</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45721</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45721</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45721</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45721</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45721</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45721</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45721</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45721</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45721</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45721</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45721</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45721</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45721</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45721</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45721</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45721</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45721</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45721</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45721</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45721</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45721</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45721</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45721</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45721</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45721</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45721</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45721</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45721</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45721</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45721</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45721</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45721</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45721</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45721</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45721</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45721</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45721</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45721</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45721</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45721</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45721</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45721</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45721</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45721</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45721</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45721</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45721</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45721</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45721</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45721</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45721</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45721</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45721</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45721</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45721</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45721</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45721</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45721</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45721</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45721</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45721</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45721</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45721</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45721</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45721</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45721</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45721</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45721</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45721</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45721</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45721</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45721</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45721</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45721</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45721</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45721</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45721</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45721</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45721</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45721</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45721</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45721</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45721</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45721</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45721</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45721</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45721</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45721</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45721</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45721</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45721</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45721</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45721</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45721</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45721</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45721</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45721</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45721</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45721</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45721</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45721</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45721</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45721</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45721</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45721</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45721</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45721</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45721</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45721</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45721</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45721</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45721</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45721</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45721</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45721</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45721</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45721</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45721</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45721</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45721</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45721</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45721</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45721</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45721</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45721</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45721</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45721</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45721</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45721</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45721</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45721</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45721</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45721</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45721</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45721</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45721</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45721</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45721</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45721</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45721</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45721</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45721</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45721</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45721</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45721</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45721</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45721</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45721</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45721</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45721</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45721</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45721</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45721</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45721</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45721</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45721</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45721</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45721</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45721</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45721</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45721</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45721</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45721</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45721</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45721</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45721</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45721</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45721</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45721</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45721</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45721</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45721</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45721</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45721</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45721</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45721</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45721</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45721</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45721</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45721</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45721</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45721</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45721</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45721</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45721</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45721</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45721</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45721</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45721</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45721</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45721</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45721</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45721</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45721</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45721</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45721</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45721</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45721</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45721</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45721</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45721</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45721</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45721</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45721</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45721</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45721</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45721</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45721</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45721</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45721</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45721</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45721</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45721</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45721</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45721</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45721</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45721</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45721</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45721</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45721</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45721</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45721</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45721</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45721</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45721</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45721</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45721</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45721</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45721</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45721</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45721</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45721</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45721</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45721</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45721</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45721</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45721</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45721</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45721</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45721</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45721</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45721</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45721</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45721</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45721</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45721</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45721</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45721</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45721</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45721</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45721</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45721</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45721</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45721</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45721</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45721</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45721</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45721</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45721</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45721</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45721</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45721</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45721</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45721</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45721</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45721</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45721</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45721</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45721</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45721</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45721</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45721</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45721</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45721</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45721</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45721</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45721</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45721</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45721</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45721</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45721</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45721</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45721</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45721</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45721</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45721</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45721</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45721</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45721</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45721</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45721</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45721</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45721</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45721</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45721</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45721</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45721</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45721</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45721</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45721</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45721</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45721</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45721</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45721</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45721</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45721</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45721</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45721</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45721</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45721</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45721</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45721</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45721</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45721</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45721</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45721</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45721</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45721</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45721</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45721</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45721</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45721</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45721</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45721</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45721</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45721</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45721</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45721</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45721</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45721</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45721</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45721</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45721</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45721</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45721</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45721</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45721</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45721</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45721</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45721</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45721</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45721</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45721</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45721</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45721</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45721</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45721</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45721</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45721</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45721</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45721</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45721</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45721</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45721</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45721</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45721</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45721</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45721</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45721</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45721</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45721</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45721</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45721</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45721</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45721</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45721</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45721</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45721</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45721</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45721</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45721</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45721</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45721</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45721</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45721</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45721</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45721</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45721</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45721</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45721</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45721</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45721</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45721</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45721</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45721</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45721</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45721</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45721</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45721</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45721</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45721</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45721</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45721</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45721</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45721</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45721</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45721</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45721</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45721</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45721</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45721</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45721</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45721</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45721</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45721</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45721</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45721</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45721</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45721</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45721</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45721</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45721</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45721</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45721</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45721</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45721</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45721</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45721</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45721</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45721</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45721</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45721</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45721</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45721</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45721</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45721</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45721</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45721</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45721</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45721</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45721</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45721</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45721</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45721</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45721</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45721</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45721</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45721</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45721</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45721</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45721</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45721</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45721</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45721</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45721</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45721</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45721</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45721</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45721</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45721</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45721</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45721</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45721</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45721</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45721</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45721</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45721</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45721</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45721</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45721</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45721</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45721</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45721</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45721</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45721</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45721</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45721</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45721</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45721</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45721</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45721</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45721</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45721</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45721</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45721</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45721</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45721</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45721</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45721</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45721</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45721</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45721</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45721</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45721</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45721</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45721</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45721</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45721</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45721</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45721</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45721</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45721</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45721</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45721</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45721</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45721</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45721</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45721</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45721</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45721</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45721</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45721</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45721</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45721</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45721</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45721</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45721</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45721</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45721</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45721</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45721</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45721</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45721</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45721</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45721</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45721</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45721</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45721</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45721</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45721</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45721</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45721</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45721</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45721</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45721</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45721</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45721</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45721</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45721</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45721</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45721</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45721</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45721</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45721</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45721</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45721</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45721</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45721</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45721</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45721</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45721</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45721</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45721</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45721</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45721</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45721</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45721</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45721</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45721</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45721</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45721</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45721</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45721</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45721</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45721</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45721</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45721</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45721</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45721</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45721</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45721</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45721</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45721</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45721</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45721</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45721</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45721</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45721</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45721</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45721</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45721</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45721</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45721</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45721</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45721</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45721</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45721</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45721</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45721</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45721</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45721</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45721</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45721</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45721</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45721</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45721</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45721</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45721</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45721</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45721</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45721</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45721</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45721</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45721</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45721</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45721</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45721</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45721</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45721</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45721</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45721</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45721</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45721</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45721</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45721</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45721</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45721</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45721</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45721</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45721</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45721</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45721</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45721</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45721</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45721</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45721</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45721</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45721</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45721</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45721</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45721</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45721</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45721</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45721</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45721</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45721</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45721</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45721</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45721</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45721</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45721</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45721</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45721</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45721</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45721</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45721</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45721</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45721</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45721</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45721</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45721</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45721</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45721</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45721</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45721</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45721</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45721</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45721</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45721</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45721</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45721</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45721</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45721</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45721</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45721</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45721</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45721</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45721</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45721</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45721</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45721</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45721</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45721</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45721</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45721</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45721</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45721</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45721</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45721</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45721</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45721</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45721</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45721</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45721</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45721</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45721</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45721</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45721</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45721</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45721</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45721</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45721</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45721</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45721</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45721</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45721</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45721</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45721</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45721</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45721</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45721</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45721</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45721</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45721</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45721</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45721</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45721</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45721</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45721</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45721</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45721</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45721</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45721</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45721</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45721</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45721</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45721</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45721</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45721</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45721</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45721</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45721</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45721</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45721</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45721</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45721</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45721</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45721</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45721</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45721</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45721</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45721</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45721</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45721</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45721</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45721</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45721</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45721</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45721</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45721</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45721</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45721</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45721</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45721</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45721</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45721</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45721</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45721</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45721</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45721</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45721</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45721</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45721</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45721</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45721</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45721</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45721</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45721</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45721</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45721</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45721</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45721</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45721</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45721</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45721</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45721</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45721</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45721</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45721</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45721</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45721</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45721</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45721</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45721</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45721</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45721</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45721</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45721</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45721</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45721</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45721</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45721</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45721</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45721</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45721</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45721</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45721</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45721</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45721</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45721</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45721</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45721</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45721</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45721</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45721</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45721</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45721</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45721</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45721</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45721</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45721</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45721</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45721</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45721</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45721</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45721</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45721</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45721</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45721</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45721</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45721</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45721</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45721</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45721</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45721</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45721</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45721</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45721</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45721</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45721</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45721</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45721</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45721</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45721</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45721</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45721</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45721</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45721</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45721</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45721</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45721</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45721</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45721</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45721</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45721</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45721</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45721</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45721</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45721</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45721</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45721</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45721</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45721</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45721</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45721</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45721</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45721</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45721</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45721</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45721</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45721</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45721</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45721</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45721</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45721</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45721</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45721</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45721</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45721</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45721</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45721</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45721</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45721</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45721</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45721</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45721</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45721</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45721</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45721</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45721</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45721</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45721</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45721</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45721</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45721</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45721</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45721</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45721</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45721</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45721</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45721</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45721</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45721</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45721</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45721</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45721</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45721</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45721</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45721</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45721</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45721</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45721</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45721</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45721</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45721</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45721</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45721</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45721</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45721</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45721</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45721</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45721</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45721</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45721</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45721</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45721</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45721</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45721</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45721</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45721</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45721</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45721</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45721</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45721</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45721</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45721</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45721</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45721</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45721</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45721</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45721</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45721</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45721</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45721</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45721</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45721</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45721</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45721</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45721</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45721</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45721</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45721</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45721</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45721</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45721</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45721</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45721</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45721</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45721</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45721</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45721</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45721</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45721</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45721</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45721</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45721</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45721</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45721</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45721</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45721</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45721</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45721</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45721</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45721</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45721</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45721</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45721</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45721</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45721</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45721</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45721</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45721</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45721</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45721</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45721</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45721</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45721</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45721</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45721</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45721</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45721</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45721</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45721</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45721</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45721</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45721</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45721</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45721</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45721</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45721</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45721</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45721</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45721</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45721</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45721</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45721</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45721</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45721</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45721</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45721</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45721</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45721</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45721</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45721</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45721</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45721</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45721</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45721</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45721</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45721</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45721</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45721</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45721</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45721</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45721</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45721</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45721</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45721</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45721</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45721</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45721</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45721</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45721</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45721</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45721</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45721</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45721</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45721</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45721</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45721</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45721</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45721</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45721</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45721</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45721</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45721</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45721</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45721</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45721</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45721</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45721</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45721</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45721</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45721</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45721</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45721</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45721</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45721</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45721</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45721</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45721</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45721</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45721</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45721</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45721</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45721</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45721</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45721</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45721</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45721</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45721</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45721</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45721</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45721</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45721</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45721</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45721</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45721</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45721</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45721</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45721</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45721</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45721</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45721</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45721</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45721</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45721</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45721</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45721</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45721</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45721</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45721</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45721</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45721</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45721</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45721</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45721</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45721</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45721</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45721</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45721</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45721</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45721</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45721</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45721</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45721</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45721</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45721</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45721</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45721</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45721</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45721</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45721</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45721</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45721</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45721</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45721</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45721</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45721</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45721</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45721</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45721</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45721</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45721</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45721</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45721</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45721</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45721</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45721</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45721</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45721</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45721</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45721</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45721</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45721</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45721</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45721</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45721</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45721</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45721</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45721</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45721</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45721</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45721</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45721</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45721</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45721</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45721</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45721</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45721</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45721</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45721</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45721</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45721</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45721</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45721</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45721</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45721</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45721</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45721</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45721</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45721</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45721</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45721</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45721</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45721</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45721</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45721</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45721</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45721</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45721</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45721</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45721</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45721</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45721</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45721</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45721</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45721</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45721</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45721</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45721</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45721</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45721</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45721</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45721</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45721</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45721</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45721</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45721</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45721</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45721</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45721</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45721</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45721</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45721</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45721</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45721</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45721</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45721</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45721</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45721</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45721</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45721</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45721</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45721</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45721</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45721</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45721</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45721</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45721</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45721</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45721</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45721</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45721</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45721</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45721</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45721</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45721</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45721</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45721</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45721</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45721</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45721</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45721</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45721</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45721</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45721</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45721</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45721</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45721</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45721</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45721</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45721</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45721</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45721</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45721</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45721</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45721</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45721</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45721</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45721</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45721</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45721</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45721</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45721</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45721</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45721</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45721</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45721</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45721</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45721</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45721</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45721</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45721</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45721</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45721</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45721</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45721</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45721</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45721</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45721</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45721</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45721</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45721</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45721</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45721</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45721</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45721</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45721</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45721</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45721</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45721</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45721</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45721</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45721</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45721</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45721</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45721</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45721</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45721</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45721</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45721</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45721</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45721</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45721</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45721</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45721</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45721</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45721</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45721</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45721</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45721</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45721</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45721</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45721</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45721</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45721</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45721</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45721</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45721</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45721</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45721</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45721</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45721</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45721</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45721</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45721</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45721</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45721</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45721</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45721</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45721</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45721</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45721</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45721</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45721</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45721</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45721</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45721</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45721</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45721</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45721</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45721</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45721</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45721</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45721</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45721</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45721</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45721</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45721</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45721</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45721</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45721</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45721</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45721</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45721</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45721</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45721</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45721</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45721</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45721</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45721</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45721</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45721</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45721</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45721</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45721</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45721</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45721</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45721</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45721</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45721</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45721</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45721</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45721</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45721</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45721</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45721</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45721</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45721</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45721</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45721</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45721</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45721</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45721</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45721</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45721</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45721</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45721</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45721</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45721</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45721</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45721</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45721</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45721</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45721</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45721</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45721</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45721</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45721</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45721</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45721</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45721</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45721</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45721</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45721</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45721</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45721</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45721</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45721</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45721</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45721</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45721</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45721</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45721</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45721</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45721</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45721</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45721</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45721</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45721</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45721</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45721</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45721</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45721</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45721</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45721</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45721</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45721</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45721</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45721</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45721</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45721</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45721</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45721</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45721</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45721</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45721</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45721</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45721</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45721</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45721</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45721</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45721</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45721</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45721</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45721</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45721</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45721</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45721</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45721</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45721</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45721</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45721</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45721</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45721</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45721</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45721</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45721</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45721</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45721</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45721</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45721</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45721</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45721</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45721</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45721</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45721</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45721</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45721</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45721</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45721</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45721</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45721</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45721</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45721</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45721</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45721</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45721</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45721</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45721</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45721</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45721</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45721</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45721</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45721</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45721</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45721</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45721</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45721</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45721</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45721</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45721</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45721</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45721</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45721</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45721</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45721</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45721</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45721</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45721</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45721</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45721</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45721</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45721</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45721</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45721</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45721</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45721</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45721</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45721</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45721</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45721</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45721</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45721</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45721</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45721</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45721</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45721</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45721</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45721</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45721</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45721</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45721</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45721</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45721</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45721</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45721</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45721</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45721</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45721</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45721</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45721</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45721</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45721</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45721</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45721</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45721</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45721</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45721</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45721</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45721</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45721</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45721</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45721</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45721</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45721</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45721</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45721</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45721</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45721</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45721</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45721</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45721</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45721</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45721</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45721</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45721</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45721</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45721</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45721</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45721</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45721</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45721</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45721</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45721</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45721</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45721</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45721</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45721</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45721</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45721</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45721</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45721</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45721</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45721</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45721</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45721</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45721</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45721</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45721</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45721</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45721</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45721</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45721</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45721</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45721</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45721</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45721</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45721</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45721</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45721</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45721</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45721</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45721</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45721</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45721</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45721</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45721</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45721</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45721</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45721</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45721</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45721</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45721</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45721</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45721</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45721</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45721</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45721</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45721</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45721</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45721</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45721</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45721</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45721</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45721</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45721</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45721</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45721</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45721</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45721</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45721</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45721</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45721</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45721</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45721</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45721</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45721</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45721</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45721</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45721</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45721</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45721</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45721</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45721</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45721</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45721</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45721</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45721</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45721</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45721</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45721</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45721</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45721</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45721</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45721</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45721</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45721</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45721</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45721</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45721</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45721</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45721</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45721</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45721</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45721</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45721</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45721</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45721</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45721</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45721</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45721</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45721</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45721</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45721</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45721</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45721</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45721</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45721</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45721</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45721</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45721</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45721</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45721</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45721</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45721</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45721</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45721</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45721</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45721</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45721</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45721</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45721</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45721</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45721</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45721</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45721</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45721</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45721</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45721</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45721</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45721</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45721</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45721</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45721</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45721</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45721</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45721</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45721</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45721</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45721</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45721</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45721</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45721</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45721</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45721</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45721</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45721</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45721</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45721</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45721</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45721</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45721</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45721</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45721</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45721</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45721</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45721</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45721</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45721</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45721</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45721</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45721</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45721</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45721</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45721</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45721</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45721</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45721</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45721</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45721</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45721</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45721</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45721</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45721</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45721</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45721</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45721</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45721</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45721</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45721</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45721</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45721</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45721</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45721</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45721</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45721</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45721</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45721</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45721</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45721</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45721</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45721</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45721</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45721</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45721</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45721</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45721</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45721</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45721</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45721</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45721</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45721</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45721</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45721</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45721</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45721</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45721</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45721</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45721</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45721</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45721</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45721</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45721</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45721</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45721</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45721</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45721</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45721</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45721</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45721</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45721</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45721</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45721</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45721</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45721</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45721</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45721</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45721</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45721</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45721</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45721</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45721</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45721</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45721</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45721</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45721</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45721</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45721</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45721</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45721</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45721</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45721</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45721</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45721</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45721</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45721</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45721</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45721</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45721</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45721</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45721</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45721</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45721</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45721</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45721</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45721</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45721</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45721</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45721</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45721</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45721</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45721</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45721</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45721</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45721</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45721</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45721</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45721</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45721</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45721</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45721</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45721</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45721</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45721</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45721</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45721</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45721</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45721</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45721</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45721</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45721</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45721</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45721</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45721</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45721</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45721</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45721</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45721</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45721</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45721</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45721</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45721</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45721</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45721</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45721</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45721</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45721</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45721</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45721</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45721</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45721</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45721</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45721</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45721</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45721</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45721</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45721</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45721</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45721</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45721</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45721</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45721</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45721</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45721</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45721</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45721</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45721</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45721</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45721</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45721</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45721</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45721</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45721</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45721</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45721</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45721</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45721</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45721</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45721</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45721</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45721</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45721</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45721</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45721</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45721</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45721</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45721</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45721</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45721</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45721</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45721</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45721</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45721</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45721</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45721</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45721</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45721</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45721</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45721</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45721</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45721</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45721</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45721</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45721</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45721</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45721</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45721</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45721</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45721</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45721</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45721</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45721</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45721</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45721</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45721</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45721</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45721</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45721</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45721</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45721</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45721</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45721</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45721</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45721</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45721</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45721</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45721</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45721</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45721</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45721</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45721</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45721</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45721</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45721</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45721</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45721</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45721</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45721</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45721</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45721</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45721</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45721</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45721</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45721</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45721</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45721</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45721</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45721</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45721</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45721</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45721</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45721</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45721</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45721</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45721</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45721</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45721</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45721</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45721</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45721</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45721</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45721</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45721</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45721</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45721</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45721</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45721</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45721</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45721</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45721</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45721</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45721</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45721</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45721</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45721</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45721</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45721</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45721</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45721</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45721</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45721</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45721</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45721</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45721</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45721</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45721</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45721</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45721</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45721</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45721</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45721</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45721</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45721</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45721</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45721</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45721</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45721</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45721</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45721</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45721</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45721</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45721</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45721</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45721</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45721</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45721</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45721</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45721</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45721</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45721</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45721</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45721</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45721</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45721</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45721</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45721</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45721</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45721</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45721</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45721</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45721</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45721</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45721</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45721</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45721</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45721</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45721</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45721</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45721</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45721</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45721</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45721</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45721</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45721</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45721</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45721</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45721</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45721</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45721</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45721</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45721</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45721</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45721</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45721</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45721</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45721</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45721</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45721</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45721</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45721</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45721</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45721</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45721</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45721</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45721</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45721</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45721</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45721</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45721</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45721</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45721</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45721</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45721</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45721</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45721</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45721</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45721</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45721</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45721</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45721</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45721</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45721</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45721</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45721</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45721</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45721</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45721</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45721</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45721</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45721</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45721</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45721</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45721</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45721</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45721</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45721</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45721</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45721</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45721</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45721</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45721</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45721</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45721</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45721</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45721</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45721</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45721</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45721</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45721</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45721</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45721</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45721</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45721</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45721</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45721</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45721</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45721</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45721</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45721</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45721</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45721</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45721</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45721</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45721</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45721</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45721</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45721</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45721</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45721</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45721</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45721</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45721</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45721</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45721</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45721</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45721</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45721</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45721</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45721</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45721</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45721</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45721</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45721</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45721</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45721</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45721</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45721</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45721</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45721</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45721</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45721</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45721</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45721</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45721</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45721</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45721</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45721</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45721</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45721</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45721</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45721</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45721</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45721</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45721</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45721</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45721</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45721</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45721</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45721</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45721</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45721</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45721</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45721</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45721</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45721</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45721</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45721</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45721</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45721</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45721</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45721</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45721</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45721</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45721</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45721</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45721</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45721</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45721</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45721</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45721</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45721</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45721</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45721</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45721</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45721</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45721</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45721</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45721</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45721</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45721</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45721</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45721</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45721</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45721</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45721</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45721</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45721</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45721</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45721</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45721</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45721</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45721</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45721</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45721</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45721</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45721</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45721</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45721</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45721</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45721</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45721</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45721</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45721</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45721</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45721</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45721</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45721</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45721</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45721</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45721</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45721</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45721</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45721</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45721</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45721</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45721</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45721</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45721</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45721</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45721</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45721</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45721</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45721</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45721</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45721</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45721</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45721</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45721</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45721</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45721</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45721</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45721</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45721</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45721</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45721</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45721</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45721</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45721</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45721</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45721</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45721</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45721</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45721</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45721</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45721</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45721</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45721</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45721</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45721</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45721</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45721</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45721</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45721</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45721</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45721</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45721</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45721</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45721</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45721</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45721</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45721</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45721</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45721</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45721</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45721</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45721</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45721</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45721</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45721</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45721</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45721</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45721</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45721</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45721</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45721</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45721</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45721</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45721</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45721</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45721</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45721</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45721</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45721</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45721</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45721</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45721</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45721</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45721</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45721</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45721</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45721</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45721</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45721</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45721</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45721</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45721</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45721</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45721</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45721</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45721</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45721</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45721</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45721</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45721</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45721</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45721</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45721</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45721</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45721</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45721</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45721</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45721</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45721</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45721</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45721</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45721</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45721</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45721</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45721</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45721</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45721</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45721</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45721</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45721</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45721</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45721</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45721</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45721</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45721</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45721</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45721</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45721</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45721</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45721</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45721</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45721</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45721</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45721</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45721</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45721</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45721</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45721</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45721</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45721</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45721</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45721</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45721</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45721</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45721</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45721</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45721</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45721</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45721</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45721</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45721</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45721</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45721</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45721</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45721</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45721</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45721</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45721</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45721</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45721</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45721</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45721</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45721</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45721</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45721</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45721</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45721</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45721</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45721</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45721</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45721</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45721</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45721</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45721</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45721</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45721</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45721</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45721</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45721</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45721</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45721</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45721</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45721</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45721</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45721</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45721</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45721</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45721</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45721</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45721</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45721</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45721</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45721</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45721</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45721</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45721</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45721</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45721</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45721</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45721</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45721</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45721</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45721</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45721</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45721</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45721</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45721</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45721</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45721</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45721</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45721</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45721</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45721</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45721</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45721</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45721</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45721</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45721</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45721</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45721</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45721</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45721</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45721</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45721</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45721</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45721</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45721</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45721</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45721</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45721</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45721</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45721</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45721</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45721</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45721</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45721</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45721</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45721</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45721</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45721</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45721</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45721</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45721</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45721</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45721</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45721</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45721</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45721</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45721</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45721</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45721</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45721</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45721</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45721</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45721</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45721</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45721</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45721</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45721</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45721</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45721</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45721</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45721</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45721</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45721</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45721</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45721</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45721</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45721</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45721</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45721</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45721</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45721</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45721</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45721</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45721</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45721</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45721</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45721</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45721</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45721</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45721</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45721</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45721</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45721</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45721</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45721</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45721</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45721</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45721</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45721</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45721</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45721</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45721</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45721</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45721</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45721</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45721</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45721</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45721</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45721</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45721</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45721</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45721</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5627-2025</t>
        </is>
      </c>
      <c r="B3523" s="1" t="n">
        <v>45693</v>
      </c>
      <c r="C3523" s="1" t="n">
        <v>45721</v>
      </c>
      <c r="D3523" t="inlineStr">
        <is>
          <t>JÄMTLANDS LÄN</t>
        </is>
      </c>
      <c r="E3523" t="inlineStr">
        <is>
          <t>STRÖMSUND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5617-2025</t>
        </is>
      </c>
      <c r="B3524" s="1" t="n">
        <v>45693</v>
      </c>
      <c r="C3524" s="1" t="n">
        <v>45721</v>
      </c>
      <c r="D3524" t="inlineStr">
        <is>
          <t>JÄMTLANDS LÄN</t>
        </is>
      </c>
      <c r="E3524" t="inlineStr">
        <is>
          <t>STRÖMSUND</t>
        </is>
      </c>
      <c r="F3524" t="inlineStr">
        <is>
          <t>SCA</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5694-2025</t>
        </is>
      </c>
      <c r="B3525" s="1" t="n">
        <v>45694</v>
      </c>
      <c r="C3525" s="1" t="n">
        <v>45721</v>
      </c>
      <c r="D3525" t="inlineStr">
        <is>
          <t>JÄMTLANDS LÄN</t>
        </is>
      </c>
      <c r="E3525" t="inlineStr">
        <is>
          <t>STRÖMSUND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5775-2025</t>
        </is>
      </c>
      <c r="B3526" s="1" t="n">
        <v>45694</v>
      </c>
      <c r="C3526" s="1" t="n">
        <v>45721</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45721</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45721</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5871-2025</t>
        </is>
      </c>
      <c r="B3529" s="1" t="n">
        <v>45695</v>
      </c>
      <c r="C3529" s="1" t="n">
        <v>45721</v>
      </c>
      <c r="D3529" t="inlineStr">
        <is>
          <t>JÄMTLANDS LÄN</t>
        </is>
      </c>
      <c r="E3529" t="inlineStr">
        <is>
          <t>STRÖMSUND</t>
        </is>
      </c>
      <c r="F3529" t="inlineStr">
        <is>
          <t>SCA</t>
        </is>
      </c>
      <c r="G3529" t="n">
        <v>32.6</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45721</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5948-2025</t>
        </is>
      </c>
      <c r="B3531" s="1" t="n">
        <v>45695</v>
      </c>
      <c r="C3531" s="1" t="n">
        <v>45721</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5943-2025</t>
        </is>
      </c>
      <c r="B3532" s="1" t="n">
        <v>45695</v>
      </c>
      <c r="C3532" s="1" t="n">
        <v>45721</v>
      </c>
      <c r="D3532" t="inlineStr">
        <is>
          <t>JÄMTLANDS LÄN</t>
        </is>
      </c>
      <c r="E3532" t="inlineStr">
        <is>
          <t>STRÖMSUND</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6172-2025</t>
        </is>
      </c>
      <c r="B3533" s="1" t="n">
        <v>45698</v>
      </c>
      <c r="C3533" s="1" t="n">
        <v>45721</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6232-2025</t>
        </is>
      </c>
      <c r="B3534" s="1" t="n">
        <v>45698</v>
      </c>
      <c r="C3534" s="1" t="n">
        <v>45721</v>
      </c>
      <c r="D3534" t="inlineStr">
        <is>
          <t>JÄMTLANDS LÄN</t>
        </is>
      </c>
      <c r="E3534" t="inlineStr">
        <is>
          <t>STRÖMSUND</t>
        </is>
      </c>
      <c r="F3534" t="inlineStr">
        <is>
          <t>SCA</t>
        </is>
      </c>
      <c r="G3534" t="n">
        <v>24.2</v>
      </c>
      <c r="H3534" t="n">
        <v>0</v>
      </c>
      <c r="I3534" t="n">
        <v>0</v>
      </c>
      <c r="J3534" t="n">
        <v>0</v>
      </c>
      <c r="K3534" t="n">
        <v>0</v>
      </c>
      <c r="L3534" t="n">
        <v>0</v>
      </c>
      <c r="M3534" t="n">
        <v>0</v>
      </c>
      <c r="N3534" t="n">
        <v>0</v>
      </c>
      <c r="O3534" t="n">
        <v>0</v>
      </c>
      <c r="P3534" t="n">
        <v>0</v>
      </c>
      <c r="Q3534" t="n">
        <v>0</v>
      </c>
      <c r="R3534" s="2" t="inlineStr"/>
      <c r="U3534">
        <f>HYPERLINK("https://klasma.github.io/Logging_2313/knärot/A 6232-2025 karta knärot.png", "A 6232-2025")</f>
        <v/>
      </c>
      <c r="V3534">
        <f>HYPERLINK("https://klasma.github.io/Logging_2313/klagomål/A 6232-2025 FSC-klagomål.docx", "A 6232-2025")</f>
        <v/>
      </c>
      <c r="W3534">
        <f>HYPERLINK("https://klasma.github.io/Logging_2313/klagomålsmail/A 6232-2025 FSC-klagomål mail.docx", "A 6232-2025")</f>
        <v/>
      </c>
      <c r="X3534">
        <f>HYPERLINK("https://klasma.github.io/Logging_2313/tillsyn/A 6232-2025 tillsynsbegäran.docx", "A 6232-2025")</f>
        <v/>
      </c>
      <c r="Y3534">
        <f>HYPERLINK("https://klasma.github.io/Logging_2313/tillsynsmail/A 6232-2025 tillsynsbegäran mail.docx", "A 6232-2025")</f>
        <v/>
      </c>
    </row>
    <row r="3535" ht="15" customHeight="1">
      <c r="A3535" t="inlineStr">
        <is>
          <t>A 6129-2025</t>
        </is>
      </c>
      <c r="B3535" s="1" t="n">
        <v>45698</v>
      </c>
      <c r="C3535" s="1" t="n">
        <v>45721</v>
      </c>
      <c r="D3535" t="inlineStr">
        <is>
          <t>JÄMTLANDS LÄN</t>
        </is>
      </c>
      <c r="E3535" t="inlineStr">
        <is>
          <t>STRÖMSUND</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6302-2025</t>
        </is>
      </c>
      <c r="B3536" s="1" t="n">
        <v>45698</v>
      </c>
      <c r="C3536" s="1" t="n">
        <v>45721</v>
      </c>
      <c r="D3536" t="inlineStr">
        <is>
          <t>JÄMTLANDS LÄN</t>
        </is>
      </c>
      <c r="E3536" t="inlineStr">
        <is>
          <t>STRÖMSUND</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6347-2025</t>
        </is>
      </c>
      <c r="B3537" s="1" t="n">
        <v>45699</v>
      </c>
      <c r="C3537" s="1" t="n">
        <v>45721</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45721</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45721</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6527-2025</t>
        </is>
      </c>
      <c r="B3540" s="1" t="n">
        <v>45699</v>
      </c>
      <c r="C3540" s="1" t="n">
        <v>45721</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45721</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6502-2025</t>
        </is>
      </c>
      <c r="B3542" s="1" t="n">
        <v>45699</v>
      </c>
      <c r="C3542" s="1" t="n">
        <v>45721</v>
      </c>
      <c r="D3542" t="inlineStr">
        <is>
          <t>JÄMTLANDS LÄN</t>
        </is>
      </c>
      <c r="E3542" t="inlineStr">
        <is>
          <t>STRÖMSUND</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45721</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45721</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45721</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6685-2025</t>
        </is>
      </c>
      <c r="B3546" s="1" t="n">
        <v>45700</v>
      </c>
      <c r="C3546" s="1" t="n">
        <v>45721</v>
      </c>
      <c r="D3546" t="inlineStr">
        <is>
          <t>JÄMTLANDS LÄN</t>
        </is>
      </c>
      <c r="E3546" t="inlineStr">
        <is>
          <t>STRÖMSUND</t>
        </is>
      </c>
      <c r="F3546" t="inlineStr">
        <is>
          <t>SCA</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6885-2025</t>
        </is>
      </c>
      <c r="B3547" s="1" t="n">
        <v>45701</v>
      </c>
      <c r="C3547" s="1" t="n">
        <v>45721</v>
      </c>
      <c r="D3547" t="inlineStr">
        <is>
          <t>JÄMTLANDS LÄN</t>
        </is>
      </c>
      <c r="E3547" t="inlineStr">
        <is>
          <t>STRÖMSUND</t>
        </is>
      </c>
      <c r="F3547" t="inlineStr">
        <is>
          <t>SCA</t>
        </is>
      </c>
      <c r="G3547" t="n">
        <v>15.2</v>
      </c>
      <c r="H3547" t="n">
        <v>0</v>
      </c>
      <c r="I3547" t="n">
        <v>0</v>
      </c>
      <c r="J3547" t="n">
        <v>0</v>
      </c>
      <c r="K3547" t="n">
        <v>0</v>
      </c>
      <c r="L3547" t="n">
        <v>0</v>
      </c>
      <c r="M3547" t="n">
        <v>0</v>
      </c>
      <c r="N3547" t="n">
        <v>0</v>
      </c>
      <c r="O3547" t="n">
        <v>0</v>
      </c>
      <c r="P3547" t="n">
        <v>0</v>
      </c>
      <c r="Q3547" t="n">
        <v>0</v>
      </c>
      <c r="R3547" s="2" t="inlineStr"/>
    </row>
    <row r="3548" ht="15" customHeight="1">
      <c r="A3548" t="inlineStr">
        <is>
          <t>A 6879-2025</t>
        </is>
      </c>
      <c r="B3548" s="1" t="n">
        <v>45701</v>
      </c>
      <c r="C3548" s="1" t="n">
        <v>45721</v>
      </c>
      <c r="D3548" t="inlineStr">
        <is>
          <t>JÄMTLANDS LÄN</t>
        </is>
      </c>
      <c r="E3548" t="inlineStr">
        <is>
          <t>STRÖMSUND</t>
        </is>
      </c>
      <c r="F3548" t="inlineStr">
        <is>
          <t>SCA</t>
        </is>
      </c>
      <c r="G3548" t="n">
        <v>21.3</v>
      </c>
      <c r="H3548" t="n">
        <v>0</v>
      </c>
      <c r="I3548" t="n">
        <v>0</v>
      </c>
      <c r="J3548" t="n">
        <v>0</v>
      </c>
      <c r="K3548" t="n">
        <v>0</v>
      </c>
      <c r="L3548" t="n">
        <v>0</v>
      </c>
      <c r="M3548" t="n">
        <v>0</v>
      </c>
      <c r="N3548" t="n">
        <v>0</v>
      </c>
      <c r="O3548" t="n">
        <v>0</v>
      </c>
      <c r="P3548" t="n">
        <v>0</v>
      </c>
      <c r="Q3548" t="n">
        <v>0</v>
      </c>
      <c r="R3548" s="2" t="inlineStr"/>
    </row>
    <row r="3549" ht="15" customHeight="1">
      <c r="A3549" t="inlineStr">
        <is>
          <t>A 6883-2025</t>
        </is>
      </c>
      <c r="B3549" s="1" t="n">
        <v>45701</v>
      </c>
      <c r="C3549" s="1" t="n">
        <v>45721</v>
      </c>
      <c r="D3549" t="inlineStr">
        <is>
          <t>JÄMTLANDS LÄN</t>
        </is>
      </c>
      <c r="E3549" t="inlineStr">
        <is>
          <t>STRÖMSUND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45721</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45721</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7181-2025</t>
        </is>
      </c>
      <c r="B3552" s="1" t="n">
        <v>45702</v>
      </c>
      <c r="C3552" s="1" t="n">
        <v>45721</v>
      </c>
      <c r="D3552" t="inlineStr">
        <is>
          <t>JÄMTLANDS LÄN</t>
        </is>
      </c>
      <c r="E3552" t="inlineStr">
        <is>
          <t>STRÖMSUND</t>
        </is>
      </c>
      <c r="F3552" t="inlineStr">
        <is>
          <t>SCA</t>
        </is>
      </c>
      <c r="G3552" t="n">
        <v>17.6</v>
      </c>
      <c r="H3552" t="n">
        <v>0</v>
      </c>
      <c r="I3552" t="n">
        <v>0</v>
      </c>
      <c r="J3552" t="n">
        <v>0</v>
      </c>
      <c r="K3552" t="n">
        <v>0</v>
      </c>
      <c r="L3552" t="n">
        <v>0</v>
      </c>
      <c r="M3552" t="n">
        <v>0</v>
      </c>
      <c r="N3552" t="n">
        <v>0</v>
      </c>
      <c r="O3552" t="n">
        <v>0</v>
      </c>
      <c r="P3552" t="n">
        <v>0</v>
      </c>
      <c r="Q3552" t="n">
        <v>0</v>
      </c>
      <c r="R3552" s="2" t="inlineStr"/>
    </row>
    <row r="3553" ht="15" customHeight="1">
      <c r="A3553" t="inlineStr">
        <is>
          <t>A 7135-2025</t>
        </is>
      </c>
      <c r="B3553" s="1" t="n">
        <v>45702</v>
      </c>
      <c r="C3553" s="1" t="n">
        <v>45721</v>
      </c>
      <c r="D3553" t="inlineStr">
        <is>
          <t>JÄMTLANDS LÄN</t>
        </is>
      </c>
      <c r="E3553" t="inlineStr">
        <is>
          <t>STRÖMSUND</t>
        </is>
      </c>
      <c r="F3553" t="inlineStr">
        <is>
          <t>SCA</t>
        </is>
      </c>
      <c r="G3553" t="n">
        <v>32.9</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45721</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45721</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45721</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7542-2025</t>
        </is>
      </c>
      <c r="B3557" s="1" t="n">
        <v>45705</v>
      </c>
      <c r="C3557" s="1" t="n">
        <v>45721</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7546-2025</t>
        </is>
      </c>
      <c r="B3558" s="1" t="n">
        <v>45705</v>
      </c>
      <c r="C3558" s="1" t="n">
        <v>45721</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7479-2025</t>
        </is>
      </c>
      <c r="B3559" s="1" t="n">
        <v>45705</v>
      </c>
      <c r="C3559" s="1" t="n">
        <v>45721</v>
      </c>
      <c r="D3559" t="inlineStr">
        <is>
          <t>JÄMTLANDS LÄN</t>
        </is>
      </c>
      <c r="E3559" t="inlineStr">
        <is>
          <t>STRÖMSUND</t>
        </is>
      </c>
      <c r="F3559" t="inlineStr">
        <is>
          <t>SCA</t>
        </is>
      </c>
      <c r="G3559" t="n">
        <v>17.2</v>
      </c>
      <c r="H3559" t="n">
        <v>0</v>
      </c>
      <c r="I3559" t="n">
        <v>0</v>
      </c>
      <c r="J3559" t="n">
        <v>0</v>
      </c>
      <c r="K3559" t="n">
        <v>0</v>
      </c>
      <c r="L3559" t="n">
        <v>0</v>
      </c>
      <c r="M3559" t="n">
        <v>0</v>
      </c>
      <c r="N3559" t="n">
        <v>0</v>
      </c>
      <c r="O3559" t="n">
        <v>0</v>
      </c>
      <c r="P3559" t="n">
        <v>0</v>
      </c>
      <c r="Q3559" t="n">
        <v>0</v>
      </c>
      <c r="R3559" s="2" t="inlineStr"/>
    </row>
    <row r="3560" ht="15" customHeight="1">
      <c r="A3560" t="inlineStr">
        <is>
          <t>A 7544-2025</t>
        </is>
      </c>
      <c r="B3560" s="1" t="n">
        <v>45705</v>
      </c>
      <c r="C3560" s="1" t="n">
        <v>45721</v>
      </c>
      <c r="D3560" t="inlineStr">
        <is>
          <t>JÄMTLANDS LÄN</t>
        </is>
      </c>
      <c r="E3560" t="inlineStr">
        <is>
          <t>STRÖMSUND</t>
        </is>
      </c>
      <c r="F3560" t="inlineStr">
        <is>
          <t>SCA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45721</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45721</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45721</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45721</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45721</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8050-2025</t>
        </is>
      </c>
      <c r="B3566" s="1" t="n">
        <v>45706</v>
      </c>
      <c r="C3566" s="1" t="n">
        <v>45721</v>
      </c>
      <c r="D3566" t="inlineStr">
        <is>
          <t>JÄMTLANDS LÄN</t>
        </is>
      </c>
      <c r="E3566" t="inlineStr">
        <is>
          <t>STRÖMSUND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45721</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45721</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45721</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45721</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45721</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45721</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45721</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8347-2025</t>
        </is>
      </c>
      <c r="B3574" s="1" t="n">
        <v>45708</v>
      </c>
      <c r="C3574" s="1" t="n">
        <v>45721</v>
      </c>
      <c r="D3574" t="inlineStr">
        <is>
          <t>JÄMTLANDS LÄN</t>
        </is>
      </c>
      <c r="E3574" t="inlineStr">
        <is>
          <t>STRÖMSUND</t>
        </is>
      </c>
      <c r="F3574" t="inlineStr">
        <is>
          <t>SCA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8327-2025</t>
        </is>
      </c>
      <c r="B3575" s="1" t="n">
        <v>45708</v>
      </c>
      <c r="C3575" s="1" t="n">
        <v>45721</v>
      </c>
      <c r="D3575" t="inlineStr">
        <is>
          <t>JÄMTLANDS LÄN</t>
        </is>
      </c>
      <c r="E3575" t="inlineStr">
        <is>
          <t>STRÖMSUND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8326-2025</t>
        </is>
      </c>
      <c r="B3576" s="1" t="n">
        <v>45708</v>
      </c>
      <c r="C3576" s="1" t="n">
        <v>45721</v>
      </c>
      <c r="D3576" t="inlineStr">
        <is>
          <t>JÄMTLANDS LÄN</t>
        </is>
      </c>
      <c r="E3576" t="inlineStr">
        <is>
          <t>STRÖMSUND</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45721</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45721</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45721</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8756-2025</t>
        </is>
      </c>
      <c r="B3580" s="1" t="n">
        <v>45712</v>
      </c>
      <c r="C3580" s="1" t="n">
        <v>45721</v>
      </c>
      <c r="D3580" t="inlineStr">
        <is>
          <t>JÄMTLANDS LÄN</t>
        </is>
      </c>
      <c r="E3580" t="inlineStr">
        <is>
          <t>STRÖMSUND</t>
        </is>
      </c>
      <c r="F3580" t="inlineStr">
        <is>
          <t>SCA</t>
        </is>
      </c>
      <c r="G3580" t="n">
        <v>27.9</v>
      </c>
      <c r="H3580" t="n">
        <v>0</v>
      </c>
      <c r="I3580" t="n">
        <v>0</v>
      </c>
      <c r="J3580" t="n">
        <v>0</v>
      </c>
      <c r="K3580" t="n">
        <v>0</v>
      </c>
      <c r="L3580" t="n">
        <v>0</v>
      </c>
      <c r="M3580" t="n">
        <v>0</v>
      </c>
      <c r="N3580" t="n">
        <v>0</v>
      </c>
      <c r="O3580" t="n">
        <v>0</v>
      </c>
      <c r="P3580" t="n">
        <v>0</v>
      </c>
      <c r="Q3580" t="n">
        <v>0</v>
      </c>
      <c r="R3580" s="2" t="inlineStr"/>
    </row>
    <row r="3581" ht="15" customHeight="1">
      <c r="A3581" t="inlineStr">
        <is>
          <t>A 8758-2025</t>
        </is>
      </c>
      <c r="B3581" s="1" t="n">
        <v>45712</v>
      </c>
      <c r="C3581" s="1" t="n">
        <v>45721</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8808-2025</t>
        </is>
      </c>
      <c r="B3582" s="1" t="n">
        <v>45712</v>
      </c>
      <c r="C3582" s="1" t="n">
        <v>45721</v>
      </c>
      <c r="D3582" t="inlineStr">
        <is>
          <t>JÄMTLANDS LÄN</t>
        </is>
      </c>
      <c r="E3582" t="inlineStr">
        <is>
          <t>STRÖMSUND</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8812-2025</t>
        </is>
      </c>
      <c r="B3583" s="1" t="n">
        <v>45712</v>
      </c>
      <c r="C3583" s="1" t="n">
        <v>45721</v>
      </c>
      <c r="D3583" t="inlineStr">
        <is>
          <t>JÄMTLANDS LÄN</t>
        </is>
      </c>
      <c r="E3583" t="inlineStr">
        <is>
          <t>STRÖMSUND</t>
        </is>
      </c>
      <c r="F3583" t="inlineStr">
        <is>
          <t>Kyrkan</t>
        </is>
      </c>
      <c r="G3583" t="n">
        <v>38.1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45721</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45721</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45721</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9234-2025</t>
        </is>
      </c>
      <c r="B3587" s="1" t="n">
        <v>45714</v>
      </c>
      <c r="C3587" s="1" t="n">
        <v>45721</v>
      </c>
      <c r="D3587" t="inlineStr">
        <is>
          <t>JÄMTLANDS LÄN</t>
        </is>
      </c>
      <c r="E3587" t="inlineStr">
        <is>
          <t>STRÖMSUND</t>
        </is>
      </c>
      <c r="F3587" t="inlineStr">
        <is>
          <t>SCA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9258-2025</t>
        </is>
      </c>
      <c r="B3588" s="1" t="n">
        <v>45714</v>
      </c>
      <c r="C3588" s="1" t="n">
        <v>45721</v>
      </c>
      <c r="D3588" t="inlineStr">
        <is>
          <t>JÄMTLANDS LÄN</t>
        </is>
      </c>
      <c r="E3588" t="inlineStr">
        <is>
          <t>STRÖMSUND</t>
        </is>
      </c>
      <c r="F3588" t="inlineStr">
        <is>
          <t>SCA</t>
        </is>
      </c>
      <c r="G3588" t="n">
        <v>15.4</v>
      </c>
      <c r="H3588" t="n">
        <v>0</v>
      </c>
      <c r="I3588" t="n">
        <v>0</v>
      </c>
      <c r="J3588" t="n">
        <v>0</v>
      </c>
      <c r="K3588" t="n">
        <v>0</v>
      </c>
      <c r="L3588" t="n">
        <v>0</v>
      </c>
      <c r="M3588" t="n">
        <v>0</v>
      </c>
      <c r="N3588" t="n">
        <v>0</v>
      </c>
      <c r="O3588" t="n">
        <v>0</v>
      </c>
      <c r="P3588" t="n">
        <v>0</v>
      </c>
      <c r="Q3588" t="n">
        <v>0</v>
      </c>
      <c r="R3588" s="2" t="inlineStr"/>
    </row>
    <row r="3589" ht="15" customHeight="1">
      <c r="A3589" t="inlineStr">
        <is>
          <t>A 9257-2025</t>
        </is>
      </c>
      <c r="B3589" s="1" t="n">
        <v>45714</v>
      </c>
      <c r="C3589" s="1" t="n">
        <v>45721</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45721</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45721</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45721</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9798-2025</t>
        </is>
      </c>
      <c r="B3593" s="1" t="n">
        <v>45716</v>
      </c>
      <c r="C3593" s="1" t="n">
        <v>45721</v>
      </c>
      <c r="D3593" t="inlineStr">
        <is>
          <t>JÄMTLANDS LÄN</t>
        </is>
      </c>
      <c r="E3593" t="inlineStr">
        <is>
          <t>STRÖMSUND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45721</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45721</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45721</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45721</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10016-2025</t>
        </is>
      </c>
      <c r="B3598" s="1" t="n">
        <v>45719</v>
      </c>
      <c r="C3598" s="1" t="n">
        <v>45721</v>
      </c>
      <c r="D3598" t="inlineStr">
        <is>
          <t>JÄMTLANDS LÄN</t>
        </is>
      </c>
      <c r="E3598" t="inlineStr">
        <is>
          <t>STRÖMSUND</t>
        </is>
      </c>
      <c r="F3598" t="inlineStr">
        <is>
          <t>SCA</t>
        </is>
      </c>
      <c r="G3598" t="n">
        <v>14.3</v>
      </c>
      <c r="H3598" t="n">
        <v>0</v>
      </c>
      <c r="I3598" t="n">
        <v>0</v>
      </c>
      <c r="J3598" t="n">
        <v>0</v>
      </c>
      <c r="K3598" t="n">
        <v>0</v>
      </c>
      <c r="L3598" t="n">
        <v>0</v>
      </c>
      <c r="M3598" t="n">
        <v>0</v>
      </c>
      <c r="N3598" t="n">
        <v>0</v>
      </c>
      <c r="O3598" t="n">
        <v>0</v>
      </c>
      <c r="P3598" t="n">
        <v>0</v>
      </c>
      <c r="Q3598" t="n">
        <v>0</v>
      </c>
      <c r="R3598" s="2" t="inlineStr"/>
    </row>
    <row r="3599" ht="15" customHeight="1">
      <c r="A3599" t="inlineStr">
        <is>
          <t>A 10132-2025</t>
        </is>
      </c>
      <c r="B3599" s="1" t="n">
        <v>45719</v>
      </c>
      <c r="C3599" s="1" t="n">
        <v>45721</v>
      </c>
      <c r="D3599" t="inlineStr">
        <is>
          <t>JÄMTLANDS LÄN</t>
        </is>
      </c>
      <c r="E3599" t="inlineStr">
        <is>
          <t>STRÖMSUND</t>
        </is>
      </c>
      <c r="F3599" t="inlineStr">
        <is>
          <t>SCA</t>
        </is>
      </c>
      <c r="G3599" t="n">
        <v>30.1</v>
      </c>
      <c r="H3599" t="n">
        <v>0</v>
      </c>
      <c r="I3599" t="n">
        <v>0</v>
      </c>
      <c r="J3599" t="n">
        <v>0</v>
      </c>
      <c r="K3599" t="n">
        <v>0</v>
      </c>
      <c r="L3599" t="n">
        <v>0</v>
      </c>
      <c r="M3599" t="n">
        <v>0</v>
      </c>
      <c r="N3599" t="n">
        <v>0</v>
      </c>
      <c r="O3599" t="n">
        <v>0</v>
      </c>
      <c r="P3599" t="n">
        <v>0</v>
      </c>
      <c r="Q3599" t="n">
        <v>0</v>
      </c>
      <c r="R3599" s="2" t="inlineStr"/>
    </row>
    <row r="3600" ht="15" customHeight="1">
      <c r="A3600" t="inlineStr">
        <is>
          <t>A 9956-2025</t>
        </is>
      </c>
      <c r="B3600" s="1" t="n">
        <v>45719</v>
      </c>
      <c r="C3600" s="1" t="n">
        <v>45721</v>
      </c>
      <c r="D3600" t="inlineStr">
        <is>
          <t>JÄMTLANDS LÄN</t>
        </is>
      </c>
      <c r="E3600" t="inlineStr">
        <is>
          <t>STRÖMSUND</t>
        </is>
      </c>
      <c r="F3600" t="inlineStr">
        <is>
          <t>Holmen skog AB</t>
        </is>
      </c>
      <c r="G3600" t="n">
        <v>21.4</v>
      </c>
      <c r="H3600" t="n">
        <v>0</v>
      </c>
      <c r="I3600" t="n">
        <v>0</v>
      </c>
      <c r="J3600" t="n">
        <v>0</v>
      </c>
      <c r="K3600" t="n">
        <v>0</v>
      </c>
      <c r="L3600" t="n">
        <v>0</v>
      </c>
      <c r="M3600" t="n">
        <v>0</v>
      </c>
      <c r="N3600" t="n">
        <v>0</v>
      </c>
      <c r="O3600" t="n">
        <v>0</v>
      </c>
      <c r="P3600" t="n">
        <v>0</v>
      </c>
      <c r="Q3600" t="n">
        <v>0</v>
      </c>
      <c r="R3600" s="2" t="inlineStr"/>
    </row>
    <row r="3601" ht="15" customHeight="1">
      <c r="A3601" t="inlineStr">
        <is>
          <t>A 10091-2025</t>
        </is>
      </c>
      <c r="B3601" s="1" t="n">
        <v>45719</v>
      </c>
      <c r="C3601" s="1" t="n">
        <v>45721</v>
      </c>
      <c r="D3601" t="inlineStr">
        <is>
          <t>JÄMTLANDS LÄN</t>
        </is>
      </c>
      <c r="E3601" t="inlineStr">
        <is>
          <t>STRÖMSUND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10092-2025</t>
        </is>
      </c>
      <c r="B3602" s="1" t="n">
        <v>45719</v>
      </c>
      <c r="C3602" s="1" t="n">
        <v>45721</v>
      </c>
      <c r="D3602" t="inlineStr">
        <is>
          <t>JÄMTLANDS LÄN</t>
        </is>
      </c>
      <c r="E3602" t="inlineStr">
        <is>
          <t>STRÖMSUND</t>
        </is>
      </c>
      <c r="G3602" t="n">
        <v>59.9</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45721</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10093-2025</t>
        </is>
      </c>
      <c r="B3604" s="1" t="n">
        <v>45719</v>
      </c>
      <c r="C3604" s="1" t="n">
        <v>45721</v>
      </c>
      <c r="D3604" t="inlineStr">
        <is>
          <t>JÄMTLANDS LÄN</t>
        </is>
      </c>
      <c r="E3604" t="inlineStr">
        <is>
          <t>STRÖMSUND</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10163-2025</t>
        </is>
      </c>
      <c r="B3605" s="1" t="n">
        <v>45719</v>
      </c>
      <c r="C3605" s="1" t="n">
        <v>45721</v>
      </c>
      <c r="D3605" t="inlineStr">
        <is>
          <t>JÄMTLANDS LÄN</t>
        </is>
      </c>
      <c r="E3605" t="inlineStr">
        <is>
          <t>STRÖMSUND</t>
        </is>
      </c>
      <c r="F3605" t="inlineStr">
        <is>
          <t>Kyrkan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45721</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45721</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10443-2025</t>
        </is>
      </c>
      <c r="B3608" s="1" t="n">
        <v>45720</v>
      </c>
      <c r="C3608" s="1" t="n">
        <v>45721</v>
      </c>
      <c r="D3608" t="inlineStr">
        <is>
          <t>JÄMTLANDS LÄN</t>
        </is>
      </c>
      <c r="E3608" t="inlineStr">
        <is>
          <t>STRÖMSUND</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10429-2025</t>
        </is>
      </c>
      <c r="B3609" s="1" t="n">
        <v>45720</v>
      </c>
      <c r="C3609" s="1" t="n">
        <v>45721</v>
      </c>
      <c r="D3609" t="inlineStr">
        <is>
          <t>JÄMTLANDS LÄN</t>
        </is>
      </c>
      <c r="E3609" t="inlineStr">
        <is>
          <t>STRÖMSUND</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10236-2025</t>
        </is>
      </c>
      <c r="B3610" s="1" t="n">
        <v>45720</v>
      </c>
      <c r="C3610" s="1" t="n">
        <v>45721</v>
      </c>
      <c r="D3610" t="inlineStr">
        <is>
          <t>JÄMTLANDS LÄN</t>
        </is>
      </c>
      <c r="E3610" t="inlineStr">
        <is>
          <t>STRÖMSUND</t>
        </is>
      </c>
      <c r="F3610" t="inlineStr">
        <is>
          <t>SCA</t>
        </is>
      </c>
      <c r="G3610" t="n">
        <v>3.8</v>
      </c>
      <c r="H3610" t="n">
        <v>0</v>
      </c>
      <c r="I3610" t="n">
        <v>0</v>
      </c>
      <c r="J3610" t="n">
        <v>0</v>
      </c>
      <c r="K3610" t="n">
        <v>0</v>
      </c>
      <c r="L3610" t="n">
        <v>0</v>
      </c>
      <c r="M3610" t="n">
        <v>0</v>
      </c>
      <c r="N3610" t="n">
        <v>0</v>
      </c>
      <c r="O3610" t="n">
        <v>0</v>
      </c>
      <c r="P3610" t="n">
        <v>0</v>
      </c>
      <c r="Q3610" t="n">
        <v>0</v>
      </c>
      <c r="R3610" s="2" t="inlineStr"/>
    </row>
    <row r="3611">
      <c r="A3611" t="inlineStr">
        <is>
          <t>A 10428-2025</t>
        </is>
      </c>
      <c r="B3611" s="1" t="n">
        <v>45720</v>
      </c>
      <c r="C3611" s="1" t="n">
        <v>45721</v>
      </c>
      <c r="D3611" t="inlineStr">
        <is>
          <t>JÄMTLANDS LÄN</t>
        </is>
      </c>
      <c r="E3611" t="inlineStr">
        <is>
          <t>STRÖMSUND</t>
        </is>
      </c>
      <c r="F3611" t="inlineStr">
        <is>
          <t>SCA</t>
        </is>
      </c>
      <c r="G3611" t="n">
        <v>14.2</v>
      </c>
      <c r="H3611" t="n">
        <v>0</v>
      </c>
      <c r="I3611" t="n">
        <v>0</v>
      </c>
      <c r="J3611" t="n">
        <v>0</v>
      </c>
      <c r="K3611" t="n">
        <v>0</v>
      </c>
      <c r="L3611" t="n">
        <v>0</v>
      </c>
      <c r="M3611" t="n">
        <v>0</v>
      </c>
      <c r="N3611" t="n">
        <v>0</v>
      </c>
      <c r="O3611" t="n">
        <v>0</v>
      </c>
      <c r="P3611" t="n">
        <v>0</v>
      </c>
      <c r="Q3611" t="n">
        <v>0</v>
      </c>
      <c r="R3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2025-03-05T16:42:22Z</dcterms:created>
  <dcterms:modified xmlns:dcterms="http://purl.org/dc/terms/" xmlns:xsi="http://www.w3.org/2001/XMLSchema-instance" xsi:type="dcterms:W3CDTF">2025-03-05T16:42:25Z</dcterms:modified>
</cp:coreProperties>
</file>