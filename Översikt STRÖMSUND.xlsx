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46048</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46048</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46048</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46048</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46048</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46048</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46048</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46048</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46048</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46048</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71219-2021</t>
        </is>
      </c>
      <c r="B14" s="1" t="n">
        <v>44538</v>
      </c>
      <c r="C14" s="1" t="n">
        <v>46048</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46048</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46048</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46048</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46048</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46048</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46048</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46048</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46048</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v>
      </c>
      <c r="C23" s="1" t="n">
        <v>46048</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46048</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34775-2023</t>
        </is>
      </c>
      <c r="B25" s="1" t="n">
        <v>45140</v>
      </c>
      <c r="C25" s="1" t="n">
        <v>46048</v>
      </c>
      <c r="D25" t="inlineStr">
        <is>
          <t>JÄMTLANDS LÄN</t>
        </is>
      </c>
      <c r="E25" t="inlineStr">
        <is>
          <t>STRÖMSUND</t>
        </is>
      </c>
      <c r="G25" t="n">
        <v>9.199999999999999</v>
      </c>
      <c r="H25" t="n">
        <v>9</v>
      </c>
      <c r="I25" t="n">
        <v>4</v>
      </c>
      <c r="J25" t="n">
        <v>8</v>
      </c>
      <c r="K25" t="n">
        <v>2</v>
      </c>
      <c r="L25" t="n">
        <v>0</v>
      </c>
      <c r="M25" t="n">
        <v>0</v>
      </c>
      <c r="N25" t="n">
        <v>0</v>
      </c>
      <c r="O25" t="n">
        <v>10</v>
      </c>
      <c r="P25" t="n">
        <v>2</v>
      </c>
      <c r="Q25" t="n">
        <v>16</v>
      </c>
      <c r="R25" s="2" t="inlineStr">
        <is>
          <t>Knärot
Kopparspindling
Granticka
Järpe
Lunglav
Puderspindling
Skogsfru
Spillkråka
Tretåig hackspett
Äggvaxskivling
Bårdlav
Korallrot
Spindelblomster
Stor aspticka
Lavskrika
Fläcknycklar</t>
        </is>
      </c>
      <c r="S25">
        <f>HYPERLINK("https://klasma.github.io/Logging_2313/artfynd/A 34775-2023 artfynd.xlsx", "A 34775-2023")</f>
        <v/>
      </c>
      <c r="T25">
        <f>HYPERLINK("https://klasma.github.io/Logging_2313/kartor/A 34775-2023 karta.png", "A 34775-2023")</f>
        <v/>
      </c>
      <c r="U25">
        <f>HYPERLINK("https://klasma.github.io/Logging_2313/knärot/A 34775-2023 karta knärot.png", "A 34775-2023")</f>
        <v/>
      </c>
      <c r="V25">
        <f>HYPERLINK("https://klasma.github.io/Logging_2313/klagomål/A 34775-2023 FSC-klagomål.docx", "A 34775-2023")</f>
        <v/>
      </c>
      <c r="W25">
        <f>HYPERLINK("https://klasma.github.io/Logging_2313/klagomålsmail/A 34775-2023 FSC-klagomål mail.docx", "A 34775-2023")</f>
        <v/>
      </c>
      <c r="X25">
        <f>HYPERLINK("https://klasma.github.io/Logging_2313/tillsyn/A 34775-2023 tillsynsbegäran.docx", "A 34775-2023")</f>
        <v/>
      </c>
      <c r="Y25">
        <f>HYPERLINK("https://klasma.github.io/Logging_2313/tillsynsmail/A 34775-2023 tillsynsbegäran mail.docx", "A 34775-2023")</f>
        <v/>
      </c>
      <c r="Z25">
        <f>HYPERLINK("https://klasma.github.io/Logging_2313/fåglar/A 34775-2023 prioriterade fågelarter.docx", "A 34775-2023")</f>
        <v/>
      </c>
    </row>
    <row r="26" ht="15" customHeight="1">
      <c r="A26" t="inlineStr">
        <is>
          <t>A 54246-2022</t>
        </is>
      </c>
      <c r="B26" s="1" t="n">
        <v>44881</v>
      </c>
      <c r="C26" s="1" t="n">
        <v>46048</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58174-2022</t>
        </is>
      </c>
      <c r="B27" s="1" t="n">
        <v>44900</v>
      </c>
      <c r="C27" s="1" t="n">
        <v>46048</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46048</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46048</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46048</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46048</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46048</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46048</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46048</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46048</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26140-2022</t>
        </is>
      </c>
      <c r="B36" s="1" t="n">
        <v>44734</v>
      </c>
      <c r="C36" s="1" t="n">
        <v>46048</v>
      </c>
      <c r="D36" t="inlineStr">
        <is>
          <t>JÄMTLANDS LÄN</t>
        </is>
      </c>
      <c r="E36" t="inlineStr">
        <is>
          <t>STRÖMSUND</t>
        </is>
      </c>
      <c r="F36" t="inlineStr">
        <is>
          <t>SCA</t>
        </is>
      </c>
      <c r="G36" t="n">
        <v>7.9</v>
      </c>
      <c r="H36" t="n">
        <v>3</v>
      </c>
      <c r="I36" t="n">
        <v>5</v>
      </c>
      <c r="J36" t="n">
        <v>5</v>
      </c>
      <c r="K36" t="n">
        <v>0</v>
      </c>
      <c r="L36" t="n">
        <v>0</v>
      </c>
      <c r="M36" t="n">
        <v>0</v>
      </c>
      <c r="N36" t="n">
        <v>0</v>
      </c>
      <c r="O36" t="n">
        <v>5</v>
      </c>
      <c r="P36" t="n">
        <v>0</v>
      </c>
      <c r="Q36" t="n">
        <v>11</v>
      </c>
      <c r="R36" s="2" t="inlineStr">
        <is>
          <t>Garnlav
Granticka
Lunglav
Skrovellav
Tretåig hackspett
Gulnål
Luddlav
Mörk husmossa
Spindelblomster
Stuplav
Revlummer</t>
        </is>
      </c>
      <c r="S36">
        <f>HYPERLINK("https://klasma.github.io/Logging_2313/artfynd/A 26140-2022 artfynd.xlsx", "A 26140-2022")</f>
        <v/>
      </c>
      <c r="T36">
        <f>HYPERLINK("https://klasma.github.io/Logging_2313/kartor/A 26140-2022 karta.png", "A 26140-2022")</f>
        <v/>
      </c>
      <c r="V36">
        <f>HYPERLINK("https://klasma.github.io/Logging_2313/klagomål/A 26140-2022 FSC-klagomål.docx", "A 26140-2022")</f>
        <v/>
      </c>
      <c r="W36">
        <f>HYPERLINK("https://klasma.github.io/Logging_2313/klagomålsmail/A 26140-2022 FSC-klagomål mail.docx", "A 26140-2022")</f>
        <v/>
      </c>
      <c r="X36">
        <f>HYPERLINK("https://klasma.github.io/Logging_2313/tillsyn/A 26140-2022 tillsynsbegäran.docx", "A 26140-2022")</f>
        <v/>
      </c>
      <c r="Y36">
        <f>HYPERLINK("https://klasma.github.io/Logging_2313/tillsynsmail/A 26140-2022 tillsynsbegäran mail.docx", "A 26140-2022")</f>
        <v/>
      </c>
      <c r="Z36">
        <f>HYPERLINK("https://klasma.github.io/Logging_2313/fåglar/A 26140-2022 prioriterade fågelarter.docx", "A 26140-2022")</f>
        <v/>
      </c>
    </row>
    <row r="37" ht="15" customHeight="1">
      <c r="A37" t="inlineStr">
        <is>
          <t>A 33262-2024</t>
        </is>
      </c>
      <c r="B37" s="1" t="n">
        <v>45518</v>
      </c>
      <c r="C37" s="1" t="n">
        <v>46048</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24299-2023</t>
        </is>
      </c>
      <c r="B38" s="1" t="n">
        <v>45079</v>
      </c>
      <c r="C38" s="1" t="n">
        <v>46048</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43417-2023</t>
        </is>
      </c>
      <c r="B39" s="1" t="n">
        <v>45183.95726851852</v>
      </c>
      <c r="C39" s="1" t="n">
        <v>46048</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46048</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46048</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46048</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11485-2022</t>
        </is>
      </c>
      <c r="B43" s="1" t="n">
        <v>44630</v>
      </c>
      <c r="C43" s="1" t="n">
        <v>46048</v>
      </c>
      <c r="D43" t="inlineStr">
        <is>
          <t>JÄMTLANDS LÄN</t>
        </is>
      </c>
      <c r="E43" t="inlineStr">
        <is>
          <t>STRÖMSUND</t>
        </is>
      </c>
      <c r="F43" t="inlineStr">
        <is>
          <t>SCA</t>
        </is>
      </c>
      <c r="G43" t="n">
        <v>9.4</v>
      </c>
      <c r="H43" t="n">
        <v>0</v>
      </c>
      <c r="I43" t="n">
        <v>5</v>
      </c>
      <c r="J43" t="n">
        <v>4</v>
      </c>
      <c r="K43" t="n">
        <v>0</v>
      </c>
      <c r="L43" t="n">
        <v>0</v>
      </c>
      <c r="M43" t="n">
        <v>0</v>
      </c>
      <c r="N43" t="n">
        <v>0</v>
      </c>
      <c r="O43" t="n">
        <v>4</v>
      </c>
      <c r="P43" t="n">
        <v>0</v>
      </c>
      <c r="Q43" t="n">
        <v>9</v>
      </c>
      <c r="R43" s="2" t="inlineStr">
        <is>
          <t>Garnlav
Granticka
Lunglav
Ullticka
Bårdlav
Källmossa
Källmossor
Stuplav
Vedticka</t>
        </is>
      </c>
      <c r="S43">
        <f>HYPERLINK("https://klasma.github.io/Logging_2313/artfynd/A 11485-2022 artfynd.xlsx", "A 11485-2022")</f>
        <v/>
      </c>
      <c r="T43">
        <f>HYPERLINK("https://klasma.github.io/Logging_2313/kartor/A 11485-2022 karta.png", "A 11485-2022")</f>
        <v/>
      </c>
      <c r="V43">
        <f>HYPERLINK("https://klasma.github.io/Logging_2313/klagomål/A 11485-2022 FSC-klagomål.docx", "A 11485-2022")</f>
        <v/>
      </c>
      <c r="W43">
        <f>HYPERLINK("https://klasma.github.io/Logging_2313/klagomålsmail/A 11485-2022 FSC-klagomål mail.docx", "A 11485-2022")</f>
        <v/>
      </c>
      <c r="X43">
        <f>HYPERLINK("https://klasma.github.io/Logging_2313/tillsyn/A 11485-2022 tillsynsbegäran.docx", "A 11485-2022")</f>
        <v/>
      </c>
      <c r="Y43">
        <f>HYPERLINK("https://klasma.github.io/Logging_2313/tillsynsmail/A 11485-2022 tillsynsbegäran mail.docx", "A 11485-2022")</f>
        <v/>
      </c>
    </row>
    <row r="44" ht="15" customHeight="1">
      <c r="A44" t="inlineStr">
        <is>
          <t>A 69914-2021</t>
        </is>
      </c>
      <c r="B44" s="1" t="n">
        <v>44532</v>
      </c>
      <c r="C44" s="1" t="n">
        <v>46048</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18948-2023</t>
        </is>
      </c>
      <c r="B45" s="1" t="n">
        <v>45043</v>
      </c>
      <c r="C45" s="1" t="n">
        <v>46048</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46048</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33121-2024</t>
        </is>
      </c>
      <c r="B47" s="1" t="n">
        <v>45517.95701388889</v>
      </c>
      <c r="C47" s="1" t="n">
        <v>46048</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56137-2025</t>
        </is>
      </c>
      <c r="B48" s="1" t="n">
        <v>45974</v>
      </c>
      <c r="C48" s="1" t="n">
        <v>46048</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46048</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55922-2023</t>
        </is>
      </c>
      <c r="B50" s="1" t="n">
        <v>45239</v>
      </c>
      <c r="C50" s="1" t="n">
        <v>46048</v>
      </c>
      <c r="D50" t="inlineStr">
        <is>
          <t>JÄMTLANDS LÄN</t>
        </is>
      </c>
      <c r="E50" t="inlineStr">
        <is>
          <t>STRÖMSUND</t>
        </is>
      </c>
      <c r="F50" t="inlineStr">
        <is>
          <t>SCA</t>
        </is>
      </c>
      <c r="G50" t="n">
        <v>5.7</v>
      </c>
      <c r="H50" t="n">
        <v>3</v>
      </c>
      <c r="I50" t="n">
        <v>2</v>
      </c>
      <c r="J50" t="n">
        <v>5</v>
      </c>
      <c r="K50" t="n">
        <v>1</v>
      </c>
      <c r="L50" t="n">
        <v>0</v>
      </c>
      <c r="M50" t="n">
        <v>0</v>
      </c>
      <c r="N50" t="n">
        <v>0</v>
      </c>
      <c r="O50" t="n">
        <v>6</v>
      </c>
      <c r="P50" t="n">
        <v>1</v>
      </c>
      <c r="Q50" t="n">
        <v>8</v>
      </c>
      <c r="R50" s="2" t="inlineStr">
        <is>
          <t>Sprickporing
Granticka
Lunglav
Talltita
Tretåig hackspett
Vitgrynig nållav
Gulnål
Korallrot</t>
        </is>
      </c>
      <c r="S50">
        <f>HYPERLINK("https://klasma.github.io/Logging_2313/artfynd/A 55922-2023 artfynd.xlsx", "A 55922-2023")</f>
        <v/>
      </c>
      <c r="T50">
        <f>HYPERLINK("https://klasma.github.io/Logging_2313/kartor/A 55922-2023 karta.png", "A 55922-2023")</f>
        <v/>
      </c>
      <c r="V50">
        <f>HYPERLINK("https://klasma.github.io/Logging_2313/klagomål/A 55922-2023 FSC-klagomål.docx", "A 55922-2023")</f>
        <v/>
      </c>
      <c r="W50">
        <f>HYPERLINK("https://klasma.github.io/Logging_2313/klagomålsmail/A 55922-2023 FSC-klagomål mail.docx", "A 55922-2023")</f>
        <v/>
      </c>
      <c r="X50">
        <f>HYPERLINK("https://klasma.github.io/Logging_2313/tillsyn/A 55922-2023 tillsynsbegäran.docx", "A 55922-2023")</f>
        <v/>
      </c>
      <c r="Y50">
        <f>HYPERLINK("https://klasma.github.io/Logging_2313/tillsynsmail/A 55922-2023 tillsynsbegäran mail.docx", "A 55922-2023")</f>
        <v/>
      </c>
      <c r="Z50">
        <f>HYPERLINK("https://klasma.github.io/Logging_2313/fåglar/A 55922-2023 prioriterade fågelarter.docx", "A 55922-2023")</f>
        <v/>
      </c>
    </row>
    <row r="51" ht="15" customHeight="1">
      <c r="A51" t="inlineStr">
        <is>
          <t>A 55921-2023</t>
        </is>
      </c>
      <c r="B51" s="1" t="n">
        <v>45239</v>
      </c>
      <c r="C51" s="1" t="n">
        <v>46048</v>
      </c>
      <c r="D51" t="inlineStr">
        <is>
          <t>JÄMTLANDS LÄN</t>
        </is>
      </c>
      <c r="E51" t="inlineStr">
        <is>
          <t>STRÖMSUND</t>
        </is>
      </c>
      <c r="F51" t="inlineStr">
        <is>
          <t>SCA</t>
        </is>
      </c>
      <c r="G51" t="n">
        <v>6.3</v>
      </c>
      <c r="H51" t="n">
        <v>3</v>
      </c>
      <c r="I51" t="n">
        <v>2</v>
      </c>
      <c r="J51" t="n">
        <v>6</v>
      </c>
      <c r="K51" t="n">
        <v>0</v>
      </c>
      <c r="L51" t="n">
        <v>0</v>
      </c>
      <c r="M51" t="n">
        <v>0</v>
      </c>
      <c r="N51" t="n">
        <v>0</v>
      </c>
      <c r="O51" t="n">
        <v>6</v>
      </c>
      <c r="P51" t="n">
        <v>0</v>
      </c>
      <c r="Q51" t="n">
        <v>8</v>
      </c>
      <c r="R51" s="2" t="inlineStr">
        <is>
          <t>Gammelgransskål
Garnlav
Granticka
Tretåig hackspett
Ullticka
Vitgrynig nållav
Guckusko
Tvåblad</t>
        </is>
      </c>
      <c r="S51">
        <f>HYPERLINK("https://klasma.github.io/Logging_2313/artfynd/A 55921-2023 artfynd.xlsx", "A 55921-2023")</f>
        <v/>
      </c>
      <c r="T51">
        <f>HYPERLINK("https://klasma.github.io/Logging_2313/kartor/A 55921-2023 karta.png", "A 55921-2023")</f>
        <v/>
      </c>
      <c r="V51">
        <f>HYPERLINK("https://klasma.github.io/Logging_2313/klagomål/A 55921-2023 FSC-klagomål.docx", "A 55921-2023")</f>
        <v/>
      </c>
      <c r="W51">
        <f>HYPERLINK("https://klasma.github.io/Logging_2313/klagomålsmail/A 55921-2023 FSC-klagomål mail.docx", "A 55921-2023")</f>
        <v/>
      </c>
      <c r="X51">
        <f>HYPERLINK("https://klasma.github.io/Logging_2313/tillsyn/A 55921-2023 tillsynsbegäran.docx", "A 55921-2023")</f>
        <v/>
      </c>
      <c r="Y51">
        <f>HYPERLINK("https://klasma.github.io/Logging_2313/tillsynsmail/A 55921-2023 tillsynsbegäran mail.docx", "A 55921-2023")</f>
        <v/>
      </c>
      <c r="Z51">
        <f>HYPERLINK("https://klasma.github.io/Logging_2313/fåglar/A 55921-2023 prioriterade fågelarter.docx", "A 55921-2023")</f>
        <v/>
      </c>
    </row>
    <row r="52" ht="15" customHeight="1">
      <c r="A52" t="inlineStr">
        <is>
          <t>A 52563-2024</t>
        </is>
      </c>
      <c r="B52" s="1" t="n">
        <v>45609.656875</v>
      </c>
      <c r="C52" s="1" t="n">
        <v>46048</v>
      </c>
      <c r="D52" t="inlineStr">
        <is>
          <t>JÄMTLANDS LÄN</t>
        </is>
      </c>
      <c r="E52" t="inlineStr">
        <is>
          <t>STRÖMSUND</t>
        </is>
      </c>
      <c r="F52" t="inlineStr">
        <is>
          <t>SCA</t>
        </is>
      </c>
      <c r="G52" t="n">
        <v>11.9</v>
      </c>
      <c r="H52" t="n">
        <v>1</v>
      </c>
      <c r="I52" t="n">
        <v>2</v>
      </c>
      <c r="J52" t="n">
        <v>6</v>
      </c>
      <c r="K52" t="n">
        <v>0</v>
      </c>
      <c r="L52" t="n">
        <v>0</v>
      </c>
      <c r="M52" t="n">
        <v>0</v>
      </c>
      <c r="N52" t="n">
        <v>0</v>
      </c>
      <c r="O52" t="n">
        <v>6</v>
      </c>
      <c r="P52" t="n">
        <v>0</v>
      </c>
      <c r="Q52" t="n">
        <v>8</v>
      </c>
      <c r="R52" s="2" t="inlineStr">
        <is>
          <t>Garnlav
Granticka
Lunglav
Skrovellav
Tretåig hackspett
Ullticka
Luddlav
Stuplav</t>
        </is>
      </c>
      <c r="S52">
        <f>HYPERLINK("https://klasma.github.io/Logging_2313/artfynd/A 52563-2024 artfynd.xlsx", "A 52563-2024")</f>
        <v/>
      </c>
      <c r="T52">
        <f>HYPERLINK("https://klasma.github.io/Logging_2313/kartor/A 52563-2024 karta.png", "A 52563-2024")</f>
        <v/>
      </c>
      <c r="V52">
        <f>HYPERLINK("https://klasma.github.io/Logging_2313/klagomål/A 52563-2024 FSC-klagomål.docx", "A 52563-2024")</f>
        <v/>
      </c>
      <c r="W52">
        <f>HYPERLINK("https://klasma.github.io/Logging_2313/klagomålsmail/A 52563-2024 FSC-klagomål mail.docx", "A 52563-2024")</f>
        <v/>
      </c>
      <c r="X52">
        <f>HYPERLINK("https://klasma.github.io/Logging_2313/tillsyn/A 52563-2024 tillsynsbegäran.docx", "A 52563-2024")</f>
        <v/>
      </c>
      <c r="Y52">
        <f>HYPERLINK("https://klasma.github.io/Logging_2313/tillsynsmail/A 52563-2024 tillsynsbegäran mail.docx", "A 52563-2024")</f>
        <v/>
      </c>
      <c r="Z52">
        <f>HYPERLINK("https://klasma.github.io/Logging_2313/fåglar/A 52563-2024 prioriterade fågelarter.docx", "A 52563-2024")</f>
        <v/>
      </c>
    </row>
    <row r="53" ht="15" customHeight="1">
      <c r="A53" t="inlineStr">
        <is>
          <t>A 37171-2024</t>
        </is>
      </c>
      <c r="B53" s="1" t="n">
        <v>45539</v>
      </c>
      <c r="C53" s="1" t="n">
        <v>46048</v>
      </c>
      <c r="D53" t="inlineStr">
        <is>
          <t>JÄMTLANDS LÄN</t>
        </is>
      </c>
      <c r="E53" t="inlineStr">
        <is>
          <t>STRÖMSUND</t>
        </is>
      </c>
      <c r="F53" t="inlineStr">
        <is>
          <t>SCA</t>
        </is>
      </c>
      <c r="G53" t="n">
        <v>4</v>
      </c>
      <c r="H53" t="n">
        <v>3</v>
      </c>
      <c r="I53" t="n">
        <v>1</v>
      </c>
      <c r="J53" t="n">
        <v>6</v>
      </c>
      <c r="K53" t="n">
        <v>1</v>
      </c>
      <c r="L53" t="n">
        <v>0</v>
      </c>
      <c r="M53" t="n">
        <v>0</v>
      </c>
      <c r="N53" t="n">
        <v>0</v>
      </c>
      <c r="O53" t="n">
        <v>7</v>
      </c>
      <c r="P53" t="n">
        <v>1</v>
      </c>
      <c r="Q53" t="n">
        <v>8</v>
      </c>
      <c r="R53" s="2" t="inlineStr">
        <is>
          <t>Knärot
Garnlav
Kolflarnlav
Lunglav
Talltita
Tretåig hackspett
Ullticka
Granbarkgnagare</t>
        </is>
      </c>
      <c r="S53">
        <f>HYPERLINK("https://klasma.github.io/Logging_2313/artfynd/A 37171-2024 artfynd.xlsx", "A 37171-2024")</f>
        <v/>
      </c>
      <c r="T53">
        <f>HYPERLINK("https://klasma.github.io/Logging_2313/kartor/A 37171-2024 karta.png", "A 37171-2024")</f>
        <v/>
      </c>
      <c r="U53">
        <f>HYPERLINK("https://klasma.github.io/Logging_2313/knärot/A 37171-2024 karta knärot.png", "A 37171-2024")</f>
        <v/>
      </c>
      <c r="V53">
        <f>HYPERLINK("https://klasma.github.io/Logging_2313/klagomål/A 37171-2024 FSC-klagomål.docx", "A 37171-2024")</f>
        <v/>
      </c>
      <c r="W53">
        <f>HYPERLINK("https://klasma.github.io/Logging_2313/klagomålsmail/A 37171-2024 FSC-klagomål mail.docx", "A 37171-2024")</f>
        <v/>
      </c>
      <c r="X53">
        <f>HYPERLINK("https://klasma.github.io/Logging_2313/tillsyn/A 37171-2024 tillsynsbegäran.docx", "A 37171-2024")</f>
        <v/>
      </c>
      <c r="Y53">
        <f>HYPERLINK("https://klasma.github.io/Logging_2313/tillsynsmail/A 37171-2024 tillsynsbegäran mail.docx", "A 37171-2024")</f>
        <v/>
      </c>
      <c r="Z53">
        <f>HYPERLINK("https://klasma.github.io/Logging_2313/fåglar/A 37171-2024 prioriterade fågelarter.docx", "A 37171-2024")</f>
        <v/>
      </c>
    </row>
    <row r="54" ht="15" customHeight="1">
      <c r="A54" t="inlineStr">
        <is>
          <t>A 23313-2025</t>
        </is>
      </c>
      <c r="B54" s="1" t="n">
        <v>45791.61067129629</v>
      </c>
      <c r="C54" s="1" t="n">
        <v>46048</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42236-2021</t>
        </is>
      </c>
      <c r="B55" s="1" t="n">
        <v>44426</v>
      </c>
      <c r="C55" s="1" t="n">
        <v>46048</v>
      </c>
      <c r="D55" t="inlineStr">
        <is>
          <t>JÄMTLANDS LÄN</t>
        </is>
      </c>
      <c r="E55" t="inlineStr">
        <is>
          <t>STRÖMSUND</t>
        </is>
      </c>
      <c r="F55" t="inlineStr">
        <is>
          <t>SCA</t>
        </is>
      </c>
      <c r="G55" t="n">
        <v>9.1</v>
      </c>
      <c r="H55" t="n">
        <v>0</v>
      </c>
      <c r="I55" t="n">
        <v>5</v>
      </c>
      <c r="J55" t="n">
        <v>3</v>
      </c>
      <c r="K55" t="n">
        <v>0</v>
      </c>
      <c r="L55" t="n">
        <v>0</v>
      </c>
      <c r="M55" t="n">
        <v>0</v>
      </c>
      <c r="N55" t="n">
        <v>0</v>
      </c>
      <c r="O55" t="n">
        <v>3</v>
      </c>
      <c r="P55" t="n">
        <v>0</v>
      </c>
      <c r="Q55" t="n">
        <v>8</v>
      </c>
      <c r="R55" s="2" t="inlineStr">
        <is>
          <t>Granticka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32792-2025</t>
        </is>
      </c>
      <c r="B56" s="1" t="n">
        <v>45839.49021990741</v>
      </c>
      <c r="C56" s="1" t="n">
        <v>46048</v>
      </c>
      <c r="D56" t="inlineStr">
        <is>
          <t>JÄMTLANDS LÄN</t>
        </is>
      </c>
      <c r="E56" t="inlineStr">
        <is>
          <t>STRÖMSUND</t>
        </is>
      </c>
      <c r="F56" t="inlineStr">
        <is>
          <t>SCA</t>
        </is>
      </c>
      <c r="G56" t="n">
        <v>3.8</v>
      </c>
      <c r="H56" t="n">
        <v>0</v>
      </c>
      <c r="I56" t="n">
        <v>0</v>
      </c>
      <c r="J56" t="n">
        <v>7</v>
      </c>
      <c r="K56" t="n">
        <v>1</v>
      </c>
      <c r="L56" t="n">
        <v>0</v>
      </c>
      <c r="M56" t="n">
        <v>0</v>
      </c>
      <c r="N56" t="n">
        <v>0</v>
      </c>
      <c r="O56" t="n">
        <v>8</v>
      </c>
      <c r="P56" t="n">
        <v>1</v>
      </c>
      <c r="Q56" t="n">
        <v>8</v>
      </c>
      <c r="R56" s="2" t="inlineStr">
        <is>
          <t>Blackticka
Gammelgransskål
Garnlav
Granticka
Harticka
Lunglav
Ullticka
Vitgrynig nållav</t>
        </is>
      </c>
      <c r="S56">
        <f>HYPERLINK("https://klasma.github.io/Logging_2313/artfynd/A 32792-2025 artfynd.xlsx", "A 32792-2025")</f>
        <v/>
      </c>
      <c r="T56">
        <f>HYPERLINK("https://klasma.github.io/Logging_2313/kartor/A 32792-2025 karta.png", "A 32792-2025")</f>
        <v/>
      </c>
      <c r="V56">
        <f>HYPERLINK("https://klasma.github.io/Logging_2313/klagomål/A 32792-2025 FSC-klagomål.docx", "A 32792-2025")</f>
        <v/>
      </c>
      <c r="W56">
        <f>HYPERLINK("https://klasma.github.io/Logging_2313/klagomålsmail/A 32792-2025 FSC-klagomål mail.docx", "A 32792-2025")</f>
        <v/>
      </c>
      <c r="X56">
        <f>HYPERLINK("https://klasma.github.io/Logging_2313/tillsyn/A 32792-2025 tillsynsbegäran.docx", "A 32792-2025")</f>
        <v/>
      </c>
      <c r="Y56">
        <f>HYPERLINK("https://klasma.github.io/Logging_2313/tillsynsmail/A 32792-2025 tillsynsbegäran mail.docx", "A 32792-2025")</f>
        <v/>
      </c>
    </row>
    <row r="57" ht="15" customHeight="1">
      <c r="A57" t="inlineStr">
        <is>
          <t>A 48291-2025</t>
        </is>
      </c>
      <c r="B57" s="1" t="n">
        <v>45933.59506944445</v>
      </c>
      <c r="C57" s="1" t="n">
        <v>46048</v>
      </c>
      <c r="D57" t="inlineStr">
        <is>
          <t>JÄMTLANDS LÄN</t>
        </is>
      </c>
      <c r="E57" t="inlineStr">
        <is>
          <t>STRÖMSUND</t>
        </is>
      </c>
      <c r="G57" t="n">
        <v>11.1</v>
      </c>
      <c r="H57" t="n">
        <v>0</v>
      </c>
      <c r="I57" t="n">
        <v>0</v>
      </c>
      <c r="J57" t="n">
        <v>8</v>
      </c>
      <c r="K57" t="n">
        <v>0</v>
      </c>
      <c r="L57" t="n">
        <v>0</v>
      </c>
      <c r="M57" t="n">
        <v>0</v>
      </c>
      <c r="N57" t="n">
        <v>0</v>
      </c>
      <c r="O57" t="n">
        <v>8</v>
      </c>
      <c r="P57" t="n">
        <v>0</v>
      </c>
      <c r="Q57" t="n">
        <v>8</v>
      </c>
      <c r="R57" s="2" t="inlineStr">
        <is>
          <t>Blanksvart spiklav
Blågrå svartspik
Dvärgbägarlav
Garnlav
Kolflarnlav
Lunglav
Skrovellav
Vedskivlav</t>
        </is>
      </c>
      <c r="S57">
        <f>HYPERLINK("https://klasma.github.io/Logging_2313/artfynd/A 48291-2025 artfynd.xlsx", "A 48291-2025")</f>
        <v/>
      </c>
      <c r="T57">
        <f>HYPERLINK("https://klasma.github.io/Logging_2313/kartor/A 48291-2025 karta.png", "A 48291-2025")</f>
        <v/>
      </c>
      <c r="V57">
        <f>HYPERLINK("https://klasma.github.io/Logging_2313/klagomål/A 48291-2025 FSC-klagomål.docx", "A 48291-2025")</f>
        <v/>
      </c>
      <c r="W57">
        <f>HYPERLINK("https://klasma.github.io/Logging_2313/klagomålsmail/A 48291-2025 FSC-klagomål mail.docx", "A 48291-2025")</f>
        <v/>
      </c>
      <c r="X57">
        <f>HYPERLINK("https://klasma.github.io/Logging_2313/tillsyn/A 48291-2025 tillsynsbegäran.docx", "A 48291-2025")</f>
        <v/>
      </c>
      <c r="Y57">
        <f>HYPERLINK("https://klasma.github.io/Logging_2313/tillsynsmail/A 48291-2025 tillsynsbegäran mail.docx", "A 48291-2025")</f>
        <v/>
      </c>
    </row>
    <row r="58" ht="15" customHeight="1">
      <c r="A58" t="inlineStr">
        <is>
          <t>A 49755-2025</t>
        </is>
      </c>
      <c r="B58" s="1" t="n">
        <v>45940.345625</v>
      </c>
      <c r="C58" s="1" t="n">
        <v>46048</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36252-2022</t>
        </is>
      </c>
      <c r="B59" s="1" t="n">
        <v>44803</v>
      </c>
      <c r="C59" s="1" t="n">
        <v>46048</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14293-2022</t>
        </is>
      </c>
      <c r="B60" s="1" t="n">
        <v>44651</v>
      </c>
      <c r="C60" s="1" t="n">
        <v>46048</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18789-2025</t>
        </is>
      </c>
      <c r="B61" s="1" t="n">
        <v>45764.34461805555</v>
      </c>
      <c r="C61" s="1" t="n">
        <v>46048</v>
      </c>
      <c r="D61" t="inlineStr">
        <is>
          <t>JÄMTLANDS LÄN</t>
        </is>
      </c>
      <c r="E61" t="inlineStr">
        <is>
          <t>STRÖMSUND</t>
        </is>
      </c>
      <c r="F61" t="inlineStr">
        <is>
          <t>SCA</t>
        </is>
      </c>
      <c r="G61" t="n">
        <v>12.1</v>
      </c>
      <c r="H61" t="n">
        <v>0</v>
      </c>
      <c r="I61" t="n">
        <v>0</v>
      </c>
      <c r="J61" t="n">
        <v>7</v>
      </c>
      <c r="K61" t="n">
        <v>0</v>
      </c>
      <c r="L61" t="n">
        <v>0</v>
      </c>
      <c r="M61" t="n">
        <v>0</v>
      </c>
      <c r="N61" t="n">
        <v>0</v>
      </c>
      <c r="O61" t="n">
        <v>7</v>
      </c>
      <c r="P61" t="n">
        <v>0</v>
      </c>
      <c r="Q61" t="n">
        <v>7</v>
      </c>
      <c r="R61" s="2" t="inlineStr">
        <is>
          <t>Gammelgransskål
Garnlav
Granticka
Harticka
Lunglav
Skrovellav
Ullticka</t>
        </is>
      </c>
      <c r="S61">
        <f>HYPERLINK("https://klasma.github.io/Logging_2313/artfynd/A 18789-2025 artfynd.xlsx", "A 18789-2025")</f>
        <v/>
      </c>
      <c r="T61">
        <f>HYPERLINK("https://klasma.github.io/Logging_2313/kartor/A 18789-2025 karta.png", "A 18789-2025")</f>
        <v/>
      </c>
      <c r="V61">
        <f>HYPERLINK("https://klasma.github.io/Logging_2313/klagomål/A 18789-2025 FSC-klagomål.docx", "A 18789-2025")</f>
        <v/>
      </c>
      <c r="W61">
        <f>HYPERLINK("https://klasma.github.io/Logging_2313/klagomålsmail/A 18789-2025 FSC-klagomål mail.docx", "A 18789-2025")</f>
        <v/>
      </c>
      <c r="X61">
        <f>HYPERLINK("https://klasma.github.io/Logging_2313/tillsyn/A 18789-2025 tillsynsbegäran.docx", "A 18789-2025")</f>
        <v/>
      </c>
      <c r="Y61">
        <f>HYPERLINK("https://klasma.github.io/Logging_2313/tillsynsmail/A 18789-2025 tillsynsbegäran mail.docx", "A 18789-2025")</f>
        <v/>
      </c>
    </row>
    <row r="62" ht="15" customHeight="1">
      <c r="A62" t="inlineStr">
        <is>
          <t>A 53066-2024</t>
        </is>
      </c>
      <c r="B62" s="1" t="n">
        <v>45611.47547453704</v>
      </c>
      <c r="C62" s="1" t="n">
        <v>46048</v>
      </c>
      <c r="D62" t="inlineStr">
        <is>
          <t>JÄMTLANDS LÄN</t>
        </is>
      </c>
      <c r="E62" t="inlineStr">
        <is>
          <t>STRÖMSUND</t>
        </is>
      </c>
      <c r="F62" t="inlineStr">
        <is>
          <t>Holmen skog AB</t>
        </is>
      </c>
      <c r="G62" t="n">
        <v>15.3</v>
      </c>
      <c r="H62" t="n">
        <v>1</v>
      </c>
      <c r="I62" t="n">
        <v>1</v>
      </c>
      <c r="J62" t="n">
        <v>5</v>
      </c>
      <c r="K62" t="n">
        <v>1</v>
      </c>
      <c r="L62" t="n">
        <v>0</v>
      </c>
      <c r="M62" t="n">
        <v>0</v>
      </c>
      <c r="N62" t="n">
        <v>0</v>
      </c>
      <c r="O62" t="n">
        <v>6</v>
      </c>
      <c r="P62" t="n">
        <v>1</v>
      </c>
      <c r="Q62" t="n">
        <v>7</v>
      </c>
      <c r="R62" s="2" t="inlineStr">
        <is>
          <t>Knärot
Kolflarnlav
Lunglav
Reliktbock
Skrovellav
Vedskivlav
Stor aspticka</t>
        </is>
      </c>
      <c r="S62">
        <f>HYPERLINK("https://klasma.github.io/Logging_2313/artfynd/A 53066-2024 artfynd.xlsx", "A 53066-2024")</f>
        <v/>
      </c>
      <c r="T62">
        <f>HYPERLINK("https://klasma.github.io/Logging_2313/kartor/A 53066-2024 karta.png", "A 53066-2024")</f>
        <v/>
      </c>
      <c r="U62">
        <f>HYPERLINK("https://klasma.github.io/Logging_2313/knärot/A 53066-2024 karta knärot.png", "A 53066-2024")</f>
        <v/>
      </c>
      <c r="V62">
        <f>HYPERLINK("https://klasma.github.io/Logging_2313/klagomål/A 53066-2024 FSC-klagomål.docx", "A 53066-2024")</f>
        <v/>
      </c>
      <c r="W62">
        <f>HYPERLINK("https://klasma.github.io/Logging_2313/klagomålsmail/A 53066-2024 FSC-klagomål mail.docx", "A 53066-2024")</f>
        <v/>
      </c>
      <c r="X62">
        <f>HYPERLINK("https://klasma.github.io/Logging_2313/tillsyn/A 53066-2024 tillsynsbegäran.docx", "A 53066-2024")</f>
        <v/>
      </c>
      <c r="Y62">
        <f>HYPERLINK("https://klasma.github.io/Logging_2313/tillsynsmail/A 53066-2024 tillsynsbegäran mail.docx", "A 53066-2024")</f>
        <v/>
      </c>
    </row>
    <row r="63" ht="15" customHeight="1">
      <c r="A63" t="inlineStr">
        <is>
          <t>A 51403-2024</t>
        </is>
      </c>
      <c r="B63" s="1" t="n">
        <v>45604.42765046296</v>
      </c>
      <c r="C63" s="1" t="n">
        <v>46048</v>
      </c>
      <c r="D63" t="inlineStr">
        <is>
          <t>JÄMTLANDS LÄN</t>
        </is>
      </c>
      <c r="E63" t="inlineStr">
        <is>
          <t>STRÖMSUND</t>
        </is>
      </c>
      <c r="F63" t="inlineStr">
        <is>
          <t>SCA</t>
        </is>
      </c>
      <c r="G63" t="n">
        <v>25.2</v>
      </c>
      <c r="H63" t="n">
        <v>0</v>
      </c>
      <c r="I63" t="n">
        <v>1</v>
      </c>
      <c r="J63" t="n">
        <v>6</v>
      </c>
      <c r="K63" t="n">
        <v>0</v>
      </c>
      <c r="L63" t="n">
        <v>0</v>
      </c>
      <c r="M63" t="n">
        <v>0</v>
      </c>
      <c r="N63" t="n">
        <v>0</v>
      </c>
      <c r="O63" t="n">
        <v>6</v>
      </c>
      <c r="P63" t="n">
        <v>0</v>
      </c>
      <c r="Q63" t="n">
        <v>7</v>
      </c>
      <c r="R63" s="2" t="inlineStr">
        <is>
          <t>Brunpudrad nållav
Gammelgransskål
Garnlav
Granticka
Lunglav
Ullticka
Vedticka</t>
        </is>
      </c>
      <c r="S63">
        <f>HYPERLINK("https://klasma.github.io/Logging_2313/artfynd/A 51403-2024 artfynd.xlsx", "A 51403-2024")</f>
        <v/>
      </c>
      <c r="T63">
        <f>HYPERLINK("https://klasma.github.io/Logging_2313/kartor/A 51403-2024 karta.png", "A 51403-2024")</f>
        <v/>
      </c>
      <c r="V63">
        <f>HYPERLINK("https://klasma.github.io/Logging_2313/klagomål/A 51403-2024 FSC-klagomål.docx", "A 51403-2024")</f>
        <v/>
      </c>
      <c r="W63">
        <f>HYPERLINK("https://klasma.github.io/Logging_2313/klagomålsmail/A 51403-2024 FSC-klagomål mail.docx", "A 51403-2024")</f>
        <v/>
      </c>
      <c r="X63">
        <f>HYPERLINK("https://klasma.github.io/Logging_2313/tillsyn/A 51403-2024 tillsynsbegäran.docx", "A 51403-2024")</f>
        <v/>
      </c>
      <c r="Y63">
        <f>HYPERLINK("https://klasma.github.io/Logging_2313/tillsynsmail/A 51403-2024 tillsynsbegäran mail.docx", "A 51403-2024")</f>
        <v/>
      </c>
    </row>
    <row r="64" ht="15" customHeight="1">
      <c r="A64" t="inlineStr">
        <is>
          <t>A 32304-2025</t>
        </is>
      </c>
      <c r="B64" s="1" t="n">
        <v>45835.71910879629</v>
      </c>
      <c r="C64" s="1" t="n">
        <v>46048</v>
      </c>
      <c r="D64" t="inlineStr">
        <is>
          <t>JÄMTLANDS LÄN</t>
        </is>
      </c>
      <c r="E64" t="inlineStr">
        <is>
          <t>STRÖMSUND</t>
        </is>
      </c>
      <c r="F64" t="inlineStr">
        <is>
          <t>SCA</t>
        </is>
      </c>
      <c r="G64" t="n">
        <v>9.4</v>
      </c>
      <c r="H64" t="n">
        <v>3</v>
      </c>
      <c r="I64" t="n">
        <v>1</v>
      </c>
      <c r="J64" t="n">
        <v>3</v>
      </c>
      <c r="K64" t="n">
        <v>3</v>
      </c>
      <c r="L64" t="n">
        <v>0</v>
      </c>
      <c r="M64" t="n">
        <v>0</v>
      </c>
      <c r="N64" t="n">
        <v>0</v>
      </c>
      <c r="O64" t="n">
        <v>6</v>
      </c>
      <c r="P64" t="n">
        <v>3</v>
      </c>
      <c r="Q64" t="n">
        <v>7</v>
      </c>
      <c r="R64" s="2" t="inlineStr">
        <is>
          <t>Fläckporing
Gräddporing
Knärot
Lunglav
Tretåig hackspett
Vedtrappmossa
Guckusko</t>
        </is>
      </c>
      <c r="S64">
        <f>HYPERLINK("https://klasma.github.io/Logging_2313/artfynd/A 32304-2025 artfynd.xlsx", "A 32304-2025")</f>
        <v/>
      </c>
      <c r="T64">
        <f>HYPERLINK("https://klasma.github.io/Logging_2313/kartor/A 32304-2025 karta.png", "A 32304-2025")</f>
        <v/>
      </c>
      <c r="U64">
        <f>HYPERLINK("https://klasma.github.io/Logging_2313/knärot/A 32304-2025 karta knärot.png", "A 32304-2025")</f>
        <v/>
      </c>
      <c r="V64">
        <f>HYPERLINK("https://klasma.github.io/Logging_2313/klagomål/A 32304-2025 FSC-klagomål.docx", "A 32304-2025")</f>
        <v/>
      </c>
      <c r="W64">
        <f>HYPERLINK("https://klasma.github.io/Logging_2313/klagomålsmail/A 32304-2025 FSC-klagomål mail.docx", "A 32304-2025")</f>
        <v/>
      </c>
      <c r="X64">
        <f>HYPERLINK("https://klasma.github.io/Logging_2313/tillsyn/A 32304-2025 tillsynsbegäran.docx", "A 32304-2025")</f>
        <v/>
      </c>
      <c r="Y64">
        <f>HYPERLINK("https://klasma.github.io/Logging_2313/tillsynsmail/A 32304-2025 tillsynsbegäran mail.docx", "A 32304-2025")</f>
        <v/>
      </c>
      <c r="Z64">
        <f>HYPERLINK("https://klasma.github.io/Logging_2313/fåglar/A 32304-2025 prioriterade fågelarter.docx", "A 32304-2025")</f>
        <v/>
      </c>
    </row>
    <row r="65" ht="15" customHeight="1">
      <c r="A65" t="inlineStr">
        <is>
          <t>A 32417-2025</t>
        </is>
      </c>
      <c r="B65" s="1" t="n">
        <v>45838.34459490741</v>
      </c>
      <c r="C65" s="1" t="n">
        <v>46048</v>
      </c>
      <c r="D65" t="inlineStr">
        <is>
          <t>JÄMTLANDS LÄN</t>
        </is>
      </c>
      <c r="E65" t="inlineStr">
        <is>
          <t>STRÖMSUND</t>
        </is>
      </c>
      <c r="F65" t="inlineStr">
        <is>
          <t>SCA</t>
        </is>
      </c>
      <c r="G65" t="n">
        <v>4.6</v>
      </c>
      <c r="H65" t="n">
        <v>1</v>
      </c>
      <c r="I65" t="n">
        <v>3</v>
      </c>
      <c r="J65" t="n">
        <v>4</v>
      </c>
      <c r="K65" t="n">
        <v>0</v>
      </c>
      <c r="L65" t="n">
        <v>0</v>
      </c>
      <c r="M65" t="n">
        <v>0</v>
      </c>
      <c r="N65" t="n">
        <v>0</v>
      </c>
      <c r="O65" t="n">
        <v>4</v>
      </c>
      <c r="P65" t="n">
        <v>0</v>
      </c>
      <c r="Q65" t="n">
        <v>7</v>
      </c>
      <c r="R65" s="2" t="inlineStr">
        <is>
          <t>Garnlav
Lunglav
Skrovellav
Tretåig hackspett
Gytterlav
Luddlav
Stuplav</t>
        </is>
      </c>
      <c r="S65">
        <f>HYPERLINK("https://klasma.github.io/Logging_2313/artfynd/A 32417-2025 artfynd.xlsx", "A 32417-2025")</f>
        <v/>
      </c>
      <c r="T65">
        <f>HYPERLINK("https://klasma.github.io/Logging_2313/kartor/A 32417-2025 karta.png", "A 32417-2025")</f>
        <v/>
      </c>
      <c r="V65">
        <f>HYPERLINK("https://klasma.github.io/Logging_2313/klagomål/A 32417-2025 FSC-klagomål.docx", "A 32417-2025")</f>
        <v/>
      </c>
      <c r="W65">
        <f>HYPERLINK("https://klasma.github.io/Logging_2313/klagomålsmail/A 32417-2025 FSC-klagomål mail.docx", "A 32417-2025")</f>
        <v/>
      </c>
      <c r="X65">
        <f>HYPERLINK("https://klasma.github.io/Logging_2313/tillsyn/A 32417-2025 tillsynsbegäran.docx", "A 32417-2025")</f>
        <v/>
      </c>
      <c r="Y65">
        <f>HYPERLINK("https://klasma.github.io/Logging_2313/tillsynsmail/A 32417-2025 tillsynsbegäran mail.docx", "A 32417-2025")</f>
        <v/>
      </c>
      <c r="Z65">
        <f>HYPERLINK("https://klasma.github.io/Logging_2313/fåglar/A 32417-2025 prioriterade fågelarter.docx", "A 32417-2025")</f>
        <v/>
      </c>
    </row>
    <row r="66" ht="15" customHeight="1">
      <c r="A66" t="inlineStr">
        <is>
          <t>A 60761-2023</t>
        </is>
      </c>
      <c r="B66" s="1" t="n">
        <v>45259</v>
      </c>
      <c r="C66" s="1" t="n">
        <v>46048</v>
      </c>
      <c r="D66" t="inlineStr">
        <is>
          <t>JÄMTLANDS LÄN</t>
        </is>
      </c>
      <c r="E66" t="inlineStr">
        <is>
          <t>STRÖMSUND</t>
        </is>
      </c>
      <c r="G66" t="n">
        <v>28.1</v>
      </c>
      <c r="H66" t="n">
        <v>2</v>
      </c>
      <c r="I66" t="n">
        <v>0</v>
      </c>
      <c r="J66" t="n">
        <v>6</v>
      </c>
      <c r="K66" t="n">
        <v>0</v>
      </c>
      <c r="L66" t="n">
        <v>0</v>
      </c>
      <c r="M66" t="n">
        <v>0</v>
      </c>
      <c r="N66" t="n">
        <v>0</v>
      </c>
      <c r="O66" t="n">
        <v>6</v>
      </c>
      <c r="P66" t="n">
        <v>0</v>
      </c>
      <c r="Q66" t="n">
        <v>7</v>
      </c>
      <c r="R66" s="2" t="inlineStr">
        <is>
          <t>Garnlav
Granticka
Lunglav
Skrovellav
Tretåig hackspett
Ullticka
Lavskrika</t>
        </is>
      </c>
      <c r="S66">
        <f>HYPERLINK("https://klasma.github.io/Logging_2313/artfynd/A 60761-2023 artfynd.xlsx", "A 60761-2023")</f>
        <v/>
      </c>
      <c r="T66">
        <f>HYPERLINK("https://klasma.github.io/Logging_2313/kartor/A 60761-2023 karta.png", "A 60761-2023")</f>
        <v/>
      </c>
      <c r="V66">
        <f>HYPERLINK("https://klasma.github.io/Logging_2313/klagomål/A 60761-2023 FSC-klagomål.docx", "A 60761-2023")</f>
        <v/>
      </c>
      <c r="W66">
        <f>HYPERLINK("https://klasma.github.io/Logging_2313/klagomålsmail/A 60761-2023 FSC-klagomål mail.docx", "A 60761-2023")</f>
        <v/>
      </c>
      <c r="X66">
        <f>HYPERLINK("https://klasma.github.io/Logging_2313/tillsyn/A 60761-2023 tillsynsbegäran.docx", "A 60761-2023")</f>
        <v/>
      </c>
      <c r="Y66">
        <f>HYPERLINK("https://klasma.github.io/Logging_2313/tillsynsmail/A 60761-2023 tillsynsbegäran mail.docx", "A 60761-2023")</f>
        <v/>
      </c>
      <c r="Z66">
        <f>HYPERLINK("https://klasma.github.io/Logging_2313/fåglar/A 60761-2023 prioriterade fågelarter.docx", "A 60761-2023")</f>
        <v/>
      </c>
    </row>
    <row r="67" ht="15" customHeight="1">
      <c r="A67" t="inlineStr">
        <is>
          <t>A 63509-2021</t>
        </is>
      </c>
      <c r="B67" s="1" t="n">
        <v>44504</v>
      </c>
      <c r="C67" s="1" t="n">
        <v>46048</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29495-2024</t>
        </is>
      </c>
      <c r="B68" s="1" t="n">
        <v>45484</v>
      </c>
      <c r="C68" s="1" t="n">
        <v>46048</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60164-2024</t>
        </is>
      </c>
      <c r="B69" s="1" t="n">
        <v>45642</v>
      </c>
      <c r="C69" s="1" t="n">
        <v>46048</v>
      </c>
      <c r="D69" t="inlineStr">
        <is>
          <t>JÄMTLANDS LÄN</t>
        </is>
      </c>
      <c r="E69" t="inlineStr">
        <is>
          <t>STRÖMSUND</t>
        </is>
      </c>
      <c r="G69" t="n">
        <v>1.4</v>
      </c>
      <c r="H69" t="n">
        <v>0</v>
      </c>
      <c r="I69" t="n">
        <v>4</v>
      </c>
      <c r="J69" t="n">
        <v>3</v>
      </c>
      <c r="K69" t="n">
        <v>0</v>
      </c>
      <c r="L69" t="n">
        <v>0</v>
      </c>
      <c r="M69" t="n">
        <v>0</v>
      </c>
      <c r="N69" t="n">
        <v>0</v>
      </c>
      <c r="O69" t="n">
        <v>3</v>
      </c>
      <c r="P69" t="n">
        <v>0</v>
      </c>
      <c r="Q69" t="n">
        <v>7</v>
      </c>
      <c r="R69" s="2" t="inlineStr">
        <is>
          <t>Granticka
Lunglav
Vitgrynig nållav
Luddlav
Mörk husmossa
Skogshakmossa
Svavelriska</t>
        </is>
      </c>
      <c r="S69">
        <f>HYPERLINK("https://klasma.github.io/Logging_2313/artfynd/A 60164-2024 artfynd.xlsx", "A 60164-2024")</f>
        <v/>
      </c>
      <c r="T69">
        <f>HYPERLINK("https://klasma.github.io/Logging_2313/kartor/A 60164-2024 karta.png", "A 60164-2024")</f>
        <v/>
      </c>
      <c r="V69">
        <f>HYPERLINK("https://klasma.github.io/Logging_2313/klagomål/A 60164-2024 FSC-klagomål.docx", "A 60164-2024")</f>
        <v/>
      </c>
      <c r="W69">
        <f>HYPERLINK("https://klasma.github.io/Logging_2313/klagomålsmail/A 60164-2024 FSC-klagomål mail.docx", "A 60164-2024")</f>
        <v/>
      </c>
      <c r="X69">
        <f>HYPERLINK("https://klasma.github.io/Logging_2313/tillsyn/A 60164-2024 tillsynsbegäran.docx", "A 60164-2024")</f>
        <v/>
      </c>
      <c r="Y69">
        <f>HYPERLINK("https://klasma.github.io/Logging_2313/tillsynsmail/A 60164-2024 tillsynsbegäran mail.docx", "A 60164-2024")</f>
        <v/>
      </c>
    </row>
    <row r="70" ht="15" customHeight="1">
      <c r="A70" t="inlineStr">
        <is>
          <t>A 57949-2025</t>
        </is>
      </c>
      <c r="B70" s="1" t="n">
        <v>45982.34466435185</v>
      </c>
      <c r="C70" s="1" t="n">
        <v>46048</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33890-2025</t>
        </is>
      </c>
      <c r="B71" s="1" t="n">
        <v>45842</v>
      </c>
      <c r="C71" s="1" t="n">
        <v>46048</v>
      </c>
      <c r="D71" t="inlineStr">
        <is>
          <t>JÄMTLANDS LÄN</t>
        </is>
      </c>
      <c r="E71" t="inlineStr">
        <is>
          <t>STRÖMSUND</t>
        </is>
      </c>
      <c r="F71" t="inlineStr">
        <is>
          <t>SCA</t>
        </is>
      </c>
      <c r="G71" t="n">
        <v>6.3</v>
      </c>
      <c r="H71" t="n">
        <v>1</v>
      </c>
      <c r="I71" t="n">
        <v>2</v>
      </c>
      <c r="J71" t="n">
        <v>5</v>
      </c>
      <c r="K71" t="n">
        <v>0</v>
      </c>
      <c r="L71" t="n">
        <v>0</v>
      </c>
      <c r="M71" t="n">
        <v>0</v>
      </c>
      <c r="N71" t="n">
        <v>0</v>
      </c>
      <c r="O71" t="n">
        <v>5</v>
      </c>
      <c r="P71" t="n">
        <v>0</v>
      </c>
      <c r="Q71" t="n">
        <v>7</v>
      </c>
      <c r="R71" s="2" t="inlineStr">
        <is>
          <t>Granticka
Leptoporus mollis
Lunglav
Skrovellav
Tretåig hackspett
Bårdlav
Stuplav</t>
        </is>
      </c>
      <c r="S71">
        <f>HYPERLINK("https://klasma.github.io/Logging_2313/artfynd/A 33890-2025 artfynd.xlsx", "A 33890-2025")</f>
        <v/>
      </c>
      <c r="T71">
        <f>HYPERLINK("https://klasma.github.io/Logging_2313/kartor/A 33890-2025 karta.png", "A 33890-2025")</f>
        <v/>
      </c>
      <c r="V71">
        <f>HYPERLINK("https://klasma.github.io/Logging_2313/klagomål/A 33890-2025 FSC-klagomål.docx", "A 33890-2025")</f>
        <v/>
      </c>
      <c r="W71">
        <f>HYPERLINK("https://klasma.github.io/Logging_2313/klagomålsmail/A 33890-2025 FSC-klagomål mail.docx", "A 33890-2025")</f>
        <v/>
      </c>
      <c r="X71">
        <f>HYPERLINK("https://klasma.github.io/Logging_2313/tillsyn/A 33890-2025 tillsynsbegäran.docx", "A 33890-2025")</f>
        <v/>
      </c>
      <c r="Y71">
        <f>HYPERLINK("https://klasma.github.io/Logging_2313/tillsynsmail/A 33890-2025 tillsynsbegäran mail.docx", "A 33890-2025")</f>
        <v/>
      </c>
      <c r="Z71">
        <f>HYPERLINK("https://klasma.github.io/Logging_2313/fåglar/A 33890-2025 prioriterade fågelarter.docx", "A 33890-2025")</f>
        <v/>
      </c>
    </row>
    <row r="72" ht="15" customHeight="1">
      <c r="A72" t="inlineStr">
        <is>
          <t>A 32355-2021</t>
        </is>
      </c>
      <c r="B72" s="1" t="n">
        <v>44371</v>
      </c>
      <c r="C72" s="1" t="n">
        <v>46048</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30233-2022</t>
        </is>
      </c>
      <c r="B73" s="1" t="n">
        <v>44757</v>
      </c>
      <c r="C73" s="1" t="n">
        <v>46048</v>
      </c>
      <c r="D73" t="inlineStr">
        <is>
          <t>JÄMTLANDS LÄN</t>
        </is>
      </c>
      <c r="E73" t="inlineStr">
        <is>
          <t>STRÖMSUND</t>
        </is>
      </c>
      <c r="F73" t="inlineStr">
        <is>
          <t>SCA</t>
        </is>
      </c>
      <c r="G73" t="n">
        <v>10.1</v>
      </c>
      <c r="H73" t="n">
        <v>3</v>
      </c>
      <c r="I73" t="n">
        <v>2</v>
      </c>
      <c r="J73" t="n">
        <v>4</v>
      </c>
      <c r="K73" t="n">
        <v>0</v>
      </c>
      <c r="L73" t="n">
        <v>0</v>
      </c>
      <c r="M73" t="n">
        <v>0</v>
      </c>
      <c r="N73" t="n">
        <v>0</v>
      </c>
      <c r="O73" t="n">
        <v>4</v>
      </c>
      <c r="P73" t="n">
        <v>0</v>
      </c>
      <c r="Q73" t="n">
        <v>6</v>
      </c>
      <c r="R73" s="2" t="inlineStr">
        <is>
          <t>Garnlav
Lunglav
Talltita
Tretåig hackspett
Guckusko
Stuplav</t>
        </is>
      </c>
      <c r="S73">
        <f>HYPERLINK("https://klasma.github.io/Logging_2313/artfynd/A 30233-2022 artfynd.xlsx", "A 30233-2022")</f>
        <v/>
      </c>
      <c r="T73">
        <f>HYPERLINK("https://klasma.github.io/Logging_2313/kartor/A 30233-2022 karta.png", "A 30233-2022")</f>
        <v/>
      </c>
      <c r="V73">
        <f>HYPERLINK("https://klasma.github.io/Logging_2313/klagomål/A 30233-2022 FSC-klagomål.docx", "A 30233-2022")</f>
        <v/>
      </c>
      <c r="W73">
        <f>HYPERLINK("https://klasma.github.io/Logging_2313/klagomålsmail/A 30233-2022 FSC-klagomål mail.docx", "A 30233-2022")</f>
        <v/>
      </c>
      <c r="X73">
        <f>HYPERLINK("https://klasma.github.io/Logging_2313/tillsyn/A 30233-2022 tillsynsbegäran.docx", "A 30233-2022")</f>
        <v/>
      </c>
      <c r="Y73">
        <f>HYPERLINK("https://klasma.github.io/Logging_2313/tillsynsmail/A 30233-2022 tillsynsbegäran mail.docx", "A 30233-2022")</f>
        <v/>
      </c>
      <c r="Z73">
        <f>HYPERLINK("https://klasma.github.io/Logging_2313/fåglar/A 30233-2022 prioriterade fågelarter.docx", "A 30233-2022")</f>
        <v/>
      </c>
    </row>
    <row r="74" ht="15" customHeight="1">
      <c r="A74" t="inlineStr">
        <is>
          <t>A 49769-2024</t>
        </is>
      </c>
      <c r="B74" s="1" t="n">
        <v>45597.34450231482</v>
      </c>
      <c r="C74" s="1" t="n">
        <v>46048</v>
      </c>
      <c r="D74" t="inlineStr">
        <is>
          <t>JÄMTLANDS LÄN</t>
        </is>
      </c>
      <c r="E74" t="inlineStr">
        <is>
          <t>STRÖMSUND</t>
        </is>
      </c>
      <c r="F74" t="inlineStr">
        <is>
          <t>SCA</t>
        </is>
      </c>
      <c r="G74" t="n">
        <v>9.300000000000001</v>
      </c>
      <c r="H74" t="n">
        <v>0</v>
      </c>
      <c r="I74" t="n">
        <v>2</v>
      </c>
      <c r="J74" t="n">
        <v>4</v>
      </c>
      <c r="K74" t="n">
        <v>0</v>
      </c>
      <c r="L74" t="n">
        <v>0</v>
      </c>
      <c r="M74" t="n">
        <v>0</v>
      </c>
      <c r="N74" t="n">
        <v>0</v>
      </c>
      <c r="O74" t="n">
        <v>4</v>
      </c>
      <c r="P74" t="n">
        <v>0</v>
      </c>
      <c r="Q74" t="n">
        <v>6</v>
      </c>
      <c r="R74" s="2" t="inlineStr">
        <is>
          <t>Gammelgransskål
Garnlav
Lunglav
Violettgrå tagellav
Skinnlav
Stuplav</t>
        </is>
      </c>
      <c r="S74">
        <f>HYPERLINK("https://klasma.github.io/Logging_2313/artfynd/A 49769-2024 artfynd.xlsx", "A 49769-2024")</f>
        <v/>
      </c>
      <c r="T74">
        <f>HYPERLINK("https://klasma.github.io/Logging_2313/kartor/A 49769-2024 karta.png", "A 49769-2024")</f>
        <v/>
      </c>
      <c r="V74">
        <f>HYPERLINK("https://klasma.github.io/Logging_2313/klagomål/A 49769-2024 FSC-klagomål.docx", "A 49769-2024")</f>
        <v/>
      </c>
      <c r="W74">
        <f>HYPERLINK("https://klasma.github.io/Logging_2313/klagomålsmail/A 49769-2024 FSC-klagomål mail.docx", "A 49769-2024")</f>
        <v/>
      </c>
      <c r="X74">
        <f>HYPERLINK("https://klasma.github.io/Logging_2313/tillsyn/A 49769-2024 tillsynsbegäran.docx", "A 49769-2024")</f>
        <v/>
      </c>
      <c r="Y74">
        <f>HYPERLINK("https://klasma.github.io/Logging_2313/tillsynsmail/A 49769-2024 tillsynsbegäran mail.docx", "A 49769-2024")</f>
        <v/>
      </c>
    </row>
    <row r="75" ht="15" customHeight="1">
      <c r="A75" t="inlineStr">
        <is>
          <t>A 26129-2025</t>
        </is>
      </c>
      <c r="B75" s="1" t="n">
        <v>45805.40678240741</v>
      </c>
      <c r="C75" s="1" t="n">
        <v>46048</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60741-2022</t>
        </is>
      </c>
      <c r="B76" s="1" t="n">
        <v>44913</v>
      </c>
      <c r="C76" s="1" t="n">
        <v>46048</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538-2023</t>
        </is>
      </c>
      <c r="B77" s="1" t="n">
        <v>44930</v>
      </c>
      <c r="C77" s="1" t="n">
        <v>46048</v>
      </c>
      <c r="D77" t="inlineStr">
        <is>
          <t>JÄMTLANDS LÄN</t>
        </is>
      </c>
      <c r="E77" t="inlineStr">
        <is>
          <t>STRÖMSUND</t>
        </is>
      </c>
      <c r="G77" t="n">
        <v>108.6</v>
      </c>
      <c r="H77" t="n">
        <v>2</v>
      </c>
      <c r="I77" t="n">
        <v>1</v>
      </c>
      <c r="J77" t="n">
        <v>5</v>
      </c>
      <c r="K77" t="n">
        <v>0</v>
      </c>
      <c r="L77" t="n">
        <v>0</v>
      </c>
      <c r="M77" t="n">
        <v>0</v>
      </c>
      <c r="N77" t="n">
        <v>0</v>
      </c>
      <c r="O77" t="n">
        <v>5</v>
      </c>
      <c r="P77" t="n">
        <v>0</v>
      </c>
      <c r="Q77" t="n">
        <v>6</v>
      </c>
      <c r="R77" s="2" t="inlineStr">
        <is>
          <t>Garnlav
Granticka
Skrovellav
Talltita
Tretåig hackspett
Stuplav</t>
        </is>
      </c>
      <c r="S77">
        <f>HYPERLINK("https://klasma.github.io/Logging_2313/artfynd/A 538-2023 artfynd.xlsx", "A 538-2023")</f>
        <v/>
      </c>
      <c r="T77">
        <f>HYPERLINK("https://klasma.github.io/Logging_2313/kartor/A 538-2023 karta.png", "A 538-2023")</f>
        <v/>
      </c>
      <c r="V77">
        <f>HYPERLINK("https://klasma.github.io/Logging_2313/klagomål/A 538-2023 FSC-klagomål.docx", "A 538-2023")</f>
        <v/>
      </c>
      <c r="W77">
        <f>HYPERLINK("https://klasma.github.io/Logging_2313/klagomålsmail/A 538-2023 FSC-klagomål mail.docx", "A 538-2023")</f>
        <v/>
      </c>
      <c r="X77">
        <f>HYPERLINK("https://klasma.github.io/Logging_2313/tillsyn/A 538-2023 tillsynsbegäran.docx", "A 538-2023")</f>
        <v/>
      </c>
      <c r="Y77">
        <f>HYPERLINK("https://klasma.github.io/Logging_2313/tillsynsmail/A 538-2023 tillsynsbegäran mail.docx", "A 538-2023")</f>
        <v/>
      </c>
      <c r="Z77">
        <f>HYPERLINK("https://klasma.github.io/Logging_2313/fåglar/A 538-2023 prioriterade fågelarter.docx", "A 538-2023")</f>
        <v/>
      </c>
    </row>
    <row r="78" ht="15" customHeight="1">
      <c r="A78" t="inlineStr">
        <is>
          <t>A 36365-2022</t>
        </is>
      </c>
      <c r="B78" s="1" t="n">
        <v>44803</v>
      </c>
      <c r="C78" s="1" t="n">
        <v>46048</v>
      </c>
      <c r="D78" t="inlineStr">
        <is>
          <t>JÄMTLANDS LÄN</t>
        </is>
      </c>
      <c r="E78" t="inlineStr">
        <is>
          <t>STRÖMSUND</t>
        </is>
      </c>
      <c r="F78" t="inlineStr">
        <is>
          <t>SCA</t>
        </is>
      </c>
      <c r="G78" t="n">
        <v>16.8</v>
      </c>
      <c r="H78" t="n">
        <v>1</v>
      </c>
      <c r="I78" t="n">
        <v>2</v>
      </c>
      <c r="J78" t="n">
        <v>4</v>
      </c>
      <c r="K78" t="n">
        <v>0</v>
      </c>
      <c r="L78" t="n">
        <v>0</v>
      </c>
      <c r="M78" t="n">
        <v>0</v>
      </c>
      <c r="N78" t="n">
        <v>0</v>
      </c>
      <c r="O78" t="n">
        <v>4</v>
      </c>
      <c r="P78" t="n">
        <v>0</v>
      </c>
      <c r="Q78" t="n">
        <v>6</v>
      </c>
      <c r="R78" s="2" t="inlineStr">
        <is>
          <t>Garnlav
Lunglav
Skogsfru
Skrovellav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34646-2025</t>
        </is>
      </c>
      <c r="B79" s="1" t="n">
        <v>45848.34456018519</v>
      </c>
      <c r="C79" s="1" t="n">
        <v>46048</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56422-2023</t>
        </is>
      </c>
      <c r="B80" s="1" t="n">
        <v>45237</v>
      </c>
      <c r="C80" s="1" t="n">
        <v>46048</v>
      </c>
      <c r="D80" t="inlineStr">
        <is>
          <t>JÄMTLANDS LÄN</t>
        </is>
      </c>
      <c r="E80" t="inlineStr">
        <is>
          <t>STRÖMSUND</t>
        </is>
      </c>
      <c r="G80" t="n">
        <v>10.1</v>
      </c>
      <c r="H80" t="n">
        <v>0</v>
      </c>
      <c r="I80" t="n">
        <v>0</v>
      </c>
      <c r="J80" t="n">
        <v>3</v>
      </c>
      <c r="K80" t="n">
        <v>2</v>
      </c>
      <c r="L80" t="n">
        <v>1</v>
      </c>
      <c r="M80" t="n">
        <v>0</v>
      </c>
      <c r="N80" t="n">
        <v>0</v>
      </c>
      <c r="O80" t="n">
        <v>6</v>
      </c>
      <c r="P80" t="n">
        <v>3</v>
      </c>
      <c r="Q80" t="n">
        <v>6</v>
      </c>
      <c r="R80" s="2" t="inlineStr">
        <is>
          <t>Trådbrosklav
Liten sotlav
Norsk näverlav
Kavernularia
Lunglav
Skrovellav</t>
        </is>
      </c>
      <c r="S80">
        <f>HYPERLINK("https://klasma.github.io/Logging_2313/artfynd/A 56422-2023 artfynd.xlsx", "A 56422-2023")</f>
        <v/>
      </c>
      <c r="T80">
        <f>HYPERLINK("https://klasma.github.io/Logging_2313/kartor/A 56422-2023 karta.png", "A 56422-2023")</f>
        <v/>
      </c>
      <c r="V80">
        <f>HYPERLINK("https://klasma.github.io/Logging_2313/klagomål/A 56422-2023 FSC-klagomål.docx", "A 56422-2023")</f>
        <v/>
      </c>
      <c r="W80">
        <f>HYPERLINK("https://klasma.github.io/Logging_2313/klagomålsmail/A 56422-2023 FSC-klagomål mail.docx", "A 56422-2023")</f>
        <v/>
      </c>
      <c r="X80">
        <f>HYPERLINK("https://klasma.github.io/Logging_2313/tillsyn/A 56422-2023 tillsynsbegäran.docx", "A 56422-2023")</f>
        <v/>
      </c>
      <c r="Y80">
        <f>HYPERLINK("https://klasma.github.io/Logging_2313/tillsynsmail/A 56422-2023 tillsynsbegäran mail.docx", "A 56422-2023")</f>
        <v/>
      </c>
    </row>
    <row r="81" ht="15" customHeight="1">
      <c r="A81" t="inlineStr">
        <is>
          <t>A 45564-2024</t>
        </is>
      </c>
      <c r="B81" s="1" t="n">
        <v>45579.37072916667</v>
      </c>
      <c r="C81" s="1" t="n">
        <v>46048</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27364-2023</t>
        </is>
      </c>
      <c r="B82" s="1" t="n">
        <v>45096</v>
      </c>
      <c r="C82" s="1" t="n">
        <v>46048</v>
      </c>
      <c r="D82" t="inlineStr">
        <is>
          <t>JÄMTLANDS LÄN</t>
        </is>
      </c>
      <c r="E82" t="inlineStr">
        <is>
          <t>STRÖMSUND</t>
        </is>
      </c>
      <c r="F82" t="inlineStr">
        <is>
          <t>SCA</t>
        </is>
      </c>
      <c r="G82" t="n">
        <v>8.300000000000001</v>
      </c>
      <c r="H82" t="n">
        <v>0</v>
      </c>
      <c r="I82" t="n">
        <v>1</v>
      </c>
      <c r="J82" t="n">
        <v>4</v>
      </c>
      <c r="K82" t="n">
        <v>1</v>
      </c>
      <c r="L82" t="n">
        <v>0</v>
      </c>
      <c r="M82" t="n">
        <v>0</v>
      </c>
      <c r="N82" t="n">
        <v>0</v>
      </c>
      <c r="O82" t="n">
        <v>5</v>
      </c>
      <c r="P82" t="n">
        <v>1</v>
      </c>
      <c r="Q82" t="n">
        <v>6</v>
      </c>
      <c r="R82" s="2" t="inlineStr">
        <is>
          <t>Läderlappslav
Garnlav
Harticka
Lunglav
Vitgrynig nållav
Vedticka</t>
        </is>
      </c>
      <c r="S82">
        <f>HYPERLINK("https://klasma.github.io/Logging_2313/artfynd/A 27364-2023 artfynd.xlsx", "A 27364-2023")</f>
        <v/>
      </c>
      <c r="T82">
        <f>HYPERLINK("https://klasma.github.io/Logging_2313/kartor/A 27364-2023 karta.png", "A 27364-2023")</f>
        <v/>
      </c>
      <c r="V82">
        <f>HYPERLINK("https://klasma.github.io/Logging_2313/klagomål/A 27364-2023 FSC-klagomål.docx", "A 27364-2023")</f>
        <v/>
      </c>
      <c r="W82">
        <f>HYPERLINK("https://klasma.github.io/Logging_2313/klagomålsmail/A 27364-2023 FSC-klagomål mail.docx", "A 27364-2023")</f>
        <v/>
      </c>
      <c r="X82">
        <f>HYPERLINK("https://klasma.github.io/Logging_2313/tillsyn/A 27364-2023 tillsynsbegäran.docx", "A 27364-2023")</f>
        <v/>
      </c>
      <c r="Y82">
        <f>HYPERLINK("https://klasma.github.io/Logging_2313/tillsynsmail/A 27364-2023 tillsynsbegäran mail.docx", "A 27364-2023")</f>
        <v/>
      </c>
    </row>
    <row r="83" ht="15" customHeight="1">
      <c r="A83" t="inlineStr">
        <is>
          <t>A 46723-2025</t>
        </is>
      </c>
      <c r="B83" s="1" t="n">
        <v>45926.58501157408</v>
      </c>
      <c r="C83" s="1" t="n">
        <v>46048</v>
      </c>
      <c r="D83" t="inlineStr">
        <is>
          <t>JÄMTLANDS LÄN</t>
        </is>
      </c>
      <c r="E83" t="inlineStr">
        <is>
          <t>STRÖMSUND</t>
        </is>
      </c>
      <c r="G83" t="n">
        <v>8.5</v>
      </c>
      <c r="H83" t="n">
        <v>6</v>
      </c>
      <c r="I83" t="n">
        <v>1</v>
      </c>
      <c r="J83" t="n">
        <v>3</v>
      </c>
      <c r="K83" t="n">
        <v>0</v>
      </c>
      <c r="L83" t="n">
        <v>0</v>
      </c>
      <c r="M83" t="n">
        <v>0</v>
      </c>
      <c r="N83" t="n">
        <v>0</v>
      </c>
      <c r="O83" t="n">
        <v>3</v>
      </c>
      <c r="P83" t="n">
        <v>0</v>
      </c>
      <c r="Q83" t="n">
        <v>6</v>
      </c>
      <c r="R83" s="2" t="inlineStr">
        <is>
          <t>Grönsångare
Talltita
Tretåig hackspett
Guckusko
Kungsfågel
Fläcknycklar</t>
        </is>
      </c>
      <c r="S83">
        <f>HYPERLINK("https://klasma.github.io/Logging_2313/artfynd/A 46723-2025 artfynd.xlsx", "A 46723-2025")</f>
        <v/>
      </c>
      <c r="T83">
        <f>HYPERLINK("https://klasma.github.io/Logging_2313/kartor/A 46723-2025 karta.png", "A 46723-2025")</f>
        <v/>
      </c>
      <c r="V83">
        <f>HYPERLINK("https://klasma.github.io/Logging_2313/klagomål/A 46723-2025 FSC-klagomål.docx", "A 46723-2025")</f>
        <v/>
      </c>
      <c r="W83">
        <f>HYPERLINK("https://klasma.github.io/Logging_2313/klagomålsmail/A 46723-2025 FSC-klagomål mail.docx", "A 46723-2025")</f>
        <v/>
      </c>
      <c r="X83">
        <f>HYPERLINK("https://klasma.github.io/Logging_2313/tillsyn/A 46723-2025 tillsynsbegäran.docx", "A 46723-2025")</f>
        <v/>
      </c>
      <c r="Y83">
        <f>HYPERLINK("https://klasma.github.io/Logging_2313/tillsynsmail/A 46723-2025 tillsynsbegäran mail.docx", "A 46723-2025")</f>
        <v/>
      </c>
      <c r="Z83">
        <f>HYPERLINK("https://klasma.github.io/Logging_2313/fåglar/A 46723-2025 prioriterade fågelarter.docx", "A 46723-2025")</f>
        <v/>
      </c>
    </row>
    <row r="84" ht="15" customHeight="1">
      <c r="A84" t="inlineStr">
        <is>
          <t>A 36221-2022</t>
        </is>
      </c>
      <c r="B84" s="1" t="n">
        <v>44803</v>
      </c>
      <c r="C84" s="1" t="n">
        <v>46048</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40013-2025</t>
        </is>
      </c>
      <c r="B85" s="1" t="n">
        <v>45894.345</v>
      </c>
      <c r="C85" s="1" t="n">
        <v>46048</v>
      </c>
      <c r="D85" t="inlineStr">
        <is>
          <t>JÄMTLANDS LÄN</t>
        </is>
      </c>
      <c r="E85" t="inlineStr">
        <is>
          <t>STRÖMSUND</t>
        </is>
      </c>
      <c r="F85" t="inlineStr">
        <is>
          <t>SCA</t>
        </is>
      </c>
      <c r="G85" t="n">
        <v>2.7</v>
      </c>
      <c r="H85" t="n">
        <v>1</v>
      </c>
      <c r="I85" t="n">
        <v>1</v>
      </c>
      <c r="J85" t="n">
        <v>5</v>
      </c>
      <c r="K85" t="n">
        <v>0</v>
      </c>
      <c r="L85" t="n">
        <v>0</v>
      </c>
      <c r="M85" t="n">
        <v>0</v>
      </c>
      <c r="N85" t="n">
        <v>0</v>
      </c>
      <c r="O85" t="n">
        <v>5</v>
      </c>
      <c r="P85" t="n">
        <v>0</v>
      </c>
      <c r="Q85" t="n">
        <v>6</v>
      </c>
      <c r="R85" s="2" t="inlineStr">
        <is>
          <t>Doftskinn
Garnlav
Harticka
Lunglav
Tretåig hackspett
Luddlav</t>
        </is>
      </c>
      <c r="S85">
        <f>HYPERLINK("https://klasma.github.io/Logging_2313/artfynd/A 40013-2025 artfynd.xlsx", "A 40013-2025")</f>
        <v/>
      </c>
      <c r="T85">
        <f>HYPERLINK("https://klasma.github.io/Logging_2313/kartor/A 40013-2025 karta.png", "A 40013-2025")</f>
        <v/>
      </c>
      <c r="V85">
        <f>HYPERLINK("https://klasma.github.io/Logging_2313/klagomål/A 40013-2025 FSC-klagomål.docx", "A 40013-2025")</f>
        <v/>
      </c>
      <c r="W85">
        <f>HYPERLINK("https://klasma.github.io/Logging_2313/klagomålsmail/A 40013-2025 FSC-klagomål mail.docx", "A 40013-2025")</f>
        <v/>
      </c>
      <c r="X85">
        <f>HYPERLINK("https://klasma.github.io/Logging_2313/tillsyn/A 40013-2025 tillsynsbegäran.docx", "A 40013-2025")</f>
        <v/>
      </c>
      <c r="Y85">
        <f>HYPERLINK("https://klasma.github.io/Logging_2313/tillsynsmail/A 40013-2025 tillsynsbegäran mail.docx", "A 40013-2025")</f>
        <v/>
      </c>
      <c r="Z85">
        <f>HYPERLINK("https://klasma.github.io/Logging_2313/fåglar/A 40013-2025 prioriterade fågelarter.docx", "A 40013-2025")</f>
        <v/>
      </c>
    </row>
    <row r="86" ht="15" customHeight="1">
      <c r="A86" t="inlineStr">
        <is>
          <t>A 50212-2025</t>
        </is>
      </c>
      <c r="B86" s="1" t="n">
        <v>45943.67789351852</v>
      </c>
      <c r="C86" s="1" t="n">
        <v>46048</v>
      </c>
      <c r="D86" t="inlineStr">
        <is>
          <t>JÄMTLANDS LÄN</t>
        </is>
      </c>
      <c r="E86" t="inlineStr">
        <is>
          <t>STRÖMSUND</t>
        </is>
      </c>
      <c r="F86" t="inlineStr">
        <is>
          <t>SCA</t>
        </is>
      </c>
      <c r="G86" t="n">
        <v>2.7</v>
      </c>
      <c r="H86" t="n">
        <v>1</v>
      </c>
      <c r="I86" t="n">
        <v>2</v>
      </c>
      <c r="J86" t="n">
        <v>4</v>
      </c>
      <c r="K86" t="n">
        <v>0</v>
      </c>
      <c r="L86" t="n">
        <v>0</v>
      </c>
      <c r="M86" t="n">
        <v>0</v>
      </c>
      <c r="N86" t="n">
        <v>0</v>
      </c>
      <c r="O86" t="n">
        <v>4</v>
      </c>
      <c r="P86" t="n">
        <v>0</v>
      </c>
      <c r="Q86" t="n">
        <v>6</v>
      </c>
      <c r="R86" s="2" t="inlineStr">
        <is>
          <t>Granticka
Harticka
Lunglav
Rosenticka
Guckusko
Stuplav</t>
        </is>
      </c>
      <c r="S86">
        <f>HYPERLINK("https://klasma.github.io/Logging_2313/artfynd/A 50212-2025 artfynd.xlsx", "A 50212-2025")</f>
        <v/>
      </c>
      <c r="T86">
        <f>HYPERLINK("https://klasma.github.io/Logging_2313/kartor/A 50212-2025 karta.png", "A 50212-2025")</f>
        <v/>
      </c>
      <c r="V86">
        <f>HYPERLINK("https://klasma.github.io/Logging_2313/klagomål/A 50212-2025 FSC-klagomål.docx", "A 50212-2025")</f>
        <v/>
      </c>
      <c r="W86">
        <f>HYPERLINK("https://klasma.github.io/Logging_2313/klagomålsmail/A 50212-2025 FSC-klagomål mail.docx", "A 50212-2025")</f>
        <v/>
      </c>
      <c r="X86">
        <f>HYPERLINK("https://klasma.github.io/Logging_2313/tillsyn/A 50212-2025 tillsynsbegäran.docx", "A 50212-2025")</f>
        <v/>
      </c>
      <c r="Y86">
        <f>HYPERLINK("https://klasma.github.io/Logging_2313/tillsynsmail/A 50212-2025 tillsynsbegäran mail.docx", "A 50212-2025")</f>
        <v/>
      </c>
    </row>
    <row r="87" ht="15" customHeight="1">
      <c r="A87" t="inlineStr">
        <is>
          <t>A 51664-2025</t>
        </is>
      </c>
      <c r="B87" s="1" t="n">
        <v>45951.49009259259</v>
      </c>
      <c r="C87" s="1" t="n">
        <v>46048</v>
      </c>
      <c r="D87" t="inlineStr">
        <is>
          <t>JÄMTLANDS LÄN</t>
        </is>
      </c>
      <c r="E87" t="inlineStr">
        <is>
          <t>STRÖMSUND</t>
        </is>
      </c>
      <c r="F87" t="inlineStr">
        <is>
          <t>SCA</t>
        </is>
      </c>
      <c r="G87" t="n">
        <v>9</v>
      </c>
      <c r="H87" t="n">
        <v>2</v>
      </c>
      <c r="I87" t="n">
        <v>1</v>
      </c>
      <c r="J87" t="n">
        <v>3</v>
      </c>
      <c r="K87" t="n">
        <v>1</v>
      </c>
      <c r="L87" t="n">
        <v>0</v>
      </c>
      <c r="M87" t="n">
        <v>0</v>
      </c>
      <c r="N87" t="n">
        <v>0</v>
      </c>
      <c r="O87" t="n">
        <v>4</v>
      </c>
      <c r="P87" t="n">
        <v>1</v>
      </c>
      <c r="Q87" t="n">
        <v>6</v>
      </c>
      <c r="R87" s="2" t="inlineStr">
        <is>
          <t>Norsk näverlav
Gammelgransskål
Garnlav
Skrovellav
Tvåblad
Brudsporre</t>
        </is>
      </c>
      <c r="S87">
        <f>HYPERLINK("https://klasma.github.io/Logging_2313/artfynd/A 51664-2025 artfynd.xlsx", "A 51664-2025")</f>
        <v/>
      </c>
      <c r="T87">
        <f>HYPERLINK("https://klasma.github.io/Logging_2313/kartor/A 51664-2025 karta.png", "A 51664-2025")</f>
        <v/>
      </c>
      <c r="V87">
        <f>HYPERLINK("https://klasma.github.io/Logging_2313/klagomål/A 51664-2025 FSC-klagomål.docx", "A 51664-2025")</f>
        <v/>
      </c>
      <c r="W87">
        <f>HYPERLINK("https://klasma.github.io/Logging_2313/klagomålsmail/A 51664-2025 FSC-klagomål mail.docx", "A 51664-2025")</f>
        <v/>
      </c>
      <c r="X87">
        <f>HYPERLINK("https://klasma.github.io/Logging_2313/tillsyn/A 51664-2025 tillsynsbegäran.docx", "A 51664-2025")</f>
        <v/>
      </c>
      <c r="Y87">
        <f>HYPERLINK("https://klasma.github.io/Logging_2313/tillsynsmail/A 51664-2025 tillsynsbegäran mail.docx", "A 51664-2025")</f>
        <v/>
      </c>
    </row>
    <row r="88" ht="15" customHeight="1">
      <c r="A88" t="inlineStr">
        <is>
          <t>A 54269-2025</t>
        </is>
      </c>
      <c r="B88" s="1" t="n">
        <v>45964.67756944444</v>
      </c>
      <c r="C88" s="1" t="n">
        <v>46048</v>
      </c>
      <c r="D88" t="inlineStr">
        <is>
          <t>JÄMTLANDS LÄN</t>
        </is>
      </c>
      <c r="E88" t="inlineStr">
        <is>
          <t>STRÖMSUND</t>
        </is>
      </c>
      <c r="F88" t="inlineStr">
        <is>
          <t>SCA</t>
        </is>
      </c>
      <c r="G88" t="n">
        <v>4.8</v>
      </c>
      <c r="H88" t="n">
        <v>0</v>
      </c>
      <c r="I88" t="n">
        <v>3</v>
      </c>
      <c r="J88" t="n">
        <v>3</v>
      </c>
      <c r="K88" t="n">
        <v>0</v>
      </c>
      <c r="L88" t="n">
        <v>0</v>
      </c>
      <c r="M88" t="n">
        <v>0</v>
      </c>
      <c r="N88" t="n">
        <v>0</v>
      </c>
      <c r="O88" t="n">
        <v>3</v>
      </c>
      <c r="P88" t="n">
        <v>0</v>
      </c>
      <c r="Q88" t="n">
        <v>6</v>
      </c>
      <c r="R88" s="2" t="inlineStr">
        <is>
          <t>Gammelgransskål
Granticka
Stjärntagging
Stuplav
Trådticka
Vedticka</t>
        </is>
      </c>
      <c r="S88">
        <f>HYPERLINK("https://klasma.github.io/Logging_2313/artfynd/A 54269-2025 artfynd.xlsx", "A 54269-2025")</f>
        <v/>
      </c>
      <c r="T88">
        <f>HYPERLINK("https://klasma.github.io/Logging_2313/kartor/A 54269-2025 karta.png", "A 54269-2025")</f>
        <v/>
      </c>
      <c r="V88">
        <f>HYPERLINK("https://klasma.github.io/Logging_2313/klagomål/A 54269-2025 FSC-klagomål.docx", "A 54269-2025")</f>
        <v/>
      </c>
      <c r="W88">
        <f>HYPERLINK("https://klasma.github.io/Logging_2313/klagomålsmail/A 54269-2025 FSC-klagomål mail.docx", "A 54269-2025")</f>
        <v/>
      </c>
      <c r="X88">
        <f>HYPERLINK("https://klasma.github.io/Logging_2313/tillsyn/A 54269-2025 tillsynsbegäran.docx", "A 54269-2025")</f>
        <v/>
      </c>
      <c r="Y88">
        <f>HYPERLINK("https://klasma.github.io/Logging_2313/tillsynsmail/A 54269-2025 tillsynsbegäran mail.docx", "A 54269-2025")</f>
        <v/>
      </c>
    </row>
    <row r="89" ht="15" customHeight="1">
      <c r="A89" t="inlineStr">
        <is>
          <t>A 2242-2026</t>
        </is>
      </c>
      <c r="B89" s="1" t="n">
        <v>46036.54077546296</v>
      </c>
      <c r="C89" s="1" t="n">
        <v>46048</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52582-2024</t>
        </is>
      </c>
      <c r="B90" s="1" t="n">
        <v>45609.67738425926</v>
      </c>
      <c r="C90" s="1" t="n">
        <v>46048</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22773-2021</t>
        </is>
      </c>
      <c r="B91" s="1" t="n">
        <v>44327</v>
      </c>
      <c r="C91" s="1" t="n">
        <v>46048</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46048</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46048</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46048</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46048</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46048</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46048</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25152-2024</t>
        </is>
      </c>
      <c r="B98" s="1" t="n">
        <v>45462.50429398148</v>
      </c>
      <c r="C98" s="1" t="n">
        <v>46048</v>
      </c>
      <c r="D98" t="inlineStr">
        <is>
          <t>JÄMTLANDS LÄN</t>
        </is>
      </c>
      <c r="E98" t="inlineStr">
        <is>
          <t>STRÖMSUND</t>
        </is>
      </c>
      <c r="F98" t="inlineStr">
        <is>
          <t>Holmen skog AB</t>
        </is>
      </c>
      <c r="G98" t="n">
        <v>2.4</v>
      </c>
      <c r="H98" t="n">
        <v>1</v>
      </c>
      <c r="I98" t="n">
        <v>0</v>
      </c>
      <c r="J98" t="n">
        <v>5</v>
      </c>
      <c r="K98" t="n">
        <v>0</v>
      </c>
      <c r="L98" t="n">
        <v>0</v>
      </c>
      <c r="M98" t="n">
        <v>0</v>
      </c>
      <c r="N98" t="n">
        <v>0</v>
      </c>
      <c r="O98" t="n">
        <v>5</v>
      </c>
      <c r="P98" t="n">
        <v>0</v>
      </c>
      <c r="Q98" t="n">
        <v>5</v>
      </c>
      <c r="R98" s="2" t="inlineStr">
        <is>
          <t>Garnlav
Granticka
Harticka
Spillkråka
Ullticka</t>
        </is>
      </c>
      <c r="S98">
        <f>HYPERLINK("https://klasma.github.io/Logging_2313/artfynd/A 25152-2024 artfynd.xlsx", "A 25152-2024")</f>
        <v/>
      </c>
      <c r="T98">
        <f>HYPERLINK("https://klasma.github.io/Logging_2313/kartor/A 25152-2024 karta.png", "A 25152-2024")</f>
        <v/>
      </c>
      <c r="V98">
        <f>HYPERLINK("https://klasma.github.io/Logging_2313/klagomål/A 25152-2024 FSC-klagomål.docx", "A 25152-2024")</f>
        <v/>
      </c>
      <c r="W98">
        <f>HYPERLINK("https://klasma.github.io/Logging_2313/klagomålsmail/A 25152-2024 FSC-klagomål mail.docx", "A 25152-2024")</f>
        <v/>
      </c>
      <c r="X98">
        <f>HYPERLINK("https://klasma.github.io/Logging_2313/tillsyn/A 25152-2024 tillsynsbegäran.docx", "A 25152-2024")</f>
        <v/>
      </c>
      <c r="Y98">
        <f>HYPERLINK("https://klasma.github.io/Logging_2313/tillsynsmail/A 25152-2024 tillsynsbegäran mail.docx", "A 25152-2024")</f>
        <v/>
      </c>
      <c r="Z98">
        <f>HYPERLINK("https://klasma.github.io/Logging_2313/fåglar/A 25152-2024 prioriterade fågelarter.docx", "A 25152-2024")</f>
        <v/>
      </c>
    </row>
    <row r="99" ht="15" customHeight="1">
      <c r="A99" t="inlineStr">
        <is>
          <t>A 54887-2023</t>
        </is>
      </c>
      <c r="B99" s="1" t="n">
        <v>45236</v>
      </c>
      <c r="C99" s="1" t="n">
        <v>46048</v>
      </c>
      <c r="D99" t="inlineStr">
        <is>
          <t>JÄMTLANDS LÄN</t>
        </is>
      </c>
      <c r="E99" t="inlineStr">
        <is>
          <t>STRÖMSUND</t>
        </is>
      </c>
      <c r="G99" t="n">
        <v>20.9</v>
      </c>
      <c r="H99" t="n">
        <v>1</v>
      </c>
      <c r="I99" t="n">
        <v>2</v>
      </c>
      <c r="J99" t="n">
        <v>2</v>
      </c>
      <c r="K99" t="n">
        <v>0</v>
      </c>
      <c r="L99" t="n">
        <v>0</v>
      </c>
      <c r="M99" t="n">
        <v>0</v>
      </c>
      <c r="N99" t="n">
        <v>0</v>
      </c>
      <c r="O99" t="n">
        <v>2</v>
      </c>
      <c r="P99" t="n">
        <v>0</v>
      </c>
      <c r="Q99" t="n">
        <v>5</v>
      </c>
      <c r="R99" s="2" t="inlineStr">
        <is>
          <t>Garnlav
Harticka
Finbräken
Kransrams
Blåsippa</t>
        </is>
      </c>
      <c r="S99">
        <f>HYPERLINK("https://klasma.github.io/Logging_2313/artfynd/A 54887-2023 artfynd.xlsx", "A 54887-2023")</f>
        <v/>
      </c>
      <c r="T99">
        <f>HYPERLINK("https://klasma.github.io/Logging_2313/kartor/A 54887-2023 karta.png", "A 54887-2023")</f>
        <v/>
      </c>
      <c r="V99">
        <f>HYPERLINK("https://klasma.github.io/Logging_2313/klagomål/A 54887-2023 FSC-klagomål.docx", "A 54887-2023")</f>
        <v/>
      </c>
      <c r="W99">
        <f>HYPERLINK("https://klasma.github.io/Logging_2313/klagomålsmail/A 54887-2023 FSC-klagomål mail.docx", "A 54887-2023")</f>
        <v/>
      </c>
      <c r="X99">
        <f>HYPERLINK("https://klasma.github.io/Logging_2313/tillsyn/A 54887-2023 tillsynsbegäran.docx", "A 54887-2023")</f>
        <v/>
      </c>
      <c r="Y99">
        <f>HYPERLINK("https://klasma.github.io/Logging_2313/tillsynsmail/A 54887-2023 tillsynsbegäran mail.docx", "A 54887-2023")</f>
        <v/>
      </c>
    </row>
    <row r="100" ht="15" customHeight="1">
      <c r="A100" t="inlineStr">
        <is>
          <t>A 26206-2025</t>
        </is>
      </c>
      <c r="B100" s="1" t="n">
        <v>45805.51493055555</v>
      </c>
      <c r="C100" s="1" t="n">
        <v>46048</v>
      </c>
      <c r="D100" t="inlineStr">
        <is>
          <t>JÄMTLANDS LÄN</t>
        </is>
      </c>
      <c r="E100" t="inlineStr">
        <is>
          <t>STRÖMSUND</t>
        </is>
      </c>
      <c r="G100" t="n">
        <v>13</v>
      </c>
      <c r="H100" t="n">
        <v>1</v>
      </c>
      <c r="I100" t="n">
        <v>3</v>
      </c>
      <c r="J100" t="n">
        <v>2</v>
      </c>
      <c r="K100" t="n">
        <v>0</v>
      </c>
      <c r="L100" t="n">
        <v>0</v>
      </c>
      <c r="M100" t="n">
        <v>0</v>
      </c>
      <c r="N100" t="n">
        <v>0</v>
      </c>
      <c r="O100" t="n">
        <v>2</v>
      </c>
      <c r="P100" t="n">
        <v>0</v>
      </c>
      <c r="Q100" t="n">
        <v>5</v>
      </c>
      <c r="R100" s="2" t="inlineStr">
        <is>
          <t>Lunglav
Skrovellav
Grönkulla
Stor aspticka
Stuplav</t>
        </is>
      </c>
      <c r="S100">
        <f>HYPERLINK("https://klasma.github.io/Logging_2313/artfynd/A 26206-2025 artfynd.xlsx", "A 26206-2025")</f>
        <v/>
      </c>
      <c r="T100">
        <f>HYPERLINK("https://klasma.github.io/Logging_2313/kartor/A 26206-2025 karta.png", "A 26206-2025")</f>
        <v/>
      </c>
      <c r="V100">
        <f>HYPERLINK("https://klasma.github.io/Logging_2313/klagomål/A 26206-2025 FSC-klagomål.docx", "A 26206-2025")</f>
        <v/>
      </c>
      <c r="W100">
        <f>HYPERLINK("https://klasma.github.io/Logging_2313/klagomålsmail/A 26206-2025 FSC-klagomål mail.docx", "A 26206-2025")</f>
        <v/>
      </c>
      <c r="X100">
        <f>HYPERLINK("https://klasma.github.io/Logging_2313/tillsyn/A 26206-2025 tillsynsbegäran.docx", "A 26206-2025")</f>
        <v/>
      </c>
      <c r="Y100">
        <f>HYPERLINK("https://klasma.github.io/Logging_2313/tillsynsmail/A 26206-2025 tillsynsbegäran mail.docx", "A 26206-2025")</f>
        <v/>
      </c>
    </row>
    <row r="101" ht="15" customHeight="1">
      <c r="A101" t="inlineStr">
        <is>
          <t>A 29061-2023</t>
        </is>
      </c>
      <c r="B101" s="1" t="n">
        <v>45104</v>
      </c>
      <c r="C101" s="1" t="n">
        <v>46048</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46048</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46048</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34881-2025</t>
        </is>
      </c>
      <c r="B104" s="1" t="n">
        <v>45849.46912037037</v>
      </c>
      <c r="C104" s="1" t="n">
        <v>46048</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36207-2023</t>
        </is>
      </c>
      <c r="B105" s="1" t="n">
        <v>45149</v>
      </c>
      <c r="C105" s="1" t="n">
        <v>46048</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4579-2024</t>
        </is>
      </c>
      <c r="B106" s="1" t="n">
        <v>45327</v>
      </c>
      <c r="C106" s="1" t="n">
        <v>46048</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57047-2025</t>
        </is>
      </c>
      <c r="B107" s="1" t="n">
        <v>45979.346875</v>
      </c>
      <c r="C107" s="1" t="n">
        <v>46048</v>
      </c>
      <c r="D107" t="inlineStr">
        <is>
          <t>JÄMTLANDS LÄN</t>
        </is>
      </c>
      <c r="E107" t="inlineStr">
        <is>
          <t>STRÖMSUND</t>
        </is>
      </c>
      <c r="F107" t="inlineStr">
        <is>
          <t>SCA</t>
        </is>
      </c>
      <c r="G107" t="n">
        <v>5.9</v>
      </c>
      <c r="H107" t="n">
        <v>0</v>
      </c>
      <c r="I107" t="n">
        <v>0</v>
      </c>
      <c r="J107" t="n">
        <v>5</v>
      </c>
      <c r="K107" t="n">
        <v>0</v>
      </c>
      <c r="L107" t="n">
        <v>0</v>
      </c>
      <c r="M107" t="n">
        <v>0</v>
      </c>
      <c r="N107" t="n">
        <v>0</v>
      </c>
      <c r="O107" t="n">
        <v>5</v>
      </c>
      <c r="P107" t="n">
        <v>0</v>
      </c>
      <c r="Q107" t="n">
        <v>5</v>
      </c>
      <c r="R107" s="2" t="inlineStr">
        <is>
          <t>Gammelgransskål
Garnlav
Granticka
Harticka
Vitgrynig nållav</t>
        </is>
      </c>
      <c r="S107">
        <f>HYPERLINK("https://klasma.github.io/Logging_2313/artfynd/A 57047-2025 artfynd.xlsx", "A 57047-2025")</f>
        <v/>
      </c>
      <c r="T107">
        <f>HYPERLINK("https://klasma.github.io/Logging_2313/kartor/A 57047-2025 karta.png", "A 57047-2025")</f>
        <v/>
      </c>
      <c r="V107">
        <f>HYPERLINK("https://klasma.github.io/Logging_2313/klagomål/A 57047-2025 FSC-klagomål.docx", "A 57047-2025")</f>
        <v/>
      </c>
      <c r="W107">
        <f>HYPERLINK("https://klasma.github.io/Logging_2313/klagomålsmail/A 57047-2025 FSC-klagomål mail.docx", "A 57047-2025")</f>
        <v/>
      </c>
      <c r="X107">
        <f>HYPERLINK("https://klasma.github.io/Logging_2313/tillsyn/A 57047-2025 tillsynsbegäran.docx", "A 57047-2025")</f>
        <v/>
      </c>
      <c r="Y107">
        <f>HYPERLINK("https://klasma.github.io/Logging_2313/tillsynsmail/A 57047-2025 tillsynsbegäran mail.docx", "A 57047-2025")</f>
        <v/>
      </c>
    </row>
    <row r="108" ht="15" customHeight="1">
      <c r="A108" t="inlineStr">
        <is>
          <t>A 58236-2025</t>
        </is>
      </c>
      <c r="B108" s="1" t="n">
        <v>45985.38736111111</v>
      </c>
      <c r="C108" s="1" t="n">
        <v>46048</v>
      </c>
      <c r="D108" t="inlineStr">
        <is>
          <t>JÄMTLANDS LÄN</t>
        </is>
      </c>
      <c r="E108" t="inlineStr">
        <is>
          <t>STRÖMSUND</t>
        </is>
      </c>
      <c r="F108" t="inlineStr">
        <is>
          <t>SCA</t>
        </is>
      </c>
      <c r="G108" t="n">
        <v>1.5</v>
      </c>
      <c r="H108" t="n">
        <v>0</v>
      </c>
      <c r="I108" t="n">
        <v>1</v>
      </c>
      <c r="J108" t="n">
        <v>4</v>
      </c>
      <c r="K108" t="n">
        <v>0</v>
      </c>
      <c r="L108" t="n">
        <v>0</v>
      </c>
      <c r="M108" t="n">
        <v>0</v>
      </c>
      <c r="N108" t="n">
        <v>0</v>
      </c>
      <c r="O108" t="n">
        <v>4</v>
      </c>
      <c r="P108" t="n">
        <v>0</v>
      </c>
      <c r="Q108" t="n">
        <v>5</v>
      </c>
      <c r="R108" s="2" t="inlineStr">
        <is>
          <t>Gammelgransskål
Garnlav
Granticka
Vitgrynig nållav
Stuplav</t>
        </is>
      </c>
      <c r="S108">
        <f>HYPERLINK("https://klasma.github.io/Logging_2313/artfynd/A 58236-2025 artfynd.xlsx", "A 58236-2025")</f>
        <v/>
      </c>
      <c r="T108">
        <f>HYPERLINK("https://klasma.github.io/Logging_2313/kartor/A 58236-2025 karta.png", "A 58236-2025")</f>
        <v/>
      </c>
      <c r="V108">
        <f>HYPERLINK("https://klasma.github.io/Logging_2313/klagomål/A 58236-2025 FSC-klagomål.docx", "A 58236-2025")</f>
        <v/>
      </c>
      <c r="W108">
        <f>HYPERLINK("https://klasma.github.io/Logging_2313/klagomålsmail/A 58236-2025 FSC-klagomål mail.docx", "A 58236-2025")</f>
        <v/>
      </c>
      <c r="X108">
        <f>HYPERLINK("https://klasma.github.io/Logging_2313/tillsyn/A 58236-2025 tillsynsbegäran.docx", "A 58236-2025")</f>
        <v/>
      </c>
      <c r="Y108">
        <f>HYPERLINK("https://klasma.github.io/Logging_2313/tillsynsmail/A 58236-2025 tillsynsbegäran mail.docx", "A 58236-2025")</f>
        <v/>
      </c>
    </row>
    <row r="109" ht="15" customHeight="1">
      <c r="A109" t="inlineStr">
        <is>
          <t>A 58960-2025</t>
        </is>
      </c>
      <c r="B109" s="1" t="n">
        <v>45987.59572916666</v>
      </c>
      <c r="C109" s="1" t="n">
        <v>46048</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23207-2022</t>
        </is>
      </c>
      <c r="B110" s="1" t="n">
        <v>44719</v>
      </c>
      <c r="C110" s="1" t="n">
        <v>46048</v>
      </c>
      <c r="D110" t="inlineStr">
        <is>
          <t>JÄMTLANDS LÄN</t>
        </is>
      </c>
      <c r="E110" t="inlineStr">
        <is>
          <t>STRÖMSUND</t>
        </is>
      </c>
      <c r="F110" t="inlineStr">
        <is>
          <t>SCA</t>
        </is>
      </c>
      <c r="G110" t="n">
        <v>1.6</v>
      </c>
      <c r="H110" t="n">
        <v>1</v>
      </c>
      <c r="I110" t="n">
        <v>1</v>
      </c>
      <c r="J110" t="n">
        <v>2</v>
      </c>
      <c r="K110" t="n">
        <v>1</v>
      </c>
      <c r="L110" t="n">
        <v>0</v>
      </c>
      <c r="M110" t="n">
        <v>0</v>
      </c>
      <c r="N110" t="n">
        <v>0</v>
      </c>
      <c r="O110" t="n">
        <v>3</v>
      </c>
      <c r="P110" t="n">
        <v>1</v>
      </c>
      <c r="Q110" t="n">
        <v>4</v>
      </c>
      <c r="R110" s="2" t="inlineStr">
        <is>
          <t>Doftticka
Garnlav
Lunglav
Stuplav</t>
        </is>
      </c>
      <c r="S110">
        <f>HYPERLINK("https://klasma.github.io/Logging_2313/artfynd/A 23207-2022 artfynd.xlsx", "A 23207-2022")</f>
        <v/>
      </c>
      <c r="T110">
        <f>HYPERLINK("https://klasma.github.io/Logging_2313/kartor/A 23207-2022 karta.png", "A 23207-2022")</f>
        <v/>
      </c>
      <c r="V110">
        <f>HYPERLINK("https://klasma.github.io/Logging_2313/klagomål/A 23207-2022 FSC-klagomål.docx", "A 23207-2022")</f>
        <v/>
      </c>
      <c r="W110">
        <f>HYPERLINK("https://klasma.github.io/Logging_2313/klagomålsmail/A 23207-2022 FSC-klagomål mail.docx", "A 23207-2022")</f>
        <v/>
      </c>
      <c r="X110">
        <f>HYPERLINK("https://klasma.github.io/Logging_2313/tillsyn/A 23207-2022 tillsynsbegäran.docx", "A 23207-2022")</f>
        <v/>
      </c>
      <c r="Y110">
        <f>HYPERLINK("https://klasma.github.io/Logging_2313/tillsynsmail/A 23207-2022 tillsynsbegäran mail.docx", "A 23207-2022")</f>
        <v/>
      </c>
    </row>
    <row r="111" ht="15" customHeight="1">
      <c r="A111" t="inlineStr">
        <is>
          <t>A 3540-2022</t>
        </is>
      </c>
      <c r="B111" s="1" t="n">
        <v>44585</v>
      </c>
      <c r="C111" s="1" t="n">
        <v>46048</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44601-2021</t>
        </is>
      </c>
      <c r="B112" s="1" t="n">
        <v>44435</v>
      </c>
      <c r="C112" s="1" t="n">
        <v>46048</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33543-2021</t>
        </is>
      </c>
      <c r="B113" s="1" t="n">
        <v>44377.92190972222</v>
      </c>
      <c r="C113" s="1" t="n">
        <v>46048</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46048</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61907-2023</t>
        </is>
      </c>
      <c r="B115" s="1" t="n">
        <v>45265</v>
      </c>
      <c r="C115" s="1" t="n">
        <v>46048</v>
      </c>
      <c r="D115" t="inlineStr">
        <is>
          <t>JÄMTLANDS LÄN</t>
        </is>
      </c>
      <c r="E115" t="inlineStr">
        <is>
          <t>STRÖMSUND</t>
        </is>
      </c>
      <c r="G115" t="n">
        <v>49</v>
      </c>
      <c r="H115" t="n">
        <v>2</v>
      </c>
      <c r="I115" t="n">
        <v>0</v>
      </c>
      <c r="J115" t="n">
        <v>0</v>
      </c>
      <c r="K115" t="n">
        <v>2</v>
      </c>
      <c r="L115" t="n">
        <v>0</v>
      </c>
      <c r="M115" t="n">
        <v>0</v>
      </c>
      <c r="N115" t="n">
        <v>0</v>
      </c>
      <c r="O115" t="n">
        <v>2</v>
      </c>
      <c r="P115" t="n">
        <v>2</v>
      </c>
      <c r="Q115" t="n">
        <v>4</v>
      </c>
      <c r="R115" s="2" t="inlineStr">
        <is>
          <t>Borgsjömusseron
Rynkskinn
Lavskrika
Vanlig groda</t>
        </is>
      </c>
      <c r="S115">
        <f>HYPERLINK("https://klasma.github.io/Logging_2313/artfynd/A 61907-2023 artfynd.xlsx", "A 61907-2023")</f>
        <v/>
      </c>
      <c r="T115">
        <f>HYPERLINK("https://klasma.github.io/Logging_2313/kartor/A 61907-2023 karta.png", "A 61907-2023")</f>
        <v/>
      </c>
      <c r="V115">
        <f>HYPERLINK("https://klasma.github.io/Logging_2313/klagomål/A 61907-2023 FSC-klagomål.docx", "A 61907-2023")</f>
        <v/>
      </c>
      <c r="W115">
        <f>HYPERLINK("https://klasma.github.io/Logging_2313/klagomålsmail/A 61907-2023 FSC-klagomål mail.docx", "A 61907-2023")</f>
        <v/>
      </c>
      <c r="X115">
        <f>HYPERLINK("https://klasma.github.io/Logging_2313/tillsyn/A 61907-2023 tillsynsbegäran.docx", "A 61907-2023")</f>
        <v/>
      </c>
      <c r="Y115">
        <f>HYPERLINK("https://klasma.github.io/Logging_2313/tillsynsmail/A 61907-2023 tillsynsbegäran mail.docx", "A 61907-2023")</f>
        <v/>
      </c>
      <c r="Z115">
        <f>HYPERLINK("https://klasma.github.io/Logging_2313/fåglar/A 61907-2023 prioriterade fågelarter.docx", "A 61907-2023")</f>
        <v/>
      </c>
    </row>
    <row r="116" ht="15" customHeight="1">
      <c r="A116" t="inlineStr">
        <is>
          <t>A 48370-2024</t>
        </is>
      </c>
      <c r="B116" s="1" t="n">
        <v>45590.57973379629</v>
      </c>
      <c r="C116" s="1" t="n">
        <v>46048</v>
      </c>
      <c r="D116" t="inlineStr">
        <is>
          <t>JÄMTLANDS LÄN</t>
        </is>
      </c>
      <c r="E116" t="inlineStr">
        <is>
          <t>STRÖMSUND</t>
        </is>
      </c>
      <c r="F116" t="inlineStr">
        <is>
          <t>SCA</t>
        </is>
      </c>
      <c r="G116" t="n">
        <v>6.7</v>
      </c>
      <c r="H116" t="n">
        <v>0</v>
      </c>
      <c r="I116" t="n">
        <v>3</v>
      </c>
      <c r="J116" t="n">
        <v>1</v>
      </c>
      <c r="K116" t="n">
        <v>0</v>
      </c>
      <c r="L116" t="n">
        <v>0</v>
      </c>
      <c r="M116" t="n">
        <v>0</v>
      </c>
      <c r="N116" t="n">
        <v>0</v>
      </c>
      <c r="O116" t="n">
        <v>1</v>
      </c>
      <c r="P116" t="n">
        <v>0</v>
      </c>
      <c r="Q116" t="n">
        <v>4</v>
      </c>
      <c r="R116" s="2" t="inlineStr">
        <is>
          <t>Lunglav
Rävticka
Skinnlav
Stor aspticka</t>
        </is>
      </c>
      <c r="S116">
        <f>HYPERLINK("https://klasma.github.io/Logging_2313/artfynd/A 48370-2024 artfynd.xlsx", "A 48370-2024")</f>
        <v/>
      </c>
      <c r="T116">
        <f>HYPERLINK("https://klasma.github.io/Logging_2313/kartor/A 48370-2024 karta.png", "A 48370-2024")</f>
        <v/>
      </c>
      <c r="V116">
        <f>HYPERLINK("https://klasma.github.io/Logging_2313/klagomål/A 48370-2024 FSC-klagomål.docx", "A 48370-2024")</f>
        <v/>
      </c>
      <c r="W116">
        <f>HYPERLINK("https://klasma.github.io/Logging_2313/klagomålsmail/A 48370-2024 FSC-klagomål mail.docx", "A 48370-2024")</f>
        <v/>
      </c>
      <c r="X116">
        <f>HYPERLINK("https://klasma.github.io/Logging_2313/tillsyn/A 48370-2024 tillsynsbegäran.docx", "A 48370-2024")</f>
        <v/>
      </c>
      <c r="Y116">
        <f>HYPERLINK("https://klasma.github.io/Logging_2313/tillsynsmail/A 48370-2024 tillsynsbegäran mail.docx", "A 48370-2024")</f>
        <v/>
      </c>
    </row>
    <row r="117" ht="15" customHeight="1">
      <c r="A117" t="inlineStr">
        <is>
          <t>A 25051-2023</t>
        </is>
      </c>
      <c r="B117" s="1" t="n">
        <v>45085.94599537037</v>
      </c>
      <c r="C117" s="1" t="n">
        <v>46048</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38588-2021</t>
        </is>
      </c>
      <c r="B118" s="1" t="n">
        <v>44407</v>
      </c>
      <c r="C118" s="1" t="n">
        <v>46048</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27624-2025</t>
        </is>
      </c>
      <c r="B119" s="1" t="n">
        <v>45813.55288194444</v>
      </c>
      <c r="C119" s="1" t="n">
        <v>46048</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36910-2024</t>
        </is>
      </c>
      <c r="B120" s="1" t="n">
        <v>45538.63592592593</v>
      </c>
      <c r="C120" s="1" t="n">
        <v>46048</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51873-2023</t>
        </is>
      </c>
      <c r="B121" s="1" t="n">
        <v>45215</v>
      </c>
      <c r="C121" s="1" t="n">
        <v>46048</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46048</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13999-2024</t>
        </is>
      </c>
      <c r="B123" s="1" t="n">
        <v>45392</v>
      </c>
      <c r="C123" s="1" t="n">
        <v>46048</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46048</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46874-2025</t>
        </is>
      </c>
      <c r="B125" s="1" t="n">
        <v>45929.34440972222</v>
      </c>
      <c r="C125" s="1" t="n">
        <v>46048</v>
      </c>
      <c r="D125" t="inlineStr">
        <is>
          <t>JÄMTLANDS LÄN</t>
        </is>
      </c>
      <c r="E125" t="inlineStr">
        <is>
          <t>STRÖMSUND</t>
        </is>
      </c>
      <c r="F125" t="inlineStr">
        <is>
          <t>SCA</t>
        </is>
      </c>
      <c r="G125" t="n">
        <v>12.6</v>
      </c>
      <c r="H125" t="n">
        <v>1</v>
      </c>
      <c r="I125" t="n">
        <v>0</v>
      </c>
      <c r="J125" t="n">
        <v>3</v>
      </c>
      <c r="K125" t="n">
        <v>1</v>
      </c>
      <c r="L125" t="n">
        <v>0</v>
      </c>
      <c r="M125" t="n">
        <v>0</v>
      </c>
      <c r="N125" t="n">
        <v>0</v>
      </c>
      <c r="O125" t="n">
        <v>4</v>
      </c>
      <c r="P125" t="n">
        <v>1</v>
      </c>
      <c r="Q125" t="n">
        <v>4</v>
      </c>
      <c r="R125" s="2" t="inlineStr">
        <is>
          <t>Knärot
Garnlav
Tallticka
Vitgrynig nållav</t>
        </is>
      </c>
      <c r="S125">
        <f>HYPERLINK("https://klasma.github.io/Logging_2313/artfynd/A 46874-2025 artfynd.xlsx", "A 46874-2025")</f>
        <v/>
      </c>
      <c r="T125">
        <f>HYPERLINK("https://klasma.github.io/Logging_2313/kartor/A 46874-2025 karta.png", "A 46874-2025")</f>
        <v/>
      </c>
      <c r="U125">
        <f>HYPERLINK("https://klasma.github.io/Logging_2313/knärot/A 46874-2025 karta knärot.png", "A 46874-2025")</f>
        <v/>
      </c>
      <c r="V125">
        <f>HYPERLINK("https://klasma.github.io/Logging_2313/klagomål/A 46874-2025 FSC-klagomål.docx", "A 46874-2025")</f>
        <v/>
      </c>
      <c r="W125">
        <f>HYPERLINK("https://klasma.github.io/Logging_2313/klagomålsmail/A 46874-2025 FSC-klagomål mail.docx", "A 46874-2025")</f>
        <v/>
      </c>
      <c r="X125">
        <f>HYPERLINK("https://klasma.github.io/Logging_2313/tillsyn/A 46874-2025 tillsynsbegäran.docx", "A 46874-2025")</f>
        <v/>
      </c>
      <c r="Y125">
        <f>HYPERLINK("https://klasma.github.io/Logging_2313/tillsynsmail/A 46874-2025 tillsynsbegäran mail.docx", "A 46874-2025")</f>
        <v/>
      </c>
    </row>
    <row r="126" ht="15" customHeight="1">
      <c r="A126" t="inlineStr">
        <is>
          <t>A 21091-2022</t>
        </is>
      </c>
      <c r="B126" s="1" t="n">
        <v>44699</v>
      </c>
      <c r="C126" s="1" t="n">
        <v>46048</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46048</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58717-2025</t>
        </is>
      </c>
      <c r="B128" s="1" t="n">
        <v>45986.61508101852</v>
      </c>
      <c r="C128" s="1" t="n">
        <v>46048</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2759-2025</t>
        </is>
      </c>
      <c r="B129" s="1" t="n">
        <v>45674</v>
      </c>
      <c r="C129" s="1" t="n">
        <v>46048</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26299-2025</t>
        </is>
      </c>
      <c r="B130" s="1" t="n">
        <v>45805</v>
      </c>
      <c r="C130" s="1" t="n">
        <v>46048</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v>
      </c>
      <c r="C131" s="1" t="n">
        <v>46048</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28492-2022</t>
        </is>
      </c>
      <c r="B132" s="1" t="n">
        <v>44747</v>
      </c>
      <c r="C132" s="1" t="n">
        <v>46048</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25021-2022</t>
        </is>
      </c>
      <c r="B133" s="1" t="n">
        <v>44728</v>
      </c>
      <c r="C133" s="1" t="n">
        <v>46048</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33577-2021</t>
        </is>
      </c>
      <c r="B134" s="1" t="n">
        <v>44377</v>
      </c>
      <c r="C134" s="1" t="n">
        <v>46048</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50034-2021</t>
        </is>
      </c>
      <c r="B135" s="1" t="n">
        <v>44456</v>
      </c>
      <c r="C135" s="1" t="n">
        <v>46048</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33243-2024</t>
        </is>
      </c>
      <c r="B136" s="1" t="n">
        <v>45518.61494212963</v>
      </c>
      <c r="C136" s="1" t="n">
        <v>46048</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14533-2025</t>
        </is>
      </c>
      <c r="B137" s="1" t="n">
        <v>45741.65703703704</v>
      </c>
      <c r="C137" s="1" t="n">
        <v>46048</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61417-2021</t>
        </is>
      </c>
      <c r="B138" s="1" t="n">
        <v>44500</v>
      </c>
      <c r="C138" s="1" t="n">
        <v>46048</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23632-2025</t>
        </is>
      </c>
      <c r="B139" s="1" t="n">
        <v>45792.67777777778</v>
      </c>
      <c r="C139" s="1" t="n">
        <v>46048</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69109-2021</t>
        </is>
      </c>
      <c r="B140" s="1" t="n">
        <v>44530</v>
      </c>
      <c r="C140" s="1" t="n">
        <v>46048</v>
      </c>
      <c r="D140" t="inlineStr">
        <is>
          <t>JÄMTLANDS LÄN</t>
        </is>
      </c>
      <c r="E140" t="inlineStr">
        <is>
          <t>STRÖMSUND</t>
        </is>
      </c>
      <c r="G140" t="n">
        <v>11.6</v>
      </c>
      <c r="H140" t="n">
        <v>0</v>
      </c>
      <c r="I140" t="n">
        <v>3</v>
      </c>
      <c r="J140" t="n">
        <v>0</v>
      </c>
      <c r="K140" t="n">
        <v>0</v>
      </c>
      <c r="L140" t="n">
        <v>0</v>
      </c>
      <c r="M140" t="n">
        <v>0</v>
      </c>
      <c r="N140" t="n">
        <v>0</v>
      </c>
      <c r="O140" t="n">
        <v>0</v>
      </c>
      <c r="P140" t="n">
        <v>0</v>
      </c>
      <c r="Q140" t="n">
        <v>3</v>
      </c>
      <c r="R140" s="2" t="inlineStr">
        <is>
          <t>Nordlig tuffmossa
Skogsbräsma
Sotriska</t>
        </is>
      </c>
      <c r="S140">
        <f>HYPERLINK("https://klasma.github.io/Logging_2313/artfynd/A 69109-2021 artfynd.xlsx", "A 69109-2021")</f>
        <v/>
      </c>
      <c r="T140">
        <f>HYPERLINK("https://klasma.github.io/Logging_2313/kartor/A 69109-2021 karta.png", "A 69109-2021")</f>
        <v/>
      </c>
      <c r="V140">
        <f>HYPERLINK("https://klasma.github.io/Logging_2313/klagomål/A 69109-2021 FSC-klagomål.docx", "A 69109-2021")</f>
        <v/>
      </c>
      <c r="W140">
        <f>HYPERLINK("https://klasma.github.io/Logging_2313/klagomålsmail/A 69109-2021 FSC-klagomål mail.docx", "A 69109-2021")</f>
        <v/>
      </c>
      <c r="X140">
        <f>HYPERLINK("https://klasma.github.io/Logging_2313/tillsyn/A 69109-2021 tillsynsbegäran.docx", "A 69109-2021")</f>
        <v/>
      </c>
      <c r="Y140">
        <f>HYPERLINK("https://klasma.github.io/Logging_2313/tillsynsmail/A 69109-2021 tillsynsbegäran mail.docx", "A 69109-2021")</f>
        <v/>
      </c>
    </row>
    <row r="141" ht="15" customHeight="1">
      <c r="A141" t="inlineStr">
        <is>
          <t>A 26367-2025</t>
        </is>
      </c>
      <c r="B141" s="1" t="n">
        <v>45806.36490740741</v>
      </c>
      <c r="C141" s="1" t="n">
        <v>46048</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24806-2024</t>
        </is>
      </c>
      <c r="B142" s="1" t="n">
        <v>45460.95342592592</v>
      </c>
      <c r="C142" s="1" t="n">
        <v>46048</v>
      </c>
      <c r="D142" t="inlineStr">
        <is>
          <t>JÄMTLANDS LÄN</t>
        </is>
      </c>
      <c r="E142" t="inlineStr">
        <is>
          <t>STRÖMSUND</t>
        </is>
      </c>
      <c r="F142" t="inlineStr">
        <is>
          <t>SCA</t>
        </is>
      </c>
      <c r="G142" t="n">
        <v>1.2</v>
      </c>
      <c r="H142" t="n">
        <v>1</v>
      </c>
      <c r="I142" t="n">
        <v>0</v>
      </c>
      <c r="J142" t="n">
        <v>2</v>
      </c>
      <c r="K142" t="n">
        <v>0</v>
      </c>
      <c r="L142" t="n">
        <v>0</v>
      </c>
      <c r="M142" t="n">
        <v>0</v>
      </c>
      <c r="N142" t="n">
        <v>0</v>
      </c>
      <c r="O142" t="n">
        <v>2</v>
      </c>
      <c r="P142" t="n">
        <v>0</v>
      </c>
      <c r="Q142" t="n">
        <v>3</v>
      </c>
      <c r="R142" s="2" t="inlineStr">
        <is>
          <t>Garnlav
Lunglav
Tjäder</t>
        </is>
      </c>
      <c r="S142">
        <f>HYPERLINK("https://klasma.github.io/Logging_2313/artfynd/A 24806-2024 artfynd.xlsx", "A 24806-2024")</f>
        <v/>
      </c>
      <c r="T142">
        <f>HYPERLINK("https://klasma.github.io/Logging_2313/kartor/A 24806-2024 karta.png", "A 24806-2024")</f>
        <v/>
      </c>
      <c r="V142">
        <f>HYPERLINK("https://klasma.github.io/Logging_2313/klagomål/A 24806-2024 FSC-klagomål.docx", "A 24806-2024")</f>
        <v/>
      </c>
      <c r="W142">
        <f>HYPERLINK("https://klasma.github.io/Logging_2313/klagomålsmail/A 24806-2024 FSC-klagomål mail.docx", "A 24806-2024")</f>
        <v/>
      </c>
      <c r="X142">
        <f>HYPERLINK("https://klasma.github.io/Logging_2313/tillsyn/A 24806-2024 tillsynsbegäran.docx", "A 24806-2024")</f>
        <v/>
      </c>
      <c r="Y142">
        <f>HYPERLINK("https://klasma.github.io/Logging_2313/tillsynsmail/A 24806-2024 tillsynsbegäran mail.docx", "A 24806-2024")</f>
        <v/>
      </c>
      <c r="Z142">
        <f>HYPERLINK("https://klasma.github.io/Logging_2313/fåglar/A 24806-2024 prioriterade fågelarter.docx", "A 24806-2024")</f>
        <v/>
      </c>
    </row>
    <row r="143" ht="15" customHeight="1">
      <c r="A143" t="inlineStr">
        <is>
          <t>A 46267-2023</t>
        </is>
      </c>
      <c r="B143" s="1" t="n">
        <v>45196</v>
      </c>
      <c r="C143" s="1" t="n">
        <v>46048</v>
      </c>
      <c r="D143" t="inlineStr">
        <is>
          <t>JÄMTLANDS LÄN</t>
        </is>
      </c>
      <c r="E143" t="inlineStr">
        <is>
          <t>STRÖMSUND</t>
        </is>
      </c>
      <c r="F143" t="inlineStr">
        <is>
          <t>SCA</t>
        </is>
      </c>
      <c r="G143" t="n">
        <v>7.5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HYPERLINK("https://klasma.github.io/Logging_2313/artfynd/A 46267-2023 artfynd.xlsx", "A 46267-2023")</f>
        <v/>
      </c>
      <c r="T143">
        <f>HYPERLINK("https://klasma.github.io/Logging_2313/kartor/A 46267-2023 karta.png", "A 46267-2023")</f>
        <v/>
      </c>
      <c r="V143">
        <f>HYPERLINK("https://klasma.github.io/Logging_2313/klagomål/A 46267-2023 FSC-klagomål.docx", "A 46267-2023")</f>
        <v/>
      </c>
      <c r="W143">
        <f>HYPERLINK("https://klasma.github.io/Logging_2313/klagomålsmail/A 46267-2023 FSC-klagomål mail.docx", "A 46267-2023")</f>
        <v/>
      </c>
      <c r="X143">
        <f>HYPERLINK("https://klasma.github.io/Logging_2313/tillsyn/A 46267-2023 tillsynsbegäran.docx", "A 46267-2023")</f>
        <v/>
      </c>
      <c r="Y143">
        <f>HYPERLINK("https://klasma.github.io/Logging_2313/tillsynsmail/A 46267-2023 tillsynsbegäran mail.docx", "A 46267-2023")</f>
        <v/>
      </c>
      <c r="Z143">
        <f>HYPERLINK("https://klasma.github.io/Logging_2313/fåglar/A 46267-2023 prioriterade fågelarter.docx", "A 46267-2023")</f>
        <v/>
      </c>
    </row>
    <row r="144" ht="15" customHeight="1">
      <c r="A144" t="inlineStr">
        <is>
          <t>A 12019-2022</t>
        </is>
      </c>
      <c r="B144" s="1" t="n">
        <v>44635</v>
      </c>
      <c r="C144" s="1" t="n">
        <v>46048</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27686-2023</t>
        </is>
      </c>
      <c r="B145" s="1" t="n">
        <v>45097</v>
      </c>
      <c r="C145" s="1" t="n">
        <v>46048</v>
      </c>
      <c r="D145" t="inlineStr">
        <is>
          <t>JÄMTLANDS LÄN</t>
        </is>
      </c>
      <c r="E145" t="inlineStr">
        <is>
          <t>STRÖMSUND</t>
        </is>
      </c>
      <c r="F145" t="inlineStr">
        <is>
          <t>SCA</t>
        </is>
      </c>
      <c r="G145" t="n">
        <v>8.699999999999999</v>
      </c>
      <c r="H145" t="n">
        <v>0</v>
      </c>
      <c r="I145" t="n">
        <v>0</v>
      </c>
      <c r="J145" t="n">
        <v>3</v>
      </c>
      <c r="K145" t="n">
        <v>0</v>
      </c>
      <c r="L145" t="n">
        <v>0</v>
      </c>
      <c r="M145" t="n">
        <v>0</v>
      </c>
      <c r="N145" t="n">
        <v>0</v>
      </c>
      <c r="O145" t="n">
        <v>3</v>
      </c>
      <c r="P145" t="n">
        <v>0</v>
      </c>
      <c r="Q145" t="n">
        <v>3</v>
      </c>
      <c r="R145" s="2" t="inlineStr">
        <is>
          <t>Gammelgransskål
Garnlav
Harticka</t>
        </is>
      </c>
      <c r="S145">
        <f>HYPERLINK("https://klasma.github.io/Logging_2313/artfynd/A 27686-2023 artfynd.xlsx", "A 27686-2023")</f>
        <v/>
      </c>
      <c r="T145">
        <f>HYPERLINK("https://klasma.github.io/Logging_2313/kartor/A 27686-2023 karta.png", "A 27686-2023")</f>
        <v/>
      </c>
      <c r="V145">
        <f>HYPERLINK("https://klasma.github.io/Logging_2313/klagomål/A 27686-2023 FSC-klagomål.docx", "A 27686-2023")</f>
        <v/>
      </c>
      <c r="W145">
        <f>HYPERLINK("https://klasma.github.io/Logging_2313/klagomålsmail/A 27686-2023 FSC-klagomål mail.docx", "A 27686-2023")</f>
        <v/>
      </c>
      <c r="X145">
        <f>HYPERLINK("https://klasma.github.io/Logging_2313/tillsyn/A 27686-2023 tillsynsbegäran.docx", "A 27686-2023")</f>
        <v/>
      </c>
      <c r="Y145">
        <f>HYPERLINK("https://klasma.github.io/Logging_2313/tillsynsmail/A 27686-2023 tillsynsbegäran mail.docx", "A 27686-2023")</f>
        <v/>
      </c>
    </row>
    <row r="146" ht="15" customHeight="1">
      <c r="A146" t="inlineStr">
        <is>
          <t>A 2305-2025</t>
        </is>
      </c>
      <c r="B146" s="1" t="n">
        <v>45673.5987037037</v>
      </c>
      <c r="C146" s="1" t="n">
        <v>46048</v>
      </c>
      <c r="D146" t="inlineStr">
        <is>
          <t>JÄMTLANDS LÄN</t>
        </is>
      </c>
      <c r="E146" t="inlineStr">
        <is>
          <t>STRÖMSUND</t>
        </is>
      </c>
      <c r="G146" t="n">
        <v>12.1</v>
      </c>
      <c r="H146" t="n">
        <v>1</v>
      </c>
      <c r="I146" t="n">
        <v>1</v>
      </c>
      <c r="J146" t="n">
        <v>2</v>
      </c>
      <c r="K146" t="n">
        <v>0</v>
      </c>
      <c r="L146" t="n">
        <v>0</v>
      </c>
      <c r="M146" t="n">
        <v>0</v>
      </c>
      <c r="N146" t="n">
        <v>0</v>
      </c>
      <c r="O146" t="n">
        <v>2</v>
      </c>
      <c r="P146" t="n">
        <v>0</v>
      </c>
      <c r="Q146" t="n">
        <v>3</v>
      </c>
      <c r="R146" s="2" t="inlineStr">
        <is>
          <t>Garnlav
Granticka
Spindelblomster</t>
        </is>
      </c>
      <c r="S146">
        <f>HYPERLINK("https://klasma.github.io/Logging_2313/artfynd/A 2305-2025 artfynd.xlsx", "A 2305-2025")</f>
        <v/>
      </c>
      <c r="T146">
        <f>HYPERLINK("https://klasma.github.io/Logging_2313/kartor/A 2305-2025 karta.png", "A 2305-2025")</f>
        <v/>
      </c>
      <c r="V146">
        <f>HYPERLINK("https://klasma.github.io/Logging_2313/klagomål/A 2305-2025 FSC-klagomål.docx", "A 2305-2025")</f>
        <v/>
      </c>
      <c r="W146">
        <f>HYPERLINK("https://klasma.github.io/Logging_2313/klagomålsmail/A 2305-2025 FSC-klagomål mail.docx", "A 2305-2025")</f>
        <v/>
      </c>
      <c r="X146">
        <f>HYPERLINK("https://klasma.github.io/Logging_2313/tillsyn/A 2305-2025 tillsynsbegäran.docx", "A 2305-2025")</f>
        <v/>
      </c>
      <c r="Y146">
        <f>HYPERLINK("https://klasma.github.io/Logging_2313/tillsynsmail/A 2305-2025 tillsynsbegäran mail.docx", "A 2305-2025")</f>
        <v/>
      </c>
    </row>
    <row r="147" ht="15" customHeight="1">
      <c r="A147" t="inlineStr">
        <is>
          <t>A 30554-2025</t>
        </is>
      </c>
      <c r="B147" s="1" t="n">
        <v>45831.38600694444</v>
      </c>
      <c r="C147" s="1" t="n">
        <v>46048</v>
      </c>
      <c r="D147" t="inlineStr">
        <is>
          <t>JÄMTLANDS LÄN</t>
        </is>
      </c>
      <c r="E147" t="inlineStr">
        <is>
          <t>STRÖMSUND</t>
        </is>
      </c>
      <c r="F147" t="inlineStr">
        <is>
          <t>SCA</t>
        </is>
      </c>
      <c r="G147" t="n">
        <v>15.5</v>
      </c>
      <c r="H147" t="n">
        <v>2</v>
      </c>
      <c r="I147" t="n">
        <v>0</v>
      </c>
      <c r="J147" t="n">
        <v>3</v>
      </c>
      <c r="K147" t="n">
        <v>0</v>
      </c>
      <c r="L147" t="n">
        <v>0</v>
      </c>
      <c r="M147" t="n">
        <v>0</v>
      </c>
      <c r="N147" t="n">
        <v>0</v>
      </c>
      <c r="O147" t="n">
        <v>3</v>
      </c>
      <c r="P147" t="n">
        <v>0</v>
      </c>
      <c r="Q147" t="n">
        <v>3</v>
      </c>
      <c r="R147" s="2" t="inlineStr">
        <is>
          <t>Spillkråka
Tretåig hackspett
Vitgrynig nållav</t>
        </is>
      </c>
      <c r="S147">
        <f>HYPERLINK("https://klasma.github.io/Logging_2313/artfynd/A 30554-2025 artfynd.xlsx", "A 30554-2025")</f>
        <v/>
      </c>
      <c r="T147">
        <f>HYPERLINK("https://klasma.github.io/Logging_2313/kartor/A 30554-2025 karta.png", "A 30554-2025")</f>
        <v/>
      </c>
      <c r="V147">
        <f>HYPERLINK("https://klasma.github.io/Logging_2313/klagomål/A 30554-2025 FSC-klagomål.docx", "A 30554-2025")</f>
        <v/>
      </c>
      <c r="W147">
        <f>HYPERLINK("https://klasma.github.io/Logging_2313/klagomålsmail/A 30554-2025 FSC-klagomål mail.docx", "A 30554-2025")</f>
        <v/>
      </c>
      <c r="X147">
        <f>HYPERLINK("https://klasma.github.io/Logging_2313/tillsyn/A 30554-2025 tillsynsbegäran.docx", "A 30554-2025")</f>
        <v/>
      </c>
      <c r="Y147">
        <f>HYPERLINK("https://klasma.github.io/Logging_2313/tillsynsmail/A 30554-2025 tillsynsbegäran mail.docx", "A 30554-2025")</f>
        <v/>
      </c>
      <c r="Z147">
        <f>HYPERLINK("https://klasma.github.io/Logging_2313/fåglar/A 30554-2025 prioriterade fågelarter.docx", "A 30554-2025")</f>
        <v/>
      </c>
    </row>
    <row r="148" ht="15" customHeight="1">
      <c r="A148" t="inlineStr">
        <is>
          <t>A 30828-2025</t>
        </is>
      </c>
      <c r="B148" s="1" t="n">
        <v>45831.67776620371</v>
      </c>
      <c r="C148" s="1" t="n">
        <v>46048</v>
      </c>
      <c r="D148" t="inlineStr">
        <is>
          <t>JÄMTLANDS LÄN</t>
        </is>
      </c>
      <c r="E148" t="inlineStr">
        <is>
          <t>STRÖMSUND</t>
        </is>
      </c>
      <c r="F148" t="inlineStr">
        <is>
          <t>SCA</t>
        </is>
      </c>
      <c r="G148" t="n">
        <v>2.2</v>
      </c>
      <c r="H148" t="n">
        <v>0</v>
      </c>
      <c r="I148" t="n">
        <v>0</v>
      </c>
      <c r="J148" t="n">
        <v>3</v>
      </c>
      <c r="K148" t="n">
        <v>0</v>
      </c>
      <c r="L148" t="n">
        <v>0</v>
      </c>
      <c r="M148" t="n">
        <v>0</v>
      </c>
      <c r="N148" t="n">
        <v>0</v>
      </c>
      <c r="O148" t="n">
        <v>3</v>
      </c>
      <c r="P148" t="n">
        <v>0</v>
      </c>
      <c r="Q148" t="n">
        <v>3</v>
      </c>
      <c r="R148" s="2" t="inlineStr">
        <is>
          <t>Gammelgransskål
Granticka
Harticka</t>
        </is>
      </c>
      <c r="S148">
        <f>HYPERLINK("https://klasma.github.io/Logging_2313/artfynd/A 30828-2025 artfynd.xlsx", "A 30828-2025")</f>
        <v/>
      </c>
      <c r="T148">
        <f>HYPERLINK("https://klasma.github.io/Logging_2313/kartor/A 30828-2025 karta.png", "A 30828-2025")</f>
        <v/>
      </c>
      <c r="V148">
        <f>HYPERLINK("https://klasma.github.io/Logging_2313/klagomål/A 30828-2025 FSC-klagomål.docx", "A 30828-2025")</f>
        <v/>
      </c>
      <c r="W148">
        <f>HYPERLINK("https://klasma.github.io/Logging_2313/klagomålsmail/A 30828-2025 FSC-klagomål mail.docx", "A 30828-2025")</f>
        <v/>
      </c>
      <c r="X148">
        <f>HYPERLINK("https://klasma.github.io/Logging_2313/tillsyn/A 30828-2025 tillsynsbegäran.docx", "A 30828-2025")</f>
        <v/>
      </c>
      <c r="Y148">
        <f>HYPERLINK("https://klasma.github.io/Logging_2313/tillsynsmail/A 30828-2025 tillsynsbegäran mail.docx", "A 30828-2025")</f>
        <v/>
      </c>
    </row>
    <row r="149" ht="15" customHeight="1">
      <c r="A149" t="inlineStr">
        <is>
          <t>A 53043-2023</t>
        </is>
      </c>
      <c r="B149" s="1" t="n">
        <v>45226</v>
      </c>
      <c r="C149" s="1" t="n">
        <v>46048</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32794-2025</t>
        </is>
      </c>
      <c r="B150" s="1" t="n">
        <v>45839.49055555555</v>
      </c>
      <c r="C150" s="1" t="n">
        <v>46048</v>
      </c>
      <c r="D150" t="inlineStr">
        <is>
          <t>JÄMTLANDS LÄN</t>
        </is>
      </c>
      <c r="E150" t="inlineStr">
        <is>
          <t>STRÖMSUND</t>
        </is>
      </c>
      <c r="F150" t="inlineStr">
        <is>
          <t>SCA</t>
        </is>
      </c>
      <c r="G150" t="n">
        <v>4.8</v>
      </c>
      <c r="H150" t="n">
        <v>3</v>
      </c>
      <c r="I150" t="n">
        <v>1</v>
      </c>
      <c r="J150" t="n">
        <v>0</v>
      </c>
      <c r="K150" t="n">
        <v>0</v>
      </c>
      <c r="L150" t="n">
        <v>0</v>
      </c>
      <c r="M150" t="n">
        <v>0</v>
      </c>
      <c r="N150" t="n">
        <v>0</v>
      </c>
      <c r="O150" t="n">
        <v>0</v>
      </c>
      <c r="P150" t="n">
        <v>0</v>
      </c>
      <c r="Q150" t="n">
        <v>3</v>
      </c>
      <c r="R150" s="2" t="inlineStr">
        <is>
          <t>Plattlummer
Skogsrör
Mattlummer</t>
        </is>
      </c>
      <c r="S150">
        <f>HYPERLINK("https://klasma.github.io/Logging_2313/artfynd/A 32794-2025 artfynd.xlsx", "A 32794-2025")</f>
        <v/>
      </c>
      <c r="T150">
        <f>HYPERLINK("https://klasma.github.io/Logging_2313/kartor/A 32794-2025 karta.png", "A 32794-2025")</f>
        <v/>
      </c>
      <c r="V150">
        <f>HYPERLINK("https://klasma.github.io/Logging_2313/klagomål/A 32794-2025 FSC-klagomål.docx", "A 32794-2025")</f>
        <v/>
      </c>
      <c r="W150">
        <f>HYPERLINK("https://klasma.github.io/Logging_2313/klagomålsmail/A 32794-2025 FSC-klagomål mail.docx", "A 32794-2025")</f>
        <v/>
      </c>
      <c r="X150">
        <f>HYPERLINK("https://klasma.github.io/Logging_2313/tillsyn/A 32794-2025 tillsynsbegäran.docx", "A 32794-2025")</f>
        <v/>
      </c>
      <c r="Y150">
        <f>HYPERLINK("https://klasma.github.io/Logging_2313/tillsynsmail/A 32794-2025 tillsynsbegäran mail.docx", "A 32794-2025")</f>
        <v/>
      </c>
    </row>
    <row r="151" ht="15" customHeight="1">
      <c r="A151" t="inlineStr">
        <is>
          <t>A 32795-2025</t>
        </is>
      </c>
      <c r="B151" s="1" t="n">
        <v>45839.49068287037</v>
      </c>
      <c r="C151" s="1" t="n">
        <v>46048</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33325-2025</t>
        </is>
      </c>
      <c r="B152" s="1" t="n">
        <v>45841.34570601852</v>
      </c>
      <c r="C152" s="1" t="n">
        <v>46048</v>
      </c>
      <c r="D152" t="inlineStr">
        <is>
          <t>JÄMTLANDS LÄN</t>
        </is>
      </c>
      <c r="E152" t="inlineStr">
        <is>
          <t>STRÖMSUND</t>
        </is>
      </c>
      <c r="F152" t="inlineStr">
        <is>
          <t>SCA</t>
        </is>
      </c>
      <c r="G152" t="n">
        <v>22.9</v>
      </c>
      <c r="H152" t="n">
        <v>1</v>
      </c>
      <c r="I152" t="n">
        <v>1</v>
      </c>
      <c r="J152" t="n">
        <v>1</v>
      </c>
      <c r="K152" t="n">
        <v>1</v>
      </c>
      <c r="L152" t="n">
        <v>0</v>
      </c>
      <c r="M152" t="n">
        <v>0</v>
      </c>
      <c r="N152" t="n">
        <v>0</v>
      </c>
      <c r="O152" t="n">
        <v>2</v>
      </c>
      <c r="P152" t="n">
        <v>1</v>
      </c>
      <c r="Q152" t="n">
        <v>3</v>
      </c>
      <c r="R152" s="2" t="inlineStr">
        <is>
          <t>Blackticka
Gränsticka
Guckusko</t>
        </is>
      </c>
      <c r="S152">
        <f>HYPERLINK("https://klasma.github.io/Logging_2313/artfynd/A 33325-2025 artfynd.xlsx", "A 33325-2025")</f>
        <v/>
      </c>
      <c r="T152">
        <f>HYPERLINK("https://klasma.github.io/Logging_2313/kartor/A 33325-2025 karta.png", "A 33325-2025")</f>
        <v/>
      </c>
      <c r="V152">
        <f>HYPERLINK("https://klasma.github.io/Logging_2313/klagomål/A 33325-2025 FSC-klagomål.docx", "A 33325-2025")</f>
        <v/>
      </c>
      <c r="W152">
        <f>HYPERLINK("https://klasma.github.io/Logging_2313/klagomålsmail/A 33325-2025 FSC-klagomål mail.docx", "A 33325-2025")</f>
        <v/>
      </c>
      <c r="X152">
        <f>HYPERLINK("https://klasma.github.io/Logging_2313/tillsyn/A 33325-2025 tillsynsbegäran.docx", "A 33325-2025")</f>
        <v/>
      </c>
      <c r="Y152">
        <f>HYPERLINK("https://klasma.github.io/Logging_2313/tillsynsmail/A 33325-2025 tillsynsbegäran mail.docx", "A 33325-2025")</f>
        <v/>
      </c>
    </row>
    <row r="153" ht="15" customHeight="1">
      <c r="A153" t="inlineStr">
        <is>
          <t>A 10065-2023</t>
        </is>
      </c>
      <c r="B153" s="1" t="n">
        <v>44985</v>
      </c>
      <c r="C153" s="1" t="n">
        <v>46048</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34509-2025</t>
        </is>
      </c>
      <c r="B154" s="1" t="n">
        <v>45847.44314814815</v>
      </c>
      <c r="C154" s="1" t="n">
        <v>46048</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46341-2022</t>
        </is>
      </c>
      <c r="B155" s="1" t="n">
        <v>44847</v>
      </c>
      <c r="C155" s="1" t="n">
        <v>46048</v>
      </c>
      <c r="D155" t="inlineStr">
        <is>
          <t>JÄMTLANDS LÄN</t>
        </is>
      </c>
      <c r="E155" t="inlineStr">
        <is>
          <t>STRÖMSUND</t>
        </is>
      </c>
      <c r="F155" t="inlineStr">
        <is>
          <t>SCA</t>
        </is>
      </c>
      <c r="G155" t="n">
        <v>3.2</v>
      </c>
      <c r="H155" t="n">
        <v>1</v>
      </c>
      <c r="I155" t="n">
        <v>0</v>
      </c>
      <c r="J155" t="n">
        <v>1</v>
      </c>
      <c r="K155" t="n">
        <v>2</v>
      </c>
      <c r="L155" t="n">
        <v>0</v>
      </c>
      <c r="M155" t="n">
        <v>0</v>
      </c>
      <c r="N155" t="n">
        <v>0</v>
      </c>
      <c r="O155" t="n">
        <v>3</v>
      </c>
      <c r="P155" t="n">
        <v>2</v>
      </c>
      <c r="Q155" t="n">
        <v>3</v>
      </c>
      <c r="R155" s="2" t="inlineStr">
        <is>
          <t>Goliatmusseron
Knärot
Rosenticka</t>
        </is>
      </c>
      <c r="S155">
        <f>HYPERLINK("https://klasma.github.io/Logging_2313/artfynd/A 46341-2022 artfynd.xlsx", "A 46341-2022")</f>
        <v/>
      </c>
      <c r="T155">
        <f>HYPERLINK("https://klasma.github.io/Logging_2313/kartor/A 46341-2022 karta.png", "A 46341-2022")</f>
        <v/>
      </c>
      <c r="U155">
        <f>HYPERLINK("https://klasma.github.io/Logging_2313/knärot/A 46341-2022 karta knärot.png", "A 46341-2022")</f>
        <v/>
      </c>
      <c r="V155">
        <f>HYPERLINK("https://klasma.github.io/Logging_2313/klagomål/A 46341-2022 FSC-klagomål.docx", "A 46341-2022")</f>
        <v/>
      </c>
      <c r="W155">
        <f>HYPERLINK("https://klasma.github.io/Logging_2313/klagomålsmail/A 46341-2022 FSC-klagomål mail.docx", "A 46341-2022")</f>
        <v/>
      </c>
      <c r="X155">
        <f>HYPERLINK("https://klasma.github.io/Logging_2313/tillsyn/A 46341-2022 tillsynsbegäran.docx", "A 46341-2022")</f>
        <v/>
      </c>
      <c r="Y155">
        <f>HYPERLINK("https://klasma.github.io/Logging_2313/tillsynsmail/A 46341-2022 tillsynsbegäran mail.docx", "A 46341-2022")</f>
        <v/>
      </c>
    </row>
    <row r="156" ht="15" customHeight="1">
      <c r="A156" t="inlineStr">
        <is>
          <t>A 32908-2023</t>
        </is>
      </c>
      <c r="B156" s="1" t="n">
        <v>45124.95153935185</v>
      </c>
      <c r="C156" s="1" t="n">
        <v>46048</v>
      </c>
      <c r="D156" t="inlineStr">
        <is>
          <t>JÄMTLANDS LÄN</t>
        </is>
      </c>
      <c r="E156" t="inlineStr">
        <is>
          <t>STRÖMSUND</t>
        </is>
      </c>
      <c r="F156" t="inlineStr">
        <is>
          <t>SCA</t>
        </is>
      </c>
      <c r="G156" t="n">
        <v>9.800000000000001</v>
      </c>
      <c r="H156" t="n">
        <v>1</v>
      </c>
      <c r="I156" t="n">
        <v>0</v>
      </c>
      <c r="J156" t="n">
        <v>2</v>
      </c>
      <c r="K156" t="n">
        <v>0</v>
      </c>
      <c r="L156" t="n">
        <v>0</v>
      </c>
      <c r="M156" t="n">
        <v>0</v>
      </c>
      <c r="N156" t="n">
        <v>0</v>
      </c>
      <c r="O156" t="n">
        <v>2</v>
      </c>
      <c r="P156" t="n">
        <v>0</v>
      </c>
      <c r="Q156" t="n">
        <v>3</v>
      </c>
      <c r="R156" s="2" t="inlineStr">
        <is>
          <t>Garnlav
Rosenticka
Revlummer</t>
        </is>
      </c>
      <c r="S156">
        <f>HYPERLINK("https://klasma.github.io/Logging_2313/artfynd/A 32908-2023 artfynd.xlsx", "A 32908-2023")</f>
        <v/>
      </c>
      <c r="T156">
        <f>HYPERLINK("https://klasma.github.io/Logging_2313/kartor/A 32908-2023 karta.png", "A 32908-2023")</f>
        <v/>
      </c>
      <c r="V156">
        <f>HYPERLINK("https://klasma.github.io/Logging_2313/klagomål/A 32908-2023 FSC-klagomål.docx", "A 32908-2023")</f>
        <v/>
      </c>
      <c r="W156">
        <f>HYPERLINK("https://klasma.github.io/Logging_2313/klagomålsmail/A 32908-2023 FSC-klagomål mail.docx", "A 32908-2023")</f>
        <v/>
      </c>
      <c r="X156">
        <f>HYPERLINK("https://klasma.github.io/Logging_2313/tillsyn/A 32908-2023 tillsynsbegäran.docx", "A 32908-2023")</f>
        <v/>
      </c>
      <c r="Y156">
        <f>HYPERLINK("https://klasma.github.io/Logging_2313/tillsynsmail/A 32908-2023 tillsynsbegäran mail.docx", "A 32908-2023")</f>
        <v/>
      </c>
    </row>
    <row r="157" ht="15" customHeight="1">
      <c r="A157" t="inlineStr">
        <is>
          <t>A 2554-2022</t>
        </is>
      </c>
      <c r="B157" s="1" t="n">
        <v>44579</v>
      </c>
      <c r="C157" s="1" t="n">
        <v>46048</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38023-2025</t>
        </is>
      </c>
      <c r="B158" s="1" t="n">
        <v>45882.34489583333</v>
      </c>
      <c r="C158" s="1" t="n">
        <v>46048</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27918-2024</t>
        </is>
      </c>
      <c r="B159" s="1" t="n">
        <v>45475.94855324074</v>
      </c>
      <c r="C159" s="1" t="n">
        <v>46048</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30350-2024</t>
        </is>
      </c>
      <c r="B160" s="1" t="n">
        <v>45490</v>
      </c>
      <c r="C160" s="1" t="n">
        <v>46048</v>
      </c>
      <c r="D160" t="inlineStr">
        <is>
          <t>JÄMTLANDS LÄN</t>
        </is>
      </c>
      <c r="E160" t="inlineStr">
        <is>
          <t>STRÖMSUND</t>
        </is>
      </c>
      <c r="F160" t="inlineStr">
        <is>
          <t>SCA</t>
        </is>
      </c>
      <c r="G160" t="n">
        <v>3.9</v>
      </c>
      <c r="H160" t="n">
        <v>1</v>
      </c>
      <c r="I160" t="n">
        <v>2</v>
      </c>
      <c r="J160" t="n">
        <v>1</v>
      </c>
      <c r="K160" t="n">
        <v>0</v>
      </c>
      <c r="L160" t="n">
        <v>0</v>
      </c>
      <c r="M160" t="n">
        <v>0</v>
      </c>
      <c r="N160" t="n">
        <v>0</v>
      </c>
      <c r="O160" t="n">
        <v>1</v>
      </c>
      <c r="P160" t="n">
        <v>0</v>
      </c>
      <c r="Q160" t="n">
        <v>3</v>
      </c>
      <c r="R160" s="2" t="inlineStr">
        <is>
          <t>Lunglav
Granriska
Tvåblad</t>
        </is>
      </c>
      <c r="S160">
        <f>HYPERLINK("https://klasma.github.io/Logging_2313/artfynd/A 30350-2024 artfynd.xlsx", "A 30350-2024")</f>
        <v/>
      </c>
      <c r="T160">
        <f>HYPERLINK("https://klasma.github.io/Logging_2313/kartor/A 30350-2024 karta.png", "A 30350-2024")</f>
        <v/>
      </c>
      <c r="V160">
        <f>HYPERLINK("https://klasma.github.io/Logging_2313/klagomål/A 30350-2024 FSC-klagomål.docx", "A 30350-2024")</f>
        <v/>
      </c>
      <c r="W160">
        <f>HYPERLINK("https://klasma.github.io/Logging_2313/klagomålsmail/A 30350-2024 FSC-klagomål mail.docx", "A 30350-2024")</f>
        <v/>
      </c>
      <c r="X160">
        <f>HYPERLINK("https://klasma.github.io/Logging_2313/tillsyn/A 30350-2024 tillsynsbegäran.docx", "A 30350-2024")</f>
        <v/>
      </c>
      <c r="Y160">
        <f>HYPERLINK("https://klasma.github.io/Logging_2313/tillsynsmail/A 30350-2024 tillsynsbegäran mail.docx", "A 30350-2024")</f>
        <v/>
      </c>
    </row>
    <row r="161" ht="15" customHeight="1">
      <c r="A161" t="inlineStr">
        <is>
          <t>A 43161-2022</t>
        </is>
      </c>
      <c r="B161" s="1" t="n">
        <v>44833</v>
      </c>
      <c r="C161" s="1" t="n">
        <v>46048</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40879-2025</t>
        </is>
      </c>
      <c r="B162" s="1" t="n">
        <v>45897.58763888889</v>
      </c>
      <c r="C162" s="1" t="n">
        <v>46048</v>
      </c>
      <c r="D162" t="inlineStr">
        <is>
          <t>JÄMTLANDS LÄN</t>
        </is>
      </c>
      <c r="E162" t="inlineStr">
        <is>
          <t>STRÖMSUND</t>
        </is>
      </c>
      <c r="F162" t="inlineStr">
        <is>
          <t>Holmen skog AB</t>
        </is>
      </c>
      <c r="G162" t="n">
        <v>1.8</v>
      </c>
      <c r="H162" t="n">
        <v>2</v>
      </c>
      <c r="I162" t="n">
        <v>0</v>
      </c>
      <c r="J162" t="n">
        <v>1</v>
      </c>
      <c r="K162" t="n">
        <v>0</v>
      </c>
      <c r="L162" t="n">
        <v>0</v>
      </c>
      <c r="M162" t="n">
        <v>0</v>
      </c>
      <c r="N162" t="n">
        <v>0</v>
      </c>
      <c r="O162" t="n">
        <v>1</v>
      </c>
      <c r="P162" t="n">
        <v>0</v>
      </c>
      <c r="Q162" t="n">
        <v>3</v>
      </c>
      <c r="R162" s="2" t="inlineStr">
        <is>
          <t>Brunklöver
Brudsporre
Fläcknycklar</t>
        </is>
      </c>
      <c r="S162">
        <f>HYPERLINK("https://klasma.github.io/Logging_2313/artfynd/A 40879-2025 artfynd.xlsx", "A 40879-2025")</f>
        <v/>
      </c>
      <c r="T162">
        <f>HYPERLINK("https://klasma.github.io/Logging_2313/kartor/A 40879-2025 karta.png", "A 40879-2025")</f>
        <v/>
      </c>
      <c r="V162">
        <f>HYPERLINK("https://klasma.github.io/Logging_2313/klagomål/A 40879-2025 FSC-klagomål.docx", "A 40879-2025")</f>
        <v/>
      </c>
      <c r="W162">
        <f>HYPERLINK("https://klasma.github.io/Logging_2313/klagomålsmail/A 40879-2025 FSC-klagomål mail.docx", "A 40879-2025")</f>
        <v/>
      </c>
      <c r="X162">
        <f>HYPERLINK("https://klasma.github.io/Logging_2313/tillsyn/A 40879-2025 tillsynsbegäran.docx", "A 40879-2025")</f>
        <v/>
      </c>
      <c r="Y162">
        <f>HYPERLINK("https://klasma.github.io/Logging_2313/tillsynsmail/A 40879-2025 tillsynsbegäran mail.docx", "A 40879-2025")</f>
        <v/>
      </c>
    </row>
    <row r="163" ht="15" customHeight="1">
      <c r="A163" t="inlineStr">
        <is>
          <t>A 41657-2025</t>
        </is>
      </c>
      <c r="B163" s="1" t="n">
        <v>45902.34438657408</v>
      </c>
      <c r="C163" s="1" t="n">
        <v>46048</v>
      </c>
      <c r="D163" t="inlineStr">
        <is>
          <t>JÄMTLANDS LÄN</t>
        </is>
      </c>
      <c r="E163" t="inlineStr">
        <is>
          <t>STRÖMSUND</t>
        </is>
      </c>
      <c r="F163" t="inlineStr">
        <is>
          <t>SCA</t>
        </is>
      </c>
      <c r="G163" t="n">
        <v>1.1</v>
      </c>
      <c r="H163" t="n">
        <v>0</v>
      </c>
      <c r="I163" t="n">
        <v>1</v>
      </c>
      <c r="J163" t="n">
        <v>2</v>
      </c>
      <c r="K163" t="n">
        <v>0</v>
      </c>
      <c r="L163" t="n">
        <v>0</v>
      </c>
      <c r="M163" t="n">
        <v>0</v>
      </c>
      <c r="N163" t="n">
        <v>0</v>
      </c>
      <c r="O163" t="n">
        <v>2</v>
      </c>
      <c r="P163" t="n">
        <v>0</v>
      </c>
      <c r="Q163" t="n">
        <v>3</v>
      </c>
      <c r="R163" s="2" t="inlineStr">
        <is>
          <t>Kolflarnlav
Lunglav
Bårdlav</t>
        </is>
      </c>
      <c r="S163">
        <f>HYPERLINK("https://klasma.github.io/Logging_2313/artfynd/A 41657-2025 artfynd.xlsx", "A 41657-2025")</f>
        <v/>
      </c>
      <c r="T163">
        <f>HYPERLINK("https://klasma.github.io/Logging_2313/kartor/A 41657-2025 karta.png", "A 41657-2025")</f>
        <v/>
      </c>
      <c r="V163">
        <f>HYPERLINK("https://klasma.github.io/Logging_2313/klagomål/A 41657-2025 FSC-klagomål.docx", "A 41657-2025")</f>
        <v/>
      </c>
      <c r="W163">
        <f>HYPERLINK("https://klasma.github.io/Logging_2313/klagomålsmail/A 41657-2025 FSC-klagomål mail.docx", "A 41657-2025")</f>
        <v/>
      </c>
      <c r="X163">
        <f>HYPERLINK("https://klasma.github.io/Logging_2313/tillsyn/A 41657-2025 tillsynsbegäran.docx", "A 41657-2025")</f>
        <v/>
      </c>
      <c r="Y163">
        <f>HYPERLINK("https://klasma.github.io/Logging_2313/tillsynsmail/A 41657-2025 tillsynsbegäran mail.docx", "A 41657-2025")</f>
        <v/>
      </c>
    </row>
    <row r="164" ht="15" customHeight="1">
      <c r="A164" t="inlineStr">
        <is>
          <t>A 42945-2025</t>
        </is>
      </c>
      <c r="B164" s="1" t="n">
        <v>45909</v>
      </c>
      <c r="C164" s="1" t="n">
        <v>46048</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32651-2024</t>
        </is>
      </c>
      <c r="B165" s="1" t="n">
        <v>45513.9640625</v>
      </c>
      <c r="C165" s="1" t="n">
        <v>46048</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46048</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46048</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46048</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14155-2024</t>
        </is>
      </c>
      <c r="B169" s="1" t="n">
        <v>45392.92886574074</v>
      </c>
      <c r="C169" s="1" t="n">
        <v>46048</v>
      </c>
      <c r="D169" t="inlineStr">
        <is>
          <t>JÄMTLANDS LÄN</t>
        </is>
      </c>
      <c r="E169" t="inlineStr">
        <is>
          <t>STRÖMSUND</t>
        </is>
      </c>
      <c r="G169" t="n">
        <v>2.4</v>
      </c>
      <c r="H169" t="n">
        <v>1</v>
      </c>
      <c r="I169" t="n">
        <v>0</v>
      </c>
      <c r="J169" t="n">
        <v>3</v>
      </c>
      <c r="K169" t="n">
        <v>0</v>
      </c>
      <c r="L169" t="n">
        <v>0</v>
      </c>
      <c r="M169" t="n">
        <v>0</v>
      </c>
      <c r="N169" t="n">
        <v>0</v>
      </c>
      <c r="O169" t="n">
        <v>3</v>
      </c>
      <c r="P169" t="n">
        <v>0</v>
      </c>
      <c r="Q169" t="n">
        <v>3</v>
      </c>
      <c r="R169" s="2" t="inlineStr">
        <is>
          <t>Garnlav
Tretåig hackspett
Vitgrynig nållav</t>
        </is>
      </c>
      <c r="S169">
        <f>HYPERLINK("https://klasma.github.io/Logging_2313/artfynd/A 14155-2024 artfynd.xlsx", "A 14155-2024")</f>
        <v/>
      </c>
      <c r="T169">
        <f>HYPERLINK("https://klasma.github.io/Logging_2313/kartor/A 14155-2024 karta.png", "A 14155-2024")</f>
        <v/>
      </c>
      <c r="V169">
        <f>HYPERLINK("https://klasma.github.io/Logging_2313/klagomål/A 14155-2024 FSC-klagomål.docx", "A 14155-2024")</f>
        <v/>
      </c>
      <c r="W169">
        <f>HYPERLINK("https://klasma.github.io/Logging_2313/klagomålsmail/A 14155-2024 FSC-klagomål mail.docx", "A 14155-2024")</f>
        <v/>
      </c>
      <c r="X169">
        <f>HYPERLINK("https://klasma.github.io/Logging_2313/tillsyn/A 14155-2024 tillsynsbegäran.docx", "A 14155-2024")</f>
        <v/>
      </c>
      <c r="Y169">
        <f>HYPERLINK("https://klasma.github.io/Logging_2313/tillsynsmail/A 14155-2024 tillsynsbegäran mail.docx", "A 14155-2024")</f>
        <v/>
      </c>
      <c r="Z169">
        <f>HYPERLINK("https://klasma.github.io/Logging_2313/fåglar/A 14155-2024 prioriterade fågelarter.docx", "A 14155-2024")</f>
        <v/>
      </c>
    </row>
    <row r="170" ht="15" customHeight="1">
      <c r="A170" t="inlineStr">
        <is>
          <t>A 54637-2025</t>
        </is>
      </c>
      <c r="B170" s="1" t="n">
        <v>45966</v>
      </c>
      <c r="C170" s="1" t="n">
        <v>46048</v>
      </c>
      <c r="D170" t="inlineStr">
        <is>
          <t>JÄMTLANDS LÄN</t>
        </is>
      </c>
      <c r="E170" t="inlineStr">
        <is>
          <t>STRÖMSUND</t>
        </is>
      </c>
      <c r="G170" t="n">
        <v>4.1</v>
      </c>
      <c r="H170" t="n">
        <v>0</v>
      </c>
      <c r="I170" t="n">
        <v>0</v>
      </c>
      <c r="J170" t="n">
        <v>3</v>
      </c>
      <c r="K170" t="n">
        <v>0</v>
      </c>
      <c r="L170" t="n">
        <v>0</v>
      </c>
      <c r="M170" t="n">
        <v>0</v>
      </c>
      <c r="N170" t="n">
        <v>0</v>
      </c>
      <c r="O170" t="n">
        <v>3</v>
      </c>
      <c r="P170" t="n">
        <v>0</v>
      </c>
      <c r="Q170" t="n">
        <v>3</v>
      </c>
      <c r="R170" s="2" t="inlineStr">
        <is>
          <t>Garnlav
Harticka
Vitgrynig nållav</t>
        </is>
      </c>
      <c r="S170">
        <f>HYPERLINK("https://klasma.github.io/Logging_2313/artfynd/A 54637-2025 artfynd.xlsx", "A 54637-2025")</f>
        <v/>
      </c>
      <c r="T170">
        <f>HYPERLINK("https://klasma.github.io/Logging_2313/kartor/A 54637-2025 karta.png", "A 54637-2025")</f>
        <v/>
      </c>
      <c r="V170">
        <f>HYPERLINK("https://klasma.github.io/Logging_2313/klagomål/A 54637-2025 FSC-klagomål.docx", "A 54637-2025")</f>
        <v/>
      </c>
      <c r="W170">
        <f>HYPERLINK("https://klasma.github.io/Logging_2313/klagomålsmail/A 54637-2025 FSC-klagomål mail.docx", "A 54637-2025")</f>
        <v/>
      </c>
      <c r="X170">
        <f>HYPERLINK("https://klasma.github.io/Logging_2313/tillsyn/A 54637-2025 tillsynsbegäran.docx", "A 54637-2025")</f>
        <v/>
      </c>
      <c r="Y170">
        <f>HYPERLINK("https://klasma.github.io/Logging_2313/tillsynsmail/A 54637-2025 tillsynsbegäran mail.docx", "A 54637-2025")</f>
        <v/>
      </c>
    </row>
    <row r="171" ht="15" customHeight="1">
      <c r="A171" t="inlineStr">
        <is>
          <t>A 58235-2025</t>
        </is>
      </c>
      <c r="B171" s="1" t="n">
        <v>45985.3872337963</v>
      </c>
      <c r="C171" s="1" t="n">
        <v>46048</v>
      </c>
      <c r="D171" t="inlineStr">
        <is>
          <t>JÄMTLANDS LÄN</t>
        </is>
      </c>
      <c r="E171" t="inlineStr">
        <is>
          <t>STRÖMSUND</t>
        </is>
      </c>
      <c r="F171" t="inlineStr">
        <is>
          <t>SCA</t>
        </is>
      </c>
      <c r="G171" t="n">
        <v>1</v>
      </c>
      <c r="H171" t="n">
        <v>0</v>
      </c>
      <c r="I171" t="n">
        <v>0</v>
      </c>
      <c r="J171" t="n">
        <v>3</v>
      </c>
      <c r="K171" t="n">
        <v>0</v>
      </c>
      <c r="L171" t="n">
        <v>0</v>
      </c>
      <c r="M171" t="n">
        <v>0</v>
      </c>
      <c r="N171" t="n">
        <v>0</v>
      </c>
      <c r="O171" t="n">
        <v>3</v>
      </c>
      <c r="P171" t="n">
        <v>0</v>
      </c>
      <c r="Q171" t="n">
        <v>3</v>
      </c>
      <c r="R171" s="2" t="inlineStr">
        <is>
          <t>Gammelgransskål
Garnlav
Vitgrynig nållav</t>
        </is>
      </c>
      <c r="S171">
        <f>HYPERLINK("https://klasma.github.io/Logging_2313/artfynd/A 58235-2025 artfynd.xlsx", "A 58235-2025")</f>
        <v/>
      </c>
      <c r="T171">
        <f>HYPERLINK("https://klasma.github.io/Logging_2313/kartor/A 58235-2025 karta.png", "A 58235-2025")</f>
        <v/>
      </c>
      <c r="V171">
        <f>HYPERLINK("https://klasma.github.io/Logging_2313/klagomål/A 58235-2025 FSC-klagomål.docx", "A 58235-2025")</f>
        <v/>
      </c>
      <c r="W171">
        <f>HYPERLINK("https://klasma.github.io/Logging_2313/klagomålsmail/A 58235-2025 FSC-klagomål mail.docx", "A 58235-2025")</f>
        <v/>
      </c>
      <c r="X171">
        <f>HYPERLINK("https://klasma.github.io/Logging_2313/tillsyn/A 58235-2025 tillsynsbegäran.docx", "A 58235-2025")</f>
        <v/>
      </c>
      <c r="Y171">
        <f>HYPERLINK("https://klasma.github.io/Logging_2313/tillsynsmail/A 58235-2025 tillsynsbegäran mail.docx", "A 58235-2025")</f>
        <v/>
      </c>
    </row>
    <row r="172" ht="15" customHeight="1">
      <c r="A172" t="inlineStr">
        <is>
          <t>A 62012-2025</t>
        </is>
      </c>
      <c r="B172" s="1" t="n">
        <v>46003.67758101852</v>
      </c>
      <c r="C172" s="1" t="n">
        <v>46048</v>
      </c>
      <c r="D172" t="inlineStr">
        <is>
          <t>JÄMTLANDS LÄN</t>
        </is>
      </c>
      <c r="E172" t="inlineStr">
        <is>
          <t>STRÖMSUND</t>
        </is>
      </c>
      <c r="F172" t="inlineStr">
        <is>
          <t>SCA</t>
        </is>
      </c>
      <c r="G172" t="n">
        <v>2.3</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HYPERLINK("https://klasma.github.io/Logging_2313/artfynd/A 62012-2025 artfynd.xlsx", "A 62012-2025")</f>
        <v/>
      </c>
      <c r="T172">
        <f>HYPERLINK("https://klasma.github.io/Logging_2313/kartor/A 62012-2025 karta.png", "A 62012-2025")</f>
        <v/>
      </c>
      <c r="V172">
        <f>HYPERLINK("https://klasma.github.io/Logging_2313/klagomål/A 62012-2025 FSC-klagomål.docx", "A 62012-2025")</f>
        <v/>
      </c>
      <c r="W172">
        <f>HYPERLINK("https://klasma.github.io/Logging_2313/klagomålsmail/A 62012-2025 FSC-klagomål mail.docx", "A 62012-2025")</f>
        <v/>
      </c>
      <c r="X172">
        <f>HYPERLINK("https://klasma.github.io/Logging_2313/tillsyn/A 62012-2025 tillsynsbegäran.docx", "A 62012-2025")</f>
        <v/>
      </c>
      <c r="Y172">
        <f>HYPERLINK("https://klasma.github.io/Logging_2313/tillsynsmail/A 62012-2025 tillsynsbegäran mail.docx", "A 62012-2025")</f>
        <v/>
      </c>
    </row>
    <row r="173" ht="15" customHeight="1">
      <c r="A173" t="inlineStr">
        <is>
          <t>A 44604-2021</t>
        </is>
      </c>
      <c r="B173" s="1" t="n">
        <v>44435</v>
      </c>
      <c r="C173" s="1" t="n">
        <v>46048</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46048</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46048</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46048</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33544-2021</t>
        </is>
      </c>
      <c r="B177" s="1" t="n">
        <v>44377</v>
      </c>
      <c r="C177" s="1" t="n">
        <v>46048</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47937-2021</t>
        </is>
      </c>
      <c r="B178" s="1" t="n">
        <v>44448</v>
      </c>
      <c r="C178" s="1" t="n">
        <v>46048</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46048</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46048</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46048</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17956-2023</t>
        </is>
      </c>
      <c r="B182" s="1" t="n">
        <v>45037</v>
      </c>
      <c r="C182" s="1" t="n">
        <v>46048</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42385-2024</t>
        </is>
      </c>
      <c r="B183" s="1" t="n">
        <v>45562</v>
      </c>
      <c r="C183" s="1" t="n">
        <v>46048</v>
      </c>
      <c r="D183" t="inlineStr">
        <is>
          <t>JÄMTLANDS LÄN</t>
        </is>
      </c>
      <c r="E183" t="inlineStr">
        <is>
          <t>STRÖMSUND</t>
        </is>
      </c>
      <c r="F183" t="inlineStr">
        <is>
          <t>Övriga statliga verk och myndigheter</t>
        </is>
      </c>
      <c r="G183" t="n">
        <v>5</v>
      </c>
      <c r="H183" t="n">
        <v>0</v>
      </c>
      <c r="I183" t="n">
        <v>1</v>
      </c>
      <c r="J183" t="n">
        <v>1</v>
      </c>
      <c r="K183" t="n">
        <v>0</v>
      </c>
      <c r="L183" t="n">
        <v>0</v>
      </c>
      <c r="M183" t="n">
        <v>0</v>
      </c>
      <c r="N183" t="n">
        <v>0</v>
      </c>
      <c r="O183" t="n">
        <v>1</v>
      </c>
      <c r="P183" t="n">
        <v>0</v>
      </c>
      <c r="Q183" t="n">
        <v>2</v>
      </c>
      <c r="R183" s="2" t="inlineStr">
        <is>
          <t>Granticka
Trådticka</t>
        </is>
      </c>
      <c r="S183">
        <f>HYPERLINK("https://klasma.github.io/Logging_2313/artfynd/A 42385-2024 artfynd.xlsx", "A 42385-2024")</f>
        <v/>
      </c>
      <c r="T183">
        <f>HYPERLINK("https://klasma.github.io/Logging_2313/kartor/A 42385-2024 karta.png", "A 42385-2024")</f>
        <v/>
      </c>
      <c r="V183">
        <f>HYPERLINK("https://klasma.github.io/Logging_2313/klagomål/A 42385-2024 FSC-klagomål.docx", "A 42385-2024")</f>
        <v/>
      </c>
      <c r="W183">
        <f>HYPERLINK("https://klasma.github.io/Logging_2313/klagomålsmail/A 42385-2024 FSC-klagomål mail.docx", "A 42385-2024")</f>
        <v/>
      </c>
      <c r="X183">
        <f>HYPERLINK("https://klasma.github.io/Logging_2313/tillsyn/A 42385-2024 tillsynsbegäran.docx", "A 42385-2024")</f>
        <v/>
      </c>
      <c r="Y183">
        <f>HYPERLINK("https://klasma.github.io/Logging_2313/tillsynsmail/A 42385-2024 tillsynsbegäran mail.docx", "A 42385-2024")</f>
        <v/>
      </c>
    </row>
    <row r="184" ht="15" customHeight="1">
      <c r="A184" t="inlineStr">
        <is>
          <t>A 25038-2022</t>
        </is>
      </c>
      <c r="B184" s="1" t="n">
        <v>44728</v>
      </c>
      <c r="C184" s="1" t="n">
        <v>46048</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46048</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46048</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58391-2024</t>
        </is>
      </c>
      <c r="B187" s="1" t="n">
        <v>45633.76444444444</v>
      </c>
      <c r="C187" s="1" t="n">
        <v>46048</v>
      </c>
      <c r="D187" t="inlineStr">
        <is>
          <t>JÄMTLANDS LÄN</t>
        </is>
      </c>
      <c r="E187" t="inlineStr">
        <is>
          <t>STRÖMSUND</t>
        </is>
      </c>
      <c r="G187" t="n">
        <v>14.7</v>
      </c>
      <c r="H187" t="n">
        <v>0</v>
      </c>
      <c r="I187" t="n">
        <v>0</v>
      </c>
      <c r="J187" t="n">
        <v>2</v>
      </c>
      <c r="K187" t="n">
        <v>0</v>
      </c>
      <c r="L187" t="n">
        <v>0</v>
      </c>
      <c r="M187" t="n">
        <v>0</v>
      </c>
      <c r="N187" t="n">
        <v>0</v>
      </c>
      <c r="O187" t="n">
        <v>2</v>
      </c>
      <c r="P187" t="n">
        <v>0</v>
      </c>
      <c r="Q187" t="n">
        <v>2</v>
      </c>
      <c r="R187" s="2" t="inlineStr">
        <is>
          <t>Lunglav
Violmussling</t>
        </is>
      </c>
      <c r="S187">
        <f>HYPERLINK("https://klasma.github.io/Logging_2313/artfynd/A 58391-2024 artfynd.xlsx", "A 58391-2024")</f>
        <v/>
      </c>
      <c r="T187">
        <f>HYPERLINK("https://klasma.github.io/Logging_2313/kartor/A 58391-2024 karta.png", "A 58391-2024")</f>
        <v/>
      </c>
      <c r="V187">
        <f>HYPERLINK("https://klasma.github.io/Logging_2313/klagomål/A 58391-2024 FSC-klagomål.docx", "A 58391-2024")</f>
        <v/>
      </c>
      <c r="W187">
        <f>HYPERLINK("https://klasma.github.io/Logging_2313/klagomålsmail/A 58391-2024 FSC-klagomål mail.docx", "A 58391-2024")</f>
        <v/>
      </c>
      <c r="X187">
        <f>HYPERLINK("https://klasma.github.io/Logging_2313/tillsyn/A 58391-2024 tillsynsbegäran.docx", "A 58391-2024")</f>
        <v/>
      </c>
      <c r="Y187">
        <f>HYPERLINK("https://klasma.github.io/Logging_2313/tillsynsmail/A 58391-2024 tillsynsbegäran mail.docx", "A 58391-2024")</f>
        <v/>
      </c>
    </row>
    <row r="188" ht="15" customHeight="1">
      <c r="A188" t="inlineStr">
        <is>
          <t>A 39055-2023</t>
        </is>
      </c>
      <c r="B188" s="1" t="n">
        <v>45163</v>
      </c>
      <c r="C188" s="1" t="n">
        <v>46048</v>
      </c>
      <c r="D188" t="inlineStr">
        <is>
          <t>JÄMTLANDS LÄN</t>
        </is>
      </c>
      <c r="E188" t="inlineStr">
        <is>
          <t>STRÖMSUND</t>
        </is>
      </c>
      <c r="F188" t="inlineStr">
        <is>
          <t>SCA</t>
        </is>
      </c>
      <c r="G188" t="n">
        <v>7</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39055-2023 artfynd.xlsx", "A 39055-2023")</f>
        <v/>
      </c>
      <c r="T188">
        <f>HYPERLINK("https://klasma.github.io/Logging_2313/kartor/A 39055-2023 karta.png", "A 39055-2023")</f>
        <v/>
      </c>
      <c r="V188">
        <f>HYPERLINK("https://klasma.github.io/Logging_2313/klagomål/A 39055-2023 FSC-klagomål.docx", "A 39055-2023")</f>
        <v/>
      </c>
      <c r="W188">
        <f>HYPERLINK("https://klasma.github.io/Logging_2313/klagomålsmail/A 39055-2023 FSC-klagomål mail.docx", "A 39055-2023")</f>
        <v/>
      </c>
      <c r="X188">
        <f>HYPERLINK("https://klasma.github.io/Logging_2313/tillsyn/A 39055-2023 tillsynsbegäran.docx", "A 39055-2023")</f>
        <v/>
      </c>
      <c r="Y188">
        <f>HYPERLINK("https://klasma.github.io/Logging_2313/tillsynsmail/A 39055-2023 tillsynsbegäran mail.docx", "A 39055-2023")</f>
        <v/>
      </c>
    </row>
    <row r="189" ht="15" customHeight="1">
      <c r="A189" t="inlineStr">
        <is>
          <t>A 15461-2023</t>
        </is>
      </c>
      <c r="B189" s="1" t="n">
        <v>45019</v>
      </c>
      <c r="C189" s="1" t="n">
        <v>46048</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44773-2021</t>
        </is>
      </c>
      <c r="B190" s="1" t="n">
        <v>44438</v>
      </c>
      <c r="C190" s="1" t="n">
        <v>46048</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37786-2022</t>
        </is>
      </c>
      <c r="B191" s="1" t="n">
        <v>44810</v>
      </c>
      <c r="C191" s="1" t="n">
        <v>46048</v>
      </c>
      <c r="D191" t="inlineStr">
        <is>
          <t>JÄMTLANDS LÄN</t>
        </is>
      </c>
      <c r="E191" t="inlineStr">
        <is>
          <t>STRÖMSUND</t>
        </is>
      </c>
      <c r="G191" t="n">
        <v>2.3</v>
      </c>
      <c r="H191" t="n">
        <v>0</v>
      </c>
      <c r="I191" t="n">
        <v>1</v>
      </c>
      <c r="J191" t="n">
        <v>1</v>
      </c>
      <c r="K191" t="n">
        <v>0</v>
      </c>
      <c r="L191" t="n">
        <v>0</v>
      </c>
      <c r="M191" t="n">
        <v>0</v>
      </c>
      <c r="N191" t="n">
        <v>0</v>
      </c>
      <c r="O191" t="n">
        <v>1</v>
      </c>
      <c r="P191" t="n">
        <v>0</v>
      </c>
      <c r="Q191" t="n">
        <v>2</v>
      </c>
      <c r="R191" s="2" t="inlineStr">
        <is>
          <t>Orange taggsvamp
Svart trolldruva</t>
        </is>
      </c>
      <c r="S191">
        <f>HYPERLINK("https://klasma.github.io/Logging_2313/artfynd/A 37786-2022 artfynd.xlsx", "A 37786-2022")</f>
        <v/>
      </c>
      <c r="T191">
        <f>HYPERLINK("https://klasma.github.io/Logging_2313/kartor/A 37786-2022 karta.png", "A 37786-2022")</f>
        <v/>
      </c>
      <c r="V191">
        <f>HYPERLINK("https://klasma.github.io/Logging_2313/klagomål/A 37786-2022 FSC-klagomål.docx", "A 37786-2022")</f>
        <v/>
      </c>
      <c r="W191">
        <f>HYPERLINK("https://klasma.github.io/Logging_2313/klagomålsmail/A 37786-2022 FSC-klagomål mail.docx", "A 37786-2022")</f>
        <v/>
      </c>
      <c r="X191">
        <f>HYPERLINK("https://klasma.github.io/Logging_2313/tillsyn/A 37786-2022 tillsynsbegäran.docx", "A 37786-2022")</f>
        <v/>
      </c>
      <c r="Y191">
        <f>HYPERLINK("https://klasma.github.io/Logging_2313/tillsynsmail/A 37786-2022 tillsynsbegäran mail.docx", "A 37786-2022")</f>
        <v/>
      </c>
    </row>
    <row r="192" ht="15" customHeight="1">
      <c r="A192" t="inlineStr">
        <is>
          <t>A 2716-2025</t>
        </is>
      </c>
      <c r="B192" s="1" t="n">
        <v>45677.4275</v>
      </c>
      <c r="C192" s="1" t="n">
        <v>46048</v>
      </c>
      <c r="D192" t="inlineStr">
        <is>
          <t>JÄMTLANDS LÄN</t>
        </is>
      </c>
      <c r="E192" t="inlineStr">
        <is>
          <t>STRÖMSUND</t>
        </is>
      </c>
      <c r="F192" t="inlineStr">
        <is>
          <t>SCA</t>
        </is>
      </c>
      <c r="G192" t="n">
        <v>3.6</v>
      </c>
      <c r="H192" t="n">
        <v>0</v>
      </c>
      <c r="I192" t="n">
        <v>0</v>
      </c>
      <c r="J192" t="n">
        <v>2</v>
      </c>
      <c r="K192" t="n">
        <v>0</v>
      </c>
      <c r="L192" t="n">
        <v>0</v>
      </c>
      <c r="M192" t="n">
        <v>0</v>
      </c>
      <c r="N192" t="n">
        <v>0</v>
      </c>
      <c r="O192" t="n">
        <v>2</v>
      </c>
      <c r="P192" t="n">
        <v>0</v>
      </c>
      <c r="Q192" t="n">
        <v>2</v>
      </c>
      <c r="R192" s="2" t="inlineStr">
        <is>
          <t>Vaddporing
Vedskivlav</t>
        </is>
      </c>
      <c r="S192">
        <f>HYPERLINK("https://klasma.github.io/Logging_2313/artfynd/A 2716-2025 artfynd.xlsx", "A 2716-2025")</f>
        <v/>
      </c>
      <c r="T192">
        <f>HYPERLINK("https://klasma.github.io/Logging_2313/kartor/A 2716-2025 karta.png", "A 2716-2025")</f>
        <v/>
      </c>
      <c r="V192">
        <f>HYPERLINK("https://klasma.github.io/Logging_2313/klagomål/A 2716-2025 FSC-klagomål.docx", "A 2716-2025")</f>
        <v/>
      </c>
      <c r="W192">
        <f>HYPERLINK("https://klasma.github.io/Logging_2313/klagomålsmail/A 2716-2025 FSC-klagomål mail.docx", "A 2716-2025")</f>
        <v/>
      </c>
      <c r="X192">
        <f>HYPERLINK("https://klasma.github.io/Logging_2313/tillsyn/A 2716-2025 tillsynsbegäran.docx", "A 2716-2025")</f>
        <v/>
      </c>
      <c r="Y192">
        <f>HYPERLINK("https://klasma.github.io/Logging_2313/tillsynsmail/A 2716-2025 tillsynsbegäran mail.docx", "A 2716-2025")</f>
        <v/>
      </c>
    </row>
    <row r="193" ht="15" customHeight="1">
      <c r="A193" t="inlineStr">
        <is>
          <t>A 60503-2023</t>
        </is>
      </c>
      <c r="B193" s="1" t="n">
        <v>45258</v>
      </c>
      <c r="C193" s="1" t="n">
        <v>46048</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29071-2023</t>
        </is>
      </c>
      <c r="B194" s="1" t="n">
        <v>45104</v>
      </c>
      <c r="C194" s="1" t="n">
        <v>46048</v>
      </c>
      <c r="D194" t="inlineStr">
        <is>
          <t>JÄMTLANDS LÄN</t>
        </is>
      </c>
      <c r="E194" t="inlineStr">
        <is>
          <t>STRÖMSUND</t>
        </is>
      </c>
      <c r="F194" t="inlineStr">
        <is>
          <t>SCA</t>
        </is>
      </c>
      <c r="G194" t="n">
        <v>6.9</v>
      </c>
      <c r="H194" t="n">
        <v>0</v>
      </c>
      <c r="I194" t="n">
        <v>0</v>
      </c>
      <c r="J194" t="n">
        <v>2</v>
      </c>
      <c r="K194" t="n">
        <v>0</v>
      </c>
      <c r="L194" t="n">
        <v>0</v>
      </c>
      <c r="M194" t="n">
        <v>0</v>
      </c>
      <c r="N194" t="n">
        <v>0</v>
      </c>
      <c r="O194" t="n">
        <v>2</v>
      </c>
      <c r="P194" t="n">
        <v>0</v>
      </c>
      <c r="Q194" t="n">
        <v>2</v>
      </c>
      <c r="R194" s="2" t="inlineStr">
        <is>
          <t>Dvärgbägarlav
Kortskaftad ärgspik</t>
        </is>
      </c>
      <c r="S194">
        <f>HYPERLINK("https://klasma.github.io/Logging_2313/artfynd/A 29071-2023 artfynd.xlsx", "A 29071-2023")</f>
        <v/>
      </c>
      <c r="T194">
        <f>HYPERLINK("https://klasma.github.io/Logging_2313/kartor/A 29071-2023 karta.png", "A 29071-2023")</f>
        <v/>
      </c>
      <c r="V194">
        <f>HYPERLINK("https://klasma.github.io/Logging_2313/klagomål/A 29071-2023 FSC-klagomål.docx", "A 29071-2023")</f>
        <v/>
      </c>
      <c r="W194">
        <f>HYPERLINK("https://klasma.github.io/Logging_2313/klagomålsmail/A 29071-2023 FSC-klagomål mail.docx", "A 29071-2023")</f>
        <v/>
      </c>
      <c r="X194">
        <f>HYPERLINK("https://klasma.github.io/Logging_2313/tillsyn/A 29071-2023 tillsynsbegäran.docx", "A 29071-2023")</f>
        <v/>
      </c>
      <c r="Y194">
        <f>HYPERLINK("https://klasma.github.io/Logging_2313/tillsynsmail/A 29071-2023 tillsynsbegäran mail.docx", "A 29071-2023")</f>
        <v/>
      </c>
    </row>
    <row r="195" ht="15" customHeight="1">
      <c r="A195" t="inlineStr">
        <is>
          <t>A 27022-2025</t>
        </is>
      </c>
      <c r="B195" s="1" t="n">
        <v>45811.57333333333</v>
      </c>
      <c r="C195" s="1" t="n">
        <v>46048</v>
      </c>
      <c r="D195" t="inlineStr">
        <is>
          <t>JÄMTLANDS LÄN</t>
        </is>
      </c>
      <c r="E195" t="inlineStr">
        <is>
          <t>STRÖMSUND</t>
        </is>
      </c>
      <c r="F195" t="inlineStr">
        <is>
          <t>SCA</t>
        </is>
      </c>
      <c r="G195" t="n">
        <v>4.9</v>
      </c>
      <c r="H195" t="n">
        <v>0</v>
      </c>
      <c r="I195" t="n">
        <v>1</v>
      </c>
      <c r="J195" t="n">
        <v>1</v>
      </c>
      <c r="K195" t="n">
        <v>0</v>
      </c>
      <c r="L195" t="n">
        <v>0</v>
      </c>
      <c r="M195" t="n">
        <v>0</v>
      </c>
      <c r="N195" t="n">
        <v>0</v>
      </c>
      <c r="O195" t="n">
        <v>1</v>
      </c>
      <c r="P195" t="n">
        <v>0</v>
      </c>
      <c r="Q195" t="n">
        <v>2</v>
      </c>
      <c r="R195" s="2" t="inlineStr">
        <is>
          <t>Granticka
Dropptaggsvamp</t>
        </is>
      </c>
      <c r="S195">
        <f>HYPERLINK("https://klasma.github.io/Logging_2313/artfynd/A 27022-2025 artfynd.xlsx", "A 27022-2025")</f>
        <v/>
      </c>
      <c r="T195">
        <f>HYPERLINK("https://klasma.github.io/Logging_2313/kartor/A 27022-2025 karta.png", "A 27022-2025")</f>
        <v/>
      </c>
      <c r="V195">
        <f>HYPERLINK("https://klasma.github.io/Logging_2313/klagomål/A 27022-2025 FSC-klagomål.docx", "A 27022-2025")</f>
        <v/>
      </c>
      <c r="W195">
        <f>HYPERLINK("https://klasma.github.io/Logging_2313/klagomålsmail/A 27022-2025 FSC-klagomål mail.docx", "A 27022-2025")</f>
        <v/>
      </c>
      <c r="X195">
        <f>HYPERLINK("https://klasma.github.io/Logging_2313/tillsyn/A 27022-2025 tillsynsbegäran.docx", "A 27022-2025")</f>
        <v/>
      </c>
      <c r="Y195">
        <f>HYPERLINK("https://klasma.github.io/Logging_2313/tillsynsmail/A 27022-2025 tillsynsbegäran mail.docx", "A 27022-2025")</f>
        <v/>
      </c>
    </row>
    <row r="196" ht="15" customHeight="1">
      <c r="A196" t="inlineStr">
        <is>
          <t>A 27163-2025</t>
        </is>
      </c>
      <c r="B196" s="1" t="n">
        <v>45812.34414351852</v>
      </c>
      <c r="C196" s="1" t="n">
        <v>46048</v>
      </c>
      <c r="D196" t="inlineStr">
        <is>
          <t>JÄMTLANDS LÄN</t>
        </is>
      </c>
      <c r="E196" t="inlineStr">
        <is>
          <t>STRÖMSUND</t>
        </is>
      </c>
      <c r="F196" t="inlineStr">
        <is>
          <t>SCA</t>
        </is>
      </c>
      <c r="G196" t="n">
        <v>8.199999999999999</v>
      </c>
      <c r="H196" t="n">
        <v>0</v>
      </c>
      <c r="I196" t="n">
        <v>0</v>
      </c>
      <c r="J196" t="n">
        <v>2</v>
      </c>
      <c r="K196" t="n">
        <v>0</v>
      </c>
      <c r="L196" t="n">
        <v>0</v>
      </c>
      <c r="M196" t="n">
        <v>0</v>
      </c>
      <c r="N196" t="n">
        <v>0</v>
      </c>
      <c r="O196" t="n">
        <v>2</v>
      </c>
      <c r="P196" t="n">
        <v>0</v>
      </c>
      <c r="Q196" t="n">
        <v>2</v>
      </c>
      <c r="R196" s="2" t="inlineStr">
        <is>
          <t>Garnlav
Ullticka</t>
        </is>
      </c>
      <c r="S196">
        <f>HYPERLINK("https://klasma.github.io/Logging_2313/artfynd/A 27163-2025 artfynd.xlsx", "A 27163-2025")</f>
        <v/>
      </c>
      <c r="T196">
        <f>HYPERLINK("https://klasma.github.io/Logging_2313/kartor/A 27163-2025 karta.png", "A 27163-2025")</f>
        <v/>
      </c>
      <c r="V196">
        <f>HYPERLINK("https://klasma.github.io/Logging_2313/klagomål/A 27163-2025 FSC-klagomål.docx", "A 27163-2025")</f>
        <v/>
      </c>
      <c r="W196">
        <f>HYPERLINK("https://klasma.github.io/Logging_2313/klagomålsmail/A 27163-2025 FSC-klagomål mail.docx", "A 27163-2025")</f>
        <v/>
      </c>
      <c r="X196">
        <f>HYPERLINK("https://klasma.github.io/Logging_2313/tillsyn/A 27163-2025 tillsynsbegäran.docx", "A 27163-2025")</f>
        <v/>
      </c>
      <c r="Y196">
        <f>HYPERLINK("https://klasma.github.io/Logging_2313/tillsynsmail/A 27163-2025 tillsynsbegäran mail.docx", "A 27163-2025")</f>
        <v/>
      </c>
    </row>
    <row r="197" ht="15" customHeight="1">
      <c r="A197" t="inlineStr">
        <is>
          <t>A 42239-2021</t>
        </is>
      </c>
      <c r="B197" s="1" t="n">
        <v>44426</v>
      </c>
      <c r="C197" s="1" t="n">
        <v>46048</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49190-2024</t>
        </is>
      </c>
      <c r="B198" s="1" t="n">
        <v>45595.34515046296</v>
      </c>
      <c r="C198" s="1" t="n">
        <v>46048</v>
      </c>
      <c r="D198" t="inlineStr">
        <is>
          <t>JÄMTLANDS LÄN</t>
        </is>
      </c>
      <c r="E198" t="inlineStr">
        <is>
          <t>STRÖMSUND</t>
        </is>
      </c>
      <c r="F198" t="inlineStr">
        <is>
          <t>SCA</t>
        </is>
      </c>
      <c r="G198" t="n">
        <v>8</v>
      </c>
      <c r="H198" t="n">
        <v>0</v>
      </c>
      <c r="I198" t="n">
        <v>0</v>
      </c>
      <c r="J198" t="n">
        <v>2</v>
      </c>
      <c r="K198" t="n">
        <v>0</v>
      </c>
      <c r="L198" t="n">
        <v>0</v>
      </c>
      <c r="M198" t="n">
        <v>0</v>
      </c>
      <c r="N198" t="n">
        <v>0</v>
      </c>
      <c r="O198" t="n">
        <v>2</v>
      </c>
      <c r="P198" t="n">
        <v>0</v>
      </c>
      <c r="Q198" t="n">
        <v>2</v>
      </c>
      <c r="R198" s="2" t="inlineStr">
        <is>
          <t>Gammelgransskål
Ullticka</t>
        </is>
      </c>
      <c r="S198">
        <f>HYPERLINK("https://klasma.github.io/Logging_2313/artfynd/A 49190-2024 artfynd.xlsx", "A 49190-2024")</f>
        <v/>
      </c>
      <c r="T198">
        <f>HYPERLINK("https://klasma.github.io/Logging_2313/kartor/A 49190-2024 karta.png", "A 49190-2024")</f>
        <v/>
      </c>
      <c r="V198">
        <f>HYPERLINK("https://klasma.github.io/Logging_2313/klagomål/A 49190-2024 FSC-klagomål.docx", "A 49190-2024")</f>
        <v/>
      </c>
      <c r="W198">
        <f>HYPERLINK("https://klasma.github.io/Logging_2313/klagomålsmail/A 49190-2024 FSC-klagomål mail.docx", "A 49190-2024")</f>
        <v/>
      </c>
      <c r="X198">
        <f>HYPERLINK("https://klasma.github.io/Logging_2313/tillsyn/A 49190-2024 tillsynsbegäran.docx", "A 49190-2024")</f>
        <v/>
      </c>
      <c r="Y198">
        <f>HYPERLINK("https://klasma.github.io/Logging_2313/tillsynsmail/A 49190-2024 tillsynsbegäran mail.docx", "A 49190-2024")</f>
        <v/>
      </c>
    </row>
    <row r="199" ht="15" customHeight="1">
      <c r="A199" t="inlineStr">
        <is>
          <t>A 27622-2025</t>
        </is>
      </c>
      <c r="B199" s="1" t="n">
        <v>45813.55273148148</v>
      </c>
      <c r="C199" s="1" t="n">
        <v>46048</v>
      </c>
      <c r="D199" t="inlineStr">
        <is>
          <t>JÄMTLANDS LÄN</t>
        </is>
      </c>
      <c r="E199" t="inlineStr">
        <is>
          <t>STRÖMSUND</t>
        </is>
      </c>
      <c r="F199" t="inlineStr">
        <is>
          <t>SCA</t>
        </is>
      </c>
      <c r="G199" t="n">
        <v>2.4</v>
      </c>
      <c r="H199" t="n">
        <v>0</v>
      </c>
      <c r="I199" t="n">
        <v>1</v>
      </c>
      <c r="J199" t="n">
        <v>1</v>
      </c>
      <c r="K199" t="n">
        <v>0</v>
      </c>
      <c r="L199" t="n">
        <v>0</v>
      </c>
      <c r="M199" t="n">
        <v>0</v>
      </c>
      <c r="N199" t="n">
        <v>0</v>
      </c>
      <c r="O199" t="n">
        <v>1</v>
      </c>
      <c r="P199" t="n">
        <v>0</v>
      </c>
      <c r="Q199" t="n">
        <v>2</v>
      </c>
      <c r="R199" s="2" t="inlineStr">
        <is>
          <t>Vaddporing
Svart trolldruva</t>
        </is>
      </c>
      <c r="S199">
        <f>HYPERLINK("https://klasma.github.io/Logging_2313/artfynd/A 27622-2025 artfynd.xlsx", "A 27622-2025")</f>
        <v/>
      </c>
      <c r="T199">
        <f>HYPERLINK("https://klasma.github.io/Logging_2313/kartor/A 27622-2025 karta.png", "A 27622-2025")</f>
        <v/>
      </c>
      <c r="V199">
        <f>HYPERLINK("https://klasma.github.io/Logging_2313/klagomål/A 27622-2025 FSC-klagomål.docx", "A 27622-2025")</f>
        <v/>
      </c>
      <c r="W199">
        <f>HYPERLINK("https://klasma.github.io/Logging_2313/klagomålsmail/A 27622-2025 FSC-klagomål mail.docx", "A 27622-2025")</f>
        <v/>
      </c>
      <c r="X199">
        <f>HYPERLINK("https://klasma.github.io/Logging_2313/tillsyn/A 27622-2025 tillsynsbegäran.docx", "A 27622-2025")</f>
        <v/>
      </c>
      <c r="Y199">
        <f>HYPERLINK("https://klasma.github.io/Logging_2313/tillsynsmail/A 27622-2025 tillsynsbegäran mail.docx", "A 27622-2025")</f>
        <v/>
      </c>
    </row>
    <row r="200" ht="15" customHeight="1">
      <c r="A200" t="inlineStr">
        <is>
          <t>A 59742-2024</t>
        </is>
      </c>
      <c r="B200" s="1" t="n">
        <v>45639.53158564815</v>
      </c>
      <c r="C200" s="1" t="n">
        <v>46048</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29537-2025</t>
        </is>
      </c>
      <c r="B201" s="1" t="n">
        <v>45825.34508101852</v>
      </c>
      <c r="C201" s="1" t="n">
        <v>46048</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13189-2023</t>
        </is>
      </c>
      <c r="B202" s="1" t="n">
        <v>45002</v>
      </c>
      <c r="C202" s="1" t="n">
        <v>46048</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27367-2023</t>
        </is>
      </c>
      <c r="B203" s="1" t="n">
        <v>45096</v>
      </c>
      <c r="C203" s="1" t="n">
        <v>46048</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46048</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46048</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46048</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36837-2024</t>
        </is>
      </c>
      <c r="B207" s="1" t="n">
        <v>45538.52561342593</v>
      </c>
      <c r="C207" s="1" t="n">
        <v>46048</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32100-2025</t>
        </is>
      </c>
      <c r="B208" s="1" t="n">
        <v>45835.468125</v>
      </c>
      <c r="C208" s="1" t="n">
        <v>46048</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63532-2021</t>
        </is>
      </c>
      <c r="B209" s="1" t="n">
        <v>44504</v>
      </c>
      <c r="C209" s="1" t="n">
        <v>46048</v>
      </c>
      <c r="D209" t="inlineStr">
        <is>
          <t>JÄMTLANDS LÄN</t>
        </is>
      </c>
      <c r="E209" t="inlineStr">
        <is>
          <t>STRÖMSUND</t>
        </is>
      </c>
      <c r="F209" t="inlineStr">
        <is>
          <t>SCA</t>
        </is>
      </c>
      <c r="G209" t="n">
        <v>22.3</v>
      </c>
      <c r="H209" t="n">
        <v>0</v>
      </c>
      <c r="I209" t="n">
        <v>0</v>
      </c>
      <c r="J209" t="n">
        <v>1</v>
      </c>
      <c r="K209" t="n">
        <v>1</v>
      </c>
      <c r="L209" t="n">
        <v>0</v>
      </c>
      <c r="M209" t="n">
        <v>0</v>
      </c>
      <c r="N209" t="n">
        <v>0</v>
      </c>
      <c r="O209" t="n">
        <v>2</v>
      </c>
      <c r="P209" t="n">
        <v>1</v>
      </c>
      <c r="Q209" t="n">
        <v>2</v>
      </c>
      <c r="R209" s="2" t="inlineStr">
        <is>
          <t>Norsk näverlav
Gränsticka</t>
        </is>
      </c>
      <c r="S209">
        <f>HYPERLINK("https://klasma.github.io/Logging_2313/artfynd/A 63532-2021 artfynd.xlsx", "A 63532-2021")</f>
        <v/>
      </c>
      <c r="T209">
        <f>HYPERLINK("https://klasma.github.io/Logging_2313/kartor/A 63532-2021 karta.png", "A 63532-2021")</f>
        <v/>
      </c>
      <c r="V209">
        <f>HYPERLINK("https://klasma.github.io/Logging_2313/klagomål/A 63532-2021 FSC-klagomål.docx", "A 63532-2021")</f>
        <v/>
      </c>
      <c r="W209">
        <f>HYPERLINK("https://klasma.github.io/Logging_2313/klagomålsmail/A 63532-2021 FSC-klagomål mail.docx", "A 63532-2021")</f>
        <v/>
      </c>
      <c r="X209">
        <f>HYPERLINK("https://klasma.github.io/Logging_2313/tillsyn/A 63532-2021 tillsynsbegäran.docx", "A 63532-2021")</f>
        <v/>
      </c>
      <c r="Y209">
        <f>HYPERLINK("https://klasma.github.io/Logging_2313/tillsynsmail/A 63532-2021 tillsynsbegäran mail.docx", "A 63532-2021")</f>
        <v/>
      </c>
    </row>
    <row r="210" ht="15" customHeight="1">
      <c r="A210" t="inlineStr">
        <is>
          <t>A 32428-2025</t>
        </is>
      </c>
      <c r="B210" s="1" t="n">
        <v>45838.36509259259</v>
      </c>
      <c r="C210" s="1" t="n">
        <v>46048</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49183-2024</t>
        </is>
      </c>
      <c r="B211" s="1" t="n">
        <v>45595.34423611111</v>
      </c>
      <c r="C211" s="1" t="n">
        <v>46048</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35643-2025</t>
        </is>
      </c>
      <c r="B212" s="1" t="n">
        <v>45859.49013888889</v>
      </c>
      <c r="C212" s="1" t="n">
        <v>46048</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46048</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21629-2024</t>
        </is>
      </c>
      <c r="B214" s="1" t="n">
        <v>45442.32594907407</v>
      </c>
      <c r="C214" s="1" t="n">
        <v>46048</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38281-2024</t>
        </is>
      </c>
      <c r="B215" s="1" t="n">
        <v>45545.61533564814</v>
      </c>
      <c r="C215" s="1" t="n">
        <v>46048</v>
      </c>
      <c r="D215" t="inlineStr">
        <is>
          <t>JÄMTLANDS LÄN</t>
        </is>
      </c>
      <c r="E215" t="inlineStr">
        <is>
          <t>STRÖMSUND</t>
        </is>
      </c>
      <c r="F215" t="inlineStr">
        <is>
          <t>SCA</t>
        </is>
      </c>
      <c r="G215" t="n">
        <v>1.7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38281-2024 artfynd.xlsx", "A 38281-2024")</f>
        <v/>
      </c>
      <c r="T215">
        <f>HYPERLINK("https://klasma.github.io/Logging_2313/kartor/A 38281-2024 karta.png", "A 38281-2024")</f>
        <v/>
      </c>
      <c r="V215">
        <f>HYPERLINK("https://klasma.github.io/Logging_2313/klagomål/A 38281-2024 FSC-klagomål.docx", "A 38281-2024")</f>
        <v/>
      </c>
      <c r="W215">
        <f>HYPERLINK("https://klasma.github.io/Logging_2313/klagomålsmail/A 38281-2024 FSC-klagomål mail.docx", "A 38281-2024")</f>
        <v/>
      </c>
      <c r="X215">
        <f>HYPERLINK("https://klasma.github.io/Logging_2313/tillsyn/A 38281-2024 tillsynsbegäran.docx", "A 38281-2024")</f>
        <v/>
      </c>
      <c r="Y215">
        <f>HYPERLINK("https://klasma.github.io/Logging_2313/tillsynsmail/A 38281-2024 tillsynsbegäran mail.docx", "A 38281-2024")</f>
        <v/>
      </c>
    </row>
    <row r="216" ht="15" customHeight="1">
      <c r="A216" t="inlineStr">
        <is>
          <t>A 40010-2025</t>
        </is>
      </c>
      <c r="B216" s="1" t="n">
        <v>45894.34471064815</v>
      </c>
      <c r="C216" s="1" t="n">
        <v>46048</v>
      </c>
      <c r="D216" t="inlineStr">
        <is>
          <t>JÄMTLANDS LÄN</t>
        </is>
      </c>
      <c r="E216" t="inlineStr">
        <is>
          <t>STRÖMSUND</t>
        </is>
      </c>
      <c r="F216" t="inlineStr">
        <is>
          <t>SCA</t>
        </is>
      </c>
      <c r="G216" t="n">
        <v>1.9</v>
      </c>
      <c r="H216" t="n">
        <v>1</v>
      </c>
      <c r="I216" t="n">
        <v>0</v>
      </c>
      <c r="J216" t="n">
        <v>2</v>
      </c>
      <c r="K216" t="n">
        <v>0</v>
      </c>
      <c r="L216" t="n">
        <v>0</v>
      </c>
      <c r="M216" t="n">
        <v>0</v>
      </c>
      <c r="N216" t="n">
        <v>0</v>
      </c>
      <c r="O216" t="n">
        <v>2</v>
      </c>
      <c r="P216" t="n">
        <v>0</v>
      </c>
      <c r="Q216" t="n">
        <v>2</v>
      </c>
      <c r="R216" s="2" t="inlineStr">
        <is>
          <t>Tretåig hackspett
Vitgrynig nållav</t>
        </is>
      </c>
      <c r="S216">
        <f>HYPERLINK("https://klasma.github.io/Logging_2313/artfynd/A 40010-2025 artfynd.xlsx", "A 40010-2025")</f>
        <v/>
      </c>
      <c r="T216">
        <f>HYPERLINK("https://klasma.github.io/Logging_2313/kartor/A 40010-2025 karta.png", "A 40010-2025")</f>
        <v/>
      </c>
      <c r="V216">
        <f>HYPERLINK("https://klasma.github.io/Logging_2313/klagomål/A 40010-2025 FSC-klagomål.docx", "A 40010-2025")</f>
        <v/>
      </c>
      <c r="W216">
        <f>HYPERLINK("https://klasma.github.io/Logging_2313/klagomålsmail/A 40010-2025 FSC-klagomål mail.docx", "A 40010-2025")</f>
        <v/>
      </c>
      <c r="X216">
        <f>HYPERLINK("https://klasma.github.io/Logging_2313/tillsyn/A 40010-2025 tillsynsbegäran.docx", "A 40010-2025")</f>
        <v/>
      </c>
      <c r="Y216">
        <f>HYPERLINK("https://klasma.github.io/Logging_2313/tillsynsmail/A 40010-2025 tillsynsbegäran mail.docx", "A 40010-2025")</f>
        <v/>
      </c>
      <c r="Z216">
        <f>HYPERLINK("https://klasma.github.io/Logging_2313/fåglar/A 40010-2025 prioriterade fågelarter.docx", "A 40010-2025")</f>
        <v/>
      </c>
    </row>
    <row r="217" ht="15" customHeight="1">
      <c r="A217" t="inlineStr">
        <is>
          <t>A 45073-2025</t>
        </is>
      </c>
      <c r="B217" s="1" t="n">
        <v>45919.36067129629</v>
      </c>
      <c r="C217" s="1" t="n">
        <v>46048</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45613-2025</t>
        </is>
      </c>
      <c r="B218" s="1" t="n">
        <v>45922.71922453704</v>
      </c>
      <c r="C218" s="1" t="n">
        <v>46048</v>
      </c>
      <c r="D218" t="inlineStr">
        <is>
          <t>JÄMTLANDS LÄN</t>
        </is>
      </c>
      <c r="E218" t="inlineStr">
        <is>
          <t>STRÖMSUND</t>
        </is>
      </c>
      <c r="F218" t="inlineStr">
        <is>
          <t>SCA</t>
        </is>
      </c>
      <c r="G218" t="n">
        <v>3</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45613-2025 artfynd.xlsx", "A 45613-2025")</f>
        <v/>
      </c>
      <c r="T218">
        <f>HYPERLINK("https://klasma.github.io/Logging_2313/kartor/A 45613-2025 karta.png", "A 45613-2025")</f>
        <v/>
      </c>
      <c r="V218">
        <f>HYPERLINK("https://klasma.github.io/Logging_2313/klagomål/A 45613-2025 FSC-klagomål.docx", "A 45613-2025")</f>
        <v/>
      </c>
      <c r="W218">
        <f>HYPERLINK("https://klasma.github.io/Logging_2313/klagomålsmail/A 45613-2025 FSC-klagomål mail.docx", "A 45613-2025")</f>
        <v/>
      </c>
      <c r="X218">
        <f>HYPERLINK("https://klasma.github.io/Logging_2313/tillsyn/A 45613-2025 tillsynsbegäran.docx", "A 45613-2025")</f>
        <v/>
      </c>
      <c r="Y218">
        <f>HYPERLINK("https://klasma.github.io/Logging_2313/tillsynsmail/A 45613-2025 tillsynsbegäran mail.docx", "A 45613-2025")</f>
        <v/>
      </c>
    </row>
    <row r="219" ht="15" customHeight="1">
      <c r="A219" t="inlineStr">
        <is>
          <t>A 20781-2024</t>
        </is>
      </c>
      <c r="B219" s="1" t="n">
        <v>45436.94723379629</v>
      </c>
      <c r="C219" s="1" t="n">
        <v>46048</v>
      </c>
      <c r="D219" t="inlineStr">
        <is>
          <t>JÄMTLANDS LÄN</t>
        </is>
      </c>
      <c r="E219" t="inlineStr">
        <is>
          <t>STRÖMSUND</t>
        </is>
      </c>
      <c r="F219" t="inlineStr">
        <is>
          <t>SCA</t>
        </is>
      </c>
      <c r="G219" t="n">
        <v>3</v>
      </c>
      <c r="H219" t="n">
        <v>1</v>
      </c>
      <c r="I219" t="n">
        <v>0</v>
      </c>
      <c r="J219" t="n">
        <v>1</v>
      </c>
      <c r="K219" t="n">
        <v>0</v>
      </c>
      <c r="L219" t="n">
        <v>1</v>
      </c>
      <c r="M219" t="n">
        <v>0</v>
      </c>
      <c r="N219" t="n">
        <v>0</v>
      </c>
      <c r="O219" t="n">
        <v>2</v>
      </c>
      <c r="P219" t="n">
        <v>1</v>
      </c>
      <c r="Q219" t="n">
        <v>2</v>
      </c>
      <c r="R219" s="2" t="inlineStr">
        <is>
          <t>Storspov
Majviva</t>
        </is>
      </c>
      <c r="S219">
        <f>HYPERLINK("https://klasma.github.io/Logging_2313/artfynd/A 20781-2024 artfynd.xlsx", "A 20781-2024")</f>
        <v/>
      </c>
      <c r="T219">
        <f>HYPERLINK("https://klasma.github.io/Logging_2313/kartor/A 20781-2024 karta.png", "A 20781-2024")</f>
        <v/>
      </c>
      <c r="V219">
        <f>HYPERLINK("https://klasma.github.io/Logging_2313/klagomål/A 20781-2024 FSC-klagomål.docx", "A 20781-2024")</f>
        <v/>
      </c>
      <c r="W219">
        <f>HYPERLINK("https://klasma.github.io/Logging_2313/klagomålsmail/A 20781-2024 FSC-klagomål mail.docx", "A 20781-2024")</f>
        <v/>
      </c>
      <c r="X219">
        <f>HYPERLINK("https://klasma.github.io/Logging_2313/tillsyn/A 20781-2024 tillsynsbegäran.docx", "A 20781-2024")</f>
        <v/>
      </c>
      <c r="Y219">
        <f>HYPERLINK("https://klasma.github.io/Logging_2313/tillsynsmail/A 20781-2024 tillsynsbegäran mail.docx", "A 20781-2024")</f>
        <v/>
      </c>
    </row>
    <row r="220" ht="15" customHeight="1">
      <c r="A220" t="inlineStr">
        <is>
          <t>A 30351-2024</t>
        </is>
      </c>
      <c r="B220" s="1" t="n">
        <v>45490</v>
      </c>
      <c r="C220" s="1" t="n">
        <v>46048</v>
      </c>
      <c r="D220" t="inlineStr">
        <is>
          <t>JÄMTLANDS LÄN</t>
        </is>
      </c>
      <c r="E220" t="inlineStr">
        <is>
          <t>STRÖMSUND</t>
        </is>
      </c>
      <c r="F220" t="inlineStr">
        <is>
          <t>SCA</t>
        </is>
      </c>
      <c r="G220" t="n">
        <v>4.8</v>
      </c>
      <c r="H220" t="n">
        <v>0</v>
      </c>
      <c r="I220" t="n">
        <v>0</v>
      </c>
      <c r="J220" t="n">
        <v>1</v>
      </c>
      <c r="K220" t="n">
        <v>1</v>
      </c>
      <c r="L220" t="n">
        <v>0</v>
      </c>
      <c r="M220" t="n">
        <v>0</v>
      </c>
      <c r="N220" t="n">
        <v>0</v>
      </c>
      <c r="O220" t="n">
        <v>2</v>
      </c>
      <c r="P220" t="n">
        <v>1</v>
      </c>
      <c r="Q220" t="n">
        <v>2</v>
      </c>
      <c r="R220" s="2" t="inlineStr">
        <is>
          <t>Rynkskinn
Gammelgransskål</t>
        </is>
      </c>
      <c r="S220">
        <f>HYPERLINK("https://klasma.github.io/Logging_2313/artfynd/A 30351-2024 artfynd.xlsx", "A 30351-2024")</f>
        <v/>
      </c>
      <c r="T220">
        <f>HYPERLINK("https://klasma.github.io/Logging_2313/kartor/A 30351-2024 karta.png", "A 30351-2024")</f>
        <v/>
      </c>
      <c r="V220">
        <f>HYPERLINK("https://klasma.github.io/Logging_2313/klagomål/A 30351-2024 FSC-klagomål.docx", "A 30351-2024")</f>
        <v/>
      </c>
      <c r="W220">
        <f>HYPERLINK("https://klasma.github.io/Logging_2313/klagomålsmail/A 30351-2024 FSC-klagomål mail.docx", "A 30351-2024")</f>
        <v/>
      </c>
      <c r="X220">
        <f>HYPERLINK("https://klasma.github.io/Logging_2313/tillsyn/A 30351-2024 tillsynsbegäran.docx", "A 30351-2024")</f>
        <v/>
      </c>
      <c r="Y220">
        <f>HYPERLINK("https://klasma.github.io/Logging_2313/tillsynsmail/A 30351-2024 tillsynsbegäran mail.docx", "A 30351-2024")</f>
        <v/>
      </c>
    </row>
    <row r="221" ht="15" customHeight="1">
      <c r="A221" t="inlineStr">
        <is>
          <t>A 49043-2025</t>
        </is>
      </c>
      <c r="B221" s="1" t="n">
        <v>45937.63622685185</v>
      </c>
      <c r="C221" s="1" t="n">
        <v>46048</v>
      </c>
      <c r="D221" t="inlineStr">
        <is>
          <t>JÄMTLANDS LÄN</t>
        </is>
      </c>
      <c r="E221" t="inlineStr">
        <is>
          <t>STRÖMSUND</t>
        </is>
      </c>
      <c r="F221" t="inlineStr">
        <is>
          <t>SCA</t>
        </is>
      </c>
      <c r="G221" t="n">
        <v>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HYPERLINK("https://klasma.github.io/Logging_2313/artfynd/A 49043-2025 artfynd.xlsx", "A 49043-2025")</f>
        <v/>
      </c>
      <c r="T221">
        <f>HYPERLINK("https://klasma.github.io/Logging_2313/kartor/A 49043-2025 karta.png", "A 49043-2025")</f>
        <v/>
      </c>
      <c r="V221">
        <f>HYPERLINK("https://klasma.github.io/Logging_2313/klagomål/A 49043-2025 FSC-klagomål.docx", "A 49043-2025")</f>
        <v/>
      </c>
      <c r="W221">
        <f>HYPERLINK("https://klasma.github.io/Logging_2313/klagomålsmail/A 49043-2025 FSC-klagomål mail.docx", "A 49043-2025")</f>
        <v/>
      </c>
      <c r="X221">
        <f>HYPERLINK("https://klasma.github.io/Logging_2313/tillsyn/A 49043-2025 tillsynsbegäran.docx", "A 49043-2025")</f>
        <v/>
      </c>
      <c r="Y221">
        <f>HYPERLINK("https://klasma.github.io/Logging_2313/tillsynsmail/A 49043-2025 tillsynsbegäran mail.docx", "A 49043-2025")</f>
        <v/>
      </c>
    </row>
    <row r="222" ht="15" customHeight="1">
      <c r="A222" t="inlineStr">
        <is>
          <t>A 50974-2025</t>
        </is>
      </c>
      <c r="B222" s="1" t="n">
        <v>45947.31434027778</v>
      </c>
      <c r="C222" s="1" t="n">
        <v>46048</v>
      </c>
      <c r="D222" t="inlineStr">
        <is>
          <t>JÄMTLANDS LÄN</t>
        </is>
      </c>
      <c r="E222" t="inlineStr">
        <is>
          <t>STRÖMSUND</t>
        </is>
      </c>
      <c r="F222" t="inlineStr">
        <is>
          <t>Övriga statliga verk och myndigheter</t>
        </is>
      </c>
      <c r="G222" t="n">
        <v>3.8</v>
      </c>
      <c r="H222" t="n">
        <v>0</v>
      </c>
      <c r="I222" t="n">
        <v>0</v>
      </c>
      <c r="J222" t="n">
        <v>2</v>
      </c>
      <c r="K222" t="n">
        <v>0</v>
      </c>
      <c r="L222" t="n">
        <v>0</v>
      </c>
      <c r="M222" t="n">
        <v>0</v>
      </c>
      <c r="N222" t="n">
        <v>0</v>
      </c>
      <c r="O222" t="n">
        <v>2</v>
      </c>
      <c r="P222" t="n">
        <v>0</v>
      </c>
      <c r="Q222" t="n">
        <v>2</v>
      </c>
      <c r="R222" s="2" t="inlineStr">
        <is>
          <t>Garnlav
Liten svartspik</t>
        </is>
      </c>
      <c r="S222">
        <f>HYPERLINK("https://klasma.github.io/Logging_2313/artfynd/A 50974-2025 artfynd.xlsx", "A 50974-2025")</f>
        <v/>
      </c>
      <c r="T222">
        <f>HYPERLINK("https://klasma.github.io/Logging_2313/kartor/A 50974-2025 karta.png", "A 50974-2025")</f>
        <v/>
      </c>
      <c r="V222">
        <f>HYPERLINK("https://klasma.github.io/Logging_2313/klagomål/A 50974-2025 FSC-klagomål.docx", "A 50974-2025")</f>
        <v/>
      </c>
      <c r="W222">
        <f>HYPERLINK("https://klasma.github.io/Logging_2313/klagomålsmail/A 50974-2025 FSC-klagomål mail.docx", "A 50974-2025")</f>
        <v/>
      </c>
      <c r="X222">
        <f>HYPERLINK("https://klasma.github.io/Logging_2313/tillsyn/A 50974-2025 tillsynsbegäran.docx", "A 50974-2025")</f>
        <v/>
      </c>
      <c r="Y222">
        <f>HYPERLINK("https://klasma.github.io/Logging_2313/tillsynsmail/A 50974-2025 tillsynsbegäran mail.docx", "A 50974-2025")</f>
        <v/>
      </c>
    </row>
    <row r="223" ht="15" customHeight="1">
      <c r="A223" t="inlineStr">
        <is>
          <t>A 54573-2025</t>
        </is>
      </c>
      <c r="B223" s="1" t="n">
        <v>45965</v>
      </c>
      <c r="C223" s="1" t="n">
        <v>46048</v>
      </c>
      <c r="D223" t="inlineStr">
        <is>
          <t>JÄMTLANDS LÄN</t>
        </is>
      </c>
      <c r="E223" t="inlineStr">
        <is>
          <t>STRÖMSUND</t>
        </is>
      </c>
      <c r="G223" t="n">
        <v>5.3</v>
      </c>
      <c r="H223" t="n">
        <v>0</v>
      </c>
      <c r="I223" t="n">
        <v>2</v>
      </c>
      <c r="J223" t="n">
        <v>0</v>
      </c>
      <c r="K223" t="n">
        <v>0</v>
      </c>
      <c r="L223" t="n">
        <v>0</v>
      </c>
      <c r="M223" t="n">
        <v>0</v>
      </c>
      <c r="N223" t="n">
        <v>0</v>
      </c>
      <c r="O223" t="n">
        <v>0</v>
      </c>
      <c r="P223" t="n">
        <v>0</v>
      </c>
      <c r="Q223" t="n">
        <v>2</v>
      </c>
      <c r="R223" s="2" t="inlineStr">
        <is>
          <t>Kransrams
Stuplav</t>
        </is>
      </c>
      <c r="S223">
        <f>HYPERLINK("https://klasma.github.io/Logging_2313/artfynd/A 54573-2025 artfynd.xlsx", "A 54573-2025")</f>
        <v/>
      </c>
      <c r="T223">
        <f>HYPERLINK("https://klasma.github.io/Logging_2313/kartor/A 54573-2025 karta.png", "A 54573-2025")</f>
        <v/>
      </c>
      <c r="V223">
        <f>HYPERLINK("https://klasma.github.io/Logging_2313/klagomål/A 54573-2025 FSC-klagomål.docx", "A 54573-2025")</f>
        <v/>
      </c>
      <c r="W223">
        <f>HYPERLINK("https://klasma.github.io/Logging_2313/klagomålsmail/A 54573-2025 FSC-klagomål mail.docx", "A 54573-2025")</f>
        <v/>
      </c>
      <c r="X223">
        <f>HYPERLINK("https://klasma.github.io/Logging_2313/tillsyn/A 54573-2025 tillsynsbegäran.docx", "A 54573-2025")</f>
        <v/>
      </c>
      <c r="Y223">
        <f>HYPERLINK("https://klasma.github.io/Logging_2313/tillsynsmail/A 54573-2025 tillsynsbegäran mail.docx", "A 54573-2025")</f>
        <v/>
      </c>
    </row>
    <row r="224" ht="15" customHeight="1">
      <c r="A224" t="inlineStr">
        <is>
          <t>A 54663-2025</t>
        </is>
      </c>
      <c r="B224" s="1" t="n">
        <v>45966.40726851852</v>
      </c>
      <c r="C224" s="1" t="n">
        <v>46048</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Harticka
Ullticka</t>
        </is>
      </c>
      <c r="S224">
        <f>HYPERLINK("https://klasma.github.io/Logging_2313/artfynd/A 54663-2025 artfynd.xlsx", "A 54663-2025")</f>
        <v/>
      </c>
      <c r="T224">
        <f>HYPERLINK("https://klasma.github.io/Logging_2313/kartor/A 54663-2025 karta.png", "A 54663-2025")</f>
        <v/>
      </c>
      <c r="V224">
        <f>HYPERLINK("https://klasma.github.io/Logging_2313/klagomål/A 54663-2025 FSC-klagomål.docx", "A 54663-2025")</f>
        <v/>
      </c>
      <c r="W224">
        <f>HYPERLINK("https://klasma.github.io/Logging_2313/klagomålsmail/A 54663-2025 FSC-klagomål mail.docx", "A 54663-2025")</f>
        <v/>
      </c>
      <c r="X224">
        <f>HYPERLINK("https://klasma.github.io/Logging_2313/tillsyn/A 54663-2025 tillsynsbegäran.docx", "A 54663-2025")</f>
        <v/>
      </c>
      <c r="Y224">
        <f>HYPERLINK("https://klasma.github.io/Logging_2313/tillsynsmail/A 54663-2025 tillsynsbegäran mail.docx", "A 54663-2025")</f>
        <v/>
      </c>
    </row>
    <row r="225" ht="15" customHeight="1">
      <c r="A225" t="inlineStr">
        <is>
          <t>A 63108-2025</t>
        </is>
      </c>
      <c r="B225" s="1" t="n">
        <v>46009.74135416667</v>
      </c>
      <c r="C225" s="1" t="n">
        <v>46048</v>
      </c>
      <c r="D225" t="inlineStr">
        <is>
          <t>JÄMTLANDS LÄN</t>
        </is>
      </c>
      <c r="E225" t="inlineStr">
        <is>
          <t>STRÖMSUND</t>
        </is>
      </c>
      <c r="G225" t="n">
        <v>22.9</v>
      </c>
      <c r="H225" t="n">
        <v>1</v>
      </c>
      <c r="I225" t="n">
        <v>0</v>
      </c>
      <c r="J225" t="n">
        <v>2</v>
      </c>
      <c r="K225" t="n">
        <v>0</v>
      </c>
      <c r="L225" t="n">
        <v>0</v>
      </c>
      <c r="M225" t="n">
        <v>0</v>
      </c>
      <c r="N225" t="n">
        <v>0</v>
      </c>
      <c r="O225" t="n">
        <v>2</v>
      </c>
      <c r="P225" t="n">
        <v>0</v>
      </c>
      <c r="Q225" t="n">
        <v>2</v>
      </c>
      <c r="R225" s="2" t="inlineStr">
        <is>
          <t>Brunklöver
Tretåig hackspett</t>
        </is>
      </c>
      <c r="S225">
        <f>HYPERLINK("https://klasma.github.io/Logging_2313/artfynd/A 63108-2025 artfynd.xlsx", "A 63108-2025")</f>
        <v/>
      </c>
      <c r="T225">
        <f>HYPERLINK("https://klasma.github.io/Logging_2313/kartor/A 63108-2025 karta.png", "A 63108-2025")</f>
        <v/>
      </c>
      <c r="V225">
        <f>HYPERLINK("https://klasma.github.io/Logging_2313/klagomål/A 63108-2025 FSC-klagomål.docx", "A 63108-2025")</f>
        <v/>
      </c>
      <c r="W225">
        <f>HYPERLINK("https://klasma.github.io/Logging_2313/klagomålsmail/A 63108-2025 FSC-klagomål mail.docx", "A 63108-2025")</f>
        <v/>
      </c>
      <c r="X225">
        <f>HYPERLINK("https://klasma.github.io/Logging_2313/tillsyn/A 63108-2025 tillsynsbegäran.docx", "A 63108-2025")</f>
        <v/>
      </c>
      <c r="Y225">
        <f>HYPERLINK("https://klasma.github.io/Logging_2313/tillsynsmail/A 63108-2025 tillsynsbegäran mail.docx", "A 63108-2025")</f>
        <v/>
      </c>
      <c r="Z225">
        <f>HYPERLINK("https://klasma.github.io/Logging_2313/fåglar/A 63108-2025 prioriterade fågelarter.docx", "A 63108-2025")</f>
        <v/>
      </c>
    </row>
    <row r="226" ht="15" customHeight="1">
      <c r="A226" t="inlineStr">
        <is>
          <t>A 57333-2025</t>
        </is>
      </c>
      <c r="B226" s="1" t="n">
        <v>45980.34482638889</v>
      </c>
      <c r="C226" s="1" t="n">
        <v>46048</v>
      </c>
      <c r="D226" t="inlineStr">
        <is>
          <t>JÄMTLANDS LÄN</t>
        </is>
      </c>
      <c r="E226" t="inlineStr">
        <is>
          <t>STRÖMSUND</t>
        </is>
      </c>
      <c r="F226" t="inlineStr">
        <is>
          <t>SCA</t>
        </is>
      </c>
      <c r="G226" t="n">
        <v>3.6</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57333-2025 artfynd.xlsx", "A 57333-2025")</f>
        <v/>
      </c>
      <c r="T226">
        <f>HYPERLINK("https://klasma.github.io/Logging_2313/kartor/A 57333-2025 karta.png", "A 57333-2025")</f>
        <v/>
      </c>
      <c r="V226">
        <f>HYPERLINK("https://klasma.github.io/Logging_2313/klagomål/A 57333-2025 FSC-klagomål.docx", "A 57333-2025")</f>
        <v/>
      </c>
      <c r="W226">
        <f>HYPERLINK("https://klasma.github.io/Logging_2313/klagomålsmail/A 57333-2025 FSC-klagomål mail.docx", "A 57333-2025")</f>
        <v/>
      </c>
      <c r="X226">
        <f>HYPERLINK("https://klasma.github.io/Logging_2313/tillsyn/A 57333-2025 tillsynsbegäran.docx", "A 57333-2025")</f>
        <v/>
      </c>
      <c r="Y226">
        <f>HYPERLINK("https://klasma.github.io/Logging_2313/tillsynsmail/A 57333-2025 tillsynsbegäran mail.docx", "A 57333-2025")</f>
        <v/>
      </c>
    </row>
    <row r="227" ht="15" customHeight="1">
      <c r="A227" t="inlineStr">
        <is>
          <t>A 58239-2025</t>
        </is>
      </c>
      <c r="B227" s="1" t="n">
        <v>45985.38788194444</v>
      </c>
      <c r="C227" s="1" t="n">
        <v>46048</v>
      </c>
      <c r="D227" t="inlineStr">
        <is>
          <t>JÄMTLANDS LÄN</t>
        </is>
      </c>
      <c r="E227" t="inlineStr">
        <is>
          <t>STRÖMSUND</t>
        </is>
      </c>
      <c r="F227" t="inlineStr">
        <is>
          <t>SCA</t>
        </is>
      </c>
      <c r="G227" t="n">
        <v>1.3</v>
      </c>
      <c r="H227" t="n">
        <v>0</v>
      </c>
      <c r="I227" t="n">
        <v>0</v>
      </c>
      <c r="J227" t="n">
        <v>2</v>
      </c>
      <c r="K227" t="n">
        <v>0</v>
      </c>
      <c r="L227" t="n">
        <v>0</v>
      </c>
      <c r="M227" t="n">
        <v>0</v>
      </c>
      <c r="N227" t="n">
        <v>0</v>
      </c>
      <c r="O227" t="n">
        <v>2</v>
      </c>
      <c r="P227" t="n">
        <v>0</v>
      </c>
      <c r="Q227" t="n">
        <v>2</v>
      </c>
      <c r="R227" s="2" t="inlineStr">
        <is>
          <t>Gammelgransskål
Garnlav</t>
        </is>
      </c>
      <c r="S227">
        <f>HYPERLINK("https://klasma.github.io/Logging_2313/artfynd/A 58239-2025 artfynd.xlsx", "A 58239-2025")</f>
        <v/>
      </c>
      <c r="T227">
        <f>HYPERLINK("https://klasma.github.io/Logging_2313/kartor/A 58239-2025 karta.png", "A 58239-2025")</f>
        <v/>
      </c>
      <c r="V227">
        <f>HYPERLINK("https://klasma.github.io/Logging_2313/klagomål/A 58239-2025 FSC-klagomål.docx", "A 58239-2025")</f>
        <v/>
      </c>
      <c r="W227">
        <f>HYPERLINK("https://klasma.github.io/Logging_2313/klagomålsmail/A 58239-2025 FSC-klagomål mail.docx", "A 58239-2025")</f>
        <v/>
      </c>
      <c r="X227">
        <f>HYPERLINK("https://klasma.github.io/Logging_2313/tillsyn/A 58239-2025 tillsynsbegäran.docx", "A 58239-2025")</f>
        <v/>
      </c>
      <c r="Y227">
        <f>HYPERLINK("https://klasma.github.io/Logging_2313/tillsynsmail/A 58239-2025 tillsynsbegäran mail.docx", "A 58239-2025")</f>
        <v/>
      </c>
    </row>
    <row r="228" ht="15" customHeight="1">
      <c r="A228" t="inlineStr">
        <is>
          <t>A 34784-2025</t>
        </is>
      </c>
      <c r="B228" s="1" t="n">
        <v>45848</v>
      </c>
      <c r="C228" s="1" t="n">
        <v>46048</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39696-2022</t>
        </is>
      </c>
      <c r="B229" s="1" t="n">
        <v>44818</v>
      </c>
      <c r="C229" s="1" t="n">
        <v>46048</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46048</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46048</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46048</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46048</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46048</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61437-2021</t>
        </is>
      </c>
      <c r="B235" s="1" t="n">
        <v>44500</v>
      </c>
      <c r="C235" s="1" t="n">
        <v>46048</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3538-2022</t>
        </is>
      </c>
      <c r="B236" s="1" t="n">
        <v>44585</v>
      </c>
      <c r="C236" s="1" t="n">
        <v>46048</v>
      </c>
      <c r="D236" t="inlineStr">
        <is>
          <t>JÄMTLANDS LÄN</t>
        </is>
      </c>
      <c r="E236" t="inlineStr">
        <is>
          <t>STRÖMSUND</t>
        </is>
      </c>
      <c r="F236" t="inlineStr">
        <is>
          <t>SCA</t>
        </is>
      </c>
      <c r="G236" t="n">
        <v>6.6</v>
      </c>
      <c r="H236" t="n">
        <v>0</v>
      </c>
      <c r="I236" t="n">
        <v>0</v>
      </c>
      <c r="J236" t="n">
        <v>1</v>
      </c>
      <c r="K236" t="n">
        <v>0</v>
      </c>
      <c r="L236" t="n">
        <v>0</v>
      </c>
      <c r="M236" t="n">
        <v>0</v>
      </c>
      <c r="N236" t="n">
        <v>0</v>
      </c>
      <c r="O236" t="n">
        <v>1</v>
      </c>
      <c r="P236" t="n">
        <v>0</v>
      </c>
      <c r="Q236" t="n">
        <v>1</v>
      </c>
      <c r="R236" s="2" t="inlineStr">
        <is>
          <t>Granticka</t>
        </is>
      </c>
      <c r="S236">
        <f>HYPERLINK("https://klasma.github.io/Logging_2313/artfynd/A 3538-2022 artfynd.xlsx", "A 3538-2022")</f>
        <v/>
      </c>
      <c r="T236">
        <f>HYPERLINK("https://klasma.github.io/Logging_2313/kartor/A 3538-2022 karta.png", "A 3538-2022")</f>
        <v/>
      </c>
      <c r="V236">
        <f>HYPERLINK("https://klasma.github.io/Logging_2313/klagomål/A 3538-2022 FSC-klagomål.docx", "A 3538-2022")</f>
        <v/>
      </c>
      <c r="W236">
        <f>HYPERLINK("https://klasma.github.io/Logging_2313/klagomålsmail/A 3538-2022 FSC-klagomål mail.docx", "A 3538-2022")</f>
        <v/>
      </c>
      <c r="X236">
        <f>HYPERLINK("https://klasma.github.io/Logging_2313/tillsyn/A 3538-2022 tillsynsbegäran.docx", "A 3538-2022")</f>
        <v/>
      </c>
      <c r="Y236">
        <f>HYPERLINK("https://klasma.github.io/Logging_2313/tillsynsmail/A 3538-2022 tillsynsbegäran mail.docx", "A 3538-2022")</f>
        <v/>
      </c>
    </row>
    <row r="237" ht="15" customHeight="1">
      <c r="A237" t="inlineStr">
        <is>
          <t>A 32351-2022</t>
        </is>
      </c>
      <c r="B237" s="1" t="n">
        <v>44781</v>
      </c>
      <c r="C237" s="1" t="n">
        <v>46048</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10696-2022</t>
        </is>
      </c>
      <c r="B238" s="1" t="n">
        <v>44624</v>
      </c>
      <c r="C238" s="1" t="n">
        <v>46048</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33545-2021</t>
        </is>
      </c>
      <c r="B239" s="1" t="n">
        <v>44377</v>
      </c>
      <c r="C239" s="1" t="n">
        <v>46048</v>
      </c>
      <c r="D239" t="inlineStr">
        <is>
          <t>JÄMTLANDS LÄN</t>
        </is>
      </c>
      <c r="E239" t="inlineStr">
        <is>
          <t>STRÖMSUND</t>
        </is>
      </c>
      <c r="G239" t="n">
        <v>7.5</v>
      </c>
      <c r="H239" t="n">
        <v>0</v>
      </c>
      <c r="I239" t="n">
        <v>0</v>
      </c>
      <c r="J239" t="n">
        <v>1</v>
      </c>
      <c r="K239" t="n">
        <v>0</v>
      </c>
      <c r="L239" t="n">
        <v>0</v>
      </c>
      <c r="M239" t="n">
        <v>0</v>
      </c>
      <c r="N239" t="n">
        <v>0</v>
      </c>
      <c r="O239" t="n">
        <v>1</v>
      </c>
      <c r="P239" t="n">
        <v>0</v>
      </c>
      <c r="Q239" t="n">
        <v>1</v>
      </c>
      <c r="R239" s="2" t="inlineStr">
        <is>
          <t>Lunglav</t>
        </is>
      </c>
      <c r="S239">
        <f>HYPERLINK("https://klasma.github.io/Logging_2313/artfynd/A 33545-2021 artfynd.xlsx", "A 33545-2021")</f>
        <v/>
      </c>
      <c r="T239">
        <f>HYPERLINK("https://klasma.github.io/Logging_2313/kartor/A 33545-2021 karta.png", "A 33545-2021")</f>
        <v/>
      </c>
      <c r="V239">
        <f>HYPERLINK("https://klasma.github.io/Logging_2313/klagomål/A 33545-2021 FSC-klagomål.docx", "A 33545-2021")</f>
        <v/>
      </c>
      <c r="W239">
        <f>HYPERLINK("https://klasma.github.io/Logging_2313/klagomålsmail/A 33545-2021 FSC-klagomål mail.docx", "A 33545-2021")</f>
        <v/>
      </c>
      <c r="X239">
        <f>HYPERLINK("https://klasma.github.io/Logging_2313/tillsyn/A 33545-2021 tillsynsbegäran.docx", "A 33545-2021")</f>
        <v/>
      </c>
      <c r="Y239">
        <f>HYPERLINK("https://klasma.github.io/Logging_2313/tillsynsmail/A 33545-2021 tillsynsbegäran mail.docx", "A 33545-2021")</f>
        <v/>
      </c>
    </row>
    <row r="240" ht="15" customHeight="1">
      <c r="A240" t="inlineStr">
        <is>
          <t>A 35444-2021</t>
        </is>
      </c>
      <c r="B240" s="1" t="n">
        <v>44385</v>
      </c>
      <c r="C240" s="1" t="n">
        <v>46048</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12950-2022</t>
        </is>
      </c>
      <c r="B241" s="1" t="n">
        <v>44642</v>
      </c>
      <c r="C241" s="1" t="n">
        <v>46048</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48544-2022</t>
        </is>
      </c>
      <c r="B242" s="1" t="n">
        <v>44858</v>
      </c>
      <c r="C242" s="1" t="n">
        <v>46048</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21208-2022</t>
        </is>
      </c>
      <c r="B243" s="1" t="n">
        <v>44704</v>
      </c>
      <c r="C243" s="1" t="n">
        <v>46048</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42384-2024</t>
        </is>
      </c>
      <c r="B244" s="1" t="n">
        <v>45562</v>
      </c>
      <c r="C244" s="1" t="n">
        <v>46048</v>
      </c>
      <c r="D244" t="inlineStr">
        <is>
          <t>JÄMTLANDS LÄN</t>
        </is>
      </c>
      <c r="E244" t="inlineStr">
        <is>
          <t>STRÖMSUND</t>
        </is>
      </c>
      <c r="F244" t="inlineStr">
        <is>
          <t>Övriga statliga verk och myndigheter</t>
        </is>
      </c>
      <c r="G244" t="n">
        <v>6.1</v>
      </c>
      <c r="H244" t="n">
        <v>0</v>
      </c>
      <c r="I244" t="n">
        <v>0</v>
      </c>
      <c r="J244" t="n">
        <v>1</v>
      </c>
      <c r="K244" t="n">
        <v>0</v>
      </c>
      <c r="L244" t="n">
        <v>0</v>
      </c>
      <c r="M244" t="n">
        <v>0</v>
      </c>
      <c r="N244" t="n">
        <v>0</v>
      </c>
      <c r="O244" t="n">
        <v>1</v>
      </c>
      <c r="P244" t="n">
        <v>0</v>
      </c>
      <c r="Q244" t="n">
        <v>1</v>
      </c>
      <c r="R244" s="2" t="inlineStr">
        <is>
          <t>Granticka</t>
        </is>
      </c>
      <c r="S244">
        <f>HYPERLINK("https://klasma.github.io/Logging_2313/artfynd/A 42384-2024 artfynd.xlsx", "A 42384-2024")</f>
        <v/>
      </c>
      <c r="T244">
        <f>HYPERLINK("https://klasma.github.io/Logging_2313/kartor/A 42384-2024 karta.png", "A 42384-2024")</f>
        <v/>
      </c>
      <c r="V244">
        <f>HYPERLINK("https://klasma.github.io/Logging_2313/klagomål/A 42384-2024 FSC-klagomål.docx", "A 42384-2024")</f>
        <v/>
      </c>
      <c r="W244">
        <f>HYPERLINK("https://klasma.github.io/Logging_2313/klagomålsmail/A 42384-2024 FSC-klagomål mail.docx", "A 42384-2024")</f>
        <v/>
      </c>
      <c r="X244">
        <f>HYPERLINK("https://klasma.github.io/Logging_2313/tillsyn/A 42384-2024 tillsynsbegäran.docx", "A 42384-2024")</f>
        <v/>
      </c>
      <c r="Y244">
        <f>HYPERLINK("https://klasma.github.io/Logging_2313/tillsynsmail/A 42384-2024 tillsynsbegäran mail.docx", "A 42384-2024")</f>
        <v/>
      </c>
    </row>
    <row r="245" ht="15" customHeight="1">
      <c r="A245" t="inlineStr">
        <is>
          <t>A 14291-2022</t>
        </is>
      </c>
      <c r="B245" s="1" t="n">
        <v>44651</v>
      </c>
      <c r="C245" s="1" t="n">
        <v>46048</v>
      </c>
      <c r="D245" t="inlineStr">
        <is>
          <t>JÄMTLANDS LÄN</t>
        </is>
      </c>
      <c r="E245" t="inlineStr">
        <is>
          <t>STRÖMSUND</t>
        </is>
      </c>
      <c r="F245" t="inlineStr">
        <is>
          <t>SCA</t>
        </is>
      </c>
      <c r="G245" t="n">
        <v>0.5</v>
      </c>
      <c r="H245" t="n">
        <v>0</v>
      </c>
      <c r="I245" t="n">
        <v>0</v>
      </c>
      <c r="J245" t="n">
        <v>1</v>
      </c>
      <c r="K245" t="n">
        <v>0</v>
      </c>
      <c r="L245" t="n">
        <v>0</v>
      </c>
      <c r="M245" t="n">
        <v>0</v>
      </c>
      <c r="N245" t="n">
        <v>0</v>
      </c>
      <c r="O245" t="n">
        <v>1</v>
      </c>
      <c r="P245" t="n">
        <v>0</v>
      </c>
      <c r="Q245" t="n">
        <v>1</v>
      </c>
      <c r="R245" s="2" t="inlineStr">
        <is>
          <t>Skrovellav</t>
        </is>
      </c>
      <c r="S245">
        <f>HYPERLINK("https://klasma.github.io/Logging_2313/artfynd/A 14291-2022 artfynd.xlsx", "A 14291-2022")</f>
        <v/>
      </c>
      <c r="T245">
        <f>HYPERLINK("https://klasma.github.io/Logging_2313/kartor/A 14291-2022 karta.png", "A 14291-2022")</f>
        <v/>
      </c>
      <c r="V245">
        <f>HYPERLINK("https://klasma.github.io/Logging_2313/klagomål/A 14291-2022 FSC-klagomål.docx", "A 14291-2022")</f>
        <v/>
      </c>
      <c r="W245">
        <f>HYPERLINK("https://klasma.github.io/Logging_2313/klagomålsmail/A 14291-2022 FSC-klagomål mail.docx", "A 14291-2022")</f>
        <v/>
      </c>
      <c r="X245">
        <f>HYPERLINK("https://klasma.github.io/Logging_2313/tillsyn/A 14291-2022 tillsynsbegäran.docx", "A 14291-2022")</f>
        <v/>
      </c>
      <c r="Y245">
        <f>HYPERLINK("https://klasma.github.io/Logging_2313/tillsynsmail/A 14291-2022 tillsynsbegäran mail.docx", "A 14291-2022")</f>
        <v/>
      </c>
    </row>
    <row r="246" ht="15" customHeight="1">
      <c r="A246" t="inlineStr">
        <is>
          <t>A 24729-2022</t>
        </is>
      </c>
      <c r="B246" s="1" t="n">
        <v>44727</v>
      </c>
      <c r="C246" s="1" t="n">
        <v>46048</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43406-2023</t>
        </is>
      </c>
      <c r="B247" s="1" t="n">
        <v>45183</v>
      </c>
      <c r="C247" s="1" t="n">
        <v>46048</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HYPERLINK("https://klasma.github.io/Logging_2313/artfynd/A 43406-2023 artfynd.xlsx", "A 43406-2023")</f>
        <v/>
      </c>
      <c r="T247">
        <f>HYPERLINK("https://klasma.github.io/Logging_2313/kartor/A 43406-2023 karta.png", "A 43406-2023")</f>
        <v/>
      </c>
      <c r="V247">
        <f>HYPERLINK("https://klasma.github.io/Logging_2313/klagomål/A 43406-2023 FSC-klagomål.docx", "A 43406-2023")</f>
        <v/>
      </c>
      <c r="W247">
        <f>HYPERLINK("https://klasma.github.io/Logging_2313/klagomålsmail/A 43406-2023 FSC-klagomål mail.docx", "A 43406-2023")</f>
        <v/>
      </c>
      <c r="X247">
        <f>HYPERLINK("https://klasma.github.io/Logging_2313/tillsyn/A 43406-2023 tillsynsbegäran.docx", "A 43406-2023")</f>
        <v/>
      </c>
      <c r="Y247">
        <f>HYPERLINK("https://klasma.github.io/Logging_2313/tillsynsmail/A 43406-2023 tillsynsbegäran mail.docx", "A 43406-2023")</f>
        <v/>
      </c>
    </row>
    <row r="248" ht="15" customHeight="1">
      <c r="A248" t="inlineStr">
        <is>
          <t>A 36334-2024</t>
        </is>
      </c>
      <c r="B248" s="1" t="n">
        <v>45534.64203703704</v>
      </c>
      <c r="C248" s="1" t="n">
        <v>46048</v>
      </c>
      <c r="D248" t="inlineStr">
        <is>
          <t>JÄMTLANDS LÄN</t>
        </is>
      </c>
      <c r="E248" t="inlineStr">
        <is>
          <t>STRÖMSUND</t>
        </is>
      </c>
      <c r="F248" t="inlineStr">
        <is>
          <t>SCA</t>
        </is>
      </c>
      <c r="G248" t="n">
        <v>9.699999999999999</v>
      </c>
      <c r="H248" t="n">
        <v>1</v>
      </c>
      <c r="I248" t="n">
        <v>0</v>
      </c>
      <c r="J248" t="n">
        <v>0</v>
      </c>
      <c r="K248" t="n">
        <v>1</v>
      </c>
      <c r="L248" t="n">
        <v>0</v>
      </c>
      <c r="M248" t="n">
        <v>0</v>
      </c>
      <c r="N248" t="n">
        <v>0</v>
      </c>
      <c r="O248" t="n">
        <v>1</v>
      </c>
      <c r="P248" t="n">
        <v>1</v>
      </c>
      <c r="Q248" t="n">
        <v>1</v>
      </c>
      <c r="R248" s="2" t="inlineStr">
        <is>
          <t>Doftticka</t>
        </is>
      </c>
      <c r="S248">
        <f>HYPERLINK("https://klasma.github.io/Logging_2313/artfynd/A 36334-2024 artfynd.xlsx", "A 36334-2024")</f>
        <v/>
      </c>
      <c r="T248">
        <f>HYPERLINK("https://klasma.github.io/Logging_2313/kartor/A 36334-2024 karta.png", "A 36334-2024")</f>
        <v/>
      </c>
      <c r="V248">
        <f>HYPERLINK("https://klasma.github.io/Logging_2313/klagomål/A 36334-2024 FSC-klagomål.docx", "A 36334-2024")</f>
        <v/>
      </c>
      <c r="W248">
        <f>HYPERLINK("https://klasma.github.io/Logging_2313/klagomålsmail/A 36334-2024 FSC-klagomål mail.docx", "A 36334-2024")</f>
        <v/>
      </c>
      <c r="X248">
        <f>HYPERLINK("https://klasma.github.io/Logging_2313/tillsyn/A 36334-2024 tillsynsbegäran.docx", "A 36334-2024")</f>
        <v/>
      </c>
      <c r="Y248">
        <f>HYPERLINK("https://klasma.github.io/Logging_2313/tillsynsmail/A 36334-2024 tillsynsbegäran mail.docx", "A 36334-2024")</f>
        <v/>
      </c>
    </row>
    <row r="249" ht="15" customHeight="1">
      <c r="A249" t="inlineStr">
        <is>
          <t>A 66483-2021</t>
        </is>
      </c>
      <c r="B249" s="1" t="n">
        <v>44518</v>
      </c>
      <c r="C249" s="1" t="n">
        <v>46048</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44386-2023</t>
        </is>
      </c>
      <c r="B250" s="1" t="n">
        <v>45188</v>
      </c>
      <c r="C250" s="1" t="n">
        <v>46048</v>
      </c>
      <c r="D250" t="inlineStr">
        <is>
          <t>JÄMTLANDS LÄN</t>
        </is>
      </c>
      <c r="E250" t="inlineStr">
        <is>
          <t>STRÖMSUND</t>
        </is>
      </c>
      <c r="F250" t="inlineStr">
        <is>
          <t>SCA</t>
        </is>
      </c>
      <c r="G250" t="n">
        <v>2.5</v>
      </c>
      <c r="H250" t="n">
        <v>0</v>
      </c>
      <c r="I250" t="n">
        <v>0</v>
      </c>
      <c r="J250" t="n">
        <v>1</v>
      </c>
      <c r="K250" t="n">
        <v>0</v>
      </c>
      <c r="L250" t="n">
        <v>0</v>
      </c>
      <c r="M250" t="n">
        <v>0</v>
      </c>
      <c r="N250" t="n">
        <v>0</v>
      </c>
      <c r="O250" t="n">
        <v>1</v>
      </c>
      <c r="P250" t="n">
        <v>0</v>
      </c>
      <c r="Q250" t="n">
        <v>1</v>
      </c>
      <c r="R250" s="2" t="inlineStr">
        <is>
          <t>Stjärntagging</t>
        </is>
      </c>
      <c r="S250">
        <f>HYPERLINK("https://klasma.github.io/Logging_2313/artfynd/A 44386-2023 artfynd.xlsx", "A 44386-2023")</f>
        <v/>
      </c>
      <c r="T250">
        <f>HYPERLINK("https://klasma.github.io/Logging_2313/kartor/A 44386-2023 karta.png", "A 44386-2023")</f>
        <v/>
      </c>
      <c r="V250">
        <f>HYPERLINK("https://klasma.github.io/Logging_2313/klagomål/A 44386-2023 FSC-klagomål.docx", "A 44386-2023")</f>
        <v/>
      </c>
      <c r="W250">
        <f>HYPERLINK("https://klasma.github.io/Logging_2313/klagomålsmail/A 44386-2023 FSC-klagomål mail.docx", "A 44386-2023")</f>
        <v/>
      </c>
      <c r="X250">
        <f>HYPERLINK("https://klasma.github.io/Logging_2313/tillsyn/A 44386-2023 tillsynsbegäran.docx", "A 44386-2023")</f>
        <v/>
      </c>
      <c r="Y250">
        <f>HYPERLINK("https://klasma.github.io/Logging_2313/tillsynsmail/A 44386-2023 tillsynsbegäran mail.docx", "A 44386-2023")</f>
        <v/>
      </c>
    </row>
    <row r="251" ht="15" customHeight="1">
      <c r="A251" t="inlineStr">
        <is>
          <t>A 21789-2025</t>
        </is>
      </c>
      <c r="B251" s="1" t="n">
        <v>45783.67741898148</v>
      </c>
      <c r="C251" s="1" t="n">
        <v>46048</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61482-2021</t>
        </is>
      </c>
      <c r="B252" s="1" t="n">
        <v>44500</v>
      </c>
      <c r="C252" s="1" t="n">
        <v>46048</v>
      </c>
      <c r="D252" t="inlineStr">
        <is>
          <t>JÄMTLANDS LÄN</t>
        </is>
      </c>
      <c r="E252" t="inlineStr">
        <is>
          <t>STRÖMSUND</t>
        </is>
      </c>
      <c r="F252" t="inlineStr">
        <is>
          <t>SCA</t>
        </is>
      </c>
      <c r="G252" t="n">
        <v>5.9</v>
      </c>
      <c r="H252" t="n">
        <v>0</v>
      </c>
      <c r="I252" t="n">
        <v>0</v>
      </c>
      <c r="J252" t="n">
        <v>1</v>
      </c>
      <c r="K252" t="n">
        <v>0</v>
      </c>
      <c r="L252" t="n">
        <v>0</v>
      </c>
      <c r="M252" t="n">
        <v>0</v>
      </c>
      <c r="N252" t="n">
        <v>0</v>
      </c>
      <c r="O252" t="n">
        <v>1</v>
      </c>
      <c r="P252" t="n">
        <v>0</v>
      </c>
      <c r="Q252" t="n">
        <v>1</v>
      </c>
      <c r="R252" s="2" t="inlineStr">
        <is>
          <t>Lunglav</t>
        </is>
      </c>
      <c r="S252">
        <f>HYPERLINK("https://klasma.github.io/Logging_2313/artfynd/A 61482-2021 artfynd.xlsx", "A 61482-2021")</f>
        <v/>
      </c>
      <c r="T252">
        <f>HYPERLINK("https://klasma.github.io/Logging_2313/kartor/A 61482-2021 karta.png", "A 61482-2021")</f>
        <v/>
      </c>
      <c r="V252">
        <f>HYPERLINK("https://klasma.github.io/Logging_2313/klagomål/A 61482-2021 FSC-klagomål.docx", "A 61482-2021")</f>
        <v/>
      </c>
      <c r="W252">
        <f>HYPERLINK("https://klasma.github.io/Logging_2313/klagomålsmail/A 61482-2021 FSC-klagomål mail.docx", "A 61482-2021")</f>
        <v/>
      </c>
      <c r="X252">
        <f>HYPERLINK("https://klasma.github.io/Logging_2313/tillsyn/A 61482-2021 tillsynsbegäran.docx", "A 61482-2021")</f>
        <v/>
      </c>
      <c r="Y252">
        <f>HYPERLINK("https://klasma.github.io/Logging_2313/tillsynsmail/A 61482-2021 tillsynsbegäran mail.docx", "A 61482-2021")</f>
        <v/>
      </c>
    </row>
    <row r="253" ht="15" customHeight="1">
      <c r="A253" t="inlineStr">
        <is>
          <t>A 22051-2025</t>
        </is>
      </c>
      <c r="B253" s="1" t="n">
        <v>45785.34456018519</v>
      </c>
      <c r="C253" s="1" t="n">
        <v>46048</v>
      </c>
      <c r="D253" t="inlineStr">
        <is>
          <t>JÄMTLANDS LÄN</t>
        </is>
      </c>
      <c r="E253" t="inlineStr">
        <is>
          <t>STRÖMSUND</t>
        </is>
      </c>
      <c r="G253" t="n">
        <v>8.1</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22051-2025 artfynd.xlsx", "A 22051-2025")</f>
        <v/>
      </c>
      <c r="T253">
        <f>HYPERLINK("https://klasma.github.io/Logging_2313/kartor/A 22051-2025 karta.png", "A 22051-2025")</f>
        <v/>
      </c>
      <c r="V253">
        <f>HYPERLINK("https://klasma.github.io/Logging_2313/klagomål/A 22051-2025 FSC-klagomål.docx", "A 22051-2025")</f>
        <v/>
      </c>
      <c r="W253">
        <f>HYPERLINK("https://klasma.github.io/Logging_2313/klagomålsmail/A 22051-2025 FSC-klagomål mail.docx", "A 22051-2025")</f>
        <v/>
      </c>
      <c r="X253">
        <f>HYPERLINK("https://klasma.github.io/Logging_2313/tillsyn/A 22051-2025 tillsynsbegäran.docx", "A 22051-2025")</f>
        <v/>
      </c>
      <c r="Y253">
        <f>HYPERLINK("https://klasma.github.io/Logging_2313/tillsynsmail/A 22051-2025 tillsynsbegäran mail.docx", "A 22051-2025")</f>
        <v/>
      </c>
      <c r="Z253">
        <f>HYPERLINK("https://klasma.github.io/Logging_2313/fåglar/A 22051-2025 prioriterade fågelarter.docx", "A 22051-2025")</f>
        <v/>
      </c>
    </row>
    <row r="254" ht="15" customHeight="1">
      <c r="A254" t="inlineStr">
        <is>
          <t>A 22181-2025</t>
        </is>
      </c>
      <c r="B254" s="1" t="n">
        <v>45785.61623842592</v>
      </c>
      <c r="C254" s="1" t="n">
        <v>46048</v>
      </c>
      <c r="D254" t="inlineStr">
        <is>
          <t>JÄMTLANDS LÄN</t>
        </is>
      </c>
      <c r="E254" t="inlineStr">
        <is>
          <t>STRÖMSUND</t>
        </is>
      </c>
      <c r="F254" t="inlineStr">
        <is>
          <t>SCA</t>
        </is>
      </c>
      <c r="G254" t="n">
        <v>5.8</v>
      </c>
      <c r="H254" t="n">
        <v>0</v>
      </c>
      <c r="I254" t="n">
        <v>0</v>
      </c>
      <c r="J254" t="n">
        <v>1</v>
      </c>
      <c r="K254" t="n">
        <v>0</v>
      </c>
      <c r="L254" t="n">
        <v>0</v>
      </c>
      <c r="M254" t="n">
        <v>0</v>
      </c>
      <c r="N254" t="n">
        <v>0</v>
      </c>
      <c r="O254" t="n">
        <v>1</v>
      </c>
      <c r="P254" t="n">
        <v>0</v>
      </c>
      <c r="Q254" t="n">
        <v>1</v>
      </c>
      <c r="R254" s="2" t="inlineStr">
        <is>
          <t>Ullticka</t>
        </is>
      </c>
      <c r="S254">
        <f>HYPERLINK("https://klasma.github.io/Logging_2313/artfynd/A 22181-2025 artfynd.xlsx", "A 22181-2025")</f>
        <v/>
      </c>
      <c r="T254">
        <f>HYPERLINK("https://klasma.github.io/Logging_2313/kartor/A 22181-2025 karta.png", "A 22181-2025")</f>
        <v/>
      </c>
      <c r="V254">
        <f>HYPERLINK("https://klasma.github.io/Logging_2313/klagomål/A 22181-2025 FSC-klagomål.docx", "A 22181-2025")</f>
        <v/>
      </c>
      <c r="W254">
        <f>HYPERLINK("https://klasma.github.io/Logging_2313/klagomålsmail/A 22181-2025 FSC-klagomål mail.docx", "A 22181-2025")</f>
        <v/>
      </c>
      <c r="X254">
        <f>HYPERLINK("https://klasma.github.io/Logging_2313/tillsyn/A 22181-2025 tillsynsbegäran.docx", "A 22181-2025")</f>
        <v/>
      </c>
      <c r="Y254">
        <f>HYPERLINK("https://klasma.github.io/Logging_2313/tillsynsmail/A 22181-2025 tillsynsbegäran mail.docx", "A 22181-2025")</f>
        <v/>
      </c>
    </row>
    <row r="255" ht="15" customHeight="1">
      <c r="A255" t="inlineStr">
        <is>
          <t>A 17855-2021</t>
        </is>
      </c>
      <c r="B255" s="1" t="n">
        <v>44300</v>
      </c>
      <c r="C255" s="1" t="n">
        <v>46048</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32913-2021</t>
        </is>
      </c>
      <c r="B256" s="1" t="n">
        <v>44375</v>
      </c>
      <c r="C256" s="1" t="n">
        <v>46048</v>
      </c>
      <c r="D256" t="inlineStr">
        <is>
          <t>JÄMTLANDS LÄN</t>
        </is>
      </c>
      <c r="E256" t="inlineStr">
        <is>
          <t>STRÖMSUND</t>
        </is>
      </c>
      <c r="F256" t="inlineStr">
        <is>
          <t>SCA</t>
        </is>
      </c>
      <c r="G256" t="n">
        <v>22</v>
      </c>
      <c r="H256" t="n">
        <v>0</v>
      </c>
      <c r="I256" t="n">
        <v>1</v>
      </c>
      <c r="J256" t="n">
        <v>0</v>
      </c>
      <c r="K256" t="n">
        <v>0</v>
      </c>
      <c r="L256" t="n">
        <v>0</v>
      </c>
      <c r="M256" t="n">
        <v>0</v>
      </c>
      <c r="N256" t="n">
        <v>0</v>
      </c>
      <c r="O256" t="n">
        <v>0</v>
      </c>
      <c r="P256" t="n">
        <v>0</v>
      </c>
      <c r="Q256" t="n">
        <v>1</v>
      </c>
      <c r="R256" s="2" t="inlineStr">
        <is>
          <t>Korallblylav</t>
        </is>
      </c>
      <c r="S256">
        <f>HYPERLINK("https://klasma.github.io/Logging_2313/artfynd/A 32913-2021 artfynd.xlsx", "A 32913-2021")</f>
        <v/>
      </c>
      <c r="T256">
        <f>HYPERLINK("https://klasma.github.io/Logging_2313/kartor/A 32913-2021 karta.png", "A 32913-2021")</f>
        <v/>
      </c>
      <c r="V256">
        <f>HYPERLINK("https://klasma.github.io/Logging_2313/klagomål/A 32913-2021 FSC-klagomål.docx", "A 32913-2021")</f>
        <v/>
      </c>
      <c r="W256">
        <f>HYPERLINK("https://klasma.github.io/Logging_2313/klagomålsmail/A 32913-2021 FSC-klagomål mail.docx", "A 32913-2021")</f>
        <v/>
      </c>
      <c r="X256">
        <f>HYPERLINK("https://klasma.github.io/Logging_2313/tillsyn/A 32913-2021 tillsynsbegäran.docx", "A 32913-2021")</f>
        <v/>
      </c>
      <c r="Y256">
        <f>HYPERLINK("https://klasma.github.io/Logging_2313/tillsynsmail/A 32913-2021 tillsynsbegäran mail.docx", "A 32913-2021")</f>
        <v/>
      </c>
    </row>
    <row r="257" ht="15" customHeight="1">
      <c r="A257" t="inlineStr">
        <is>
          <t>A 53447-2023</t>
        </is>
      </c>
      <c r="B257" s="1" t="n">
        <v>45229</v>
      </c>
      <c r="C257" s="1" t="n">
        <v>46048</v>
      </c>
      <c r="D257" t="inlineStr">
        <is>
          <t>JÄMTLANDS LÄN</t>
        </is>
      </c>
      <c r="E257" t="inlineStr">
        <is>
          <t>STRÖMSUND</t>
        </is>
      </c>
      <c r="F257" t="inlineStr">
        <is>
          <t>SCA</t>
        </is>
      </c>
      <c r="G257" t="n">
        <v>3.4</v>
      </c>
      <c r="H257" t="n">
        <v>0</v>
      </c>
      <c r="I257" t="n">
        <v>0</v>
      </c>
      <c r="J257" t="n">
        <v>1</v>
      </c>
      <c r="K257" t="n">
        <v>0</v>
      </c>
      <c r="L257" t="n">
        <v>0</v>
      </c>
      <c r="M257" t="n">
        <v>0</v>
      </c>
      <c r="N257" t="n">
        <v>0</v>
      </c>
      <c r="O257" t="n">
        <v>1</v>
      </c>
      <c r="P257" t="n">
        <v>0</v>
      </c>
      <c r="Q257" t="n">
        <v>1</v>
      </c>
      <c r="R257" s="2" t="inlineStr">
        <is>
          <t>Harticka</t>
        </is>
      </c>
      <c r="S257">
        <f>HYPERLINK("https://klasma.github.io/Logging_2313/artfynd/A 53447-2023 artfynd.xlsx", "A 53447-2023")</f>
        <v/>
      </c>
      <c r="T257">
        <f>HYPERLINK("https://klasma.github.io/Logging_2313/kartor/A 53447-2023 karta.png", "A 53447-2023")</f>
        <v/>
      </c>
      <c r="V257">
        <f>HYPERLINK("https://klasma.github.io/Logging_2313/klagomål/A 53447-2023 FSC-klagomål.docx", "A 53447-2023")</f>
        <v/>
      </c>
      <c r="W257">
        <f>HYPERLINK("https://klasma.github.io/Logging_2313/klagomålsmail/A 53447-2023 FSC-klagomål mail.docx", "A 53447-2023")</f>
        <v/>
      </c>
      <c r="X257">
        <f>HYPERLINK("https://klasma.github.io/Logging_2313/tillsyn/A 53447-2023 tillsynsbegäran.docx", "A 53447-2023")</f>
        <v/>
      </c>
      <c r="Y257">
        <f>HYPERLINK("https://klasma.github.io/Logging_2313/tillsynsmail/A 53447-2023 tillsynsbegäran mail.docx", "A 53447-2023")</f>
        <v/>
      </c>
    </row>
    <row r="258" ht="15" customHeight="1">
      <c r="A258" t="inlineStr">
        <is>
          <t>A 24832-2023</t>
        </is>
      </c>
      <c r="B258" s="1" t="n">
        <v>45084</v>
      </c>
      <c r="C258" s="1" t="n">
        <v>46048</v>
      </c>
      <c r="D258" t="inlineStr">
        <is>
          <t>JÄMTLANDS LÄN</t>
        </is>
      </c>
      <c r="E258" t="inlineStr">
        <is>
          <t>STRÖMSUND</t>
        </is>
      </c>
      <c r="G258" t="n">
        <v>9.6</v>
      </c>
      <c r="H258" t="n">
        <v>0</v>
      </c>
      <c r="I258" t="n">
        <v>0</v>
      </c>
      <c r="J258" t="n">
        <v>1</v>
      </c>
      <c r="K258" t="n">
        <v>0</v>
      </c>
      <c r="L258" t="n">
        <v>0</v>
      </c>
      <c r="M258" t="n">
        <v>0</v>
      </c>
      <c r="N258" t="n">
        <v>0</v>
      </c>
      <c r="O258" t="n">
        <v>1</v>
      </c>
      <c r="P258" t="n">
        <v>0</v>
      </c>
      <c r="Q258" t="n">
        <v>1</v>
      </c>
      <c r="R258" s="2" t="inlineStr">
        <is>
          <t>Granticka</t>
        </is>
      </c>
      <c r="S258">
        <f>HYPERLINK("https://klasma.github.io/Logging_2313/artfynd/A 24832-2023 artfynd.xlsx", "A 24832-2023")</f>
        <v/>
      </c>
      <c r="T258">
        <f>HYPERLINK("https://klasma.github.io/Logging_2313/kartor/A 24832-2023 karta.png", "A 24832-2023")</f>
        <v/>
      </c>
      <c r="V258">
        <f>HYPERLINK("https://klasma.github.io/Logging_2313/klagomål/A 24832-2023 FSC-klagomål.docx", "A 24832-2023")</f>
        <v/>
      </c>
      <c r="W258">
        <f>HYPERLINK("https://klasma.github.io/Logging_2313/klagomålsmail/A 24832-2023 FSC-klagomål mail.docx", "A 24832-2023")</f>
        <v/>
      </c>
      <c r="X258">
        <f>HYPERLINK("https://klasma.github.io/Logging_2313/tillsyn/A 24832-2023 tillsynsbegäran.docx", "A 24832-2023")</f>
        <v/>
      </c>
      <c r="Y258">
        <f>HYPERLINK("https://klasma.github.io/Logging_2313/tillsynsmail/A 24832-2023 tillsynsbegäran mail.docx", "A 24832-2023")</f>
        <v/>
      </c>
    </row>
    <row r="259" ht="15" customHeight="1">
      <c r="A259" t="inlineStr">
        <is>
          <t>A 18767-2023</t>
        </is>
      </c>
      <c r="B259" s="1" t="n">
        <v>45043</v>
      </c>
      <c r="C259" s="1" t="n">
        <v>46048</v>
      </c>
      <c r="D259" t="inlineStr">
        <is>
          <t>JÄMTLANDS LÄN</t>
        </is>
      </c>
      <c r="E259" t="inlineStr">
        <is>
          <t>STRÖMSUND</t>
        </is>
      </c>
      <c r="F259" t="inlineStr">
        <is>
          <t>SCA</t>
        </is>
      </c>
      <c r="G259" t="n">
        <v>7.5</v>
      </c>
      <c r="H259" t="n">
        <v>0</v>
      </c>
      <c r="I259" t="n">
        <v>0</v>
      </c>
      <c r="J259" t="n">
        <v>1</v>
      </c>
      <c r="K259" t="n">
        <v>0</v>
      </c>
      <c r="L259" t="n">
        <v>0</v>
      </c>
      <c r="M259" t="n">
        <v>0</v>
      </c>
      <c r="N259" t="n">
        <v>0</v>
      </c>
      <c r="O259" t="n">
        <v>1</v>
      </c>
      <c r="P259" t="n">
        <v>0</v>
      </c>
      <c r="Q259" t="n">
        <v>1</v>
      </c>
      <c r="R259" s="2" t="inlineStr">
        <is>
          <t>Vedtrappmossa</t>
        </is>
      </c>
      <c r="S259">
        <f>HYPERLINK("https://klasma.github.io/Logging_2313/artfynd/A 18767-2023 artfynd.xlsx", "A 18767-2023")</f>
        <v/>
      </c>
      <c r="T259">
        <f>HYPERLINK("https://klasma.github.io/Logging_2313/kartor/A 18767-2023 karta.png", "A 18767-2023")</f>
        <v/>
      </c>
      <c r="V259">
        <f>HYPERLINK("https://klasma.github.io/Logging_2313/klagomål/A 18767-2023 FSC-klagomål.docx", "A 18767-2023")</f>
        <v/>
      </c>
      <c r="W259">
        <f>HYPERLINK("https://klasma.github.io/Logging_2313/klagomålsmail/A 18767-2023 FSC-klagomål mail.docx", "A 18767-2023")</f>
        <v/>
      </c>
      <c r="X259">
        <f>HYPERLINK("https://klasma.github.io/Logging_2313/tillsyn/A 18767-2023 tillsynsbegäran.docx", "A 18767-2023")</f>
        <v/>
      </c>
      <c r="Y259">
        <f>HYPERLINK("https://klasma.github.io/Logging_2313/tillsynsmail/A 18767-2023 tillsynsbegäran mail.docx", "A 18767-2023")</f>
        <v/>
      </c>
    </row>
    <row r="260" ht="15" customHeight="1">
      <c r="A260" t="inlineStr">
        <is>
          <t>A 46969-2024</t>
        </is>
      </c>
      <c r="B260" s="1" t="n">
        <v>45586.32849537037</v>
      </c>
      <c r="C260" s="1" t="n">
        <v>46048</v>
      </c>
      <c r="D260" t="inlineStr">
        <is>
          <t>JÄMTLANDS LÄN</t>
        </is>
      </c>
      <c r="E260" t="inlineStr">
        <is>
          <t>STRÖMSUND</t>
        </is>
      </c>
      <c r="F260" t="inlineStr">
        <is>
          <t>Holmen skog AB</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46969-2024 artfynd.xlsx", "A 46969-2024")</f>
        <v/>
      </c>
      <c r="T260">
        <f>HYPERLINK("https://klasma.github.io/Logging_2313/kartor/A 46969-2024 karta.png", "A 46969-2024")</f>
        <v/>
      </c>
      <c r="V260">
        <f>HYPERLINK("https://klasma.github.io/Logging_2313/klagomål/A 46969-2024 FSC-klagomål.docx", "A 46969-2024")</f>
        <v/>
      </c>
      <c r="W260">
        <f>HYPERLINK("https://klasma.github.io/Logging_2313/klagomålsmail/A 46969-2024 FSC-klagomål mail.docx", "A 46969-2024")</f>
        <v/>
      </c>
      <c r="X260">
        <f>HYPERLINK("https://klasma.github.io/Logging_2313/tillsyn/A 46969-2024 tillsynsbegäran.docx", "A 46969-2024")</f>
        <v/>
      </c>
      <c r="Y260">
        <f>HYPERLINK("https://klasma.github.io/Logging_2313/tillsynsmail/A 46969-2024 tillsynsbegäran mail.docx", "A 46969-2024")</f>
        <v/>
      </c>
      <c r="Z260">
        <f>HYPERLINK("https://klasma.github.io/Logging_2313/fåglar/A 46969-2024 prioriterade fågelarter.docx", "A 46969-2024")</f>
        <v/>
      </c>
    </row>
    <row r="261" ht="15" customHeight="1">
      <c r="A261" t="inlineStr">
        <is>
          <t>A 59523-2023</t>
        </is>
      </c>
      <c r="B261" s="1" t="n">
        <v>45254</v>
      </c>
      <c r="C261" s="1" t="n">
        <v>46048</v>
      </c>
      <c r="D261" t="inlineStr">
        <is>
          <t>JÄMTLANDS LÄN</t>
        </is>
      </c>
      <c r="E261" t="inlineStr">
        <is>
          <t>STRÖMSUND</t>
        </is>
      </c>
      <c r="F261" t="inlineStr">
        <is>
          <t>Holmen skog AB</t>
        </is>
      </c>
      <c r="G261" t="n">
        <v>51.2</v>
      </c>
      <c r="H261" t="n">
        <v>0</v>
      </c>
      <c r="I261" t="n">
        <v>0</v>
      </c>
      <c r="J261" t="n">
        <v>1</v>
      </c>
      <c r="K261" t="n">
        <v>0</v>
      </c>
      <c r="L261" t="n">
        <v>0</v>
      </c>
      <c r="M261" t="n">
        <v>0</v>
      </c>
      <c r="N261" t="n">
        <v>0</v>
      </c>
      <c r="O261" t="n">
        <v>1</v>
      </c>
      <c r="P261" t="n">
        <v>0</v>
      </c>
      <c r="Q261" t="n">
        <v>1</v>
      </c>
      <c r="R261" s="2" t="inlineStr">
        <is>
          <t>Granticka</t>
        </is>
      </c>
      <c r="S261">
        <f>HYPERLINK("https://klasma.github.io/Logging_2313/artfynd/A 59523-2023 artfynd.xlsx", "A 59523-2023")</f>
        <v/>
      </c>
      <c r="T261">
        <f>HYPERLINK("https://klasma.github.io/Logging_2313/kartor/A 59523-2023 karta.png", "A 59523-2023")</f>
        <v/>
      </c>
      <c r="V261">
        <f>HYPERLINK("https://klasma.github.io/Logging_2313/klagomål/A 59523-2023 FSC-klagomål.docx", "A 59523-2023")</f>
        <v/>
      </c>
      <c r="W261">
        <f>HYPERLINK("https://klasma.github.io/Logging_2313/klagomålsmail/A 59523-2023 FSC-klagomål mail.docx", "A 59523-2023")</f>
        <v/>
      </c>
      <c r="X261">
        <f>HYPERLINK("https://klasma.github.io/Logging_2313/tillsyn/A 59523-2023 tillsynsbegäran.docx", "A 59523-2023")</f>
        <v/>
      </c>
      <c r="Y261">
        <f>HYPERLINK("https://klasma.github.io/Logging_2313/tillsynsmail/A 59523-2023 tillsynsbegäran mail.docx", "A 59523-2023")</f>
        <v/>
      </c>
    </row>
    <row r="262" ht="15" customHeight="1">
      <c r="A262" t="inlineStr">
        <is>
          <t>A 24315-2025</t>
        </is>
      </c>
      <c r="B262" s="1" t="n">
        <v>45797.53167824074</v>
      </c>
      <c r="C262" s="1" t="n">
        <v>46048</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49651-2023</t>
        </is>
      </c>
      <c r="B263" s="1" t="n">
        <v>45211</v>
      </c>
      <c r="C263" s="1" t="n">
        <v>46048</v>
      </c>
      <c r="D263" t="inlineStr">
        <is>
          <t>JÄMTLANDS LÄN</t>
        </is>
      </c>
      <c r="E263" t="inlineStr">
        <is>
          <t>STRÖMSUND</t>
        </is>
      </c>
      <c r="F263" t="inlineStr">
        <is>
          <t>SCA</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HYPERLINK("https://klasma.github.io/Logging_2313/artfynd/A 49651-2023 artfynd.xlsx", "A 49651-2023")</f>
        <v/>
      </c>
      <c r="T263">
        <f>HYPERLINK("https://klasma.github.io/Logging_2313/kartor/A 49651-2023 karta.png", "A 49651-2023")</f>
        <v/>
      </c>
      <c r="V263">
        <f>HYPERLINK("https://klasma.github.io/Logging_2313/klagomål/A 49651-2023 FSC-klagomål.docx", "A 49651-2023")</f>
        <v/>
      </c>
      <c r="W263">
        <f>HYPERLINK("https://klasma.github.io/Logging_2313/klagomålsmail/A 49651-2023 FSC-klagomål mail.docx", "A 49651-2023")</f>
        <v/>
      </c>
      <c r="X263">
        <f>HYPERLINK("https://klasma.github.io/Logging_2313/tillsyn/A 49651-2023 tillsynsbegäran.docx", "A 49651-2023")</f>
        <v/>
      </c>
      <c r="Y263">
        <f>HYPERLINK("https://klasma.github.io/Logging_2313/tillsynsmail/A 49651-2023 tillsynsbegäran mail.docx", "A 49651-2023")</f>
        <v/>
      </c>
      <c r="Z263">
        <f>HYPERLINK("https://klasma.github.io/Logging_2313/fåglar/A 49651-2023 prioriterade fågelarter.docx", "A 49651-2023")</f>
        <v/>
      </c>
    </row>
    <row r="264" ht="15" customHeight="1">
      <c r="A264" t="inlineStr">
        <is>
          <t>A 41938-2024</t>
        </is>
      </c>
      <c r="B264" s="1" t="n">
        <v>45561.57325231482</v>
      </c>
      <c r="C264" s="1" t="n">
        <v>46048</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Lunglav</t>
        </is>
      </c>
      <c r="S264">
        <f>HYPERLINK("https://klasma.github.io/Logging_2313/artfynd/A 41938-2024 artfynd.xlsx", "A 41938-2024")</f>
        <v/>
      </c>
      <c r="T264">
        <f>HYPERLINK("https://klasma.github.io/Logging_2313/kartor/A 41938-2024 karta.png", "A 41938-2024")</f>
        <v/>
      </c>
      <c r="V264">
        <f>HYPERLINK("https://klasma.github.io/Logging_2313/klagomål/A 41938-2024 FSC-klagomål.docx", "A 41938-2024")</f>
        <v/>
      </c>
      <c r="W264">
        <f>HYPERLINK("https://klasma.github.io/Logging_2313/klagomålsmail/A 41938-2024 FSC-klagomål mail.docx", "A 41938-2024")</f>
        <v/>
      </c>
      <c r="X264">
        <f>HYPERLINK("https://klasma.github.io/Logging_2313/tillsyn/A 41938-2024 tillsynsbegäran.docx", "A 41938-2024")</f>
        <v/>
      </c>
      <c r="Y264">
        <f>HYPERLINK("https://klasma.github.io/Logging_2313/tillsynsmail/A 41938-2024 tillsynsbegäran mail.docx", "A 41938-2024")</f>
        <v/>
      </c>
    </row>
    <row r="265" ht="15" customHeight="1">
      <c r="A265" t="inlineStr">
        <is>
          <t>A 4881-2025</t>
        </is>
      </c>
      <c r="B265" s="1" t="n">
        <v>45688.67707175926</v>
      </c>
      <c r="C265" s="1" t="n">
        <v>46048</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29604-2023</t>
        </is>
      </c>
      <c r="B266" s="1" t="n">
        <v>45106</v>
      </c>
      <c r="C266" s="1" t="n">
        <v>46048</v>
      </c>
      <c r="D266" t="inlineStr">
        <is>
          <t>JÄMTLANDS LÄN</t>
        </is>
      </c>
      <c r="E266" t="inlineStr">
        <is>
          <t>STRÖMSUND</t>
        </is>
      </c>
      <c r="F266" t="inlineStr">
        <is>
          <t>SCA</t>
        </is>
      </c>
      <c r="G266" t="n">
        <v>1.9</v>
      </c>
      <c r="H266" t="n">
        <v>0</v>
      </c>
      <c r="I266" t="n">
        <v>0</v>
      </c>
      <c r="J266" t="n">
        <v>1</v>
      </c>
      <c r="K266" t="n">
        <v>0</v>
      </c>
      <c r="L266" t="n">
        <v>0</v>
      </c>
      <c r="M266" t="n">
        <v>0</v>
      </c>
      <c r="N266" t="n">
        <v>0</v>
      </c>
      <c r="O266" t="n">
        <v>1</v>
      </c>
      <c r="P266" t="n">
        <v>0</v>
      </c>
      <c r="Q266" t="n">
        <v>1</v>
      </c>
      <c r="R266" s="2" t="inlineStr">
        <is>
          <t>Rosenticka</t>
        </is>
      </c>
      <c r="S266">
        <f>HYPERLINK("https://klasma.github.io/Logging_2313/artfynd/A 29604-2023 artfynd.xlsx", "A 29604-2023")</f>
        <v/>
      </c>
      <c r="T266">
        <f>HYPERLINK("https://klasma.github.io/Logging_2313/kartor/A 29604-2023 karta.png", "A 29604-2023")</f>
        <v/>
      </c>
      <c r="V266">
        <f>HYPERLINK("https://klasma.github.io/Logging_2313/klagomål/A 29604-2023 FSC-klagomål.docx", "A 29604-2023")</f>
        <v/>
      </c>
      <c r="W266">
        <f>HYPERLINK("https://klasma.github.io/Logging_2313/klagomålsmail/A 29604-2023 FSC-klagomål mail.docx", "A 29604-2023")</f>
        <v/>
      </c>
      <c r="X266">
        <f>HYPERLINK("https://klasma.github.io/Logging_2313/tillsyn/A 29604-2023 tillsynsbegäran.docx", "A 29604-2023")</f>
        <v/>
      </c>
      <c r="Y266">
        <f>HYPERLINK("https://klasma.github.io/Logging_2313/tillsynsmail/A 29604-2023 tillsynsbegäran mail.docx", "A 29604-2023")</f>
        <v/>
      </c>
    </row>
    <row r="267" ht="15" customHeight="1">
      <c r="A267" t="inlineStr">
        <is>
          <t>A 15625-2025</t>
        </is>
      </c>
      <c r="B267" s="1" t="n">
        <v>45748.36033564815</v>
      </c>
      <c r="C267" s="1" t="n">
        <v>46048</v>
      </c>
      <c r="D267" t="inlineStr">
        <is>
          <t>JÄMTLANDS LÄN</t>
        </is>
      </c>
      <c r="E267" t="inlineStr">
        <is>
          <t>STRÖMSUND</t>
        </is>
      </c>
      <c r="F267" t="inlineStr">
        <is>
          <t>SCA</t>
        </is>
      </c>
      <c r="G267" t="n">
        <v>1.5</v>
      </c>
      <c r="H267" t="n">
        <v>0</v>
      </c>
      <c r="I267" t="n">
        <v>0</v>
      </c>
      <c r="J267" t="n">
        <v>0</v>
      </c>
      <c r="K267" t="n">
        <v>1</v>
      </c>
      <c r="L267" t="n">
        <v>0</v>
      </c>
      <c r="M267" t="n">
        <v>0</v>
      </c>
      <c r="N267" t="n">
        <v>0</v>
      </c>
      <c r="O267" t="n">
        <v>1</v>
      </c>
      <c r="P267" t="n">
        <v>1</v>
      </c>
      <c r="Q267" t="n">
        <v>1</v>
      </c>
      <c r="R267" s="2" t="inlineStr">
        <is>
          <t>Fläckporing</t>
        </is>
      </c>
      <c r="S267">
        <f>HYPERLINK("https://klasma.github.io/Logging_2313/artfynd/A 15625-2025 artfynd.xlsx", "A 15625-2025")</f>
        <v/>
      </c>
      <c r="T267">
        <f>HYPERLINK("https://klasma.github.io/Logging_2313/kartor/A 15625-2025 karta.png", "A 15625-2025")</f>
        <v/>
      </c>
      <c r="V267">
        <f>HYPERLINK("https://klasma.github.io/Logging_2313/klagomål/A 15625-2025 FSC-klagomål.docx", "A 15625-2025")</f>
        <v/>
      </c>
      <c r="W267">
        <f>HYPERLINK("https://klasma.github.io/Logging_2313/klagomålsmail/A 15625-2025 FSC-klagomål mail.docx", "A 15625-2025")</f>
        <v/>
      </c>
      <c r="X267">
        <f>HYPERLINK("https://klasma.github.io/Logging_2313/tillsyn/A 15625-2025 tillsynsbegäran.docx", "A 15625-2025")</f>
        <v/>
      </c>
      <c r="Y267">
        <f>HYPERLINK("https://klasma.github.io/Logging_2313/tillsynsmail/A 15625-2025 tillsynsbegäran mail.docx", "A 15625-2025")</f>
        <v/>
      </c>
    </row>
    <row r="268" ht="15" customHeight="1">
      <c r="A268" t="inlineStr">
        <is>
          <t>A 64658-2021</t>
        </is>
      </c>
      <c r="B268" s="1" t="n">
        <v>44511</v>
      </c>
      <c r="C268" s="1" t="n">
        <v>46048</v>
      </c>
      <c r="D268" t="inlineStr">
        <is>
          <t>JÄMTLANDS LÄN</t>
        </is>
      </c>
      <c r="E268" t="inlineStr">
        <is>
          <t>STRÖMSUND</t>
        </is>
      </c>
      <c r="F268" t="inlineStr">
        <is>
          <t>SCA</t>
        </is>
      </c>
      <c r="G268" t="n">
        <v>4.7</v>
      </c>
      <c r="H268" t="n">
        <v>0</v>
      </c>
      <c r="I268" t="n">
        <v>0</v>
      </c>
      <c r="J268" t="n">
        <v>1</v>
      </c>
      <c r="K268" t="n">
        <v>0</v>
      </c>
      <c r="L268" t="n">
        <v>0</v>
      </c>
      <c r="M268" t="n">
        <v>0</v>
      </c>
      <c r="N268" t="n">
        <v>0</v>
      </c>
      <c r="O268" t="n">
        <v>1</v>
      </c>
      <c r="P268" t="n">
        <v>0</v>
      </c>
      <c r="Q268" t="n">
        <v>1</v>
      </c>
      <c r="R268" s="2" t="inlineStr">
        <is>
          <t>Harticka</t>
        </is>
      </c>
      <c r="S268">
        <f>HYPERLINK("https://klasma.github.io/Logging_2313/artfynd/A 64658-2021 artfynd.xlsx", "A 64658-2021")</f>
        <v/>
      </c>
      <c r="T268">
        <f>HYPERLINK("https://klasma.github.io/Logging_2313/kartor/A 64658-2021 karta.png", "A 64658-2021")</f>
        <v/>
      </c>
      <c r="V268">
        <f>HYPERLINK("https://klasma.github.io/Logging_2313/klagomål/A 64658-2021 FSC-klagomål.docx", "A 64658-2021")</f>
        <v/>
      </c>
      <c r="W268">
        <f>HYPERLINK("https://klasma.github.io/Logging_2313/klagomålsmail/A 64658-2021 FSC-klagomål mail.docx", "A 64658-2021")</f>
        <v/>
      </c>
      <c r="X268">
        <f>HYPERLINK("https://klasma.github.io/Logging_2313/tillsyn/A 64658-2021 tillsynsbegäran.docx", "A 64658-2021")</f>
        <v/>
      </c>
      <c r="Y268">
        <f>HYPERLINK("https://klasma.github.io/Logging_2313/tillsynsmail/A 64658-2021 tillsynsbegäran mail.docx", "A 64658-2021")</f>
        <v/>
      </c>
    </row>
    <row r="269" ht="15" customHeight="1">
      <c r="A269" t="inlineStr">
        <is>
          <t>A 59845-2024</t>
        </is>
      </c>
      <c r="B269" s="1" t="n">
        <v>45639.67739583334</v>
      </c>
      <c r="C269" s="1" t="n">
        <v>46048</v>
      </c>
      <c r="D269" t="inlineStr">
        <is>
          <t>JÄMTLANDS LÄN</t>
        </is>
      </c>
      <c r="E269" t="inlineStr">
        <is>
          <t>STRÖMSUND</t>
        </is>
      </c>
      <c r="F269" t="inlineStr">
        <is>
          <t>SCA</t>
        </is>
      </c>
      <c r="G269" t="n">
        <v>4.2</v>
      </c>
      <c r="H269" t="n">
        <v>0</v>
      </c>
      <c r="I269" t="n">
        <v>0</v>
      </c>
      <c r="J269" t="n">
        <v>1</v>
      </c>
      <c r="K269" t="n">
        <v>0</v>
      </c>
      <c r="L269" t="n">
        <v>0</v>
      </c>
      <c r="M269" t="n">
        <v>0</v>
      </c>
      <c r="N269" t="n">
        <v>0</v>
      </c>
      <c r="O269" t="n">
        <v>1</v>
      </c>
      <c r="P269" t="n">
        <v>0</v>
      </c>
      <c r="Q269" t="n">
        <v>1</v>
      </c>
      <c r="R269" s="2" t="inlineStr">
        <is>
          <t>Lunglav</t>
        </is>
      </c>
      <c r="S269">
        <f>HYPERLINK("https://klasma.github.io/Logging_2313/artfynd/A 59845-2024 artfynd.xlsx", "A 59845-2024")</f>
        <v/>
      </c>
      <c r="T269">
        <f>HYPERLINK("https://klasma.github.io/Logging_2313/kartor/A 59845-2024 karta.png", "A 59845-2024")</f>
        <v/>
      </c>
      <c r="V269">
        <f>HYPERLINK("https://klasma.github.io/Logging_2313/klagomål/A 59845-2024 FSC-klagomål.docx", "A 59845-2024")</f>
        <v/>
      </c>
      <c r="W269">
        <f>HYPERLINK("https://klasma.github.io/Logging_2313/klagomålsmail/A 59845-2024 FSC-klagomål mail.docx", "A 59845-2024")</f>
        <v/>
      </c>
      <c r="X269">
        <f>HYPERLINK("https://klasma.github.io/Logging_2313/tillsyn/A 59845-2024 tillsynsbegäran.docx", "A 59845-2024")</f>
        <v/>
      </c>
      <c r="Y269">
        <f>HYPERLINK("https://klasma.github.io/Logging_2313/tillsynsmail/A 59845-2024 tillsynsbegäran mail.docx", "A 59845-2024")</f>
        <v/>
      </c>
    </row>
    <row r="270" ht="15" customHeight="1">
      <c r="A270" t="inlineStr">
        <is>
          <t>A 4824-2024</t>
        </is>
      </c>
      <c r="B270" s="1" t="n">
        <v>45328</v>
      </c>
      <c r="C270" s="1" t="n">
        <v>46048</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Lunglav</t>
        </is>
      </c>
      <c r="S270">
        <f>HYPERLINK("https://klasma.github.io/Logging_2313/artfynd/A 4824-2024 artfynd.xlsx", "A 4824-2024")</f>
        <v/>
      </c>
      <c r="T270">
        <f>HYPERLINK("https://klasma.github.io/Logging_2313/kartor/A 4824-2024 karta.png", "A 4824-2024")</f>
        <v/>
      </c>
      <c r="V270">
        <f>HYPERLINK("https://klasma.github.io/Logging_2313/klagomål/A 4824-2024 FSC-klagomål.docx", "A 4824-2024")</f>
        <v/>
      </c>
      <c r="W270">
        <f>HYPERLINK("https://klasma.github.io/Logging_2313/klagomålsmail/A 4824-2024 FSC-klagomål mail.docx", "A 4824-2024")</f>
        <v/>
      </c>
      <c r="X270">
        <f>HYPERLINK("https://klasma.github.io/Logging_2313/tillsyn/A 4824-2024 tillsynsbegäran.docx", "A 4824-2024")</f>
        <v/>
      </c>
      <c r="Y270">
        <f>HYPERLINK("https://klasma.github.io/Logging_2313/tillsynsmail/A 4824-2024 tillsynsbegäran mail.docx", "A 4824-2024")</f>
        <v/>
      </c>
    </row>
    <row r="271" ht="15" customHeight="1">
      <c r="A271" t="inlineStr">
        <is>
          <t>A 10401-2025</t>
        </is>
      </c>
      <c r="B271" s="1" t="n">
        <v>45720.615</v>
      </c>
      <c r="C271" s="1" t="n">
        <v>46048</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51487-2024</t>
        </is>
      </c>
      <c r="B272" s="1" t="n">
        <v>45604</v>
      </c>
      <c r="C272" s="1" t="n">
        <v>46048</v>
      </c>
      <c r="D272" t="inlineStr">
        <is>
          <t>JÄMTLANDS LÄN</t>
        </is>
      </c>
      <c r="E272" t="inlineStr">
        <is>
          <t>STRÖMSUND</t>
        </is>
      </c>
      <c r="F272" t="inlineStr">
        <is>
          <t>Kommuner</t>
        </is>
      </c>
      <c r="G272" t="n">
        <v>6.8</v>
      </c>
      <c r="H272" t="n">
        <v>1</v>
      </c>
      <c r="I272" t="n">
        <v>0</v>
      </c>
      <c r="J272" t="n">
        <v>1</v>
      </c>
      <c r="K272" t="n">
        <v>0</v>
      </c>
      <c r="L272" t="n">
        <v>0</v>
      </c>
      <c r="M272" t="n">
        <v>0</v>
      </c>
      <c r="N272" t="n">
        <v>0</v>
      </c>
      <c r="O272" t="n">
        <v>1</v>
      </c>
      <c r="P272" t="n">
        <v>0</v>
      </c>
      <c r="Q272" t="n">
        <v>1</v>
      </c>
      <c r="R272" s="2" t="inlineStr">
        <is>
          <t>Spillkråka</t>
        </is>
      </c>
      <c r="S272">
        <f>HYPERLINK("https://klasma.github.io/Logging_2313/artfynd/A 51487-2024 artfynd.xlsx", "A 51487-2024")</f>
        <v/>
      </c>
      <c r="T272">
        <f>HYPERLINK("https://klasma.github.io/Logging_2313/kartor/A 51487-2024 karta.png", "A 51487-2024")</f>
        <v/>
      </c>
      <c r="V272">
        <f>HYPERLINK("https://klasma.github.io/Logging_2313/klagomål/A 51487-2024 FSC-klagomål.docx", "A 51487-2024")</f>
        <v/>
      </c>
      <c r="W272">
        <f>HYPERLINK("https://klasma.github.io/Logging_2313/klagomålsmail/A 51487-2024 FSC-klagomål mail.docx", "A 51487-2024")</f>
        <v/>
      </c>
      <c r="X272">
        <f>HYPERLINK("https://klasma.github.io/Logging_2313/tillsyn/A 51487-2024 tillsynsbegäran.docx", "A 51487-2024")</f>
        <v/>
      </c>
      <c r="Y272">
        <f>HYPERLINK("https://klasma.github.io/Logging_2313/tillsynsmail/A 51487-2024 tillsynsbegäran mail.docx", "A 51487-2024")</f>
        <v/>
      </c>
      <c r="Z272">
        <f>HYPERLINK("https://klasma.github.io/Logging_2313/fåglar/A 51487-2024 prioriterade fågelarter.docx", "A 51487-2024")</f>
        <v/>
      </c>
    </row>
    <row r="273" ht="15" customHeight="1">
      <c r="A273" t="inlineStr">
        <is>
          <t>A 10075-2023</t>
        </is>
      </c>
      <c r="B273" s="1" t="n">
        <v>44985</v>
      </c>
      <c r="C273" s="1" t="n">
        <v>46048</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4377-2024</t>
        </is>
      </c>
      <c r="B274" s="1" t="n">
        <v>45326</v>
      </c>
      <c r="C274" s="1" t="n">
        <v>46048</v>
      </c>
      <c r="D274" t="inlineStr">
        <is>
          <t>JÄMTLANDS LÄN</t>
        </is>
      </c>
      <c r="E274" t="inlineStr">
        <is>
          <t>STRÖMSUND</t>
        </is>
      </c>
      <c r="F274" t="inlineStr">
        <is>
          <t>SCA</t>
        </is>
      </c>
      <c r="G274" t="n">
        <v>21.4</v>
      </c>
      <c r="H274" t="n">
        <v>0</v>
      </c>
      <c r="I274" t="n">
        <v>0</v>
      </c>
      <c r="J274" t="n">
        <v>1</v>
      </c>
      <c r="K274" t="n">
        <v>0</v>
      </c>
      <c r="L274" t="n">
        <v>0</v>
      </c>
      <c r="M274" t="n">
        <v>0</v>
      </c>
      <c r="N274" t="n">
        <v>0</v>
      </c>
      <c r="O274" t="n">
        <v>1</v>
      </c>
      <c r="P274" t="n">
        <v>0</v>
      </c>
      <c r="Q274" t="n">
        <v>1</v>
      </c>
      <c r="R274" s="2" t="inlineStr">
        <is>
          <t>Lunglav</t>
        </is>
      </c>
      <c r="S274">
        <f>HYPERLINK("https://klasma.github.io/Logging_2313/artfynd/A 4377-2024 artfynd.xlsx", "A 4377-2024")</f>
        <v/>
      </c>
      <c r="T274">
        <f>HYPERLINK("https://klasma.github.io/Logging_2313/kartor/A 4377-2024 karta.png", "A 4377-2024")</f>
        <v/>
      </c>
      <c r="V274">
        <f>HYPERLINK("https://klasma.github.io/Logging_2313/klagomål/A 4377-2024 FSC-klagomål.docx", "A 4377-2024")</f>
        <v/>
      </c>
      <c r="W274">
        <f>HYPERLINK("https://klasma.github.io/Logging_2313/klagomålsmail/A 4377-2024 FSC-klagomål mail.docx", "A 4377-2024")</f>
        <v/>
      </c>
      <c r="X274">
        <f>HYPERLINK("https://klasma.github.io/Logging_2313/tillsyn/A 4377-2024 tillsynsbegäran.docx", "A 4377-2024")</f>
        <v/>
      </c>
      <c r="Y274">
        <f>HYPERLINK("https://klasma.github.io/Logging_2313/tillsynsmail/A 4377-2024 tillsynsbegäran mail.docx", "A 4377-2024")</f>
        <v/>
      </c>
    </row>
    <row r="275" ht="15" customHeight="1">
      <c r="A275" t="inlineStr">
        <is>
          <t>A 21938-2021</t>
        </is>
      </c>
      <c r="B275" s="1" t="n">
        <v>44322</v>
      </c>
      <c r="C275" s="1" t="n">
        <v>46048</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28509-2024</t>
        </is>
      </c>
      <c r="B276" s="1" t="n">
        <v>45477.94773148148</v>
      </c>
      <c r="C276" s="1" t="n">
        <v>46048</v>
      </c>
      <c r="D276" t="inlineStr">
        <is>
          <t>JÄMTLANDS LÄN</t>
        </is>
      </c>
      <c r="E276" t="inlineStr">
        <is>
          <t>STRÖMSUND</t>
        </is>
      </c>
      <c r="F276" t="inlineStr">
        <is>
          <t>SCA</t>
        </is>
      </c>
      <c r="G276" t="n">
        <v>2.6</v>
      </c>
      <c r="H276" t="n">
        <v>0</v>
      </c>
      <c r="I276" t="n">
        <v>0</v>
      </c>
      <c r="J276" t="n">
        <v>0</v>
      </c>
      <c r="K276" t="n">
        <v>1</v>
      </c>
      <c r="L276" t="n">
        <v>0</v>
      </c>
      <c r="M276" t="n">
        <v>0</v>
      </c>
      <c r="N276" t="n">
        <v>0</v>
      </c>
      <c r="O276" t="n">
        <v>1</v>
      </c>
      <c r="P276" t="n">
        <v>1</v>
      </c>
      <c r="Q276" t="n">
        <v>1</v>
      </c>
      <c r="R276" s="2" t="inlineStr">
        <is>
          <t>Rynkskinn</t>
        </is>
      </c>
      <c r="S276">
        <f>HYPERLINK("https://klasma.github.io/Logging_2313/artfynd/A 28509-2024 artfynd.xlsx", "A 28509-2024")</f>
        <v/>
      </c>
      <c r="T276">
        <f>HYPERLINK("https://klasma.github.io/Logging_2313/kartor/A 28509-2024 karta.png", "A 28509-2024")</f>
        <v/>
      </c>
      <c r="V276">
        <f>HYPERLINK("https://klasma.github.io/Logging_2313/klagomål/A 28509-2024 FSC-klagomål.docx", "A 28509-2024")</f>
        <v/>
      </c>
      <c r="W276">
        <f>HYPERLINK("https://klasma.github.io/Logging_2313/klagomålsmail/A 28509-2024 FSC-klagomål mail.docx", "A 28509-2024")</f>
        <v/>
      </c>
      <c r="X276">
        <f>HYPERLINK("https://klasma.github.io/Logging_2313/tillsyn/A 28509-2024 tillsynsbegäran.docx", "A 28509-2024")</f>
        <v/>
      </c>
      <c r="Y276">
        <f>HYPERLINK("https://klasma.github.io/Logging_2313/tillsynsmail/A 28509-2024 tillsynsbegäran mail.docx", "A 28509-2024")</f>
        <v/>
      </c>
    </row>
    <row r="277" ht="15" customHeight="1">
      <c r="A277" t="inlineStr">
        <is>
          <t>A 28018-2025</t>
        </is>
      </c>
      <c r="B277" s="1" t="n">
        <v>45817.61528935185</v>
      </c>
      <c r="C277" s="1" t="n">
        <v>46048</v>
      </c>
      <c r="D277" t="inlineStr">
        <is>
          <t>JÄMTLANDS LÄN</t>
        </is>
      </c>
      <c r="E277" t="inlineStr">
        <is>
          <t>STRÖMSUND</t>
        </is>
      </c>
      <c r="F277" t="inlineStr">
        <is>
          <t>SCA</t>
        </is>
      </c>
      <c r="G277" t="n">
        <v>5</v>
      </c>
      <c r="H277" t="n">
        <v>0</v>
      </c>
      <c r="I277" t="n">
        <v>0</v>
      </c>
      <c r="J277" t="n">
        <v>1</v>
      </c>
      <c r="K277" t="n">
        <v>0</v>
      </c>
      <c r="L277" t="n">
        <v>0</v>
      </c>
      <c r="M277" t="n">
        <v>0</v>
      </c>
      <c r="N277" t="n">
        <v>0</v>
      </c>
      <c r="O277" t="n">
        <v>1</v>
      </c>
      <c r="P277" t="n">
        <v>0</v>
      </c>
      <c r="Q277" t="n">
        <v>1</v>
      </c>
      <c r="R277" s="2" t="inlineStr">
        <is>
          <t>Skrovellav</t>
        </is>
      </c>
      <c r="S277">
        <f>HYPERLINK("https://klasma.github.io/Logging_2313/artfynd/A 28018-2025 artfynd.xlsx", "A 28018-2025")</f>
        <v/>
      </c>
      <c r="T277">
        <f>HYPERLINK("https://klasma.github.io/Logging_2313/kartor/A 28018-2025 karta.png", "A 28018-2025")</f>
        <v/>
      </c>
      <c r="V277">
        <f>HYPERLINK("https://klasma.github.io/Logging_2313/klagomål/A 28018-2025 FSC-klagomål.docx", "A 28018-2025")</f>
        <v/>
      </c>
      <c r="W277">
        <f>HYPERLINK("https://klasma.github.io/Logging_2313/klagomålsmail/A 28018-2025 FSC-klagomål mail.docx", "A 28018-2025")</f>
        <v/>
      </c>
      <c r="X277">
        <f>HYPERLINK("https://klasma.github.io/Logging_2313/tillsyn/A 28018-2025 tillsynsbegäran.docx", "A 28018-2025")</f>
        <v/>
      </c>
      <c r="Y277">
        <f>HYPERLINK("https://klasma.github.io/Logging_2313/tillsynsmail/A 28018-2025 tillsynsbegäran mail.docx", "A 28018-2025")</f>
        <v/>
      </c>
    </row>
    <row r="278" ht="15" customHeight="1">
      <c r="A278" t="inlineStr">
        <is>
          <t>A 29721-2025</t>
        </is>
      </c>
      <c r="B278" s="1" t="n">
        <v>45825.57422453703</v>
      </c>
      <c r="C278" s="1" t="n">
        <v>46048</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30142-2025</t>
        </is>
      </c>
      <c r="B279" s="1" t="n">
        <v>45826.9224537037</v>
      </c>
      <c r="C279" s="1" t="n">
        <v>46048</v>
      </c>
      <c r="D279" t="inlineStr">
        <is>
          <t>JÄMTLANDS LÄN</t>
        </is>
      </c>
      <c r="E279" t="inlineStr">
        <is>
          <t>STRÖMSUND</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HYPERLINK("https://klasma.github.io/Logging_2313/artfynd/A 30142-2025 artfynd.xlsx", "A 30142-2025")</f>
        <v/>
      </c>
      <c r="T279">
        <f>HYPERLINK("https://klasma.github.io/Logging_2313/kartor/A 30142-2025 karta.png", "A 30142-2025")</f>
        <v/>
      </c>
      <c r="V279">
        <f>HYPERLINK("https://klasma.github.io/Logging_2313/klagomål/A 30142-2025 FSC-klagomål.docx", "A 30142-2025")</f>
        <v/>
      </c>
      <c r="W279">
        <f>HYPERLINK("https://klasma.github.io/Logging_2313/klagomålsmail/A 30142-2025 FSC-klagomål mail.docx", "A 30142-2025")</f>
        <v/>
      </c>
      <c r="X279">
        <f>HYPERLINK("https://klasma.github.io/Logging_2313/tillsyn/A 30142-2025 tillsynsbegäran.docx", "A 30142-2025")</f>
        <v/>
      </c>
      <c r="Y279">
        <f>HYPERLINK("https://klasma.github.io/Logging_2313/tillsynsmail/A 30142-2025 tillsynsbegäran mail.docx", "A 30142-2025")</f>
        <v/>
      </c>
    </row>
    <row r="280" ht="15" customHeight="1">
      <c r="A280" t="inlineStr">
        <is>
          <t>A 32965-2022</t>
        </is>
      </c>
      <c r="B280" s="1" t="n">
        <v>44784</v>
      </c>
      <c r="C280" s="1" t="n">
        <v>46048</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46048</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46048</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46048</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43105-2023</t>
        </is>
      </c>
      <c r="B284" s="1" t="n">
        <v>45182</v>
      </c>
      <c r="C284" s="1" t="n">
        <v>46048</v>
      </c>
      <c r="D284" t="inlineStr">
        <is>
          <t>JÄMTLANDS LÄN</t>
        </is>
      </c>
      <c r="E284" t="inlineStr">
        <is>
          <t>STRÖMSUND</t>
        </is>
      </c>
      <c r="F284" t="inlineStr">
        <is>
          <t>SCA</t>
        </is>
      </c>
      <c r="G284" t="n">
        <v>6.3</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43105-2023 artfynd.xlsx", "A 43105-2023")</f>
        <v/>
      </c>
      <c r="T284">
        <f>HYPERLINK("https://klasma.github.io/Logging_2313/kartor/A 43105-2023 karta.png", "A 43105-2023")</f>
        <v/>
      </c>
      <c r="V284">
        <f>HYPERLINK("https://klasma.github.io/Logging_2313/klagomål/A 43105-2023 FSC-klagomål.docx", "A 43105-2023")</f>
        <v/>
      </c>
      <c r="W284">
        <f>HYPERLINK("https://klasma.github.io/Logging_2313/klagomålsmail/A 43105-2023 FSC-klagomål mail.docx", "A 43105-2023")</f>
        <v/>
      </c>
      <c r="X284">
        <f>HYPERLINK("https://klasma.github.io/Logging_2313/tillsyn/A 43105-2023 tillsynsbegäran.docx", "A 43105-2023")</f>
        <v/>
      </c>
      <c r="Y284">
        <f>HYPERLINK("https://klasma.github.io/Logging_2313/tillsynsmail/A 43105-2023 tillsynsbegäran mail.docx", "A 43105-2023")</f>
        <v/>
      </c>
    </row>
    <row r="285" ht="15" customHeight="1">
      <c r="A285" t="inlineStr">
        <is>
          <t>A 39075-2023</t>
        </is>
      </c>
      <c r="B285" s="1" t="n">
        <v>45163</v>
      </c>
      <c r="C285" s="1" t="n">
        <v>46048</v>
      </c>
      <c r="D285" t="inlineStr">
        <is>
          <t>JÄMTLANDS LÄN</t>
        </is>
      </c>
      <c r="E285" t="inlineStr">
        <is>
          <t>STRÖMSUND</t>
        </is>
      </c>
      <c r="F285" t="inlineStr">
        <is>
          <t>SCA</t>
        </is>
      </c>
      <c r="G285" t="n">
        <v>2.1</v>
      </c>
      <c r="H285" t="n">
        <v>0</v>
      </c>
      <c r="I285" t="n">
        <v>0</v>
      </c>
      <c r="J285" t="n">
        <v>1</v>
      </c>
      <c r="K285" t="n">
        <v>0</v>
      </c>
      <c r="L285" t="n">
        <v>0</v>
      </c>
      <c r="M285" t="n">
        <v>0</v>
      </c>
      <c r="N285" t="n">
        <v>0</v>
      </c>
      <c r="O285" t="n">
        <v>1</v>
      </c>
      <c r="P285" t="n">
        <v>0</v>
      </c>
      <c r="Q285" t="n">
        <v>1</v>
      </c>
      <c r="R285" s="2" t="inlineStr">
        <is>
          <t>Brunpudrad nållav</t>
        </is>
      </c>
      <c r="S285">
        <f>HYPERLINK("https://klasma.github.io/Logging_2313/artfynd/A 39075-2023 artfynd.xlsx", "A 39075-2023")</f>
        <v/>
      </c>
      <c r="T285">
        <f>HYPERLINK("https://klasma.github.io/Logging_2313/kartor/A 39075-2023 karta.png", "A 39075-2023")</f>
        <v/>
      </c>
      <c r="V285">
        <f>HYPERLINK("https://klasma.github.io/Logging_2313/klagomål/A 39075-2023 FSC-klagomål.docx", "A 39075-2023")</f>
        <v/>
      </c>
      <c r="W285">
        <f>HYPERLINK("https://klasma.github.io/Logging_2313/klagomålsmail/A 39075-2023 FSC-klagomål mail.docx", "A 39075-2023")</f>
        <v/>
      </c>
      <c r="X285">
        <f>HYPERLINK("https://klasma.github.io/Logging_2313/tillsyn/A 39075-2023 tillsynsbegäran.docx", "A 39075-2023")</f>
        <v/>
      </c>
      <c r="Y285">
        <f>HYPERLINK("https://klasma.github.io/Logging_2313/tillsynsmail/A 39075-2023 tillsynsbegäran mail.docx", "A 39075-2023")</f>
        <v/>
      </c>
    </row>
    <row r="286" ht="15" customHeight="1">
      <c r="A286" t="inlineStr">
        <is>
          <t>A 32849-2025</t>
        </is>
      </c>
      <c r="B286" s="1" t="n">
        <v>45839.57371527778</v>
      </c>
      <c r="C286" s="1" t="n">
        <v>46048</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69551-2021</t>
        </is>
      </c>
      <c r="B287" s="1" t="n">
        <v>44531</v>
      </c>
      <c r="C287" s="1" t="n">
        <v>46048</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36754-2023</t>
        </is>
      </c>
      <c r="B288" s="1" t="n">
        <v>45153</v>
      </c>
      <c r="C288" s="1" t="n">
        <v>46048</v>
      </c>
      <c r="D288" t="inlineStr">
        <is>
          <t>JÄMTLANDS LÄN</t>
        </is>
      </c>
      <c r="E288" t="inlineStr">
        <is>
          <t>STRÖMSUND</t>
        </is>
      </c>
      <c r="F288" t="inlineStr">
        <is>
          <t>SCA</t>
        </is>
      </c>
      <c r="G288" t="n">
        <v>2.7</v>
      </c>
      <c r="H288" t="n">
        <v>1</v>
      </c>
      <c r="I288" t="n">
        <v>1</v>
      </c>
      <c r="J288" t="n">
        <v>0</v>
      </c>
      <c r="K288" t="n">
        <v>0</v>
      </c>
      <c r="L288" t="n">
        <v>0</v>
      </c>
      <c r="M288" t="n">
        <v>0</v>
      </c>
      <c r="N288" t="n">
        <v>0</v>
      </c>
      <c r="O288" t="n">
        <v>0</v>
      </c>
      <c r="P288" t="n">
        <v>0</v>
      </c>
      <c r="Q288" t="n">
        <v>1</v>
      </c>
      <c r="R288" s="2" t="inlineStr">
        <is>
          <t>Lappranunkel</t>
        </is>
      </c>
      <c r="S288">
        <f>HYPERLINK("https://klasma.github.io/Logging_2313/artfynd/A 36754-2023 artfynd.xlsx", "A 36754-2023")</f>
        <v/>
      </c>
      <c r="T288">
        <f>HYPERLINK("https://klasma.github.io/Logging_2313/kartor/A 36754-2023 karta.png", "A 36754-2023")</f>
        <v/>
      </c>
      <c r="V288">
        <f>HYPERLINK("https://klasma.github.io/Logging_2313/klagomål/A 36754-2023 FSC-klagomål.docx", "A 36754-2023")</f>
        <v/>
      </c>
      <c r="W288">
        <f>HYPERLINK("https://klasma.github.io/Logging_2313/klagomålsmail/A 36754-2023 FSC-klagomål mail.docx", "A 36754-2023")</f>
        <v/>
      </c>
      <c r="X288">
        <f>HYPERLINK("https://klasma.github.io/Logging_2313/tillsyn/A 36754-2023 tillsynsbegäran.docx", "A 36754-2023")</f>
        <v/>
      </c>
      <c r="Y288">
        <f>HYPERLINK("https://klasma.github.io/Logging_2313/tillsynsmail/A 36754-2023 tillsynsbegäran mail.docx", "A 36754-2023")</f>
        <v/>
      </c>
    </row>
    <row r="289" ht="15" customHeight="1">
      <c r="A289" t="inlineStr">
        <is>
          <t>A 15457-2023</t>
        </is>
      </c>
      <c r="B289" s="1" t="n">
        <v>45019</v>
      </c>
      <c r="C289" s="1" t="n">
        <v>46048</v>
      </c>
      <c r="D289" t="inlineStr">
        <is>
          <t>JÄMTLANDS LÄN</t>
        </is>
      </c>
      <c r="E289" t="inlineStr">
        <is>
          <t>STRÖMSUND</t>
        </is>
      </c>
      <c r="G289" t="n">
        <v>17.2</v>
      </c>
      <c r="H289" t="n">
        <v>0</v>
      </c>
      <c r="I289" t="n">
        <v>1</v>
      </c>
      <c r="J289" t="n">
        <v>0</v>
      </c>
      <c r="K289" t="n">
        <v>0</v>
      </c>
      <c r="L289" t="n">
        <v>0</v>
      </c>
      <c r="M289" t="n">
        <v>0</v>
      </c>
      <c r="N289" t="n">
        <v>0</v>
      </c>
      <c r="O289" t="n">
        <v>0</v>
      </c>
      <c r="P289" t="n">
        <v>0</v>
      </c>
      <c r="Q289" t="n">
        <v>1</v>
      </c>
      <c r="R289" s="2" t="inlineStr">
        <is>
          <t>Taggbräken</t>
        </is>
      </c>
      <c r="S289">
        <f>HYPERLINK("https://klasma.github.io/Logging_2313/artfynd/A 15457-2023 artfynd.xlsx", "A 15457-2023")</f>
        <v/>
      </c>
      <c r="T289">
        <f>HYPERLINK("https://klasma.github.io/Logging_2313/kartor/A 15457-2023 karta.png", "A 15457-2023")</f>
        <v/>
      </c>
      <c r="V289">
        <f>HYPERLINK("https://klasma.github.io/Logging_2313/klagomål/A 15457-2023 FSC-klagomål.docx", "A 15457-2023")</f>
        <v/>
      </c>
      <c r="W289">
        <f>HYPERLINK("https://klasma.github.io/Logging_2313/klagomålsmail/A 15457-2023 FSC-klagomål mail.docx", "A 15457-2023")</f>
        <v/>
      </c>
      <c r="X289">
        <f>HYPERLINK("https://klasma.github.io/Logging_2313/tillsyn/A 15457-2023 tillsynsbegäran.docx", "A 15457-2023")</f>
        <v/>
      </c>
      <c r="Y289">
        <f>HYPERLINK("https://klasma.github.io/Logging_2313/tillsynsmail/A 15457-2023 tillsynsbegäran mail.docx", "A 15457-2023")</f>
        <v/>
      </c>
    </row>
    <row r="290" ht="15" customHeight="1">
      <c r="A290" t="inlineStr">
        <is>
          <t>A 32474-2025</t>
        </is>
      </c>
      <c r="B290" s="1" t="n">
        <v>45838.42800925926</v>
      </c>
      <c r="C290" s="1" t="n">
        <v>46048</v>
      </c>
      <c r="D290" t="inlineStr">
        <is>
          <t>JÄMTLANDS LÄN</t>
        </is>
      </c>
      <c r="E290" t="inlineStr">
        <is>
          <t>STRÖMSUND</t>
        </is>
      </c>
      <c r="F290" t="inlineStr">
        <is>
          <t>SCA</t>
        </is>
      </c>
      <c r="G290" t="n">
        <v>0.9</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32474-2025 artfynd.xlsx", "A 32474-2025")</f>
        <v/>
      </c>
      <c r="T290">
        <f>HYPERLINK("https://klasma.github.io/Logging_2313/kartor/A 32474-2025 karta.png", "A 32474-2025")</f>
        <v/>
      </c>
      <c r="V290">
        <f>HYPERLINK("https://klasma.github.io/Logging_2313/klagomål/A 32474-2025 FSC-klagomål.docx", "A 32474-2025")</f>
        <v/>
      </c>
      <c r="W290">
        <f>HYPERLINK("https://klasma.github.io/Logging_2313/klagomålsmail/A 32474-2025 FSC-klagomål mail.docx", "A 32474-2025")</f>
        <v/>
      </c>
      <c r="X290">
        <f>HYPERLINK("https://klasma.github.io/Logging_2313/tillsyn/A 32474-2025 tillsynsbegäran.docx", "A 32474-2025")</f>
        <v/>
      </c>
      <c r="Y290">
        <f>HYPERLINK("https://klasma.github.io/Logging_2313/tillsynsmail/A 32474-2025 tillsynsbegäran mail.docx", "A 32474-2025")</f>
        <v/>
      </c>
    </row>
    <row r="291" ht="15" customHeight="1">
      <c r="A291" t="inlineStr">
        <is>
          <t>A 32939-2025</t>
        </is>
      </c>
      <c r="B291" s="1" t="n">
        <v>45839.67765046296</v>
      </c>
      <c r="C291" s="1" t="n">
        <v>46048</v>
      </c>
      <c r="D291" t="inlineStr">
        <is>
          <t>JÄMTLANDS LÄN</t>
        </is>
      </c>
      <c r="E291" t="inlineStr">
        <is>
          <t>STRÖMSUND</t>
        </is>
      </c>
      <c r="F291" t="inlineStr">
        <is>
          <t>SCA</t>
        </is>
      </c>
      <c r="G291" t="n">
        <v>1.2</v>
      </c>
      <c r="H291" t="n">
        <v>0</v>
      </c>
      <c r="I291" t="n">
        <v>0</v>
      </c>
      <c r="J291" t="n">
        <v>1</v>
      </c>
      <c r="K291" t="n">
        <v>0</v>
      </c>
      <c r="L291" t="n">
        <v>0</v>
      </c>
      <c r="M291" t="n">
        <v>0</v>
      </c>
      <c r="N291" t="n">
        <v>0</v>
      </c>
      <c r="O291" t="n">
        <v>1</v>
      </c>
      <c r="P291" t="n">
        <v>0</v>
      </c>
      <c r="Q291" t="n">
        <v>1</v>
      </c>
      <c r="R291" s="2" t="inlineStr">
        <is>
          <t>Harticka</t>
        </is>
      </c>
      <c r="S291">
        <f>HYPERLINK("https://klasma.github.io/Logging_2313/artfynd/A 32939-2025 artfynd.xlsx", "A 32939-2025")</f>
        <v/>
      </c>
      <c r="T291">
        <f>HYPERLINK("https://klasma.github.io/Logging_2313/kartor/A 32939-2025 karta.png", "A 32939-2025")</f>
        <v/>
      </c>
      <c r="U291">
        <f>HYPERLINK("https://klasma.github.io/Logging_2313/knärot/A 32939-2025 karta knärot.png", "A 32939-2025")</f>
        <v/>
      </c>
      <c r="V291">
        <f>HYPERLINK("https://klasma.github.io/Logging_2313/klagomål/A 32939-2025 FSC-klagomål.docx", "A 32939-2025")</f>
        <v/>
      </c>
      <c r="W291">
        <f>HYPERLINK("https://klasma.github.io/Logging_2313/klagomålsmail/A 32939-2025 FSC-klagomål mail.docx", "A 32939-2025")</f>
        <v/>
      </c>
      <c r="X291">
        <f>HYPERLINK("https://klasma.github.io/Logging_2313/tillsyn/A 32939-2025 tillsynsbegäran.docx", "A 32939-2025")</f>
        <v/>
      </c>
      <c r="Y291">
        <f>HYPERLINK("https://klasma.github.io/Logging_2313/tillsynsmail/A 32939-2025 tillsynsbegäran mail.docx", "A 32939-2025")</f>
        <v/>
      </c>
    </row>
    <row r="292" ht="15" customHeight="1">
      <c r="A292" t="inlineStr">
        <is>
          <t>A 13897-2023</t>
        </is>
      </c>
      <c r="B292" s="1" t="n">
        <v>45008</v>
      </c>
      <c r="C292" s="1" t="n">
        <v>46048</v>
      </c>
      <c r="D292" t="inlineStr">
        <is>
          <t>JÄMTLANDS LÄN</t>
        </is>
      </c>
      <c r="E292" t="inlineStr">
        <is>
          <t>STRÖMSUND</t>
        </is>
      </c>
      <c r="F292" t="inlineStr">
        <is>
          <t>Holmen skog AB</t>
        </is>
      </c>
      <c r="G292" t="n">
        <v>2.6</v>
      </c>
      <c r="H292" t="n">
        <v>0</v>
      </c>
      <c r="I292" t="n">
        <v>0</v>
      </c>
      <c r="J292" t="n">
        <v>1</v>
      </c>
      <c r="K292" t="n">
        <v>0</v>
      </c>
      <c r="L292" t="n">
        <v>0</v>
      </c>
      <c r="M292" t="n">
        <v>0</v>
      </c>
      <c r="N292" t="n">
        <v>0</v>
      </c>
      <c r="O292" t="n">
        <v>1</v>
      </c>
      <c r="P292" t="n">
        <v>0</v>
      </c>
      <c r="Q292" t="n">
        <v>1</v>
      </c>
      <c r="R292" s="2" t="inlineStr">
        <is>
          <t>Kolflarnlav</t>
        </is>
      </c>
      <c r="S292">
        <f>HYPERLINK("https://klasma.github.io/Logging_2313/artfynd/A 13897-2023 artfynd.xlsx", "A 13897-2023")</f>
        <v/>
      </c>
      <c r="T292">
        <f>HYPERLINK("https://klasma.github.io/Logging_2313/kartor/A 13897-2023 karta.png", "A 13897-2023")</f>
        <v/>
      </c>
      <c r="V292">
        <f>HYPERLINK("https://klasma.github.io/Logging_2313/klagomål/A 13897-2023 FSC-klagomål.docx", "A 13897-2023")</f>
        <v/>
      </c>
      <c r="W292">
        <f>HYPERLINK("https://klasma.github.io/Logging_2313/klagomålsmail/A 13897-2023 FSC-klagomål mail.docx", "A 13897-2023")</f>
        <v/>
      </c>
      <c r="X292">
        <f>HYPERLINK("https://klasma.github.io/Logging_2313/tillsyn/A 13897-2023 tillsynsbegäran.docx", "A 13897-2023")</f>
        <v/>
      </c>
      <c r="Y292">
        <f>HYPERLINK("https://klasma.github.io/Logging_2313/tillsynsmail/A 13897-2023 tillsynsbegäran mail.docx", "A 13897-2023")</f>
        <v/>
      </c>
    </row>
    <row r="293" ht="15" customHeight="1">
      <c r="A293" t="inlineStr">
        <is>
          <t>A 8896-2024</t>
        </is>
      </c>
      <c r="B293" s="1" t="n">
        <v>45357</v>
      </c>
      <c r="C293" s="1" t="n">
        <v>46048</v>
      </c>
      <c r="D293" t="inlineStr">
        <is>
          <t>JÄMTLANDS LÄN</t>
        </is>
      </c>
      <c r="E293" t="inlineStr">
        <is>
          <t>STRÖMSUND</t>
        </is>
      </c>
      <c r="F293" t="inlineStr">
        <is>
          <t>Holmen skog AB</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8896-2024 artfynd.xlsx", "A 8896-2024")</f>
        <v/>
      </c>
      <c r="T293">
        <f>HYPERLINK("https://klasma.github.io/Logging_2313/kartor/A 8896-2024 karta.png", "A 8896-2024")</f>
        <v/>
      </c>
      <c r="V293">
        <f>HYPERLINK("https://klasma.github.io/Logging_2313/klagomål/A 8896-2024 FSC-klagomål.docx", "A 8896-2024")</f>
        <v/>
      </c>
      <c r="W293">
        <f>HYPERLINK("https://klasma.github.io/Logging_2313/klagomålsmail/A 8896-2024 FSC-klagomål mail.docx", "A 8896-2024")</f>
        <v/>
      </c>
      <c r="X293">
        <f>HYPERLINK("https://klasma.github.io/Logging_2313/tillsyn/A 8896-2024 tillsynsbegäran.docx", "A 8896-2024")</f>
        <v/>
      </c>
      <c r="Y293">
        <f>HYPERLINK("https://klasma.github.io/Logging_2313/tillsynsmail/A 8896-2024 tillsynsbegäran mail.docx", "A 8896-2024")</f>
        <v/>
      </c>
      <c r="Z293">
        <f>HYPERLINK("https://klasma.github.io/Logging_2313/fåglar/A 8896-2024 prioriterade fågelarter.docx", "A 8896-2024")</f>
        <v/>
      </c>
    </row>
    <row r="294" ht="15" customHeight="1">
      <c r="A294" t="inlineStr">
        <is>
          <t>A 55604-2021</t>
        </is>
      </c>
      <c r="B294" s="1" t="n">
        <v>44475</v>
      </c>
      <c r="C294" s="1" t="n">
        <v>46048</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49374-2024</t>
        </is>
      </c>
      <c r="B295" s="1" t="n">
        <v>45595.64209490741</v>
      </c>
      <c r="C295" s="1" t="n">
        <v>46048</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Veckticka</t>
        </is>
      </c>
      <c r="S295">
        <f>HYPERLINK("https://klasma.github.io/Logging_2313/artfynd/A 49374-2024 artfynd.xlsx", "A 49374-2024")</f>
        <v/>
      </c>
      <c r="T295">
        <f>HYPERLINK("https://klasma.github.io/Logging_2313/kartor/A 49374-2024 karta.png", "A 49374-2024")</f>
        <v/>
      </c>
      <c r="V295">
        <f>HYPERLINK("https://klasma.github.io/Logging_2313/klagomål/A 49374-2024 FSC-klagomål.docx", "A 49374-2024")</f>
        <v/>
      </c>
      <c r="W295">
        <f>HYPERLINK("https://klasma.github.io/Logging_2313/klagomålsmail/A 49374-2024 FSC-klagomål mail.docx", "A 49374-2024")</f>
        <v/>
      </c>
      <c r="X295">
        <f>HYPERLINK("https://klasma.github.io/Logging_2313/tillsyn/A 49374-2024 tillsynsbegäran.docx", "A 49374-2024")</f>
        <v/>
      </c>
      <c r="Y295">
        <f>HYPERLINK("https://klasma.github.io/Logging_2313/tillsynsmail/A 49374-2024 tillsynsbegäran mail.docx", "A 49374-2024")</f>
        <v/>
      </c>
    </row>
    <row r="296" ht="15" customHeight="1">
      <c r="A296" t="inlineStr">
        <is>
          <t>A 34298-2025</t>
        </is>
      </c>
      <c r="B296" s="1" t="n">
        <v>45846</v>
      </c>
      <c r="C296" s="1" t="n">
        <v>46048</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69134-2021</t>
        </is>
      </c>
      <c r="B297" s="1" t="n">
        <v>44530</v>
      </c>
      <c r="C297" s="1" t="n">
        <v>46048</v>
      </c>
      <c r="D297" t="inlineStr">
        <is>
          <t>JÄMTLANDS LÄN</t>
        </is>
      </c>
      <c r="E297" t="inlineStr">
        <is>
          <t>STRÖMSUND</t>
        </is>
      </c>
      <c r="G297" t="n">
        <v>9.4</v>
      </c>
      <c r="H297" t="n">
        <v>0</v>
      </c>
      <c r="I297" t="n">
        <v>0</v>
      </c>
      <c r="J297" t="n">
        <v>1</v>
      </c>
      <c r="K297" t="n">
        <v>0</v>
      </c>
      <c r="L297" t="n">
        <v>0</v>
      </c>
      <c r="M297" t="n">
        <v>0</v>
      </c>
      <c r="N297" t="n">
        <v>0</v>
      </c>
      <c r="O297" t="n">
        <v>1</v>
      </c>
      <c r="P297" t="n">
        <v>0</v>
      </c>
      <c r="Q297" t="n">
        <v>1</v>
      </c>
      <c r="R297" s="2" t="inlineStr">
        <is>
          <t>Garnlav</t>
        </is>
      </c>
      <c r="S297">
        <f>HYPERLINK("https://klasma.github.io/Logging_2313/artfynd/A 69134-2021 artfynd.xlsx", "A 69134-2021")</f>
        <v/>
      </c>
      <c r="T297">
        <f>HYPERLINK("https://klasma.github.io/Logging_2313/kartor/A 69134-2021 karta.png", "A 69134-2021")</f>
        <v/>
      </c>
      <c r="V297">
        <f>HYPERLINK("https://klasma.github.io/Logging_2313/klagomål/A 69134-2021 FSC-klagomål.docx", "A 69134-2021")</f>
        <v/>
      </c>
      <c r="W297">
        <f>HYPERLINK("https://klasma.github.io/Logging_2313/klagomålsmail/A 69134-2021 FSC-klagomål mail.docx", "A 69134-2021")</f>
        <v/>
      </c>
      <c r="X297">
        <f>HYPERLINK("https://klasma.github.io/Logging_2313/tillsyn/A 69134-2021 tillsynsbegäran.docx", "A 69134-2021")</f>
        <v/>
      </c>
      <c r="Y297">
        <f>HYPERLINK("https://klasma.github.io/Logging_2313/tillsynsmail/A 69134-2021 tillsynsbegäran mail.docx", "A 69134-2021")</f>
        <v/>
      </c>
    </row>
    <row r="298" ht="15" customHeight="1">
      <c r="A298" t="inlineStr">
        <is>
          <t>A 34890-2025</t>
        </is>
      </c>
      <c r="B298" s="1" t="n">
        <v>45849.49013888889</v>
      </c>
      <c r="C298" s="1" t="n">
        <v>46048</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56-2024</t>
        </is>
      </c>
      <c r="B299" s="1" t="n">
        <v>45293</v>
      </c>
      <c r="C299" s="1" t="n">
        <v>46048</v>
      </c>
      <c r="D299" t="inlineStr">
        <is>
          <t>JÄMTLANDS LÄN</t>
        </is>
      </c>
      <c r="E299" t="inlineStr">
        <is>
          <t>STRÖMSUND</t>
        </is>
      </c>
      <c r="G299" t="n">
        <v>4.9</v>
      </c>
      <c r="H299" t="n">
        <v>0</v>
      </c>
      <c r="I299" t="n">
        <v>0</v>
      </c>
      <c r="J299" t="n">
        <v>0</v>
      </c>
      <c r="K299" t="n">
        <v>1</v>
      </c>
      <c r="L299" t="n">
        <v>0</v>
      </c>
      <c r="M299" t="n">
        <v>0</v>
      </c>
      <c r="N299" t="n">
        <v>0</v>
      </c>
      <c r="O299" t="n">
        <v>1</v>
      </c>
      <c r="P299" t="n">
        <v>1</v>
      </c>
      <c r="Q299" t="n">
        <v>1</v>
      </c>
      <c r="R299" s="2" t="inlineStr">
        <is>
          <t>Liten sotlav</t>
        </is>
      </c>
      <c r="S299">
        <f>HYPERLINK("https://klasma.github.io/Logging_2313/artfynd/A 56-2024 artfynd.xlsx", "A 56-2024")</f>
        <v/>
      </c>
      <c r="T299">
        <f>HYPERLINK("https://klasma.github.io/Logging_2313/kartor/A 56-2024 karta.png", "A 56-2024")</f>
        <v/>
      </c>
      <c r="V299">
        <f>HYPERLINK("https://klasma.github.io/Logging_2313/klagomål/A 56-2024 FSC-klagomål.docx", "A 56-2024")</f>
        <v/>
      </c>
      <c r="W299">
        <f>HYPERLINK("https://klasma.github.io/Logging_2313/klagomålsmail/A 56-2024 FSC-klagomål mail.docx", "A 56-2024")</f>
        <v/>
      </c>
      <c r="X299">
        <f>HYPERLINK("https://klasma.github.io/Logging_2313/tillsyn/A 56-2024 tillsynsbegäran.docx", "A 56-2024")</f>
        <v/>
      </c>
      <c r="Y299">
        <f>HYPERLINK("https://klasma.github.io/Logging_2313/tillsynsmail/A 56-2024 tillsynsbegäran mail.docx", "A 56-2024")</f>
        <v/>
      </c>
    </row>
    <row r="300" ht="15" customHeight="1">
      <c r="A300" t="inlineStr">
        <is>
          <t>A 30067-2024</t>
        </is>
      </c>
      <c r="B300" s="1" t="n">
        <v>45488.94876157407</v>
      </c>
      <c r="C300" s="1" t="n">
        <v>46048</v>
      </c>
      <c r="D300" t="inlineStr">
        <is>
          <t>JÄMTLANDS LÄN</t>
        </is>
      </c>
      <c r="E300" t="inlineStr">
        <is>
          <t>STRÖMSUND</t>
        </is>
      </c>
      <c r="F300" t="inlineStr">
        <is>
          <t>SCA</t>
        </is>
      </c>
      <c r="G300" t="n">
        <v>4.8</v>
      </c>
      <c r="H300" t="n">
        <v>0</v>
      </c>
      <c r="I300" t="n">
        <v>0</v>
      </c>
      <c r="J300" t="n">
        <v>1</v>
      </c>
      <c r="K300" t="n">
        <v>0</v>
      </c>
      <c r="L300" t="n">
        <v>0</v>
      </c>
      <c r="M300" t="n">
        <v>0</v>
      </c>
      <c r="N300" t="n">
        <v>0</v>
      </c>
      <c r="O300" t="n">
        <v>1</v>
      </c>
      <c r="P300" t="n">
        <v>0</v>
      </c>
      <c r="Q300" t="n">
        <v>1</v>
      </c>
      <c r="R300" s="2" t="inlineStr">
        <is>
          <t>Doftskinn</t>
        </is>
      </c>
      <c r="S300">
        <f>HYPERLINK("https://klasma.github.io/Logging_2313/artfynd/A 30067-2024 artfynd.xlsx", "A 30067-2024")</f>
        <v/>
      </c>
      <c r="T300">
        <f>HYPERLINK("https://klasma.github.io/Logging_2313/kartor/A 30067-2024 karta.png", "A 30067-2024")</f>
        <v/>
      </c>
      <c r="V300">
        <f>HYPERLINK("https://klasma.github.io/Logging_2313/klagomål/A 30067-2024 FSC-klagomål.docx", "A 30067-2024")</f>
        <v/>
      </c>
      <c r="W300">
        <f>HYPERLINK("https://klasma.github.io/Logging_2313/klagomålsmail/A 30067-2024 FSC-klagomål mail.docx", "A 30067-2024")</f>
        <v/>
      </c>
      <c r="X300">
        <f>HYPERLINK("https://klasma.github.io/Logging_2313/tillsyn/A 30067-2024 tillsynsbegäran.docx", "A 30067-2024")</f>
        <v/>
      </c>
      <c r="Y300">
        <f>HYPERLINK("https://klasma.github.io/Logging_2313/tillsynsmail/A 30067-2024 tillsynsbegäran mail.docx", "A 30067-2024")</f>
        <v/>
      </c>
    </row>
    <row r="301" ht="15" customHeight="1">
      <c r="A301" t="inlineStr">
        <is>
          <t>A 54944-2024</t>
        </is>
      </c>
      <c r="B301" s="1" t="n">
        <v>45619</v>
      </c>
      <c r="C301" s="1" t="n">
        <v>46048</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Skogshare</t>
        </is>
      </c>
      <c r="S301">
        <f>HYPERLINK("https://klasma.github.io/Logging_2313/artfynd/A 54944-2024 artfynd.xlsx", "A 54944-2024")</f>
        <v/>
      </c>
      <c r="T301">
        <f>HYPERLINK("https://klasma.github.io/Logging_2313/kartor/A 54944-2024 karta.png", "A 54944-2024")</f>
        <v/>
      </c>
      <c r="V301">
        <f>HYPERLINK("https://klasma.github.io/Logging_2313/klagomål/A 54944-2024 FSC-klagomål.docx", "A 54944-2024")</f>
        <v/>
      </c>
      <c r="W301">
        <f>HYPERLINK("https://klasma.github.io/Logging_2313/klagomålsmail/A 54944-2024 FSC-klagomål mail.docx", "A 54944-2024")</f>
        <v/>
      </c>
      <c r="X301">
        <f>HYPERLINK("https://klasma.github.io/Logging_2313/tillsyn/A 54944-2024 tillsynsbegäran.docx", "A 54944-2024")</f>
        <v/>
      </c>
      <c r="Y301">
        <f>HYPERLINK("https://klasma.github.io/Logging_2313/tillsynsmail/A 54944-2024 tillsynsbegäran mail.docx", "A 54944-2024")</f>
        <v/>
      </c>
    </row>
    <row r="302" ht="15" customHeight="1">
      <c r="A302" t="inlineStr">
        <is>
          <t>A 36890-2025</t>
        </is>
      </c>
      <c r="B302" s="1" t="n">
        <v>45874.46942129629</v>
      </c>
      <c r="C302" s="1" t="n">
        <v>46048</v>
      </c>
      <c r="D302" t="inlineStr">
        <is>
          <t>JÄMTLANDS LÄN</t>
        </is>
      </c>
      <c r="E302" t="inlineStr">
        <is>
          <t>STRÖMSUND</t>
        </is>
      </c>
      <c r="F302" t="inlineStr">
        <is>
          <t>SCA</t>
        </is>
      </c>
      <c r="G302" t="n">
        <v>2.7</v>
      </c>
      <c r="H302" t="n">
        <v>0</v>
      </c>
      <c r="I302" t="n">
        <v>0</v>
      </c>
      <c r="J302" t="n">
        <v>1</v>
      </c>
      <c r="K302" t="n">
        <v>0</v>
      </c>
      <c r="L302" t="n">
        <v>0</v>
      </c>
      <c r="M302" t="n">
        <v>0</v>
      </c>
      <c r="N302" t="n">
        <v>0</v>
      </c>
      <c r="O302" t="n">
        <v>1</v>
      </c>
      <c r="P302" t="n">
        <v>0</v>
      </c>
      <c r="Q302" t="n">
        <v>1</v>
      </c>
      <c r="R302" s="2" t="inlineStr">
        <is>
          <t>Lunglav</t>
        </is>
      </c>
      <c r="S302">
        <f>HYPERLINK("https://klasma.github.io/Logging_2313/artfynd/A 36890-2025 artfynd.xlsx", "A 36890-2025")</f>
        <v/>
      </c>
      <c r="T302">
        <f>HYPERLINK("https://klasma.github.io/Logging_2313/kartor/A 36890-2025 karta.png", "A 36890-2025")</f>
        <v/>
      </c>
      <c r="V302">
        <f>HYPERLINK("https://klasma.github.io/Logging_2313/klagomål/A 36890-2025 FSC-klagomål.docx", "A 36890-2025")</f>
        <v/>
      </c>
      <c r="W302">
        <f>HYPERLINK("https://klasma.github.io/Logging_2313/klagomålsmail/A 36890-2025 FSC-klagomål mail.docx", "A 36890-2025")</f>
        <v/>
      </c>
      <c r="X302">
        <f>HYPERLINK("https://klasma.github.io/Logging_2313/tillsyn/A 36890-2025 tillsynsbegäran.docx", "A 36890-2025")</f>
        <v/>
      </c>
      <c r="Y302">
        <f>HYPERLINK("https://klasma.github.io/Logging_2313/tillsynsmail/A 36890-2025 tillsynsbegäran mail.docx", "A 36890-2025")</f>
        <v/>
      </c>
    </row>
    <row r="303" ht="15" customHeight="1">
      <c r="A303" t="inlineStr">
        <is>
          <t>A 36874-2025</t>
        </is>
      </c>
      <c r="B303" s="1" t="n">
        <v>45874.42949074074</v>
      </c>
      <c r="C303" s="1" t="n">
        <v>46048</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7929-2023</t>
        </is>
      </c>
      <c r="B304" s="1" t="n">
        <v>44970</v>
      </c>
      <c r="C304" s="1" t="n">
        <v>46048</v>
      </c>
      <c r="D304" t="inlineStr">
        <is>
          <t>JÄMTLANDS LÄN</t>
        </is>
      </c>
      <c r="E304" t="inlineStr">
        <is>
          <t>STRÖMSUND</t>
        </is>
      </c>
      <c r="F304" t="inlineStr">
        <is>
          <t>Kommuner</t>
        </is>
      </c>
      <c r="G304" t="n">
        <v>2.2</v>
      </c>
      <c r="H304" t="n">
        <v>0</v>
      </c>
      <c r="I304" t="n">
        <v>1</v>
      </c>
      <c r="J304" t="n">
        <v>0</v>
      </c>
      <c r="K304" t="n">
        <v>0</v>
      </c>
      <c r="L304" t="n">
        <v>0</v>
      </c>
      <c r="M304" t="n">
        <v>0</v>
      </c>
      <c r="N304" t="n">
        <v>0</v>
      </c>
      <c r="O304" t="n">
        <v>0</v>
      </c>
      <c r="P304" t="n">
        <v>0</v>
      </c>
      <c r="Q304" t="n">
        <v>1</v>
      </c>
      <c r="R304" s="2" t="inlineStr">
        <is>
          <t>Norrlandslav</t>
        </is>
      </c>
      <c r="S304">
        <f>HYPERLINK("https://klasma.github.io/Logging_2313/artfynd/A 7929-2023 artfynd.xlsx", "A 7929-2023")</f>
        <v/>
      </c>
      <c r="T304">
        <f>HYPERLINK("https://klasma.github.io/Logging_2313/kartor/A 7929-2023 karta.png", "A 7929-2023")</f>
        <v/>
      </c>
      <c r="V304">
        <f>HYPERLINK("https://klasma.github.io/Logging_2313/klagomål/A 7929-2023 FSC-klagomål.docx", "A 7929-2023")</f>
        <v/>
      </c>
      <c r="W304">
        <f>HYPERLINK("https://klasma.github.io/Logging_2313/klagomålsmail/A 7929-2023 FSC-klagomål mail.docx", "A 7929-2023")</f>
        <v/>
      </c>
      <c r="X304">
        <f>HYPERLINK("https://klasma.github.io/Logging_2313/tillsyn/A 7929-2023 tillsynsbegäran.docx", "A 7929-2023")</f>
        <v/>
      </c>
      <c r="Y304">
        <f>HYPERLINK("https://klasma.github.io/Logging_2313/tillsynsmail/A 7929-2023 tillsynsbegäran mail.docx", "A 7929-2023")</f>
        <v/>
      </c>
    </row>
    <row r="305" ht="15" customHeight="1">
      <c r="A305" t="inlineStr">
        <is>
          <t>A 44603-2024</t>
        </is>
      </c>
      <c r="B305" s="1" t="n">
        <v>45574.51158564815</v>
      </c>
      <c r="C305" s="1" t="n">
        <v>46048</v>
      </c>
      <c r="D305" t="inlineStr">
        <is>
          <t>JÄMTLANDS LÄN</t>
        </is>
      </c>
      <c r="E305" t="inlineStr">
        <is>
          <t>STRÖMSUND</t>
        </is>
      </c>
      <c r="F305" t="inlineStr">
        <is>
          <t>SCA</t>
        </is>
      </c>
      <c r="G305" t="n">
        <v>4.6</v>
      </c>
      <c r="H305" t="n">
        <v>0</v>
      </c>
      <c r="I305" t="n">
        <v>0</v>
      </c>
      <c r="J305" t="n">
        <v>0</v>
      </c>
      <c r="K305" t="n">
        <v>1</v>
      </c>
      <c r="L305" t="n">
        <v>0</v>
      </c>
      <c r="M305" t="n">
        <v>0</v>
      </c>
      <c r="N305" t="n">
        <v>0</v>
      </c>
      <c r="O305" t="n">
        <v>1</v>
      </c>
      <c r="P305" t="n">
        <v>1</v>
      </c>
      <c r="Q305" t="n">
        <v>1</v>
      </c>
      <c r="R305" s="2" t="inlineStr">
        <is>
          <t>Norsk näverlav</t>
        </is>
      </c>
      <c r="S305">
        <f>HYPERLINK("https://klasma.github.io/Logging_2313/artfynd/A 44603-2024 artfynd.xlsx", "A 44603-2024")</f>
        <v/>
      </c>
      <c r="T305">
        <f>HYPERLINK("https://klasma.github.io/Logging_2313/kartor/A 44603-2024 karta.png", "A 44603-2024")</f>
        <v/>
      </c>
      <c r="V305">
        <f>HYPERLINK("https://klasma.github.io/Logging_2313/klagomål/A 44603-2024 FSC-klagomål.docx", "A 44603-2024")</f>
        <v/>
      </c>
      <c r="W305">
        <f>HYPERLINK("https://klasma.github.io/Logging_2313/klagomålsmail/A 44603-2024 FSC-klagomål mail.docx", "A 44603-2024")</f>
        <v/>
      </c>
      <c r="X305">
        <f>HYPERLINK("https://klasma.github.io/Logging_2313/tillsyn/A 44603-2024 tillsynsbegäran.docx", "A 44603-2024")</f>
        <v/>
      </c>
      <c r="Y305">
        <f>HYPERLINK("https://klasma.github.io/Logging_2313/tillsynsmail/A 44603-2024 tillsynsbegäran mail.docx", "A 44603-2024")</f>
        <v/>
      </c>
    </row>
    <row r="306" ht="15" customHeight="1">
      <c r="A306" t="inlineStr">
        <is>
          <t>A 38022-2025</t>
        </is>
      </c>
      <c r="B306" s="1" t="n">
        <v>45882.34482638889</v>
      </c>
      <c r="C306" s="1" t="n">
        <v>46048</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41811-2022</t>
        </is>
      </c>
      <c r="B307" s="1" t="n">
        <v>44827</v>
      </c>
      <c r="C307" s="1" t="n">
        <v>46048</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46048</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46814-2023</t>
        </is>
      </c>
      <c r="B309" s="1" t="n">
        <v>45198</v>
      </c>
      <c r="C309" s="1" t="n">
        <v>46048</v>
      </c>
      <c r="D309" t="inlineStr">
        <is>
          <t>JÄMTLANDS LÄN</t>
        </is>
      </c>
      <c r="E309" t="inlineStr">
        <is>
          <t>STRÖMSUND</t>
        </is>
      </c>
      <c r="F309" t="inlineStr">
        <is>
          <t>SCA</t>
        </is>
      </c>
      <c r="G309" t="n">
        <v>9.5</v>
      </c>
      <c r="H309" t="n">
        <v>0</v>
      </c>
      <c r="I309" t="n">
        <v>0</v>
      </c>
      <c r="J309" t="n">
        <v>0</v>
      </c>
      <c r="K309" t="n">
        <v>0</v>
      </c>
      <c r="L309" t="n">
        <v>0</v>
      </c>
      <c r="M309" t="n">
        <v>0</v>
      </c>
      <c r="N309" t="n">
        <v>0</v>
      </c>
      <c r="O309" t="n">
        <v>1</v>
      </c>
      <c r="P309" t="n">
        <v>0</v>
      </c>
      <c r="Q309" t="n">
        <v>1</v>
      </c>
      <c r="R309" s="2" t="inlineStr">
        <is>
          <t>Liten klubbdyna</t>
        </is>
      </c>
      <c r="S309">
        <f>HYPERLINK("https://klasma.github.io/Logging_2313/artfynd/A 46814-2023 artfynd.xlsx", "A 46814-2023")</f>
        <v/>
      </c>
      <c r="T309">
        <f>HYPERLINK("https://klasma.github.io/Logging_2313/kartor/A 46814-2023 karta.png", "A 46814-2023")</f>
        <v/>
      </c>
      <c r="V309">
        <f>HYPERLINK("https://klasma.github.io/Logging_2313/klagomål/A 46814-2023 FSC-klagomål.docx", "A 46814-2023")</f>
        <v/>
      </c>
      <c r="W309">
        <f>HYPERLINK("https://klasma.github.io/Logging_2313/klagomålsmail/A 46814-2023 FSC-klagomål mail.docx", "A 46814-2023")</f>
        <v/>
      </c>
      <c r="X309">
        <f>HYPERLINK("https://klasma.github.io/Logging_2313/tillsyn/A 46814-2023 tillsynsbegäran.docx", "A 46814-2023")</f>
        <v/>
      </c>
      <c r="Y309">
        <f>HYPERLINK("https://klasma.github.io/Logging_2313/tillsynsmail/A 46814-2023 tillsynsbegäran mail.docx", "A 46814-2023")</f>
        <v/>
      </c>
    </row>
    <row r="310" ht="15" customHeight="1">
      <c r="A310" t="inlineStr">
        <is>
          <t>A 30085-2025</t>
        </is>
      </c>
      <c r="B310" s="1" t="n">
        <v>45826.65711805555</v>
      </c>
      <c r="C310" s="1" t="n">
        <v>46048</v>
      </c>
      <c r="D310" t="inlineStr">
        <is>
          <t>JÄMTLANDS LÄN</t>
        </is>
      </c>
      <c r="E310" t="inlineStr">
        <is>
          <t>STRÖMSUND</t>
        </is>
      </c>
      <c r="F310" t="inlineStr">
        <is>
          <t>Sveaskog</t>
        </is>
      </c>
      <c r="G310" t="n">
        <v>1.4</v>
      </c>
      <c r="H310" t="n">
        <v>0</v>
      </c>
      <c r="I310" t="n">
        <v>0</v>
      </c>
      <c r="J310" t="n">
        <v>0</v>
      </c>
      <c r="K310" t="n">
        <v>1</v>
      </c>
      <c r="L310" t="n">
        <v>0</v>
      </c>
      <c r="M310" t="n">
        <v>0</v>
      </c>
      <c r="N310" t="n">
        <v>0</v>
      </c>
      <c r="O310" t="n">
        <v>1</v>
      </c>
      <c r="P310" t="n">
        <v>1</v>
      </c>
      <c r="Q310" t="n">
        <v>1</v>
      </c>
      <c r="R310" s="2" t="inlineStr">
        <is>
          <t>Blyspindling agg.</t>
        </is>
      </c>
      <c r="S310">
        <f>HYPERLINK("https://klasma.github.io/Logging_2313/artfynd/A 30085-2025 artfynd.xlsx", "A 30085-2025")</f>
        <v/>
      </c>
      <c r="T310">
        <f>HYPERLINK("https://klasma.github.io/Logging_2313/kartor/A 30085-2025 karta.png", "A 30085-2025")</f>
        <v/>
      </c>
      <c r="V310">
        <f>HYPERLINK("https://klasma.github.io/Logging_2313/klagomål/A 30085-2025 FSC-klagomål.docx", "A 30085-2025")</f>
        <v/>
      </c>
      <c r="W310">
        <f>HYPERLINK("https://klasma.github.io/Logging_2313/klagomålsmail/A 30085-2025 FSC-klagomål mail.docx", "A 30085-2025")</f>
        <v/>
      </c>
      <c r="X310">
        <f>HYPERLINK("https://klasma.github.io/Logging_2313/tillsyn/A 30085-2025 tillsynsbegäran.docx", "A 30085-2025")</f>
        <v/>
      </c>
      <c r="Y310">
        <f>HYPERLINK("https://klasma.github.io/Logging_2313/tillsynsmail/A 30085-2025 tillsynsbegäran mail.docx", "A 30085-2025")</f>
        <v/>
      </c>
    </row>
    <row r="311" ht="15" customHeight="1">
      <c r="A311" t="inlineStr">
        <is>
          <t>A 34006-2023</t>
        </is>
      </c>
      <c r="B311" s="1" t="n">
        <v>45134</v>
      </c>
      <c r="C311" s="1" t="n">
        <v>46048</v>
      </c>
      <c r="D311" t="inlineStr">
        <is>
          <t>JÄMTLANDS LÄN</t>
        </is>
      </c>
      <c r="E311" t="inlineStr">
        <is>
          <t>STRÖMSUND</t>
        </is>
      </c>
      <c r="F311" t="inlineStr">
        <is>
          <t>SCA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HYPERLINK("https://klasma.github.io/Logging_2313/artfynd/A 34006-2023 artfynd.xlsx", "A 34006-2023")</f>
        <v/>
      </c>
      <c r="T311">
        <f>HYPERLINK("https://klasma.github.io/Logging_2313/kartor/A 34006-2023 karta.png", "A 34006-2023")</f>
        <v/>
      </c>
      <c r="V311">
        <f>HYPERLINK("https://klasma.github.io/Logging_2313/klagomål/A 34006-2023 FSC-klagomål.docx", "A 34006-2023")</f>
        <v/>
      </c>
      <c r="W311">
        <f>HYPERLINK("https://klasma.github.io/Logging_2313/klagomålsmail/A 34006-2023 FSC-klagomål mail.docx", "A 34006-2023")</f>
        <v/>
      </c>
      <c r="X311">
        <f>HYPERLINK("https://klasma.github.io/Logging_2313/tillsyn/A 34006-2023 tillsynsbegäran.docx", "A 34006-2023")</f>
        <v/>
      </c>
      <c r="Y311">
        <f>HYPERLINK("https://klasma.github.io/Logging_2313/tillsynsmail/A 34006-2023 tillsynsbegäran mail.docx", "A 34006-2023")</f>
        <v/>
      </c>
      <c r="Z311">
        <f>HYPERLINK("https://klasma.github.io/Logging_2313/fåglar/A 34006-2023 prioriterade fågelarter.docx", "A 34006-2023")</f>
        <v/>
      </c>
    </row>
    <row r="312" ht="15" customHeight="1">
      <c r="A312" t="inlineStr">
        <is>
          <t>A 15149-2022</t>
        </is>
      </c>
      <c r="B312" s="1" t="n">
        <v>44658</v>
      </c>
      <c r="C312" s="1" t="n">
        <v>46048</v>
      </c>
      <c r="D312" t="inlineStr">
        <is>
          <t>JÄMTLANDS LÄN</t>
        </is>
      </c>
      <c r="E312" t="inlineStr">
        <is>
          <t>STRÖMSUND</t>
        </is>
      </c>
      <c r="G312" t="n">
        <v>10.6</v>
      </c>
      <c r="H312" t="n">
        <v>1</v>
      </c>
      <c r="I312" t="n">
        <v>0</v>
      </c>
      <c r="J312" t="n">
        <v>0</v>
      </c>
      <c r="K312" t="n">
        <v>0</v>
      </c>
      <c r="L312" t="n">
        <v>0</v>
      </c>
      <c r="M312" t="n">
        <v>0</v>
      </c>
      <c r="N312" t="n">
        <v>0</v>
      </c>
      <c r="O312" t="n">
        <v>0</v>
      </c>
      <c r="P312" t="n">
        <v>0</v>
      </c>
      <c r="Q312" t="n">
        <v>1</v>
      </c>
      <c r="R312" s="2" t="inlineStr">
        <is>
          <t>Lavskrika</t>
        </is>
      </c>
      <c r="S312">
        <f>HYPERLINK("https://klasma.github.io/Logging_2313/artfynd/A 15149-2022 artfynd.xlsx", "A 15149-2022")</f>
        <v/>
      </c>
      <c r="T312">
        <f>HYPERLINK("https://klasma.github.io/Logging_2313/kartor/A 15149-2022 karta.png", "A 15149-2022")</f>
        <v/>
      </c>
      <c r="V312">
        <f>HYPERLINK("https://klasma.github.io/Logging_2313/klagomål/A 15149-2022 FSC-klagomål.docx", "A 15149-2022")</f>
        <v/>
      </c>
      <c r="W312">
        <f>HYPERLINK("https://klasma.github.io/Logging_2313/klagomålsmail/A 15149-2022 FSC-klagomål mail.docx", "A 15149-2022")</f>
        <v/>
      </c>
      <c r="X312">
        <f>HYPERLINK("https://klasma.github.io/Logging_2313/tillsyn/A 15149-2022 tillsynsbegäran.docx", "A 15149-2022")</f>
        <v/>
      </c>
      <c r="Y312">
        <f>HYPERLINK("https://klasma.github.io/Logging_2313/tillsynsmail/A 15149-2022 tillsynsbegäran mail.docx", "A 15149-2022")</f>
        <v/>
      </c>
      <c r="Z312">
        <f>HYPERLINK("https://klasma.github.io/Logging_2313/fåglar/A 15149-2022 prioriterade fågelarter.docx", "A 15149-2022")</f>
        <v/>
      </c>
    </row>
    <row r="313" ht="15" customHeight="1">
      <c r="A313" t="inlineStr">
        <is>
          <t>A 49524-2023</t>
        </is>
      </c>
      <c r="B313" s="1" t="n">
        <v>45211</v>
      </c>
      <c r="C313" s="1" t="n">
        <v>46048</v>
      </c>
      <c r="D313" t="inlineStr">
        <is>
          <t>JÄMTLANDS LÄN</t>
        </is>
      </c>
      <c r="E313" t="inlineStr">
        <is>
          <t>STRÖMSUND</t>
        </is>
      </c>
      <c r="F313" t="inlineStr">
        <is>
          <t>Holmen skog AB</t>
        </is>
      </c>
      <c r="G313" t="n">
        <v>3.3</v>
      </c>
      <c r="H313" t="n">
        <v>0</v>
      </c>
      <c r="I313" t="n">
        <v>0</v>
      </c>
      <c r="J313" t="n">
        <v>1</v>
      </c>
      <c r="K313" t="n">
        <v>0</v>
      </c>
      <c r="L313" t="n">
        <v>0</v>
      </c>
      <c r="M313" t="n">
        <v>0</v>
      </c>
      <c r="N313" t="n">
        <v>0</v>
      </c>
      <c r="O313" t="n">
        <v>1</v>
      </c>
      <c r="P313" t="n">
        <v>0</v>
      </c>
      <c r="Q313" t="n">
        <v>1</v>
      </c>
      <c r="R313" s="2" t="inlineStr">
        <is>
          <t>Kolflarnlav</t>
        </is>
      </c>
      <c r="S313">
        <f>HYPERLINK("https://klasma.github.io/Logging_2313/artfynd/A 49524-2023 artfynd.xlsx", "A 49524-2023")</f>
        <v/>
      </c>
      <c r="T313">
        <f>HYPERLINK("https://klasma.github.io/Logging_2313/kartor/A 49524-2023 karta.png", "A 49524-2023")</f>
        <v/>
      </c>
      <c r="V313">
        <f>HYPERLINK("https://klasma.github.io/Logging_2313/klagomål/A 49524-2023 FSC-klagomål.docx", "A 49524-2023")</f>
        <v/>
      </c>
      <c r="W313">
        <f>HYPERLINK("https://klasma.github.io/Logging_2313/klagomålsmail/A 49524-2023 FSC-klagomål mail.docx", "A 49524-2023")</f>
        <v/>
      </c>
      <c r="X313">
        <f>HYPERLINK("https://klasma.github.io/Logging_2313/tillsyn/A 49524-2023 tillsynsbegäran.docx", "A 49524-2023")</f>
        <v/>
      </c>
      <c r="Y313">
        <f>HYPERLINK("https://klasma.github.io/Logging_2313/tillsynsmail/A 49524-2023 tillsynsbegäran mail.docx", "A 49524-2023")</f>
        <v/>
      </c>
    </row>
    <row r="314" ht="15" customHeight="1">
      <c r="A314" t="inlineStr">
        <is>
          <t>A 40305-2025</t>
        </is>
      </c>
      <c r="B314" s="1" t="n">
        <v>45895.40702546296</v>
      </c>
      <c r="C314" s="1" t="n">
        <v>46048</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14290-2022</t>
        </is>
      </c>
      <c r="B315" s="1" t="n">
        <v>44651</v>
      </c>
      <c r="C315" s="1" t="n">
        <v>46048</v>
      </c>
      <c r="D315" t="inlineStr">
        <is>
          <t>JÄMTLANDS LÄN</t>
        </is>
      </c>
      <c r="E315" t="inlineStr">
        <is>
          <t>STRÖMSUND</t>
        </is>
      </c>
      <c r="F315" t="inlineStr">
        <is>
          <t>SCA</t>
        </is>
      </c>
      <c r="G315" t="n">
        <v>0.3</v>
      </c>
      <c r="H315" t="n">
        <v>0</v>
      </c>
      <c r="I315" t="n">
        <v>0</v>
      </c>
      <c r="J315" t="n">
        <v>1</v>
      </c>
      <c r="K315" t="n">
        <v>0</v>
      </c>
      <c r="L315" t="n">
        <v>0</v>
      </c>
      <c r="M315" t="n">
        <v>0</v>
      </c>
      <c r="N315" t="n">
        <v>0</v>
      </c>
      <c r="O315" t="n">
        <v>1</v>
      </c>
      <c r="P315" t="n">
        <v>0</v>
      </c>
      <c r="Q315" t="n">
        <v>1</v>
      </c>
      <c r="R315" s="2" t="inlineStr">
        <is>
          <t>Garnlav</t>
        </is>
      </c>
      <c r="S315">
        <f>HYPERLINK("https://klasma.github.io/Logging_2313/artfynd/A 14290-2022 artfynd.xlsx", "A 14290-2022")</f>
        <v/>
      </c>
      <c r="T315">
        <f>HYPERLINK("https://klasma.github.io/Logging_2313/kartor/A 14290-2022 karta.png", "A 14290-2022")</f>
        <v/>
      </c>
      <c r="U315">
        <f>HYPERLINK("https://klasma.github.io/Logging_2313/knärot/A 14290-2022 karta knärot.png", "A 14290-2022")</f>
        <v/>
      </c>
      <c r="V315">
        <f>HYPERLINK("https://klasma.github.io/Logging_2313/klagomål/A 14290-2022 FSC-klagomål.docx", "A 14290-2022")</f>
        <v/>
      </c>
      <c r="W315">
        <f>HYPERLINK("https://klasma.github.io/Logging_2313/klagomålsmail/A 14290-2022 FSC-klagomål mail.docx", "A 14290-2022")</f>
        <v/>
      </c>
      <c r="X315">
        <f>HYPERLINK("https://klasma.github.io/Logging_2313/tillsyn/A 14290-2022 tillsynsbegäran.docx", "A 14290-2022")</f>
        <v/>
      </c>
      <c r="Y315">
        <f>HYPERLINK("https://klasma.github.io/Logging_2313/tillsynsmail/A 14290-2022 tillsynsbegäran mail.docx", "A 14290-2022")</f>
        <v/>
      </c>
    </row>
    <row r="316" ht="15" customHeight="1">
      <c r="A316" t="inlineStr">
        <is>
          <t>A 39511-2023</t>
        </is>
      </c>
      <c r="B316" s="1" t="n">
        <v>45166</v>
      </c>
      <c r="C316" s="1" t="n">
        <v>46048</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55530-2022</t>
        </is>
      </c>
      <c r="B317" s="1" t="n">
        <v>44887</v>
      </c>
      <c r="C317" s="1" t="n">
        <v>46048</v>
      </c>
      <c r="D317" t="inlineStr">
        <is>
          <t>JÄMTLANDS LÄN</t>
        </is>
      </c>
      <c r="E317" t="inlineStr">
        <is>
          <t>STRÖMSUND</t>
        </is>
      </c>
      <c r="F317" t="inlineStr">
        <is>
          <t>SCA</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HYPERLINK("https://klasma.github.io/Logging_2313/artfynd/A 55530-2022 artfynd.xlsx", "A 55530-2022")</f>
        <v/>
      </c>
      <c r="T317">
        <f>HYPERLINK("https://klasma.github.io/Logging_2313/kartor/A 55530-2022 karta.png", "A 55530-2022")</f>
        <v/>
      </c>
      <c r="V317">
        <f>HYPERLINK("https://klasma.github.io/Logging_2313/klagomål/A 55530-2022 FSC-klagomål.docx", "A 55530-2022")</f>
        <v/>
      </c>
      <c r="W317">
        <f>HYPERLINK("https://klasma.github.io/Logging_2313/klagomålsmail/A 55530-2022 FSC-klagomål mail.docx", "A 55530-2022")</f>
        <v/>
      </c>
      <c r="X317">
        <f>HYPERLINK("https://klasma.github.io/Logging_2313/tillsyn/A 55530-2022 tillsynsbegäran.docx", "A 55530-2022")</f>
        <v/>
      </c>
      <c r="Y317">
        <f>HYPERLINK("https://klasma.github.io/Logging_2313/tillsynsmail/A 55530-2022 tillsynsbegäran mail.docx", "A 55530-2022")</f>
        <v/>
      </c>
    </row>
    <row r="318" ht="15" customHeight="1">
      <c r="A318" t="inlineStr">
        <is>
          <t>A 57390-2023</t>
        </is>
      </c>
      <c r="B318" s="1" t="n">
        <v>45245</v>
      </c>
      <c r="C318" s="1" t="n">
        <v>46048</v>
      </c>
      <c r="D318" t="inlineStr">
        <is>
          <t>JÄMTLANDS LÄN</t>
        </is>
      </c>
      <c r="E318" t="inlineStr">
        <is>
          <t>STRÖMSUND</t>
        </is>
      </c>
      <c r="G318" t="n">
        <v>4.8</v>
      </c>
      <c r="H318" t="n">
        <v>0</v>
      </c>
      <c r="I318" t="n">
        <v>1</v>
      </c>
      <c r="J318" t="n">
        <v>0</v>
      </c>
      <c r="K318" t="n">
        <v>0</v>
      </c>
      <c r="L318" t="n">
        <v>0</v>
      </c>
      <c r="M318" t="n">
        <v>0</v>
      </c>
      <c r="N318" t="n">
        <v>0</v>
      </c>
      <c r="O318" t="n">
        <v>0</v>
      </c>
      <c r="P318" t="n">
        <v>0</v>
      </c>
      <c r="Q318" t="n">
        <v>1</v>
      </c>
      <c r="R318" s="2" t="inlineStr">
        <is>
          <t>Svart trolldruva</t>
        </is>
      </c>
      <c r="S318">
        <f>HYPERLINK("https://klasma.github.io/Logging_2313/artfynd/A 57390-2023 artfynd.xlsx", "A 57390-2023")</f>
        <v/>
      </c>
      <c r="T318">
        <f>HYPERLINK("https://klasma.github.io/Logging_2313/kartor/A 57390-2023 karta.png", "A 57390-2023")</f>
        <v/>
      </c>
      <c r="V318">
        <f>HYPERLINK("https://klasma.github.io/Logging_2313/klagomål/A 57390-2023 FSC-klagomål.docx", "A 57390-2023")</f>
        <v/>
      </c>
      <c r="W318">
        <f>HYPERLINK("https://klasma.github.io/Logging_2313/klagomålsmail/A 57390-2023 FSC-klagomål mail.docx", "A 57390-2023")</f>
        <v/>
      </c>
      <c r="X318">
        <f>HYPERLINK("https://klasma.github.io/Logging_2313/tillsyn/A 57390-2023 tillsynsbegäran.docx", "A 57390-2023")</f>
        <v/>
      </c>
      <c r="Y318">
        <f>HYPERLINK("https://klasma.github.io/Logging_2313/tillsynsmail/A 57390-2023 tillsynsbegäran mail.docx", "A 57390-2023")</f>
        <v/>
      </c>
    </row>
    <row r="319" ht="15" customHeight="1">
      <c r="A319" t="inlineStr">
        <is>
          <t>A 15258-2024</t>
        </is>
      </c>
      <c r="B319" s="1" t="n">
        <v>45400</v>
      </c>
      <c r="C319" s="1" t="n">
        <v>46048</v>
      </c>
      <c r="D319" t="inlineStr">
        <is>
          <t>JÄMTLANDS LÄN</t>
        </is>
      </c>
      <c r="E319" t="inlineStr">
        <is>
          <t>STRÖMSUND</t>
        </is>
      </c>
      <c r="G319" t="n">
        <v>40.8</v>
      </c>
      <c r="H319" t="n">
        <v>0</v>
      </c>
      <c r="I319" t="n">
        <v>1</v>
      </c>
      <c r="J319" t="n">
        <v>0</v>
      </c>
      <c r="K319" t="n">
        <v>0</v>
      </c>
      <c r="L319" t="n">
        <v>0</v>
      </c>
      <c r="M319" t="n">
        <v>0</v>
      </c>
      <c r="N319" t="n">
        <v>0</v>
      </c>
      <c r="O319" t="n">
        <v>0</v>
      </c>
      <c r="P319" t="n">
        <v>0</v>
      </c>
      <c r="Q319" t="n">
        <v>1</v>
      </c>
      <c r="R319" s="2" t="inlineStr">
        <is>
          <t>Finbräken</t>
        </is>
      </c>
      <c r="S319">
        <f>HYPERLINK("https://klasma.github.io/Logging_2313/artfynd/A 15258-2024 artfynd.xlsx", "A 15258-2024")</f>
        <v/>
      </c>
      <c r="T319">
        <f>HYPERLINK("https://klasma.github.io/Logging_2313/kartor/A 15258-2024 karta.png", "A 15258-2024")</f>
        <v/>
      </c>
      <c r="V319">
        <f>HYPERLINK("https://klasma.github.io/Logging_2313/klagomål/A 15258-2024 FSC-klagomål.docx", "A 15258-2024")</f>
        <v/>
      </c>
      <c r="W319">
        <f>HYPERLINK("https://klasma.github.io/Logging_2313/klagomålsmail/A 15258-2024 FSC-klagomål mail.docx", "A 15258-2024")</f>
        <v/>
      </c>
      <c r="X319">
        <f>HYPERLINK("https://klasma.github.io/Logging_2313/tillsyn/A 15258-2024 tillsynsbegäran.docx", "A 15258-2024")</f>
        <v/>
      </c>
      <c r="Y319">
        <f>HYPERLINK("https://klasma.github.io/Logging_2313/tillsynsmail/A 15258-2024 tillsynsbegäran mail.docx", "A 15258-2024")</f>
        <v/>
      </c>
    </row>
    <row r="320" ht="15" customHeight="1">
      <c r="A320" t="inlineStr">
        <is>
          <t>A 31684-2024</t>
        </is>
      </c>
      <c r="B320" s="1" t="n">
        <v>45506.94950231481</v>
      </c>
      <c r="C320" s="1" t="n">
        <v>46048</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46048</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52809-2025</t>
        </is>
      </c>
      <c r="B322" s="1" t="n">
        <v>45957.44869212963</v>
      </c>
      <c r="C322" s="1" t="n">
        <v>46048</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Skogshare</t>
        </is>
      </c>
      <c r="S322">
        <f>HYPERLINK("https://klasma.github.io/Logging_2313/artfynd/A 52809-2025 artfynd.xlsx", "A 52809-2025")</f>
        <v/>
      </c>
      <c r="T322">
        <f>HYPERLINK("https://klasma.github.io/Logging_2313/kartor/A 52809-2025 karta.png", "A 52809-2025")</f>
        <v/>
      </c>
      <c r="V322">
        <f>HYPERLINK("https://klasma.github.io/Logging_2313/klagomål/A 52809-2025 FSC-klagomål.docx", "A 52809-2025")</f>
        <v/>
      </c>
      <c r="W322">
        <f>HYPERLINK("https://klasma.github.io/Logging_2313/klagomålsmail/A 52809-2025 FSC-klagomål mail.docx", "A 52809-2025")</f>
        <v/>
      </c>
      <c r="X322">
        <f>HYPERLINK("https://klasma.github.io/Logging_2313/tillsyn/A 52809-2025 tillsynsbegäran.docx", "A 52809-2025")</f>
        <v/>
      </c>
      <c r="Y322">
        <f>HYPERLINK("https://klasma.github.io/Logging_2313/tillsynsmail/A 52809-2025 tillsynsbegäran mail.docx", "A 52809-2025")</f>
        <v/>
      </c>
    </row>
    <row r="323" ht="15" customHeight="1">
      <c r="A323" t="inlineStr">
        <is>
          <t>A 60828-2023</t>
        </is>
      </c>
      <c r="B323" s="1" t="n">
        <v>45258</v>
      </c>
      <c r="C323" s="1" t="n">
        <v>46048</v>
      </c>
      <c r="D323" t="inlineStr">
        <is>
          <t>JÄMTLANDS LÄN</t>
        </is>
      </c>
      <c r="E323" t="inlineStr">
        <is>
          <t>STRÖMSUND</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60828-2023 artfynd.xlsx", "A 60828-2023")</f>
        <v/>
      </c>
      <c r="T323">
        <f>HYPERLINK("https://klasma.github.io/Logging_2313/kartor/A 60828-2023 karta.png", "A 60828-2023")</f>
        <v/>
      </c>
      <c r="V323">
        <f>HYPERLINK("https://klasma.github.io/Logging_2313/klagomål/A 60828-2023 FSC-klagomål.docx", "A 60828-2023")</f>
        <v/>
      </c>
      <c r="W323">
        <f>HYPERLINK("https://klasma.github.io/Logging_2313/klagomålsmail/A 60828-2023 FSC-klagomål mail.docx", "A 60828-2023")</f>
        <v/>
      </c>
      <c r="X323">
        <f>HYPERLINK("https://klasma.github.io/Logging_2313/tillsyn/A 60828-2023 tillsynsbegäran.docx", "A 60828-2023")</f>
        <v/>
      </c>
      <c r="Y323">
        <f>HYPERLINK("https://klasma.github.io/Logging_2313/tillsynsmail/A 60828-2023 tillsynsbegäran mail.docx", "A 60828-2023")</f>
        <v/>
      </c>
      <c r="Z323">
        <f>HYPERLINK("https://klasma.github.io/Logging_2313/fåglar/A 60828-2023 prioriterade fågelarter.docx", "A 60828-2023")</f>
        <v/>
      </c>
    </row>
    <row r="324" ht="15" customHeight="1">
      <c r="A324" t="inlineStr">
        <is>
          <t>A 20241-2025</t>
        </is>
      </c>
      <c r="B324" s="1" t="n">
        <v>45772.69840277778</v>
      </c>
      <c r="C324" s="1" t="n">
        <v>46048</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24807-2024</t>
        </is>
      </c>
      <c r="B325" s="1" t="n">
        <v>45460.95350694445</v>
      </c>
      <c r="C325" s="1" t="n">
        <v>46048</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45289-2025</t>
        </is>
      </c>
      <c r="B326" s="1" t="n">
        <v>45920.34424768519</v>
      </c>
      <c r="C326" s="1" t="n">
        <v>46048</v>
      </c>
      <c r="D326" t="inlineStr">
        <is>
          <t>JÄMTLANDS LÄN</t>
        </is>
      </c>
      <c r="E326" t="inlineStr">
        <is>
          <t>STRÖMSUND</t>
        </is>
      </c>
      <c r="F326" t="inlineStr">
        <is>
          <t>SCA</t>
        </is>
      </c>
      <c r="G326" t="n">
        <v>4.1</v>
      </c>
      <c r="H326" t="n">
        <v>0</v>
      </c>
      <c r="I326" t="n">
        <v>0</v>
      </c>
      <c r="J326" t="n">
        <v>1</v>
      </c>
      <c r="K326" t="n">
        <v>0</v>
      </c>
      <c r="L326" t="n">
        <v>0</v>
      </c>
      <c r="M326" t="n">
        <v>0</v>
      </c>
      <c r="N326" t="n">
        <v>0</v>
      </c>
      <c r="O326" t="n">
        <v>1</v>
      </c>
      <c r="P326" t="n">
        <v>0</v>
      </c>
      <c r="Q326" t="n">
        <v>1</v>
      </c>
      <c r="R326" s="2" t="inlineStr">
        <is>
          <t>Mörk kolflarnlav</t>
        </is>
      </c>
      <c r="S326">
        <f>HYPERLINK("https://klasma.github.io/Logging_2313/artfynd/A 45289-2025 artfynd.xlsx", "A 45289-2025")</f>
        <v/>
      </c>
      <c r="T326">
        <f>HYPERLINK("https://klasma.github.io/Logging_2313/kartor/A 45289-2025 karta.png", "A 45289-2025")</f>
        <v/>
      </c>
      <c r="V326">
        <f>HYPERLINK("https://klasma.github.io/Logging_2313/klagomål/A 45289-2025 FSC-klagomål.docx", "A 45289-2025")</f>
        <v/>
      </c>
      <c r="W326">
        <f>HYPERLINK("https://klasma.github.io/Logging_2313/klagomålsmail/A 45289-2025 FSC-klagomål mail.docx", "A 45289-2025")</f>
        <v/>
      </c>
      <c r="X326">
        <f>HYPERLINK("https://klasma.github.io/Logging_2313/tillsyn/A 45289-2025 tillsynsbegäran.docx", "A 45289-2025")</f>
        <v/>
      </c>
      <c r="Y326">
        <f>HYPERLINK("https://klasma.github.io/Logging_2313/tillsynsmail/A 45289-2025 tillsynsbegäran mail.docx", "A 45289-2025")</f>
        <v/>
      </c>
    </row>
    <row r="327" ht="15" customHeight="1">
      <c r="A327" t="inlineStr">
        <is>
          <t>A 45454-2025</t>
        </is>
      </c>
      <c r="B327" s="1" t="n">
        <v>45922.49015046296</v>
      </c>
      <c r="C327" s="1" t="n">
        <v>46048</v>
      </c>
      <c r="D327" t="inlineStr">
        <is>
          <t>JÄMTLANDS LÄN</t>
        </is>
      </c>
      <c r="E327" t="inlineStr">
        <is>
          <t>STRÖMSUND</t>
        </is>
      </c>
      <c r="F327" t="inlineStr">
        <is>
          <t>SCA</t>
        </is>
      </c>
      <c r="G327" t="n">
        <v>3.7</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45454-2025 artfynd.xlsx", "A 45454-2025")</f>
        <v/>
      </c>
      <c r="T327">
        <f>HYPERLINK("https://klasma.github.io/Logging_2313/kartor/A 45454-2025 karta.png", "A 45454-2025")</f>
        <v/>
      </c>
      <c r="V327">
        <f>HYPERLINK("https://klasma.github.io/Logging_2313/klagomål/A 45454-2025 FSC-klagomål.docx", "A 45454-2025")</f>
        <v/>
      </c>
      <c r="W327">
        <f>HYPERLINK("https://klasma.github.io/Logging_2313/klagomålsmail/A 45454-2025 FSC-klagomål mail.docx", "A 45454-2025")</f>
        <v/>
      </c>
      <c r="X327">
        <f>HYPERLINK("https://klasma.github.io/Logging_2313/tillsyn/A 45454-2025 tillsynsbegäran.docx", "A 45454-2025")</f>
        <v/>
      </c>
      <c r="Y327">
        <f>HYPERLINK("https://klasma.github.io/Logging_2313/tillsynsmail/A 45454-2025 tillsynsbegäran mail.docx", "A 45454-2025")</f>
        <v/>
      </c>
    </row>
    <row r="328" ht="15" customHeight="1">
      <c r="A328" t="inlineStr">
        <is>
          <t>A 46570-2025</t>
        </is>
      </c>
      <c r="B328" s="1" t="n">
        <v>45926.36619212963</v>
      </c>
      <c r="C328" s="1" t="n">
        <v>46048</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55383-2024</t>
        </is>
      </c>
      <c r="B329" s="1" t="n">
        <v>45622.3055787037</v>
      </c>
      <c r="C329" s="1" t="n">
        <v>46048</v>
      </c>
      <c r="D329" t="inlineStr">
        <is>
          <t>JÄMTLANDS LÄN</t>
        </is>
      </c>
      <c r="E329" t="inlineStr">
        <is>
          <t>STRÖMSUND</t>
        </is>
      </c>
      <c r="G329" t="n">
        <v>4.8</v>
      </c>
      <c r="H329" t="n">
        <v>1</v>
      </c>
      <c r="I329" t="n">
        <v>0</v>
      </c>
      <c r="J329" t="n">
        <v>1</v>
      </c>
      <c r="K329" t="n">
        <v>0</v>
      </c>
      <c r="L329" t="n">
        <v>0</v>
      </c>
      <c r="M329" t="n">
        <v>0</v>
      </c>
      <c r="N329" t="n">
        <v>0</v>
      </c>
      <c r="O329" t="n">
        <v>1</v>
      </c>
      <c r="P329" t="n">
        <v>0</v>
      </c>
      <c r="Q329" t="n">
        <v>1</v>
      </c>
      <c r="R329" s="2" t="inlineStr">
        <is>
          <t>Utter</t>
        </is>
      </c>
      <c r="S329">
        <f>HYPERLINK("https://klasma.github.io/Logging_2313/artfynd/A 55383-2024 artfynd.xlsx", "A 55383-2024")</f>
        <v/>
      </c>
      <c r="T329">
        <f>HYPERLINK("https://klasma.github.io/Logging_2313/kartor/A 55383-2024 karta.png", "A 55383-2024")</f>
        <v/>
      </c>
      <c r="V329">
        <f>HYPERLINK("https://klasma.github.io/Logging_2313/klagomål/A 55383-2024 FSC-klagomål.docx", "A 55383-2024")</f>
        <v/>
      </c>
      <c r="W329">
        <f>HYPERLINK("https://klasma.github.io/Logging_2313/klagomålsmail/A 55383-2024 FSC-klagomål mail.docx", "A 55383-2024")</f>
        <v/>
      </c>
      <c r="X329">
        <f>HYPERLINK("https://klasma.github.io/Logging_2313/tillsyn/A 55383-2024 tillsynsbegäran.docx", "A 55383-2024")</f>
        <v/>
      </c>
      <c r="Y329">
        <f>HYPERLINK("https://klasma.github.io/Logging_2313/tillsynsmail/A 55383-2024 tillsynsbegäran mail.docx", "A 55383-2024")</f>
        <v/>
      </c>
    </row>
    <row r="330" ht="15" customHeight="1">
      <c r="A330" t="inlineStr">
        <is>
          <t>A 14322-2025</t>
        </is>
      </c>
      <c r="B330" s="1" t="n">
        <v>45740.76611111111</v>
      </c>
      <c r="C330" s="1" t="n">
        <v>46048</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54064-2023</t>
        </is>
      </c>
      <c r="B331" s="1" t="n">
        <v>45231</v>
      </c>
      <c r="C331" s="1" t="n">
        <v>46048</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54064-2023 artfynd.xlsx", "A 54064-2023")</f>
        <v/>
      </c>
      <c r="T331">
        <f>HYPERLINK("https://klasma.github.io/Logging_2313/kartor/A 54064-2023 karta.png", "A 54064-2023")</f>
        <v/>
      </c>
      <c r="V331">
        <f>HYPERLINK("https://klasma.github.io/Logging_2313/klagomål/A 54064-2023 FSC-klagomål.docx", "A 54064-2023")</f>
        <v/>
      </c>
      <c r="W331">
        <f>HYPERLINK("https://klasma.github.io/Logging_2313/klagomålsmail/A 54064-2023 FSC-klagomål mail.docx", "A 54064-2023")</f>
        <v/>
      </c>
      <c r="X331">
        <f>HYPERLINK("https://klasma.github.io/Logging_2313/tillsyn/A 54064-2023 tillsynsbegäran.docx", "A 54064-2023")</f>
        <v/>
      </c>
      <c r="Y331">
        <f>HYPERLINK("https://klasma.github.io/Logging_2313/tillsynsmail/A 54064-2023 tillsynsbegäran mail.docx", "A 54064-2023")</f>
        <v/>
      </c>
    </row>
    <row r="332" ht="15" customHeight="1">
      <c r="A332" t="inlineStr">
        <is>
          <t>A 57619-2023</t>
        </is>
      </c>
      <c r="B332" s="1" t="n">
        <v>45243</v>
      </c>
      <c r="C332" s="1" t="n">
        <v>46048</v>
      </c>
      <c r="D332" t="inlineStr">
        <is>
          <t>JÄMTLANDS LÄN</t>
        </is>
      </c>
      <c r="E332" t="inlineStr">
        <is>
          <t>STRÖMSUND</t>
        </is>
      </c>
      <c r="F332" t="inlineStr">
        <is>
          <t>SCA</t>
        </is>
      </c>
      <c r="G332" t="n">
        <v>17</v>
      </c>
      <c r="H332" t="n">
        <v>0</v>
      </c>
      <c r="I332" t="n">
        <v>0</v>
      </c>
      <c r="J332" t="n">
        <v>1</v>
      </c>
      <c r="K332" t="n">
        <v>0</v>
      </c>
      <c r="L332" t="n">
        <v>0</v>
      </c>
      <c r="M332" t="n">
        <v>0</v>
      </c>
      <c r="N332" t="n">
        <v>0</v>
      </c>
      <c r="O332" t="n">
        <v>1</v>
      </c>
      <c r="P332" t="n">
        <v>0</v>
      </c>
      <c r="Q332" t="n">
        <v>1</v>
      </c>
      <c r="R332" s="2" t="inlineStr">
        <is>
          <t>Harticka</t>
        </is>
      </c>
      <c r="S332">
        <f>HYPERLINK("https://klasma.github.io/Logging_2313/artfynd/A 57619-2023 artfynd.xlsx", "A 57619-2023")</f>
        <v/>
      </c>
      <c r="T332">
        <f>HYPERLINK("https://klasma.github.io/Logging_2313/kartor/A 57619-2023 karta.png", "A 57619-2023")</f>
        <v/>
      </c>
      <c r="V332">
        <f>HYPERLINK("https://klasma.github.io/Logging_2313/klagomål/A 57619-2023 FSC-klagomål.docx", "A 57619-2023")</f>
        <v/>
      </c>
      <c r="W332">
        <f>HYPERLINK("https://klasma.github.io/Logging_2313/klagomålsmail/A 57619-2023 FSC-klagomål mail.docx", "A 57619-2023")</f>
        <v/>
      </c>
      <c r="X332">
        <f>HYPERLINK("https://klasma.github.io/Logging_2313/tillsyn/A 57619-2023 tillsynsbegäran.docx", "A 57619-2023")</f>
        <v/>
      </c>
      <c r="Y332">
        <f>HYPERLINK("https://klasma.github.io/Logging_2313/tillsynsmail/A 57619-2023 tillsynsbegäran mail.docx", "A 57619-2023")</f>
        <v/>
      </c>
    </row>
    <row r="333" ht="15" customHeight="1">
      <c r="A333" t="inlineStr">
        <is>
          <t>A 53772-2025</t>
        </is>
      </c>
      <c r="B333" s="1" t="n">
        <v>45960.68502314815</v>
      </c>
      <c r="C333" s="1" t="n">
        <v>46048</v>
      </c>
      <c r="D333" t="inlineStr">
        <is>
          <t>JÄMTLANDS LÄN</t>
        </is>
      </c>
      <c r="E333" t="inlineStr">
        <is>
          <t>STRÖMSUND</t>
        </is>
      </c>
      <c r="G333" t="n">
        <v>3.1</v>
      </c>
      <c r="H333" t="n">
        <v>0</v>
      </c>
      <c r="I333" t="n">
        <v>1</v>
      </c>
      <c r="J333" t="n">
        <v>0</v>
      </c>
      <c r="K333" t="n">
        <v>0</v>
      </c>
      <c r="L333" t="n">
        <v>0</v>
      </c>
      <c r="M333" t="n">
        <v>0</v>
      </c>
      <c r="N333" t="n">
        <v>0</v>
      </c>
      <c r="O333" t="n">
        <v>0</v>
      </c>
      <c r="P333" t="n">
        <v>0</v>
      </c>
      <c r="Q333" t="n">
        <v>1</v>
      </c>
      <c r="R333" s="2" t="inlineStr">
        <is>
          <t>Skinnlav</t>
        </is>
      </c>
      <c r="S333">
        <f>HYPERLINK("https://klasma.github.io/Logging_2313/artfynd/A 53772-2025 artfynd.xlsx", "A 53772-2025")</f>
        <v/>
      </c>
      <c r="T333">
        <f>HYPERLINK("https://klasma.github.io/Logging_2313/kartor/A 53772-2025 karta.png", "A 53772-2025")</f>
        <v/>
      </c>
      <c r="V333">
        <f>HYPERLINK("https://klasma.github.io/Logging_2313/klagomål/A 53772-2025 FSC-klagomål.docx", "A 53772-2025")</f>
        <v/>
      </c>
      <c r="W333">
        <f>HYPERLINK("https://klasma.github.io/Logging_2313/klagomålsmail/A 53772-2025 FSC-klagomål mail.docx", "A 53772-2025")</f>
        <v/>
      </c>
      <c r="X333">
        <f>HYPERLINK("https://klasma.github.io/Logging_2313/tillsyn/A 53772-2025 tillsynsbegäran.docx", "A 53772-2025")</f>
        <v/>
      </c>
      <c r="Y333">
        <f>HYPERLINK("https://klasma.github.io/Logging_2313/tillsynsmail/A 53772-2025 tillsynsbegäran mail.docx", "A 53772-2025")</f>
        <v/>
      </c>
    </row>
    <row r="334" ht="15" customHeight="1">
      <c r="A334" t="inlineStr">
        <is>
          <t>A 57664-2023</t>
        </is>
      </c>
      <c r="B334" s="1" t="n">
        <v>45243</v>
      </c>
      <c r="C334" s="1" t="n">
        <v>46048</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54896-2025</t>
        </is>
      </c>
      <c r="B335" s="1" t="n">
        <v>45967.36540509259</v>
      </c>
      <c r="C335" s="1" t="n">
        <v>46048</v>
      </c>
      <c r="D335" t="inlineStr">
        <is>
          <t>JÄMTLANDS LÄN</t>
        </is>
      </c>
      <c r="E335" t="inlineStr">
        <is>
          <t>STRÖMSUND</t>
        </is>
      </c>
      <c r="F335" t="inlineStr">
        <is>
          <t>SCA</t>
        </is>
      </c>
      <c r="G335" t="n">
        <v>8.300000000000001</v>
      </c>
      <c r="H335" t="n">
        <v>1</v>
      </c>
      <c r="I335" t="n">
        <v>0</v>
      </c>
      <c r="J335" t="n">
        <v>0</v>
      </c>
      <c r="K335" t="n">
        <v>1</v>
      </c>
      <c r="L335" t="n">
        <v>0</v>
      </c>
      <c r="M335" t="n">
        <v>0</v>
      </c>
      <c r="N335" t="n">
        <v>0</v>
      </c>
      <c r="O335" t="n">
        <v>1</v>
      </c>
      <c r="P335" t="n">
        <v>1</v>
      </c>
      <c r="Q335" t="n">
        <v>1</v>
      </c>
      <c r="R335" s="2" t="inlineStr">
        <is>
          <t>Knärot</t>
        </is>
      </c>
      <c r="S335">
        <f>HYPERLINK("https://klasma.github.io/Logging_2313/artfynd/A 54896-2025 artfynd.xlsx", "A 54896-2025")</f>
        <v/>
      </c>
      <c r="T335">
        <f>HYPERLINK("https://klasma.github.io/Logging_2313/kartor/A 54896-2025 karta.png", "A 54896-2025")</f>
        <v/>
      </c>
      <c r="U335">
        <f>HYPERLINK("https://klasma.github.io/Logging_2313/knärot/A 54896-2025 karta knärot.png", "A 54896-2025")</f>
        <v/>
      </c>
      <c r="V335">
        <f>HYPERLINK("https://klasma.github.io/Logging_2313/klagomål/A 54896-2025 FSC-klagomål.docx", "A 54896-2025")</f>
        <v/>
      </c>
      <c r="W335">
        <f>HYPERLINK("https://klasma.github.io/Logging_2313/klagomålsmail/A 54896-2025 FSC-klagomål mail.docx", "A 54896-2025")</f>
        <v/>
      </c>
      <c r="X335">
        <f>HYPERLINK("https://klasma.github.io/Logging_2313/tillsyn/A 54896-2025 tillsynsbegäran.docx", "A 54896-2025")</f>
        <v/>
      </c>
      <c r="Y335">
        <f>HYPERLINK("https://klasma.github.io/Logging_2313/tillsynsmail/A 54896-2025 tillsynsbegäran mail.docx", "A 54896-2025")</f>
        <v/>
      </c>
    </row>
    <row r="336" ht="15" customHeight="1">
      <c r="A336" t="inlineStr">
        <is>
          <t>A 57459-2025</t>
        </is>
      </c>
      <c r="B336" s="1" t="n">
        <v>45980.53189814815</v>
      </c>
      <c r="C336" s="1" t="n">
        <v>46048</v>
      </c>
      <c r="D336" t="inlineStr">
        <is>
          <t>JÄMTLANDS LÄN</t>
        </is>
      </c>
      <c r="E336" t="inlineStr">
        <is>
          <t>STRÖMSUND</t>
        </is>
      </c>
      <c r="F336" t="inlineStr">
        <is>
          <t>SCA</t>
        </is>
      </c>
      <c r="G336" t="n">
        <v>7.8</v>
      </c>
      <c r="H336" t="n">
        <v>0</v>
      </c>
      <c r="I336" t="n">
        <v>0</v>
      </c>
      <c r="J336" t="n">
        <v>1</v>
      </c>
      <c r="K336" t="n">
        <v>0</v>
      </c>
      <c r="L336" t="n">
        <v>0</v>
      </c>
      <c r="M336" t="n">
        <v>0</v>
      </c>
      <c r="N336" t="n">
        <v>0</v>
      </c>
      <c r="O336" t="n">
        <v>1</v>
      </c>
      <c r="P336" t="n">
        <v>0</v>
      </c>
      <c r="Q336" t="n">
        <v>1</v>
      </c>
      <c r="R336" s="2" t="inlineStr">
        <is>
          <t>Garnlav</t>
        </is>
      </c>
      <c r="S336">
        <f>HYPERLINK("https://klasma.github.io/Logging_2313/artfynd/A 57459-2025 artfynd.xlsx", "A 57459-2025")</f>
        <v/>
      </c>
      <c r="T336">
        <f>HYPERLINK("https://klasma.github.io/Logging_2313/kartor/A 57459-2025 karta.png", "A 57459-2025")</f>
        <v/>
      </c>
      <c r="V336">
        <f>HYPERLINK("https://klasma.github.io/Logging_2313/klagomål/A 57459-2025 FSC-klagomål.docx", "A 57459-2025")</f>
        <v/>
      </c>
      <c r="W336">
        <f>HYPERLINK("https://klasma.github.io/Logging_2313/klagomålsmail/A 57459-2025 FSC-klagomål mail.docx", "A 57459-2025")</f>
        <v/>
      </c>
      <c r="X336">
        <f>HYPERLINK("https://klasma.github.io/Logging_2313/tillsyn/A 57459-2025 tillsynsbegäran.docx", "A 57459-2025")</f>
        <v/>
      </c>
      <c r="Y336">
        <f>HYPERLINK("https://klasma.github.io/Logging_2313/tillsynsmail/A 57459-2025 tillsynsbegäran mail.docx", "A 57459-2025")</f>
        <v/>
      </c>
    </row>
    <row r="337" ht="15" customHeight="1">
      <c r="A337" t="inlineStr">
        <is>
          <t>A 59840-2025</t>
        </is>
      </c>
      <c r="B337" s="1" t="n">
        <v>45992.67763888889</v>
      </c>
      <c r="C337" s="1" t="n">
        <v>46048</v>
      </c>
      <c r="D337" t="inlineStr">
        <is>
          <t>JÄMTLANDS LÄN</t>
        </is>
      </c>
      <c r="E337" t="inlineStr">
        <is>
          <t>STRÖMSUND</t>
        </is>
      </c>
      <c r="F337" t="inlineStr">
        <is>
          <t>SCA</t>
        </is>
      </c>
      <c r="G337" t="n">
        <v>1.6</v>
      </c>
      <c r="H337" t="n">
        <v>0</v>
      </c>
      <c r="I337" t="n">
        <v>0</v>
      </c>
      <c r="J337" t="n">
        <v>1</v>
      </c>
      <c r="K337" t="n">
        <v>0</v>
      </c>
      <c r="L337" t="n">
        <v>0</v>
      </c>
      <c r="M337" t="n">
        <v>0</v>
      </c>
      <c r="N337" t="n">
        <v>0</v>
      </c>
      <c r="O337" t="n">
        <v>1</v>
      </c>
      <c r="P337" t="n">
        <v>0</v>
      </c>
      <c r="Q337" t="n">
        <v>1</v>
      </c>
      <c r="R337" s="2" t="inlineStr">
        <is>
          <t>Garnlav</t>
        </is>
      </c>
      <c r="S337">
        <f>HYPERLINK("https://klasma.github.io/Logging_2313/artfynd/A 59840-2025 artfynd.xlsx", "A 59840-2025")</f>
        <v/>
      </c>
      <c r="T337">
        <f>HYPERLINK("https://klasma.github.io/Logging_2313/kartor/A 59840-2025 karta.png", "A 59840-2025")</f>
        <v/>
      </c>
      <c r="V337">
        <f>HYPERLINK("https://klasma.github.io/Logging_2313/klagomål/A 59840-2025 FSC-klagomål.docx", "A 59840-2025")</f>
        <v/>
      </c>
      <c r="W337">
        <f>HYPERLINK("https://klasma.github.io/Logging_2313/klagomålsmail/A 59840-2025 FSC-klagomål mail.docx", "A 59840-2025")</f>
        <v/>
      </c>
      <c r="X337">
        <f>HYPERLINK("https://klasma.github.io/Logging_2313/tillsyn/A 59840-2025 tillsynsbegäran.docx", "A 59840-2025")</f>
        <v/>
      </c>
      <c r="Y337">
        <f>HYPERLINK("https://klasma.github.io/Logging_2313/tillsynsmail/A 59840-2025 tillsynsbegäran mail.docx", "A 59840-2025")</f>
        <v/>
      </c>
    </row>
    <row r="338" ht="15" customHeight="1">
      <c r="A338" t="inlineStr">
        <is>
          <t>A 59735-2025</t>
        </is>
      </c>
      <c r="B338" s="1" t="n">
        <v>45992.57347222222</v>
      </c>
      <c r="C338" s="1" t="n">
        <v>46048</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59735-2025 artfynd.xlsx", "A 59735-2025")</f>
        <v/>
      </c>
      <c r="T338">
        <f>HYPERLINK("https://klasma.github.io/Logging_2313/kartor/A 59735-2025 karta.png", "A 59735-2025")</f>
        <v/>
      </c>
      <c r="V338">
        <f>HYPERLINK("https://klasma.github.io/Logging_2313/klagomål/A 59735-2025 FSC-klagomål.docx", "A 59735-2025")</f>
        <v/>
      </c>
      <c r="W338">
        <f>HYPERLINK("https://klasma.github.io/Logging_2313/klagomålsmail/A 59735-2025 FSC-klagomål mail.docx", "A 59735-2025")</f>
        <v/>
      </c>
      <c r="X338">
        <f>HYPERLINK("https://klasma.github.io/Logging_2313/tillsyn/A 59735-2025 tillsynsbegäran.docx", "A 59735-2025")</f>
        <v/>
      </c>
      <c r="Y338">
        <f>HYPERLINK("https://klasma.github.io/Logging_2313/tillsynsmail/A 59735-2025 tillsynsbegäran mail.docx", "A 59735-2025")</f>
        <v/>
      </c>
    </row>
    <row r="339" ht="15" customHeight="1">
      <c r="A339" t="inlineStr">
        <is>
          <t>A 44406-2025</t>
        </is>
      </c>
      <c r="B339" s="1" t="n">
        <v>45916</v>
      </c>
      <c r="C339" s="1" t="n">
        <v>46048</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27998-2025</t>
        </is>
      </c>
      <c r="B340" s="1" t="n">
        <v>45817.59481481482</v>
      </c>
      <c r="C340" s="1" t="n">
        <v>46048</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27998-2025 artfynd.xlsx", "A 27998-2025")</f>
        <v/>
      </c>
      <c r="T340">
        <f>HYPERLINK("https://klasma.github.io/Logging_2313/kartor/A 27998-2025 karta.png", "A 27998-2025")</f>
        <v/>
      </c>
      <c r="U340">
        <f>HYPERLINK("https://klasma.github.io/Logging_2313/knärot/A 27998-2025 karta knärot.png", "A 27998-2025")</f>
        <v/>
      </c>
      <c r="V340">
        <f>HYPERLINK("https://klasma.github.io/Logging_2313/klagomål/A 27998-2025 FSC-klagomål.docx", "A 27998-2025")</f>
        <v/>
      </c>
      <c r="W340">
        <f>HYPERLINK("https://klasma.github.io/Logging_2313/klagomålsmail/A 27998-2025 FSC-klagomål mail.docx", "A 27998-2025")</f>
        <v/>
      </c>
      <c r="X340">
        <f>HYPERLINK("https://klasma.github.io/Logging_2313/tillsyn/A 27998-2025 tillsynsbegäran.docx", "A 27998-2025")</f>
        <v/>
      </c>
      <c r="Y340">
        <f>HYPERLINK("https://klasma.github.io/Logging_2313/tillsynsmail/A 27998-2025 tillsynsbegäran mail.docx", "A 27998-2025")</f>
        <v/>
      </c>
      <c r="Z340">
        <f>HYPERLINK("https://klasma.github.io/Logging_2313/fåglar/A 27998-2025 prioriterade fågelarter.docx", "A 27998-2025")</f>
        <v/>
      </c>
    </row>
    <row r="341" ht="15" customHeight="1">
      <c r="A341" t="inlineStr">
        <is>
          <t>A 30044-2022</t>
        </is>
      </c>
      <c r="B341" s="1" t="n">
        <v>44756</v>
      </c>
      <c r="C341" s="1" t="n">
        <v>46048</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37097-2022</t>
        </is>
      </c>
      <c r="B342" s="1" t="n">
        <v>44806</v>
      </c>
      <c r="C342" s="1" t="n">
        <v>46048</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46048</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46048</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46048</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46048</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46048</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46048</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46048</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46048</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46048</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46048</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46048</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46048</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46048</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46048</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46048</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46048</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46048</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46048</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46048</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46048</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46048</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46048</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46048</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46048</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46048</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46048</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46048</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46048</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46048</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46048</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46048</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46048</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46048</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72957-2021</t>
        </is>
      </c>
      <c r="B376" s="1" t="n">
        <v>44547.94171296297</v>
      </c>
      <c r="C376" s="1" t="n">
        <v>46048</v>
      </c>
      <c r="D376" t="inlineStr">
        <is>
          <t>JÄMTLANDS LÄN</t>
        </is>
      </c>
      <c r="E376" t="inlineStr">
        <is>
          <t>STRÖMSUND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29601-2021</t>
        </is>
      </c>
      <c r="B377" s="1" t="n">
        <v>44361.93670138889</v>
      </c>
      <c r="C377" s="1" t="n">
        <v>46048</v>
      </c>
      <c r="D377" t="inlineStr">
        <is>
          <t>JÄMTLANDS LÄN</t>
        </is>
      </c>
      <c r="E377" t="inlineStr">
        <is>
          <t>STRÖMSUND</t>
        </is>
      </c>
      <c r="F377" t="inlineStr">
        <is>
          <t>SCA</t>
        </is>
      </c>
      <c r="G377" t="n">
        <v>5.8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46048</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46048</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46048</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46048</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46048</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46048</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46048</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46048</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46048</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46048</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46048</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46048</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46048</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46048</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46048</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46048</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46048</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46048</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46048</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46048</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46048</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46048</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46048</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46048</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46048</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46048</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46048</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46048</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46048</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46048</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46048</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46048</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46048</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46048</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46048</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22527-2021</t>
        </is>
      </c>
      <c r="B413" s="1" t="n">
        <v>44326</v>
      </c>
      <c r="C413" s="1" t="n">
        <v>46048</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46048</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46048</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46048</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46048</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46048</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46048</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46048</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46048</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46048</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46048</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46048</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46048</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46048</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46048</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43790-2022</t>
        </is>
      </c>
      <c r="B428" s="1" t="n">
        <v>44837</v>
      </c>
      <c r="C428" s="1" t="n">
        <v>46048</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46048</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46048</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46048</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46048</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46048</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46048</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35853-2022</t>
        </is>
      </c>
      <c r="B435" s="1" t="n">
        <v>44802.42048611111</v>
      </c>
      <c r="C435" s="1" t="n">
        <v>46048</v>
      </c>
      <c r="D435" t="inlineStr">
        <is>
          <t>JÄMTLANDS LÄN</t>
        </is>
      </c>
      <c r="E435" t="inlineStr">
        <is>
          <t>STRÖMSUND</t>
        </is>
      </c>
      <c r="G435" t="n">
        <v>1.3</v>
      </c>
      <c r="H435" t="n">
        <v>0</v>
      </c>
      <c r="I435" t="n">
        <v>0</v>
      </c>
      <c r="J435" t="n">
        <v>0</v>
      </c>
      <c r="K435" t="n">
        <v>0</v>
      </c>
      <c r="L435" t="n">
        <v>0</v>
      </c>
      <c r="M435" t="n">
        <v>0</v>
      </c>
      <c r="N435" t="n">
        <v>0</v>
      </c>
      <c r="O435" t="n">
        <v>0</v>
      </c>
      <c r="P435" t="n">
        <v>0</v>
      </c>
      <c r="Q435" t="n">
        <v>0</v>
      </c>
      <c r="R435" s="2" t="inlineStr"/>
    </row>
    <row r="436" ht="15" customHeight="1">
      <c r="A436" t="inlineStr">
        <is>
          <t>A 29541-2022</t>
        </is>
      </c>
      <c r="B436" s="1" t="n">
        <v>44753.94363425926</v>
      </c>
      <c r="C436" s="1" t="n">
        <v>46048</v>
      </c>
      <c r="D436" t="inlineStr">
        <is>
          <t>JÄMTLANDS LÄN</t>
        </is>
      </c>
      <c r="E436" t="inlineStr">
        <is>
          <t>STRÖMSUND</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29550-2022</t>
        </is>
      </c>
      <c r="B437" s="1" t="n">
        <v>44754</v>
      </c>
      <c r="C437" s="1" t="n">
        <v>46048</v>
      </c>
      <c r="D437" t="inlineStr">
        <is>
          <t>JÄMTLANDS LÄN</t>
        </is>
      </c>
      <c r="E437" t="inlineStr">
        <is>
          <t>STRÖMSUND</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16774-2021</t>
        </is>
      </c>
      <c r="B438" s="1" t="n">
        <v>44294</v>
      </c>
      <c r="C438" s="1" t="n">
        <v>46048</v>
      </c>
      <c r="D438" t="inlineStr">
        <is>
          <t>JÄMTLANDS LÄN</t>
        </is>
      </c>
      <c r="E438" t="inlineStr">
        <is>
          <t>STRÖMSUND</t>
        </is>
      </c>
      <c r="G438" t="n">
        <v>10.5</v>
      </c>
      <c r="H438" t="n">
        <v>0</v>
      </c>
      <c r="I438" t="n">
        <v>0</v>
      </c>
      <c r="J438" t="n">
        <v>0</v>
      </c>
      <c r="K438" t="n">
        <v>0</v>
      </c>
      <c r="L438" t="n">
        <v>0</v>
      </c>
      <c r="M438" t="n">
        <v>0</v>
      </c>
      <c r="N438" t="n">
        <v>0</v>
      </c>
      <c r="O438" t="n">
        <v>0</v>
      </c>
      <c r="P438" t="n">
        <v>0</v>
      </c>
      <c r="Q438" t="n">
        <v>0</v>
      </c>
      <c r="R438" s="2" t="inlineStr"/>
    </row>
    <row r="439" ht="15" customHeight="1">
      <c r="A439" t="inlineStr">
        <is>
          <t>A 45435-2022</t>
        </is>
      </c>
      <c r="B439" s="1" t="n">
        <v>44844.95348379629</v>
      </c>
      <c r="C439" s="1" t="n">
        <v>46048</v>
      </c>
      <c r="D439" t="inlineStr">
        <is>
          <t>JÄMTLANDS LÄN</t>
        </is>
      </c>
      <c r="E439" t="inlineStr">
        <is>
          <t>STRÖMSUND</t>
        </is>
      </c>
      <c r="F439" t="inlineStr">
        <is>
          <t>SCA</t>
        </is>
      </c>
      <c r="G439" t="n">
        <v>6.2</v>
      </c>
      <c r="H439" t="n">
        <v>0</v>
      </c>
      <c r="I439" t="n">
        <v>0</v>
      </c>
      <c r="J439" t="n">
        <v>0</v>
      </c>
      <c r="K439" t="n">
        <v>0</v>
      </c>
      <c r="L439" t="n">
        <v>0</v>
      </c>
      <c r="M439" t="n">
        <v>0</v>
      </c>
      <c r="N439" t="n">
        <v>0</v>
      </c>
      <c r="O439" t="n">
        <v>0</v>
      </c>
      <c r="P439" t="n">
        <v>0</v>
      </c>
      <c r="Q439" t="n">
        <v>0</v>
      </c>
      <c r="R439" s="2" t="inlineStr"/>
    </row>
    <row r="440" ht="15" customHeight="1">
      <c r="A440" t="inlineStr">
        <is>
          <t>A 17857-2021</t>
        </is>
      </c>
      <c r="B440" s="1" t="n">
        <v>44300</v>
      </c>
      <c r="C440" s="1" t="n">
        <v>46048</v>
      </c>
      <c r="D440" t="inlineStr">
        <is>
          <t>JÄMTLANDS LÄN</t>
        </is>
      </c>
      <c r="E440" t="inlineStr">
        <is>
          <t>STRÖMSUND</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46048</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60939-2021</t>
        </is>
      </c>
      <c r="B442" s="1" t="n">
        <v>44496</v>
      </c>
      <c r="C442" s="1" t="n">
        <v>46048</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46048</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46048</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46048</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46048</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46048</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46048</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20706-2022</t>
        </is>
      </c>
      <c r="B449" s="1" t="n">
        <v>44700.94395833334</v>
      </c>
      <c r="C449" s="1" t="n">
        <v>46048</v>
      </c>
      <c r="D449" t="inlineStr">
        <is>
          <t>JÄMTLANDS LÄN</t>
        </is>
      </c>
      <c r="E449" t="inlineStr">
        <is>
          <t>STRÖMSUND</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46048</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46048</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46048</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46048</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46048</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46048</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46048</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46048</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46048</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46048</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46048</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46048</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46048</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46048</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46048</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46048</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46048</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46048</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46048</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46048</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46048</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34550-2022</t>
        </is>
      </c>
      <c r="B471" s="1" t="n">
        <v>44793</v>
      </c>
      <c r="C471" s="1" t="n">
        <v>46048</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46048</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9379-2022</t>
        </is>
      </c>
      <c r="B473" s="1" t="n">
        <v>44616.63193287037</v>
      </c>
      <c r="C473" s="1" t="n">
        <v>46048</v>
      </c>
      <c r="D473" t="inlineStr">
        <is>
          <t>JÄMTLANDS LÄN</t>
        </is>
      </c>
      <c r="E473" t="inlineStr">
        <is>
          <t>STRÖMSUND</t>
        </is>
      </c>
      <c r="G473" t="n">
        <v>3.8</v>
      </c>
      <c r="H473" t="n">
        <v>0</v>
      </c>
      <c r="I473" t="n">
        <v>0</v>
      </c>
      <c r="J473" t="n">
        <v>0</v>
      </c>
      <c r="K473" t="n">
        <v>0</v>
      </c>
      <c r="L473" t="n">
        <v>0</v>
      </c>
      <c r="M473" t="n">
        <v>0</v>
      </c>
      <c r="N473" t="n">
        <v>0</v>
      </c>
      <c r="O473" t="n">
        <v>0</v>
      </c>
      <c r="P473" t="n">
        <v>0</v>
      </c>
      <c r="Q473" t="n">
        <v>0</v>
      </c>
      <c r="R473" s="2" t="inlineStr"/>
    </row>
    <row r="474" ht="15" customHeight="1">
      <c r="A474" t="inlineStr">
        <is>
          <t>A 17373-2021</t>
        </is>
      </c>
      <c r="B474" s="1" t="n">
        <v>44298.91964120371</v>
      </c>
      <c r="C474" s="1" t="n">
        <v>46048</v>
      </c>
      <c r="D474" t="inlineStr">
        <is>
          <t>JÄMTLANDS LÄN</t>
        </is>
      </c>
      <c r="E474" t="inlineStr">
        <is>
          <t>STRÖMSUND</t>
        </is>
      </c>
      <c r="G474" t="n">
        <v>2.2</v>
      </c>
      <c r="H474" t="n">
        <v>0</v>
      </c>
      <c r="I474" t="n">
        <v>0</v>
      </c>
      <c r="J474" t="n">
        <v>0</v>
      </c>
      <c r="K474" t="n">
        <v>0</v>
      </c>
      <c r="L474" t="n">
        <v>0</v>
      </c>
      <c r="M474" t="n">
        <v>0</v>
      </c>
      <c r="N474" t="n">
        <v>0</v>
      </c>
      <c r="O474" t="n">
        <v>0</v>
      </c>
      <c r="P474" t="n">
        <v>0</v>
      </c>
      <c r="Q474" t="n">
        <v>0</v>
      </c>
      <c r="R474" s="2" t="inlineStr"/>
    </row>
    <row r="475" ht="15" customHeight="1">
      <c r="A475" t="inlineStr">
        <is>
          <t>A 61422-2021</t>
        </is>
      </c>
      <c r="B475" s="1" t="n">
        <v>44500.93625</v>
      </c>
      <c r="C475" s="1" t="n">
        <v>46048</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61450-2021</t>
        </is>
      </c>
      <c r="B476" s="1" t="n">
        <v>44500</v>
      </c>
      <c r="C476" s="1" t="n">
        <v>46048</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42794-2021</t>
        </is>
      </c>
      <c r="B477" s="1" t="n">
        <v>44428.93994212963</v>
      </c>
      <c r="C477" s="1" t="n">
        <v>46048</v>
      </c>
      <c r="D477" t="inlineStr">
        <is>
          <t>JÄMTLANDS LÄN</t>
        </is>
      </c>
      <c r="E477" t="inlineStr">
        <is>
          <t>STRÖMSUND</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40271-2022</t>
        </is>
      </c>
      <c r="B478" s="1" t="n">
        <v>44820.94378472222</v>
      </c>
      <c r="C478" s="1" t="n">
        <v>46048</v>
      </c>
      <c r="D478" t="inlineStr">
        <is>
          <t>JÄMTLANDS LÄN</t>
        </is>
      </c>
      <c r="E478" t="inlineStr">
        <is>
          <t>STRÖMSUND</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46048</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46048</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46048</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46048</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46048</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46048</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52806-2022</t>
        </is>
      </c>
      <c r="B485" s="1" t="n">
        <v>44872</v>
      </c>
      <c r="C485" s="1" t="n">
        <v>46048</v>
      </c>
      <c r="D485" t="inlineStr">
        <is>
          <t>JÄMTLANDS LÄN</t>
        </is>
      </c>
      <c r="E485" t="inlineStr">
        <is>
          <t>STRÖMSUND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46048</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46048</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36176-2021</t>
        </is>
      </c>
      <c r="B488" s="1" t="n">
        <v>44389.63510416666</v>
      </c>
      <c r="C488" s="1" t="n">
        <v>46048</v>
      </c>
      <c r="D488" t="inlineStr">
        <is>
          <t>JÄMTLANDS LÄN</t>
        </is>
      </c>
      <c r="E488" t="inlineStr">
        <is>
          <t>STRÖMSUND</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8020-2021</t>
        </is>
      </c>
      <c r="B489" s="1" t="n">
        <v>44243</v>
      </c>
      <c r="C489" s="1" t="n">
        <v>46048</v>
      </c>
      <c r="D489" t="inlineStr">
        <is>
          <t>JÄMTLANDS LÄN</t>
        </is>
      </c>
      <c r="E489" t="inlineStr">
        <is>
          <t>STRÖMSUND</t>
        </is>
      </c>
      <c r="G489" t="n">
        <v>2.7</v>
      </c>
      <c r="H489" t="n">
        <v>0</v>
      </c>
      <c r="I489" t="n">
        <v>0</v>
      </c>
      <c r="J489" t="n">
        <v>0</v>
      </c>
      <c r="K489" t="n">
        <v>0</v>
      </c>
      <c r="L489" t="n">
        <v>0</v>
      </c>
      <c r="M489" t="n">
        <v>0</v>
      </c>
      <c r="N489" t="n">
        <v>0</v>
      </c>
      <c r="O489" t="n">
        <v>0</v>
      </c>
      <c r="P489" t="n">
        <v>0</v>
      </c>
      <c r="Q489" t="n">
        <v>0</v>
      </c>
      <c r="R489" s="2" t="inlineStr"/>
    </row>
    <row r="490" ht="15" customHeight="1">
      <c r="A490" t="inlineStr">
        <is>
          <t>A 40827-2021</t>
        </is>
      </c>
      <c r="B490" s="1" t="n">
        <v>44421.39092592592</v>
      </c>
      <c r="C490" s="1" t="n">
        <v>46048</v>
      </c>
      <c r="D490" t="inlineStr">
        <is>
          <t>JÄMTLANDS LÄN</t>
        </is>
      </c>
      <c r="E490" t="inlineStr">
        <is>
          <t>STRÖMSUND</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64200-2021</t>
        </is>
      </c>
      <c r="B491" s="1" t="n">
        <v>44510</v>
      </c>
      <c r="C491" s="1" t="n">
        <v>46048</v>
      </c>
      <c r="D491" t="inlineStr">
        <is>
          <t>JÄMTLANDS LÄN</t>
        </is>
      </c>
      <c r="E491" t="inlineStr">
        <is>
          <t>STRÖMSUND</t>
        </is>
      </c>
      <c r="G491" t="n">
        <v>2.1</v>
      </c>
      <c r="H491" t="n">
        <v>0</v>
      </c>
      <c r="I491" t="n">
        <v>0</v>
      </c>
      <c r="J491" t="n">
        <v>0</v>
      </c>
      <c r="K491" t="n">
        <v>0</v>
      </c>
      <c r="L491" t="n">
        <v>0</v>
      </c>
      <c r="M491" t="n">
        <v>0</v>
      </c>
      <c r="N491" t="n">
        <v>0</v>
      </c>
      <c r="O491" t="n">
        <v>0</v>
      </c>
      <c r="P491" t="n">
        <v>0</v>
      </c>
      <c r="Q491" t="n">
        <v>0</v>
      </c>
      <c r="R491" s="2" t="inlineStr"/>
    </row>
    <row r="492" ht="15" customHeight="1">
      <c r="A492" t="inlineStr">
        <is>
          <t>A 13098-2022</t>
        </is>
      </c>
      <c r="B492" s="1" t="n">
        <v>44643</v>
      </c>
      <c r="C492" s="1" t="n">
        <v>46048</v>
      </c>
      <c r="D492" t="inlineStr">
        <is>
          <t>JÄMTLANDS LÄN</t>
        </is>
      </c>
      <c r="E492" t="inlineStr">
        <is>
          <t>STRÖMSUND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12404-2022</t>
        </is>
      </c>
      <c r="B493" s="1" t="n">
        <v>44637.94065972222</v>
      </c>
      <c r="C493" s="1" t="n">
        <v>46048</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31445-2022</t>
        </is>
      </c>
      <c r="B494" s="1" t="n">
        <v>44774.9409837963</v>
      </c>
      <c r="C494" s="1" t="n">
        <v>46048</v>
      </c>
      <c r="D494" t="inlineStr">
        <is>
          <t>JÄMTLANDS LÄN</t>
        </is>
      </c>
      <c r="E494" t="inlineStr">
        <is>
          <t>STRÖMSUND</t>
        </is>
      </c>
      <c r="F494" t="inlineStr">
        <is>
          <t>SCA</t>
        </is>
      </c>
      <c r="G494" t="n">
        <v>0.2</v>
      </c>
      <c r="H494" t="n">
        <v>0</v>
      </c>
      <c r="I494" t="n">
        <v>0</v>
      </c>
      <c r="J494" t="n">
        <v>0</v>
      </c>
      <c r="K494" t="n">
        <v>0</v>
      </c>
      <c r="L494" t="n">
        <v>0</v>
      </c>
      <c r="M494" t="n">
        <v>0</v>
      </c>
      <c r="N494" t="n">
        <v>0</v>
      </c>
      <c r="O494" t="n">
        <v>0</v>
      </c>
      <c r="P494" t="n">
        <v>0</v>
      </c>
      <c r="Q494" t="n">
        <v>0</v>
      </c>
      <c r="R494" s="2" t="inlineStr"/>
    </row>
    <row r="495" ht="15" customHeight="1">
      <c r="A495" t="inlineStr">
        <is>
          <t>A 31449-2022</t>
        </is>
      </c>
      <c r="B495" s="1" t="n">
        <v>44774.94123842593</v>
      </c>
      <c r="C495" s="1" t="n">
        <v>46048</v>
      </c>
      <c r="D495" t="inlineStr">
        <is>
          <t>JÄMTLANDS LÄN</t>
        </is>
      </c>
      <c r="E495" t="inlineStr">
        <is>
          <t>STRÖMSUND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73288-2021</t>
        </is>
      </c>
      <c r="B496" s="1" t="n">
        <v>44550</v>
      </c>
      <c r="C496" s="1" t="n">
        <v>46048</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15355-2021</t>
        </is>
      </c>
      <c r="B497" s="1" t="n">
        <v>44284</v>
      </c>
      <c r="C497" s="1" t="n">
        <v>46048</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4004-2021</t>
        </is>
      </c>
      <c r="B498" s="1" t="n">
        <v>44222</v>
      </c>
      <c r="C498" s="1" t="n">
        <v>46048</v>
      </c>
      <c r="D498" t="inlineStr">
        <is>
          <t>JÄMTLANDS LÄN</t>
        </is>
      </c>
      <c r="E498" t="inlineStr">
        <is>
          <t>STRÖMSUND</t>
        </is>
      </c>
      <c r="F498" t="inlineStr">
        <is>
          <t>Kyrkan</t>
        </is>
      </c>
      <c r="G498" t="n">
        <v>5.9</v>
      </c>
      <c r="H498" t="n">
        <v>0</v>
      </c>
      <c r="I498" t="n">
        <v>0</v>
      </c>
      <c r="J498" t="n">
        <v>0</v>
      </c>
      <c r="K498" t="n">
        <v>0</v>
      </c>
      <c r="L498" t="n">
        <v>0</v>
      </c>
      <c r="M498" t="n">
        <v>0</v>
      </c>
      <c r="N498" t="n">
        <v>0</v>
      </c>
      <c r="O498" t="n">
        <v>0</v>
      </c>
      <c r="P498" t="n">
        <v>0</v>
      </c>
      <c r="Q498" t="n">
        <v>0</v>
      </c>
      <c r="R498" s="2" t="inlineStr"/>
    </row>
    <row r="499" ht="15" customHeight="1">
      <c r="A499" t="inlineStr">
        <is>
          <t>A 51563-2022</t>
        </is>
      </c>
      <c r="B499" s="1" t="n">
        <v>44869</v>
      </c>
      <c r="C499" s="1" t="n">
        <v>46048</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64310-2021</t>
        </is>
      </c>
      <c r="B500" s="1" t="n">
        <v>44510.94982638889</v>
      </c>
      <c r="C500" s="1" t="n">
        <v>46048</v>
      </c>
      <c r="D500" t="inlineStr">
        <is>
          <t>JÄMTLANDS LÄN</t>
        </is>
      </c>
      <c r="E500" t="inlineStr">
        <is>
          <t>STRÖMSUND</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15360-2021</t>
        </is>
      </c>
      <c r="B501" s="1" t="n">
        <v>44284</v>
      </c>
      <c r="C501" s="1" t="n">
        <v>46048</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66166-2021</t>
        </is>
      </c>
      <c r="B502" s="1" t="n">
        <v>44517.9390625</v>
      </c>
      <c r="C502" s="1" t="n">
        <v>46048</v>
      </c>
      <c r="D502" t="inlineStr">
        <is>
          <t>JÄMTLANDS LÄN</t>
        </is>
      </c>
      <c r="E502" t="inlineStr">
        <is>
          <t>STRÖMSUND</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61449-2021</t>
        </is>
      </c>
      <c r="B503" s="1" t="n">
        <v>44500.93988425926</v>
      </c>
      <c r="C503" s="1" t="n">
        <v>46048</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20708-2022</t>
        </is>
      </c>
      <c r="B504" s="1" t="n">
        <v>44700</v>
      </c>
      <c r="C504" s="1" t="n">
        <v>46048</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3721-2022</t>
        </is>
      </c>
      <c r="B505" s="1" t="n">
        <v>44586</v>
      </c>
      <c r="C505" s="1" t="n">
        <v>46048</v>
      </c>
      <c r="D505" t="inlineStr">
        <is>
          <t>JÄMTLANDS LÄN</t>
        </is>
      </c>
      <c r="E505" t="inlineStr">
        <is>
          <t>STRÖMSUND</t>
        </is>
      </c>
      <c r="G505" t="n">
        <v>0.6</v>
      </c>
      <c r="H505" t="n">
        <v>0</v>
      </c>
      <c r="I505" t="n">
        <v>0</v>
      </c>
      <c r="J505" t="n">
        <v>0</v>
      </c>
      <c r="K505" t="n">
        <v>0</v>
      </c>
      <c r="L505" t="n">
        <v>0</v>
      </c>
      <c r="M505" t="n">
        <v>0</v>
      </c>
      <c r="N505" t="n">
        <v>0</v>
      </c>
      <c r="O505" t="n">
        <v>0</v>
      </c>
      <c r="P505" t="n">
        <v>0</v>
      </c>
      <c r="Q505" t="n">
        <v>0</v>
      </c>
      <c r="R505" s="2" t="inlineStr"/>
    </row>
    <row r="506" ht="15" customHeight="1">
      <c r="A506" t="inlineStr">
        <is>
          <t>A 26142-2021</t>
        </is>
      </c>
      <c r="B506" s="1" t="n">
        <v>44346.79850694445</v>
      </c>
      <c r="C506" s="1" t="n">
        <v>46048</v>
      </c>
      <c r="D506" t="inlineStr">
        <is>
          <t>JÄMTLANDS LÄN</t>
        </is>
      </c>
      <c r="E506" t="inlineStr">
        <is>
          <t>STRÖMSUND</t>
        </is>
      </c>
      <c r="G506" t="n">
        <v>2.1</v>
      </c>
      <c r="H506" t="n">
        <v>0</v>
      </c>
      <c r="I506" t="n">
        <v>0</v>
      </c>
      <c r="J506" t="n">
        <v>0</v>
      </c>
      <c r="K506" t="n">
        <v>0</v>
      </c>
      <c r="L506" t="n">
        <v>0</v>
      </c>
      <c r="M506" t="n">
        <v>0</v>
      </c>
      <c r="N506" t="n">
        <v>0</v>
      </c>
      <c r="O506" t="n">
        <v>0</v>
      </c>
      <c r="P506" t="n">
        <v>0</v>
      </c>
      <c r="Q506" t="n">
        <v>0</v>
      </c>
      <c r="R506" s="2" t="inlineStr"/>
    </row>
    <row r="507" ht="15" customHeight="1">
      <c r="A507" t="inlineStr">
        <is>
          <t>A 39700-2022</t>
        </is>
      </c>
      <c r="B507" s="1" t="n">
        <v>44818.94979166667</v>
      </c>
      <c r="C507" s="1" t="n">
        <v>46048</v>
      </c>
      <c r="D507" t="inlineStr">
        <is>
          <t>JÄMTLANDS LÄN</t>
        </is>
      </c>
      <c r="E507" t="inlineStr">
        <is>
          <t>STRÖMSUND</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24021-2022</t>
        </is>
      </c>
      <c r="B508" s="1" t="n">
        <v>44722.94199074074</v>
      </c>
      <c r="C508" s="1" t="n">
        <v>46048</v>
      </c>
      <c r="D508" t="inlineStr">
        <is>
          <t>JÄMTLANDS LÄN</t>
        </is>
      </c>
      <c r="E508" t="inlineStr">
        <is>
          <t>STRÖMSUND</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58022-2021</t>
        </is>
      </c>
      <c r="B509" s="1" t="n">
        <v>44487</v>
      </c>
      <c r="C509" s="1" t="n">
        <v>46048</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5034-2021</t>
        </is>
      </c>
      <c r="B510" s="1" t="n">
        <v>44228</v>
      </c>
      <c r="C510" s="1" t="n">
        <v>46048</v>
      </c>
      <c r="D510" t="inlineStr">
        <is>
          <t>JÄMTLANDS LÄN</t>
        </is>
      </c>
      <c r="E510" t="inlineStr">
        <is>
          <t>STRÖMSUND</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50023-2021</t>
        </is>
      </c>
      <c r="B511" s="1" t="n">
        <v>44456.48688657407</v>
      </c>
      <c r="C511" s="1" t="n">
        <v>46048</v>
      </c>
      <c r="D511" t="inlineStr">
        <is>
          <t>JÄMTLANDS LÄN</t>
        </is>
      </c>
      <c r="E511" t="inlineStr">
        <is>
          <t>STRÖMSUND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30219-2022</t>
        </is>
      </c>
      <c r="B512" s="1" t="n">
        <v>44757.94258101852</v>
      </c>
      <c r="C512" s="1" t="n">
        <v>46048</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30227-2022</t>
        </is>
      </c>
      <c r="B513" s="1" t="n">
        <v>44757.94329861111</v>
      </c>
      <c r="C513" s="1" t="n">
        <v>46048</v>
      </c>
      <c r="D513" t="inlineStr">
        <is>
          <t>JÄMTLANDS LÄN</t>
        </is>
      </c>
      <c r="E513" t="inlineStr">
        <is>
          <t>STRÖMSUND</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30232-2022</t>
        </is>
      </c>
      <c r="B514" s="1" t="n">
        <v>44757.94375</v>
      </c>
      <c r="C514" s="1" t="n">
        <v>46048</v>
      </c>
      <c r="D514" t="inlineStr">
        <is>
          <t>JÄMTLANDS LÄN</t>
        </is>
      </c>
      <c r="E514" t="inlineStr">
        <is>
          <t>STRÖMSUND</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50037-2021</t>
        </is>
      </c>
      <c r="B515" s="1" t="n">
        <v>44456.49731481481</v>
      </c>
      <c r="C515" s="1" t="n">
        <v>46048</v>
      </c>
      <c r="D515" t="inlineStr">
        <is>
          <t>JÄMTLANDS LÄN</t>
        </is>
      </c>
      <c r="E515" t="inlineStr">
        <is>
          <t>STRÖMSUND</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27942-2022</t>
        </is>
      </c>
      <c r="B516" s="1" t="n">
        <v>44743.94326388889</v>
      </c>
      <c r="C516" s="1" t="n">
        <v>46048</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10656-2022</t>
        </is>
      </c>
      <c r="B517" s="1" t="n">
        <v>44624</v>
      </c>
      <c r="C517" s="1" t="n">
        <v>46048</v>
      </c>
      <c r="D517" t="inlineStr">
        <is>
          <t>JÄMTLANDS LÄN</t>
        </is>
      </c>
      <c r="E517" t="inlineStr">
        <is>
          <t>STRÖMSUND</t>
        </is>
      </c>
      <c r="G517" t="n">
        <v>2.5</v>
      </c>
      <c r="H517" t="n">
        <v>0</v>
      </c>
      <c r="I517" t="n">
        <v>0</v>
      </c>
      <c r="J517" t="n">
        <v>0</v>
      </c>
      <c r="K517" t="n">
        <v>0</v>
      </c>
      <c r="L517" t="n">
        <v>0</v>
      </c>
      <c r="M517" t="n">
        <v>0</v>
      </c>
      <c r="N517" t="n">
        <v>0</v>
      </c>
      <c r="O517" t="n">
        <v>0</v>
      </c>
      <c r="P517" t="n">
        <v>0</v>
      </c>
      <c r="Q517" t="n">
        <v>0</v>
      </c>
      <c r="R517" s="2" t="inlineStr"/>
    </row>
    <row r="518" ht="15" customHeight="1">
      <c r="A518" t="inlineStr">
        <is>
          <t>A 28498-2022</t>
        </is>
      </c>
      <c r="B518" s="1" t="n">
        <v>44747.94269675926</v>
      </c>
      <c r="C518" s="1" t="n">
        <v>46048</v>
      </c>
      <c r="D518" t="inlineStr">
        <is>
          <t>JÄMTLANDS LÄN</t>
        </is>
      </c>
      <c r="E518" t="inlineStr">
        <is>
          <t>STRÖMSUND</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23206-2022</t>
        </is>
      </c>
      <c r="B519" s="1" t="n">
        <v>44719</v>
      </c>
      <c r="C519" s="1" t="n">
        <v>46048</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65442-2021</t>
        </is>
      </c>
      <c r="B520" s="1" t="n">
        <v>44515.93943287037</v>
      </c>
      <c r="C520" s="1" t="n">
        <v>46048</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36079-2022</t>
        </is>
      </c>
      <c r="B521" s="1" t="n">
        <v>44802.94603009259</v>
      </c>
      <c r="C521" s="1" t="n">
        <v>46048</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46048</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23486-2021</t>
        </is>
      </c>
      <c r="B523" s="1" t="n">
        <v>44333</v>
      </c>
      <c r="C523" s="1" t="n">
        <v>46048</v>
      </c>
      <c r="D523" t="inlineStr">
        <is>
          <t>JÄMTLANDS LÄN</t>
        </is>
      </c>
      <c r="E523" t="inlineStr">
        <is>
          <t>STRÖMSUND</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25018-2022</t>
        </is>
      </c>
      <c r="B524" s="1" t="n">
        <v>44728</v>
      </c>
      <c r="C524" s="1" t="n">
        <v>46048</v>
      </c>
      <c r="D524" t="inlineStr">
        <is>
          <t>JÄMTLANDS LÄN</t>
        </is>
      </c>
      <c r="E524" t="inlineStr">
        <is>
          <t>STRÖMSUND</t>
        </is>
      </c>
      <c r="F524" t="inlineStr">
        <is>
          <t>SCA</t>
        </is>
      </c>
      <c r="G524" t="n">
        <v>8.4</v>
      </c>
      <c r="H524" t="n">
        <v>0</v>
      </c>
      <c r="I524" t="n">
        <v>0</v>
      </c>
      <c r="J524" t="n">
        <v>0</v>
      </c>
      <c r="K524" t="n">
        <v>0</v>
      </c>
      <c r="L524" t="n">
        <v>0</v>
      </c>
      <c r="M524" t="n">
        <v>0</v>
      </c>
      <c r="N524" t="n">
        <v>0</v>
      </c>
      <c r="O524" t="n">
        <v>0</v>
      </c>
      <c r="P524" t="n">
        <v>0</v>
      </c>
      <c r="Q524" t="n">
        <v>0</v>
      </c>
      <c r="R524" s="2" t="inlineStr"/>
    </row>
    <row r="525" ht="15" customHeight="1">
      <c r="A525" t="inlineStr">
        <is>
          <t>A 27946-2022</t>
        </is>
      </c>
      <c r="B525" s="1" t="n">
        <v>44743.94369212963</v>
      </c>
      <c r="C525" s="1" t="n">
        <v>46048</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61420-2021</t>
        </is>
      </c>
      <c r="B526" s="1" t="n">
        <v>44500</v>
      </c>
      <c r="C526" s="1" t="n">
        <v>46048</v>
      </c>
      <c r="D526" t="inlineStr">
        <is>
          <t>JÄMTLANDS LÄN</t>
        </is>
      </c>
      <c r="E526" t="inlineStr">
        <is>
          <t>STRÖMSUND</t>
        </is>
      </c>
      <c r="F526" t="inlineStr">
        <is>
          <t>SCA</t>
        </is>
      </c>
      <c r="G526" t="n">
        <v>10.2</v>
      </c>
      <c r="H526" t="n">
        <v>0</v>
      </c>
      <c r="I526" t="n">
        <v>0</v>
      </c>
      <c r="J526" t="n">
        <v>0</v>
      </c>
      <c r="K526" t="n">
        <v>0</v>
      </c>
      <c r="L526" t="n">
        <v>0</v>
      </c>
      <c r="M526" t="n">
        <v>0</v>
      </c>
      <c r="N526" t="n">
        <v>0</v>
      </c>
      <c r="O526" t="n">
        <v>0</v>
      </c>
      <c r="P526" t="n">
        <v>0</v>
      </c>
      <c r="Q526" t="n">
        <v>0</v>
      </c>
      <c r="R526" s="2" t="inlineStr"/>
    </row>
    <row r="527" ht="15" customHeight="1">
      <c r="A527" t="inlineStr">
        <is>
          <t>A 61433-2021</t>
        </is>
      </c>
      <c r="B527" s="1" t="n">
        <v>44500</v>
      </c>
      <c r="C527" s="1" t="n">
        <v>46048</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54581-2022</t>
        </is>
      </c>
      <c r="B528" s="1" t="n">
        <v>44882.95608796296</v>
      </c>
      <c r="C528" s="1" t="n">
        <v>46048</v>
      </c>
      <c r="D528" t="inlineStr">
        <is>
          <t>JÄMTLANDS LÄN</t>
        </is>
      </c>
      <c r="E528" t="inlineStr">
        <is>
          <t>STRÖMSUND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64655-2021</t>
        </is>
      </c>
      <c r="B529" s="1" t="n">
        <v>44511</v>
      </c>
      <c r="C529" s="1" t="n">
        <v>46048</v>
      </c>
      <c r="D529" t="inlineStr">
        <is>
          <t>JÄMTLANDS LÄN</t>
        </is>
      </c>
      <c r="E529" t="inlineStr">
        <is>
          <t>STRÖMSUND</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42294-2022</t>
        </is>
      </c>
      <c r="B530" s="1" t="n">
        <v>44830.95416666667</v>
      </c>
      <c r="C530" s="1" t="n">
        <v>46048</v>
      </c>
      <c r="D530" t="inlineStr">
        <is>
          <t>JÄMTLANDS LÄN</t>
        </is>
      </c>
      <c r="E530" t="inlineStr">
        <is>
          <t>STRÖMSUND</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64660-2021</t>
        </is>
      </c>
      <c r="B531" s="1" t="n">
        <v>44511</v>
      </c>
      <c r="C531" s="1" t="n">
        <v>46048</v>
      </c>
      <c r="D531" t="inlineStr">
        <is>
          <t>JÄMTLANDS LÄN</t>
        </is>
      </c>
      <c r="E531" t="inlineStr">
        <is>
          <t>STRÖMSUND</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30036-2022</t>
        </is>
      </c>
      <c r="B532" s="1" t="n">
        <v>44756</v>
      </c>
      <c r="C532" s="1" t="n">
        <v>46048</v>
      </c>
      <c r="D532" t="inlineStr">
        <is>
          <t>JÄMTLANDS LÄN</t>
        </is>
      </c>
      <c r="E532" t="inlineStr">
        <is>
          <t>STRÖMSUND</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41828-2022</t>
        </is>
      </c>
      <c r="B533" s="1" t="n">
        <v>44827.94636574074</v>
      </c>
      <c r="C533" s="1" t="n">
        <v>46048</v>
      </c>
      <c r="D533" t="inlineStr">
        <is>
          <t>JÄMTLANDS LÄN</t>
        </is>
      </c>
      <c r="E533" t="inlineStr">
        <is>
          <t>STRÖMSUND</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41821-2022</t>
        </is>
      </c>
      <c r="B534" s="1" t="n">
        <v>44827</v>
      </c>
      <c r="C534" s="1" t="n">
        <v>46048</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29552-2021</t>
        </is>
      </c>
      <c r="B535" s="1" t="n">
        <v>44361</v>
      </c>
      <c r="C535" s="1" t="n">
        <v>46048</v>
      </c>
      <c r="D535" t="inlineStr">
        <is>
          <t>JÄMTLANDS LÄN</t>
        </is>
      </c>
      <c r="E535" t="inlineStr">
        <is>
          <t>STRÖMSUND</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42280-2022</t>
        </is>
      </c>
      <c r="B536" s="1" t="n">
        <v>44830.953125</v>
      </c>
      <c r="C536" s="1" t="n">
        <v>46048</v>
      </c>
      <c r="D536" t="inlineStr">
        <is>
          <t>JÄMTLANDS LÄN</t>
        </is>
      </c>
      <c r="E536" t="inlineStr">
        <is>
          <t>STRÖMSUND</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46048</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50647-2022</t>
        </is>
      </c>
      <c r="B538" s="1" t="n">
        <v>44866.95054398148</v>
      </c>
      <c r="C538" s="1" t="n">
        <v>46048</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50663-2022</t>
        </is>
      </c>
      <c r="B539" s="1" t="n">
        <v>44866.95289351852</v>
      </c>
      <c r="C539" s="1" t="n">
        <v>46048</v>
      </c>
      <c r="D539" t="inlineStr">
        <is>
          <t>JÄMTLANDS LÄN</t>
        </is>
      </c>
      <c r="E539" t="inlineStr">
        <is>
          <t>STRÖMSUND</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37370-2021</t>
        </is>
      </c>
      <c r="B540" s="1" t="n">
        <v>44397</v>
      </c>
      <c r="C540" s="1" t="n">
        <v>46048</v>
      </c>
      <c r="D540" t="inlineStr">
        <is>
          <t>JÄMTLANDS LÄN</t>
        </is>
      </c>
      <c r="E540" t="inlineStr">
        <is>
          <t>STRÖMSUND</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37371-2021</t>
        </is>
      </c>
      <c r="B541" s="1" t="n">
        <v>44397.93497685185</v>
      </c>
      <c r="C541" s="1" t="n">
        <v>46048</v>
      </c>
      <c r="D541" t="inlineStr">
        <is>
          <t>JÄMTLANDS LÄN</t>
        </is>
      </c>
      <c r="E541" t="inlineStr">
        <is>
          <t>STRÖMSUND</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46048</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46048</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31849-2022</t>
        </is>
      </c>
      <c r="B544" s="1" t="n">
        <v>44776.9419212963</v>
      </c>
      <c r="C544" s="1" t="n">
        <v>46048</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50029-2021</t>
        </is>
      </c>
      <c r="B545" s="1" t="n">
        <v>44456.4916087963</v>
      </c>
      <c r="C545" s="1" t="n">
        <v>46048</v>
      </c>
      <c r="D545" t="inlineStr">
        <is>
          <t>JÄMTLANDS LÄN</t>
        </is>
      </c>
      <c r="E545" t="inlineStr">
        <is>
          <t>STRÖMSUND</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71377-2021</t>
        </is>
      </c>
      <c r="B546" s="1" t="n">
        <v>44539.94553240741</v>
      </c>
      <c r="C546" s="1" t="n">
        <v>46048</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38415-2022</t>
        </is>
      </c>
      <c r="B547" s="1" t="n">
        <v>44812</v>
      </c>
      <c r="C547" s="1" t="n">
        <v>46048</v>
      </c>
      <c r="D547" t="inlineStr">
        <is>
          <t>JÄMTLANDS LÄN</t>
        </is>
      </c>
      <c r="E547" t="inlineStr">
        <is>
          <t>STRÖMSUND</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37102-2022</t>
        </is>
      </c>
      <c r="B548" s="1" t="n">
        <v>44806</v>
      </c>
      <c r="C548" s="1" t="n">
        <v>46048</v>
      </c>
      <c r="D548" t="inlineStr">
        <is>
          <t>JÄMTLANDS LÄN</t>
        </is>
      </c>
      <c r="E548" t="inlineStr">
        <is>
          <t>STRÖMSUND</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38219-2021</t>
        </is>
      </c>
      <c r="B549" s="1" t="n">
        <v>44405</v>
      </c>
      <c r="C549" s="1" t="n">
        <v>46048</v>
      </c>
      <c r="D549" t="inlineStr">
        <is>
          <t>JÄMTLANDS LÄN</t>
        </is>
      </c>
      <c r="E549" t="inlineStr">
        <is>
          <t>STRÖMSUND</t>
        </is>
      </c>
      <c r="G549" t="n">
        <v>3.1</v>
      </c>
      <c r="H549" t="n">
        <v>0</v>
      </c>
      <c r="I549" t="n">
        <v>0</v>
      </c>
      <c r="J549" t="n">
        <v>0</v>
      </c>
      <c r="K549" t="n">
        <v>0</v>
      </c>
      <c r="L549" t="n">
        <v>0</v>
      </c>
      <c r="M549" t="n">
        <v>0</v>
      </c>
      <c r="N549" t="n">
        <v>0</v>
      </c>
      <c r="O549" t="n">
        <v>0</v>
      </c>
      <c r="P549" t="n">
        <v>0</v>
      </c>
      <c r="Q549" t="n">
        <v>0</v>
      </c>
      <c r="R549" s="2" t="inlineStr"/>
    </row>
    <row r="550" ht="15" customHeight="1">
      <c r="A550" t="inlineStr">
        <is>
          <t>A 30037-2022</t>
        </is>
      </c>
      <c r="B550" s="1" t="n">
        <v>44756.94559027778</v>
      </c>
      <c r="C550" s="1" t="n">
        <v>46048</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73291-2021</t>
        </is>
      </c>
      <c r="B551" s="1" t="n">
        <v>44550</v>
      </c>
      <c r="C551" s="1" t="n">
        <v>46048</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32349-2022</t>
        </is>
      </c>
      <c r="B552" s="1" t="n">
        <v>44781.9250462963</v>
      </c>
      <c r="C552" s="1" t="n">
        <v>46048</v>
      </c>
      <c r="D552" t="inlineStr">
        <is>
          <t>JÄMTLANDS LÄN</t>
        </is>
      </c>
      <c r="E552" t="inlineStr">
        <is>
          <t>STRÖMSUND</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34890-2022</t>
        </is>
      </c>
      <c r="B553" s="1" t="n">
        <v>44796.53650462963</v>
      </c>
      <c r="C553" s="1" t="n">
        <v>46048</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33054-2022</t>
        </is>
      </c>
      <c r="B554" s="1" t="n">
        <v>44785</v>
      </c>
      <c r="C554" s="1" t="n">
        <v>46048</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29594-2021</t>
        </is>
      </c>
      <c r="B555" s="1" t="n">
        <v>44361</v>
      </c>
      <c r="C555" s="1" t="n">
        <v>46048</v>
      </c>
      <c r="D555" t="inlineStr">
        <is>
          <t>JÄMTLANDS LÄN</t>
        </is>
      </c>
      <c r="E555" t="inlineStr">
        <is>
          <t>STRÖMSUND</t>
        </is>
      </c>
      <c r="G555" t="n">
        <v>10.8</v>
      </c>
      <c r="H555" t="n">
        <v>0</v>
      </c>
      <c r="I555" t="n">
        <v>0</v>
      </c>
      <c r="J555" t="n">
        <v>0</v>
      </c>
      <c r="K555" t="n">
        <v>0</v>
      </c>
      <c r="L555" t="n">
        <v>0</v>
      </c>
      <c r="M555" t="n">
        <v>0</v>
      </c>
      <c r="N555" t="n">
        <v>0</v>
      </c>
      <c r="O555" t="n">
        <v>0</v>
      </c>
      <c r="P555" t="n">
        <v>0</v>
      </c>
      <c r="Q555" t="n">
        <v>0</v>
      </c>
      <c r="R555" s="2" t="inlineStr"/>
    </row>
    <row r="556" ht="15" customHeight="1">
      <c r="A556" t="inlineStr">
        <is>
          <t>A 43459-2022</t>
        </is>
      </c>
      <c r="B556" s="1" t="n">
        <v>44835.95378472222</v>
      </c>
      <c r="C556" s="1" t="n">
        <v>46048</v>
      </c>
      <c r="D556" t="inlineStr">
        <is>
          <t>JÄMTLANDS LÄN</t>
        </is>
      </c>
      <c r="E556" t="inlineStr">
        <is>
          <t>STRÖMSUND</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36699-2022</t>
        </is>
      </c>
      <c r="B557" s="1" t="n">
        <v>44804.94813657407</v>
      </c>
      <c r="C557" s="1" t="n">
        <v>46048</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37373-2021</t>
        </is>
      </c>
      <c r="B558" s="1" t="n">
        <v>44397.93509259259</v>
      </c>
      <c r="C558" s="1" t="n">
        <v>46048</v>
      </c>
      <c r="D558" t="inlineStr">
        <is>
          <t>JÄMTLANDS LÄN</t>
        </is>
      </c>
      <c r="E558" t="inlineStr">
        <is>
          <t>STRÖMSUND</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68646-2021</t>
        </is>
      </c>
      <c r="B559" s="1" t="n">
        <v>44529.60631944444</v>
      </c>
      <c r="C559" s="1" t="n">
        <v>46048</v>
      </c>
      <c r="D559" t="inlineStr">
        <is>
          <t>JÄMTLANDS LÄN</t>
        </is>
      </c>
      <c r="E559" t="inlineStr">
        <is>
          <t>STRÖMSUND</t>
        </is>
      </c>
      <c r="G559" t="n">
        <v>2.4</v>
      </c>
      <c r="H559" t="n">
        <v>0</v>
      </c>
      <c r="I559" t="n">
        <v>0</v>
      </c>
      <c r="J559" t="n">
        <v>0</v>
      </c>
      <c r="K559" t="n">
        <v>0</v>
      </c>
      <c r="L559" t="n">
        <v>0</v>
      </c>
      <c r="M559" t="n">
        <v>0</v>
      </c>
      <c r="N559" t="n">
        <v>0</v>
      </c>
      <c r="O559" t="n">
        <v>0</v>
      </c>
      <c r="P559" t="n">
        <v>0</v>
      </c>
      <c r="Q559" t="n">
        <v>0</v>
      </c>
      <c r="R559" s="2" t="inlineStr"/>
    </row>
    <row r="560" ht="15" customHeight="1">
      <c r="A560" t="inlineStr">
        <is>
          <t>A 5416-2022</t>
        </is>
      </c>
      <c r="B560" s="1" t="n">
        <v>44595</v>
      </c>
      <c r="C560" s="1" t="n">
        <v>46048</v>
      </c>
      <c r="D560" t="inlineStr">
        <is>
          <t>JÄMTLANDS LÄN</t>
        </is>
      </c>
      <c r="E560" t="inlineStr">
        <is>
          <t>STRÖMSUND</t>
        </is>
      </c>
      <c r="G560" t="n">
        <v>1.9</v>
      </c>
      <c r="H560" t="n">
        <v>0</v>
      </c>
      <c r="I560" t="n">
        <v>0</v>
      </c>
      <c r="J560" t="n">
        <v>0</v>
      </c>
      <c r="K560" t="n">
        <v>0</v>
      </c>
      <c r="L560" t="n">
        <v>0</v>
      </c>
      <c r="M560" t="n">
        <v>0</v>
      </c>
      <c r="N560" t="n">
        <v>0</v>
      </c>
      <c r="O560" t="n">
        <v>0</v>
      </c>
      <c r="P560" t="n">
        <v>0</v>
      </c>
      <c r="Q560" t="n">
        <v>0</v>
      </c>
      <c r="R560" s="2" t="inlineStr"/>
    </row>
    <row r="561" ht="15" customHeight="1">
      <c r="A561" t="inlineStr">
        <is>
          <t>A 58972-2021</t>
        </is>
      </c>
      <c r="B561" s="1" t="n">
        <v>44489.94628472222</v>
      </c>
      <c r="C561" s="1" t="n">
        <v>46048</v>
      </c>
      <c r="D561" t="inlineStr">
        <is>
          <t>JÄMTLANDS LÄN</t>
        </is>
      </c>
      <c r="E561" t="inlineStr">
        <is>
          <t>STRÖMSUND</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35241-2022</t>
        </is>
      </c>
      <c r="B562" s="1" t="n">
        <v>44797</v>
      </c>
      <c r="C562" s="1" t="n">
        <v>46048</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35321-2022</t>
        </is>
      </c>
      <c r="B563" s="1" t="n">
        <v>44798</v>
      </c>
      <c r="C563" s="1" t="n">
        <v>46048</v>
      </c>
      <c r="D563" t="inlineStr">
        <is>
          <t>JÄMTLANDS LÄN</t>
        </is>
      </c>
      <c r="E563" t="inlineStr">
        <is>
          <t>STRÖMSUND</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42790-2022</t>
        </is>
      </c>
      <c r="B564" s="1" t="n">
        <v>44832</v>
      </c>
      <c r="C564" s="1" t="n">
        <v>46048</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43844-2021</t>
        </is>
      </c>
      <c r="B565" s="1" t="n">
        <v>44433</v>
      </c>
      <c r="C565" s="1" t="n">
        <v>46048</v>
      </c>
      <c r="D565" t="inlineStr">
        <is>
          <t>JÄMTLANDS LÄN</t>
        </is>
      </c>
      <c r="E565" t="inlineStr">
        <is>
          <t>STRÖMSUND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44600-2021</t>
        </is>
      </c>
      <c r="B566" s="1" t="n">
        <v>44435.94118055556</v>
      </c>
      <c r="C566" s="1" t="n">
        <v>46048</v>
      </c>
      <c r="D566" t="inlineStr">
        <is>
          <t>JÄMTLANDS LÄN</t>
        </is>
      </c>
      <c r="E566" t="inlineStr">
        <is>
          <t>STRÖMSUND</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47156-2022</t>
        </is>
      </c>
      <c r="B567" s="1" t="n">
        <v>44852.59005787037</v>
      </c>
      <c r="C567" s="1" t="n">
        <v>46048</v>
      </c>
      <c r="D567" t="inlineStr">
        <is>
          <t>JÄMTLANDS LÄN</t>
        </is>
      </c>
      <c r="E567" t="inlineStr">
        <is>
          <t>STRÖMSUND</t>
        </is>
      </c>
      <c r="F567" t="inlineStr">
        <is>
          <t>Holmen skog AB</t>
        </is>
      </c>
      <c r="G567" t="n">
        <v>15.1</v>
      </c>
      <c r="H567" t="n">
        <v>0</v>
      </c>
      <c r="I567" t="n">
        <v>0</v>
      </c>
      <c r="J567" t="n">
        <v>0</v>
      </c>
      <c r="K567" t="n">
        <v>0</v>
      </c>
      <c r="L567" t="n">
        <v>0</v>
      </c>
      <c r="M567" t="n">
        <v>0</v>
      </c>
      <c r="N567" t="n">
        <v>0</v>
      </c>
      <c r="O567" t="n">
        <v>0</v>
      </c>
      <c r="P567" t="n">
        <v>0</v>
      </c>
      <c r="Q567" t="n">
        <v>0</v>
      </c>
      <c r="R567" s="2" t="inlineStr"/>
    </row>
    <row r="568" ht="15" customHeight="1">
      <c r="A568" t="inlineStr">
        <is>
          <t>A 32531-2021</t>
        </is>
      </c>
      <c r="B568" s="1" t="n">
        <v>44374.93197916666</v>
      </c>
      <c r="C568" s="1" t="n">
        <v>46048</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43160-2022</t>
        </is>
      </c>
      <c r="B569" s="1" t="n">
        <v>44833.95378472222</v>
      </c>
      <c r="C569" s="1" t="n">
        <v>46048</v>
      </c>
      <c r="D569" t="inlineStr">
        <is>
          <t>JÄMTLANDS LÄN</t>
        </is>
      </c>
      <c r="E569" t="inlineStr">
        <is>
          <t>STRÖMSUND</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43165-2022</t>
        </is>
      </c>
      <c r="B570" s="1" t="n">
        <v>44833</v>
      </c>
      <c r="C570" s="1" t="n">
        <v>46048</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35064-2021</t>
        </is>
      </c>
      <c r="B571" s="1" t="n">
        <v>44383</v>
      </c>
      <c r="C571" s="1" t="n">
        <v>46048</v>
      </c>
      <c r="D571" t="inlineStr">
        <is>
          <t>JÄMTLANDS LÄN</t>
        </is>
      </c>
      <c r="E571" t="inlineStr">
        <is>
          <t>STRÖMSUND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29540-2022</t>
        </is>
      </c>
      <c r="B572" s="1" t="n">
        <v>44753.94357638889</v>
      </c>
      <c r="C572" s="1" t="n">
        <v>46048</v>
      </c>
      <c r="D572" t="inlineStr">
        <is>
          <t>JÄMTLANDS LÄN</t>
        </is>
      </c>
      <c r="E572" t="inlineStr">
        <is>
          <t>STRÖMSUND</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31446-2022</t>
        </is>
      </c>
      <c r="B573" s="1" t="n">
        <v>44774.94104166667</v>
      </c>
      <c r="C573" s="1" t="n">
        <v>46048</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40657-2021</t>
        </is>
      </c>
      <c r="B574" s="1" t="n">
        <v>44420.56561342593</v>
      </c>
      <c r="C574" s="1" t="n">
        <v>46048</v>
      </c>
      <c r="D574" t="inlineStr">
        <is>
          <t>JÄMTLANDS LÄN</t>
        </is>
      </c>
      <c r="E574" t="inlineStr">
        <is>
          <t>STRÖMSUND</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44453-2022</t>
        </is>
      </c>
      <c r="B575" s="1" t="n">
        <v>44839.95537037037</v>
      </c>
      <c r="C575" s="1" t="n">
        <v>46048</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39000-2022</t>
        </is>
      </c>
      <c r="B576" s="1" t="n">
        <v>44816.94270833334</v>
      </c>
      <c r="C576" s="1" t="n">
        <v>46048</v>
      </c>
      <c r="D576" t="inlineStr">
        <is>
          <t>JÄMTLANDS LÄN</t>
        </is>
      </c>
      <c r="E576" t="inlineStr">
        <is>
          <t>STRÖMSUND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48546-2022</t>
        </is>
      </c>
      <c r="B577" s="1" t="n">
        <v>44858</v>
      </c>
      <c r="C577" s="1" t="n">
        <v>46048</v>
      </c>
      <c r="D577" t="inlineStr">
        <is>
          <t>JÄMTLANDS LÄN</t>
        </is>
      </c>
      <c r="E577" t="inlineStr">
        <is>
          <t>STRÖMSUND</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4931-2022</t>
        </is>
      </c>
      <c r="B578" s="1" t="n">
        <v>44593</v>
      </c>
      <c r="C578" s="1" t="n">
        <v>46048</v>
      </c>
      <c r="D578" t="inlineStr">
        <is>
          <t>JÄMTLANDS LÄN</t>
        </is>
      </c>
      <c r="E578" t="inlineStr">
        <is>
          <t>STRÖMSUND</t>
        </is>
      </c>
      <c r="G578" t="n">
        <v>41.9</v>
      </c>
      <c r="H578" t="n">
        <v>0</v>
      </c>
      <c r="I578" t="n">
        <v>0</v>
      </c>
      <c r="J578" t="n">
        <v>0</v>
      </c>
      <c r="K578" t="n">
        <v>0</v>
      </c>
      <c r="L578" t="n">
        <v>0</v>
      </c>
      <c r="M578" t="n">
        <v>0</v>
      </c>
      <c r="N578" t="n">
        <v>0</v>
      </c>
      <c r="O578" t="n">
        <v>0</v>
      </c>
      <c r="P578" t="n">
        <v>0</v>
      </c>
      <c r="Q578" t="n">
        <v>0</v>
      </c>
      <c r="R578" s="2" t="inlineStr"/>
    </row>
    <row r="579" ht="15" customHeight="1">
      <c r="A579" t="inlineStr">
        <is>
          <t>A 39388-2022</t>
        </is>
      </c>
      <c r="B579" s="1" t="n">
        <v>44817</v>
      </c>
      <c r="C579" s="1" t="n">
        <v>46048</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35915-2021</t>
        </is>
      </c>
      <c r="B580" s="1" t="n">
        <v>44387.9327662037</v>
      </c>
      <c r="C580" s="1" t="n">
        <v>46048</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54844-2022</t>
        </is>
      </c>
      <c r="B581" s="1" t="n">
        <v>44883.95006944444</v>
      </c>
      <c r="C581" s="1" t="n">
        <v>46048</v>
      </c>
      <c r="D581" t="inlineStr">
        <is>
          <t>JÄMTLANDS LÄN</t>
        </is>
      </c>
      <c r="E581" t="inlineStr">
        <is>
          <t>STRÖMSUND</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46048</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44410-2021</t>
        </is>
      </c>
      <c r="B583" s="1" t="n">
        <v>44435</v>
      </c>
      <c r="C583" s="1" t="n">
        <v>46048</v>
      </c>
      <c r="D583" t="inlineStr">
        <is>
          <t>JÄMTLANDS LÄN</t>
        </is>
      </c>
      <c r="E583" t="inlineStr">
        <is>
          <t>STRÖMSUND</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40287-2022</t>
        </is>
      </c>
      <c r="B584" s="1" t="n">
        <v>44820.94685185186</v>
      </c>
      <c r="C584" s="1" t="n">
        <v>46048</v>
      </c>
      <c r="D584" t="inlineStr">
        <is>
          <t>JÄMTLANDS LÄN</t>
        </is>
      </c>
      <c r="E584" t="inlineStr">
        <is>
          <t>STRÖMSUND</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46048</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46048</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9957-2022</t>
        </is>
      </c>
      <c r="B587" s="1" t="n">
        <v>44620</v>
      </c>
      <c r="C587" s="1" t="n">
        <v>46048</v>
      </c>
      <c r="D587" t="inlineStr">
        <is>
          <t>JÄMTLANDS LÄN</t>
        </is>
      </c>
      <c r="E587" t="inlineStr">
        <is>
          <t>STRÖMSUND</t>
        </is>
      </c>
      <c r="G587" t="n">
        <v>1.2</v>
      </c>
      <c r="H587" t="n">
        <v>0</v>
      </c>
      <c r="I587" t="n">
        <v>0</v>
      </c>
      <c r="J587" t="n">
        <v>0</v>
      </c>
      <c r="K587" t="n">
        <v>0</v>
      </c>
      <c r="L587" t="n">
        <v>0</v>
      </c>
      <c r="M587" t="n">
        <v>0</v>
      </c>
      <c r="N587" t="n">
        <v>0</v>
      </c>
      <c r="O587" t="n">
        <v>0</v>
      </c>
      <c r="P587" t="n">
        <v>0</v>
      </c>
      <c r="Q587" t="n">
        <v>0</v>
      </c>
      <c r="R587" s="2" t="inlineStr"/>
    </row>
    <row r="588" ht="15" customHeight="1">
      <c r="A588" t="inlineStr">
        <is>
          <t>A 72753-2021</t>
        </is>
      </c>
      <c r="B588" s="1" t="n">
        <v>44546.92266203704</v>
      </c>
      <c r="C588" s="1" t="n">
        <v>46048</v>
      </c>
      <c r="D588" t="inlineStr">
        <is>
          <t>JÄMTLANDS LÄN</t>
        </is>
      </c>
      <c r="E588" t="inlineStr">
        <is>
          <t>STRÖMSUND</t>
        </is>
      </c>
      <c r="G588" t="n">
        <v>0.4</v>
      </c>
      <c r="H588" t="n">
        <v>0</v>
      </c>
      <c r="I588" t="n">
        <v>0</v>
      </c>
      <c r="J588" t="n">
        <v>0</v>
      </c>
      <c r="K588" t="n">
        <v>0</v>
      </c>
      <c r="L588" t="n">
        <v>0</v>
      </c>
      <c r="M588" t="n">
        <v>0</v>
      </c>
      <c r="N588" t="n">
        <v>0</v>
      </c>
      <c r="O588" t="n">
        <v>0</v>
      </c>
      <c r="P588" t="n">
        <v>0</v>
      </c>
      <c r="Q588" t="n">
        <v>0</v>
      </c>
      <c r="R588" s="2" t="inlineStr"/>
    </row>
    <row r="589" ht="15" customHeight="1">
      <c r="A589" t="inlineStr">
        <is>
          <t>A 41491-2021</t>
        </is>
      </c>
      <c r="B589" s="1" t="n">
        <v>44424</v>
      </c>
      <c r="C589" s="1" t="n">
        <v>46048</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46048</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44606-2021</t>
        </is>
      </c>
      <c r="B591" s="1" t="n">
        <v>44435.9415162037</v>
      </c>
      <c r="C591" s="1" t="n">
        <v>46048</v>
      </c>
      <c r="D591" t="inlineStr">
        <is>
          <t>JÄMTLANDS LÄN</t>
        </is>
      </c>
      <c r="E591" t="inlineStr">
        <is>
          <t>STRÖMSUND</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46056-2022</t>
        </is>
      </c>
      <c r="B592" s="1" t="n">
        <v>44846.95290509259</v>
      </c>
      <c r="C592" s="1" t="n">
        <v>46048</v>
      </c>
      <c r="D592" t="inlineStr">
        <is>
          <t>JÄMTLANDS LÄN</t>
        </is>
      </c>
      <c r="E592" t="inlineStr">
        <is>
          <t>STRÖMSUND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71352-2021</t>
        </is>
      </c>
      <c r="B593" s="1" t="n">
        <v>44539</v>
      </c>
      <c r="C593" s="1" t="n">
        <v>46048</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c r="U593">
        <f>HYPERLINK("https://klasma.github.io/Logging_2313/knärot/A 71352-2021 karta knärot.png", "A 71352-2021")</f>
        <v/>
      </c>
      <c r="V593">
        <f>HYPERLINK("https://klasma.github.io/Logging_2313/klagomål/A 71352-2021 FSC-klagomål.docx", "A 71352-2021")</f>
        <v/>
      </c>
      <c r="W593">
        <f>HYPERLINK("https://klasma.github.io/Logging_2313/klagomålsmail/A 71352-2021 FSC-klagomål mail.docx", "A 71352-2021")</f>
        <v/>
      </c>
      <c r="X593">
        <f>HYPERLINK("https://klasma.github.io/Logging_2313/tillsyn/A 71352-2021 tillsynsbegäran.docx", "A 71352-2021")</f>
        <v/>
      </c>
      <c r="Y593">
        <f>HYPERLINK("https://klasma.github.io/Logging_2313/tillsynsmail/A 71352-2021 tillsynsbegäran mail.docx", "A 71352-2021")</f>
        <v/>
      </c>
    </row>
    <row r="594" ht="15" customHeight="1">
      <c r="A594" t="inlineStr">
        <is>
          <t>A 71353-2021</t>
        </is>
      </c>
      <c r="B594" s="1" t="n">
        <v>44539</v>
      </c>
      <c r="C594" s="1" t="n">
        <v>46048</v>
      </c>
      <c r="D594" t="inlineStr">
        <is>
          <t>JÄMTLANDS LÄN</t>
        </is>
      </c>
      <c r="E594" t="inlineStr">
        <is>
          <t>STRÖMSUND</t>
        </is>
      </c>
      <c r="G594" t="n">
        <v>0.2</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46048</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46048</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12250-2021</t>
        </is>
      </c>
      <c r="B597" s="1" t="n">
        <v>44266</v>
      </c>
      <c r="C597" s="1" t="n">
        <v>46048</v>
      </c>
      <c r="D597" t="inlineStr">
        <is>
          <t>JÄMTLANDS LÄN</t>
        </is>
      </c>
      <c r="E597" t="inlineStr">
        <is>
          <t>STRÖMSUND</t>
        </is>
      </c>
      <c r="G597" t="n">
        <v>5</v>
      </c>
      <c r="H597" t="n">
        <v>0</v>
      </c>
      <c r="I597" t="n">
        <v>0</v>
      </c>
      <c r="J597" t="n">
        <v>0</v>
      </c>
      <c r="K597" t="n">
        <v>0</v>
      </c>
      <c r="L597" t="n">
        <v>0</v>
      </c>
      <c r="M597" t="n">
        <v>0</v>
      </c>
      <c r="N597" t="n">
        <v>0</v>
      </c>
      <c r="O597" t="n">
        <v>0</v>
      </c>
      <c r="P597" t="n">
        <v>0</v>
      </c>
      <c r="Q597" t="n">
        <v>0</v>
      </c>
      <c r="R597" s="2" t="inlineStr"/>
    </row>
    <row r="598" ht="15" customHeight="1">
      <c r="A598" t="inlineStr">
        <is>
          <t>A 46969-2021</t>
        </is>
      </c>
      <c r="B598" s="1" t="n">
        <v>44446</v>
      </c>
      <c r="C598" s="1" t="n">
        <v>46048</v>
      </c>
      <c r="D598" t="inlineStr">
        <is>
          <t>JÄMTLANDS LÄN</t>
        </is>
      </c>
      <c r="E598" t="inlineStr">
        <is>
          <t>STRÖMSUND</t>
        </is>
      </c>
      <c r="G598" t="n">
        <v>7.4</v>
      </c>
      <c r="H598" t="n">
        <v>0</v>
      </c>
      <c r="I598" t="n">
        <v>0</v>
      </c>
      <c r="J598" t="n">
        <v>0</v>
      </c>
      <c r="K598" t="n">
        <v>0</v>
      </c>
      <c r="L598" t="n">
        <v>0</v>
      </c>
      <c r="M598" t="n">
        <v>0</v>
      </c>
      <c r="N598" t="n">
        <v>0</v>
      </c>
      <c r="O598" t="n">
        <v>0</v>
      </c>
      <c r="P598" t="n">
        <v>0</v>
      </c>
      <c r="Q598" t="n">
        <v>0</v>
      </c>
      <c r="R598" s="2" t="inlineStr"/>
    </row>
    <row r="599" ht="15" customHeight="1">
      <c r="A599" t="inlineStr">
        <is>
          <t>A 1107-2022</t>
        </is>
      </c>
      <c r="B599" s="1" t="n">
        <v>44571</v>
      </c>
      <c r="C599" s="1" t="n">
        <v>46048</v>
      </c>
      <c r="D599" t="inlineStr">
        <is>
          <t>JÄMTLANDS LÄN</t>
        </is>
      </c>
      <c r="E599" t="inlineStr">
        <is>
          <t>STRÖMSUND</t>
        </is>
      </c>
      <c r="G599" t="n">
        <v>5.2</v>
      </c>
      <c r="H599" t="n">
        <v>0</v>
      </c>
      <c r="I599" t="n">
        <v>0</v>
      </c>
      <c r="J599" t="n">
        <v>0</v>
      </c>
      <c r="K599" t="n">
        <v>0</v>
      </c>
      <c r="L599" t="n">
        <v>0</v>
      </c>
      <c r="M599" t="n">
        <v>0</v>
      </c>
      <c r="N599" t="n">
        <v>0</v>
      </c>
      <c r="O599" t="n">
        <v>0</v>
      </c>
      <c r="P599" t="n">
        <v>0</v>
      </c>
      <c r="Q599" t="n">
        <v>0</v>
      </c>
      <c r="R599" s="2" t="inlineStr"/>
    </row>
    <row r="600" ht="15" customHeight="1">
      <c r="A600" t="inlineStr">
        <is>
          <t>A 10136-2022</t>
        </is>
      </c>
      <c r="B600" s="1" t="n">
        <v>44621</v>
      </c>
      <c r="C600" s="1" t="n">
        <v>46048</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23208-2022</t>
        </is>
      </c>
      <c r="B601" s="1" t="n">
        <v>44719</v>
      </c>
      <c r="C601" s="1" t="n">
        <v>46048</v>
      </c>
      <c r="D601" t="inlineStr">
        <is>
          <t>JÄMTLANDS LÄN</t>
        </is>
      </c>
      <c r="E601" t="inlineStr">
        <is>
          <t>STRÖMSUND</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23209-2022</t>
        </is>
      </c>
      <c r="B602" s="1" t="n">
        <v>44719</v>
      </c>
      <c r="C602" s="1" t="n">
        <v>46048</v>
      </c>
      <c r="D602" t="inlineStr">
        <is>
          <t>JÄMTLANDS LÄN</t>
        </is>
      </c>
      <c r="E602" t="inlineStr">
        <is>
          <t>STRÖMSUND</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20334-2022</t>
        </is>
      </c>
      <c r="B603" s="1" t="n">
        <v>44699</v>
      </c>
      <c r="C603" s="1" t="n">
        <v>46048</v>
      </c>
      <c r="D603" t="inlineStr">
        <is>
          <t>JÄMTLANDS LÄN</t>
        </is>
      </c>
      <c r="E603" t="inlineStr">
        <is>
          <t>STRÖMSUND</t>
        </is>
      </c>
      <c r="F603" t="inlineStr">
        <is>
          <t>Holmen skog AB</t>
        </is>
      </c>
      <c r="G603" t="n">
        <v>0.6</v>
      </c>
      <c r="H603" t="n">
        <v>0</v>
      </c>
      <c r="I603" t="n">
        <v>0</v>
      </c>
      <c r="J603" t="n">
        <v>0</v>
      </c>
      <c r="K603" t="n">
        <v>0</v>
      </c>
      <c r="L603" t="n">
        <v>0</v>
      </c>
      <c r="M603" t="n">
        <v>0</v>
      </c>
      <c r="N603" t="n">
        <v>0</v>
      </c>
      <c r="O603" t="n">
        <v>0</v>
      </c>
      <c r="P603" t="n">
        <v>0</v>
      </c>
      <c r="Q603" t="n">
        <v>0</v>
      </c>
      <c r="R603" s="2" t="inlineStr"/>
    </row>
    <row r="604" ht="15" customHeight="1">
      <c r="A604" t="inlineStr">
        <is>
          <t>A 15118-2021</t>
        </is>
      </c>
      <c r="B604" s="1" t="n">
        <v>44282</v>
      </c>
      <c r="C604" s="1" t="n">
        <v>46048</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34521-2022</t>
        </is>
      </c>
      <c r="B605" s="1" t="n">
        <v>44792.94493055555</v>
      </c>
      <c r="C605" s="1" t="n">
        <v>46048</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69139-2021</t>
        </is>
      </c>
      <c r="B606" s="1" t="n">
        <v>44530.94604166667</v>
      </c>
      <c r="C606" s="1" t="n">
        <v>46048</v>
      </c>
      <c r="D606" t="inlineStr">
        <is>
          <t>JÄMTLANDS LÄN</t>
        </is>
      </c>
      <c r="E606" t="inlineStr">
        <is>
          <t>STRÖMSUND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32978-2022</t>
        </is>
      </c>
      <c r="B607" s="1" t="n">
        <v>44784.94083333333</v>
      </c>
      <c r="C607" s="1" t="n">
        <v>46048</v>
      </c>
      <c r="D607" t="inlineStr">
        <is>
          <t>JÄMTLANDS LÄN</t>
        </is>
      </c>
      <c r="E607" t="inlineStr">
        <is>
          <t>STRÖMSUND</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56091-2022</t>
        </is>
      </c>
      <c r="B608" s="1" t="n">
        <v>44889.63935185185</v>
      </c>
      <c r="C608" s="1" t="n">
        <v>46048</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45628-2021</t>
        </is>
      </c>
      <c r="B609" s="1" t="n">
        <v>44440.98024305556</v>
      </c>
      <c r="C609" s="1" t="n">
        <v>46048</v>
      </c>
      <c r="D609" t="inlineStr">
        <is>
          <t>JÄMTLANDS LÄN</t>
        </is>
      </c>
      <c r="E609" t="inlineStr">
        <is>
          <t>STRÖMSUND</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57547-2021</t>
        </is>
      </c>
      <c r="B610" s="1" t="n">
        <v>44483.94194444444</v>
      </c>
      <c r="C610" s="1" t="n">
        <v>46048</v>
      </c>
      <c r="D610" t="inlineStr">
        <is>
          <t>JÄMTLANDS LÄN</t>
        </is>
      </c>
      <c r="E610" t="inlineStr">
        <is>
          <t>STRÖMSUND</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24918-2022</t>
        </is>
      </c>
      <c r="B611" s="1" t="n">
        <v>44728</v>
      </c>
      <c r="C611" s="1" t="n">
        <v>46048</v>
      </c>
      <c r="D611" t="inlineStr">
        <is>
          <t>JÄMTLANDS LÄN</t>
        </is>
      </c>
      <c r="E611" t="inlineStr">
        <is>
          <t>STRÖMSUND</t>
        </is>
      </c>
      <c r="F611" t="inlineStr">
        <is>
          <t>Kyrkan</t>
        </is>
      </c>
      <c r="G611" t="n">
        <v>2.2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46048</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23103-2021</t>
        </is>
      </c>
      <c r="B613" s="1" t="n">
        <v>44330</v>
      </c>
      <c r="C613" s="1" t="n">
        <v>46048</v>
      </c>
      <c r="D613" t="inlineStr">
        <is>
          <t>JÄMTLANDS LÄN</t>
        </is>
      </c>
      <c r="E613" t="inlineStr">
        <is>
          <t>STRÖMSUND</t>
        </is>
      </c>
      <c r="G613" t="n">
        <v>1.4</v>
      </c>
      <c r="H613" t="n">
        <v>0</v>
      </c>
      <c r="I613" t="n">
        <v>0</v>
      </c>
      <c r="J613" t="n">
        <v>0</v>
      </c>
      <c r="K613" t="n">
        <v>0</v>
      </c>
      <c r="L613" t="n">
        <v>0</v>
      </c>
      <c r="M613" t="n">
        <v>0</v>
      </c>
      <c r="N613" t="n">
        <v>0</v>
      </c>
      <c r="O613" t="n">
        <v>0</v>
      </c>
      <c r="P613" t="n">
        <v>0</v>
      </c>
      <c r="Q613" t="n">
        <v>0</v>
      </c>
      <c r="R613" s="2" t="inlineStr"/>
    </row>
    <row r="614" ht="15" customHeight="1">
      <c r="A614" t="inlineStr">
        <is>
          <t>A 50313-2022</t>
        </is>
      </c>
      <c r="B614" s="1" t="n">
        <v>44865</v>
      </c>
      <c r="C614" s="1" t="n">
        <v>46048</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50315-2022</t>
        </is>
      </c>
      <c r="B615" s="1" t="n">
        <v>44865</v>
      </c>
      <c r="C615" s="1" t="n">
        <v>46048</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66784-2021</t>
        </is>
      </c>
      <c r="B616" s="1" t="n">
        <v>44519</v>
      </c>
      <c r="C616" s="1" t="n">
        <v>46048</v>
      </c>
      <c r="D616" t="inlineStr">
        <is>
          <t>JÄMTLANDS LÄN</t>
        </is>
      </c>
      <c r="E616" t="inlineStr">
        <is>
          <t>STRÖMSUND</t>
        </is>
      </c>
      <c r="G616" t="n">
        <v>3</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46048</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35971-2022</t>
        </is>
      </c>
      <c r="B618" s="1" t="n">
        <v>44802</v>
      </c>
      <c r="C618" s="1" t="n">
        <v>46048</v>
      </c>
      <c r="D618" t="inlineStr">
        <is>
          <t>JÄMTLANDS LÄN</t>
        </is>
      </c>
      <c r="E618" t="inlineStr">
        <is>
          <t>STRÖMSUND</t>
        </is>
      </c>
      <c r="F618" t="inlineStr">
        <is>
          <t>Sveaskog</t>
        </is>
      </c>
      <c r="G618" t="n">
        <v>17.2</v>
      </c>
      <c r="H618" t="n">
        <v>0</v>
      </c>
      <c r="I618" t="n">
        <v>0</v>
      </c>
      <c r="J618" t="n">
        <v>0</v>
      </c>
      <c r="K618" t="n">
        <v>0</v>
      </c>
      <c r="L618" t="n">
        <v>0</v>
      </c>
      <c r="M618" t="n">
        <v>0</v>
      </c>
      <c r="N618" t="n">
        <v>0</v>
      </c>
      <c r="O618" t="n">
        <v>0</v>
      </c>
      <c r="P618" t="n">
        <v>0</v>
      </c>
      <c r="Q618" t="n">
        <v>0</v>
      </c>
      <c r="R618" s="2" t="inlineStr"/>
    </row>
    <row r="619" ht="15" customHeight="1">
      <c r="A619" t="inlineStr">
        <is>
          <t>A 32465-2021</t>
        </is>
      </c>
      <c r="B619" s="1" t="n">
        <v>44371</v>
      </c>
      <c r="C619" s="1" t="n">
        <v>46048</v>
      </c>
      <c r="D619" t="inlineStr">
        <is>
          <t>JÄMTLANDS LÄN</t>
        </is>
      </c>
      <c r="E619" t="inlineStr">
        <is>
          <t>STRÖMSUND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64723-2021</t>
        </is>
      </c>
      <c r="B620" s="1" t="n">
        <v>44512</v>
      </c>
      <c r="C620" s="1" t="n">
        <v>46048</v>
      </c>
      <c r="D620" t="inlineStr">
        <is>
          <t>JÄMTLANDS LÄN</t>
        </is>
      </c>
      <c r="E620" t="inlineStr">
        <is>
          <t>STRÖMSUND</t>
        </is>
      </c>
      <c r="F620" t="inlineStr">
        <is>
          <t>Holmen skog AB</t>
        </is>
      </c>
      <c r="G620" t="n">
        <v>3.2</v>
      </c>
      <c r="H620" t="n">
        <v>0</v>
      </c>
      <c r="I620" t="n">
        <v>0</v>
      </c>
      <c r="J620" t="n">
        <v>0</v>
      </c>
      <c r="K620" t="n">
        <v>0</v>
      </c>
      <c r="L620" t="n">
        <v>0</v>
      </c>
      <c r="M620" t="n">
        <v>0</v>
      </c>
      <c r="N620" t="n">
        <v>0</v>
      </c>
      <c r="O620" t="n">
        <v>0</v>
      </c>
      <c r="P620" t="n">
        <v>0</v>
      </c>
      <c r="Q620" t="n">
        <v>0</v>
      </c>
      <c r="R620" s="2" t="inlineStr"/>
    </row>
    <row r="621" ht="15" customHeight="1">
      <c r="A621" t="inlineStr">
        <is>
          <t>A 33231-2022</t>
        </is>
      </c>
      <c r="B621" s="1" t="n">
        <v>44785.9421875</v>
      </c>
      <c r="C621" s="1" t="n">
        <v>46048</v>
      </c>
      <c r="D621" t="inlineStr">
        <is>
          <t>JÄMTLANDS LÄN</t>
        </is>
      </c>
      <c r="E621" t="inlineStr">
        <is>
          <t>STRÖMSUND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5384-2021</t>
        </is>
      </c>
      <c r="B622" s="1" t="n">
        <v>44228</v>
      </c>
      <c r="C622" s="1" t="n">
        <v>46048</v>
      </c>
      <c r="D622" t="inlineStr">
        <is>
          <t>JÄMTLANDS LÄN</t>
        </is>
      </c>
      <c r="E622" t="inlineStr">
        <is>
          <t>STRÖMSUND</t>
        </is>
      </c>
      <c r="G622" t="n">
        <v>18.3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46048</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46048</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32359-2021</t>
        </is>
      </c>
      <c r="B625" s="1" t="n">
        <v>44371</v>
      </c>
      <c r="C625" s="1" t="n">
        <v>46048</v>
      </c>
      <c r="D625" t="inlineStr">
        <is>
          <t>JÄMTLANDS LÄN</t>
        </is>
      </c>
      <c r="E625" t="inlineStr">
        <is>
          <t>STRÖMSUND</t>
        </is>
      </c>
      <c r="F625" t="inlineStr">
        <is>
          <t>SCA</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47290-2022</t>
        </is>
      </c>
      <c r="B626" s="1" t="n">
        <v>44852</v>
      </c>
      <c r="C626" s="1" t="n">
        <v>46048</v>
      </c>
      <c r="D626" t="inlineStr">
        <is>
          <t>JÄMTLANDS LÄN</t>
        </is>
      </c>
      <c r="E626" t="inlineStr">
        <is>
          <t>STRÖMSUND</t>
        </is>
      </c>
      <c r="F626" t="inlineStr">
        <is>
          <t>SCA</t>
        </is>
      </c>
      <c r="G626" t="n">
        <v>9</v>
      </c>
      <c r="H626" t="n">
        <v>0</v>
      </c>
      <c r="I626" t="n">
        <v>0</v>
      </c>
      <c r="J626" t="n">
        <v>0</v>
      </c>
      <c r="K626" t="n">
        <v>0</v>
      </c>
      <c r="L626" t="n">
        <v>0</v>
      </c>
      <c r="M626" t="n">
        <v>0</v>
      </c>
      <c r="N626" t="n">
        <v>0</v>
      </c>
      <c r="O626" t="n">
        <v>0</v>
      </c>
      <c r="P626" t="n">
        <v>0</v>
      </c>
      <c r="Q626" t="n">
        <v>0</v>
      </c>
      <c r="R626" s="2" t="inlineStr"/>
    </row>
    <row r="627" ht="15" customHeight="1">
      <c r="A627" t="inlineStr">
        <is>
          <t>A 10698-2022</t>
        </is>
      </c>
      <c r="B627" s="1" t="n">
        <v>44624</v>
      </c>
      <c r="C627" s="1" t="n">
        <v>46048</v>
      </c>
      <c r="D627" t="inlineStr">
        <is>
          <t>JÄMTLANDS LÄN</t>
        </is>
      </c>
      <c r="E627" t="inlineStr">
        <is>
          <t>STRÖMSUND</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55524-2022</t>
        </is>
      </c>
      <c r="B628" s="1" t="n">
        <v>44887.94931712963</v>
      </c>
      <c r="C628" s="1" t="n">
        <v>46048</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46048</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46048</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364-2022</t>
        </is>
      </c>
      <c r="B631" s="1" t="n">
        <v>44565</v>
      </c>
      <c r="C631" s="1" t="n">
        <v>46048</v>
      </c>
      <c r="D631" t="inlineStr">
        <is>
          <t>JÄMTLANDS LÄN</t>
        </is>
      </c>
      <c r="E631" t="inlineStr">
        <is>
          <t>STRÖMSUND</t>
        </is>
      </c>
      <c r="G631" t="n">
        <v>9</v>
      </c>
      <c r="H631" t="n">
        <v>0</v>
      </c>
      <c r="I631" t="n">
        <v>0</v>
      </c>
      <c r="J631" t="n">
        <v>0</v>
      </c>
      <c r="K631" t="n">
        <v>0</v>
      </c>
      <c r="L631" t="n">
        <v>0</v>
      </c>
      <c r="M631" t="n">
        <v>0</v>
      </c>
      <c r="N631" t="n">
        <v>0</v>
      </c>
      <c r="O631" t="n">
        <v>0</v>
      </c>
      <c r="P631" t="n">
        <v>0</v>
      </c>
      <c r="Q631" t="n">
        <v>0</v>
      </c>
      <c r="R631" s="2" t="inlineStr"/>
    </row>
    <row r="632" ht="15" customHeight="1">
      <c r="A632" t="inlineStr">
        <is>
          <t>A 43839-2021</t>
        </is>
      </c>
      <c r="B632" s="1" t="n">
        <v>44433.94148148148</v>
      </c>
      <c r="C632" s="1" t="n">
        <v>46048</v>
      </c>
      <c r="D632" t="inlineStr">
        <is>
          <t>JÄMTLANDS LÄN</t>
        </is>
      </c>
      <c r="E632" t="inlineStr">
        <is>
          <t>STRÖMSUND</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44229-2021</t>
        </is>
      </c>
      <c r="B633" s="1" t="n">
        <v>44434</v>
      </c>
      <c r="C633" s="1" t="n">
        <v>46048</v>
      </c>
      <c r="D633" t="inlineStr">
        <is>
          <t>JÄMTLANDS LÄN</t>
        </is>
      </c>
      <c r="E633" t="inlineStr">
        <is>
          <t>STRÖMSUND</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45641-2021</t>
        </is>
      </c>
      <c r="B634" s="1" t="n">
        <v>44440</v>
      </c>
      <c r="C634" s="1" t="n">
        <v>46048</v>
      </c>
      <c r="D634" t="inlineStr">
        <is>
          <t>JÄMTLANDS LÄN</t>
        </is>
      </c>
      <c r="E634" t="inlineStr">
        <is>
          <t>STRÖMSUND</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29830-2022</t>
        </is>
      </c>
      <c r="B635" s="1" t="n">
        <v>44755</v>
      </c>
      <c r="C635" s="1" t="n">
        <v>46048</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12428-2021</t>
        </is>
      </c>
      <c r="B636" s="1" t="n">
        <v>44267</v>
      </c>
      <c r="C636" s="1" t="n">
        <v>46048</v>
      </c>
      <c r="D636" t="inlineStr">
        <is>
          <t>JÄMTLANDS LÄN</t>
        </is>
      </c>
      <c r="E636" t="inlineStr">
        <is>
          <t>STRÖMSUND</t>
        </is>
      </c>
      <c r="G636" t="n">
        <v>19.6</v>
      </c>
      <c r="H636" t="n">
        <v>0</v>
      </c>
      <c r="I636" t="n">
        <v>0</v>
      </c>
      <c r="J636" t="n">
        <v>0</v>
      </c>
      <c r="K636" t="n">
        <v>0</v>
      </c>
      <c r="L636" t="n">
        <v>0</v>
      </c>
      <c r="M636" t="n">
        <v>0</v>
      </c>
      <c r="N636" t="n">
        <v>0</v>
      </c>
      <c r="O636" t="n">
        <v>0</v>
      </c>
      <c r="P636" t="n">
        <v>0</v>
      </c>
      <c r="Q636" t="n">
        <v>0</v>
      </c>
      <c r="R636" s="2" t="inlineStr"/>
    </row>
    <row r="637" ht="15" customHeight="1">
      <c r="A637" t="inlineStr">
        <is>
          <t>A 22337-2022</t>
        </is>
      </c>
      <c r="B637" s="1" t="n">
        <v>44712.94172453704</v>
      </c>
      <c r="C637" s="1" t="n">
        <v>46048</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35044-2021</t>
        </is>
      </c>
      <c r="B638" s="1" t="n">
        <v>44383.92197916667</v>
      </c>
      <c r="C638" s="1" t="n">
        <v>46048</v>
      </c>
      <c r="D638" t="inlineStr">
        <is>
          <t>JÄMTLANDS LÄN</t>
        </is>
      </c>
      <c r="E638" t="inlineStr">
        <is>
          <t>STRÖMSUND</t>
        </is>
      </c>
      <c r="G638" t="n">
        <v>14.3</v>
      </c>
      <c r="H638" t="n">
        <v>0</v>
      </c>
      <c r="I638" t="n">
        <v>0</v>
      </c>
      <c r="J638" t="n">
        <v>0</v>
      </c>
      <c r="K638" t="n">
        <v>0</v>
      </c>
      <c r="L638" t="n">
        <v>0</v>
      </c>
      <c r="M638" t="n">
        <v>0</v>
      </c>
      <c r="N638" t="n">
        <v>0</v>
      </c>
      <c r="O638" t="n">
        <v>0</v>
      </c>
      <c r="P638" t="n">
        <v>0</v>
      </c>
      <c r="Q638" t="n">
        <v>0</v>
      </c>
      <c r="R638" s="2" t="inlineStr"/>
    </row>
    <row r="639" ht="15" customHeight="1">
      <c r="A639" t="inlineStr">
        <is>
          <t>A 27037-2022</t>
        </is>
      </c>
      <c r="B639" s="1" t="n">
        <v>44740.94364583334</v>
      </c>
      <c r="C639" s="1" t="n">
        <v>46048</v>
      </c>
      <c r="D639" t="inlineStr">
        <is>
          <t>JÄMTLANDS LÄN</t>
        </is>
      </c>
      <c r="E639" t="inlineStr">
        <is>
          <t>STRÖMSUND</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30223-2022</t>
        </is>
      </c>
      <c r="B640" s="1" t="n">
        <v>44757.94309027777</v>
      </c>
      <c r="C640" s="1" t="n">
        <v>46048</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30226-2022</t>
        </is>
      </c>
      <c r="B641" s="1" t="n">
        <v>44757</v>
      </c>
      <c r="C641" s="1" t="n">
        <v>46048</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22338-2022</t>
        </is>
      </c>
      <c r="B642" s="1" t="n">
        <v>44712</v>
      </c>
      <c r="C642" s="1" t="n">
        <v>46048</v>
      </c>
      <c r="D642" t="inlineStr">
        <is>
          <t>JÄMTLANDS LÄN</t>
        </is>
      </c>
      <c r="E642" t="inlineStr">
        <is>
          <t>STRÖMSUND</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14703-2022</t>
        </is>
      </c>
      <c r="B643" s="1" t="n">
        <v>44655</v>
      </c>
      <c r="C643" s="1" t="n">
        <v>46048</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46048</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49212-2021</t>
        </is>
      </c>
      <c r="B645" s="1" t="n">
        <v>44454</v>
      </c>
      <c r="C645" s="1" t="n">
        <v>46048</v>
      </c>
      <c r="D645" t="inlineStr">
        <is>
          <t>JÄMTLANDS LÄN</t>
        </is>
      </c>
      <c r="E645" t="inlineStr">
        <is>
          <t>STRÖMSUND</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49210-2021</t>
        </is>
      </c>
      <c r="B646" s="1" t="n">
        <v>44454.3434375</v>
      </c>
      <c r="C646" s="1" t="n">
        <v>46048</v>
      </c>
      <c r="D646" t="inlineStr">
        <is>
          <t>JÄMTLANDS LÄN</t>
        </is>
      </c>
      <c r="E646" t="inlineStr">
        <is>
          <t>STRÖMSUND</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36275-2022</t>
        </is>
      </c>
      <c r="B647" s="1" t="n">
        <v>44803.611875</v>
      </c>
      <c r="C647" s="1" t="n">
        <v>46048</v>
      </c>
      <c r="D647" t="inlineStr">
        <is>
          <t>JÄMTLANDS LÄN</t>
        </is>
      </c>
      <c r="E647" t="inlineStr">
        <is>
          <t>STRÖMSUND</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40841-2022</t>
        </is>
      </c>
      <c r="B648" s="1" t="n">
        <v>44824.94743055556</v>
      </c>
      <c r="C648" s="1" t="n">
        <v>46048</v>
      </c>
      <c r="D648" t="inlineStr">
        <is>
          <t>JÄMTLANDS LÄN</t>
        </is>
      </c>
      <c r="E648" t="inlineStr">
        <is>
          <t>STRÖMSUND</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44756.94512731482</v>
      </c>
      <c r="C649" s="1" t="n">
        <v>46048</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46048</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25847-2022</t>
        </is>
      </c>
      <c r="B651" s="1" t="n">
        <v>44733.60694444444</v>
      </c>
      <c r="C651" s="1" t="n">
        <v>46048</v>
      </c>
      <c r="D651" t="inlineStr">
        <is>
          <t>JÄMTLANDS LÄN</t>
        </is>
      </c>
      <c r="E651" t="inlineStr">
        <is>
          <t>STRÖMSUND</t>
        </is>
      </c>
      <c r="F651" t="inlineStr">
        <is>
          <t>Kyrkan</t>
        </is>
      </c>
      <c r="G651" t="n">
        <v>5.3</v>
      </c>
      <c r="H651" t="n">
        <v>0</v>
      </c>
      <c r="I651" t="n">
        <v>0</v>
      </c>
      <c r="J651" t="n">
        <v>0</v>
      </c>
      <c r="K651" t="n">
        <v>0</v>
      </c>
      <c r="L651" t="n">
        <v>0</v>
      </c>
      <c r="M651" t="n">
        <v>0</v>
      </c>
      <c r="N651" t="n">
        <v>0</v>
      </c>
      <c r="O651" t="n">
        <v>0</v>
      </c>
      <c r="P651" t="n">
        <v>0</v>
      </c>
      <c r="Q651" t="n">
        <v>0</v>
      </c>
      <c r="R651" s="2" t="inlineStr"/>
    </row>
    <row r="652" ht="15" customHeight="1">
      <c r="A652" t="inlineStr">
        <is>
          <t>A 7157-2022</t>
        </is>
      </c>
      <c r="B652" s="1" t="n">
        <v>44603.96527777778</v>
      </c>
      <c r="C652" s="1" t="n">
        <v>46048</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45074-2022</t>
        </is>
      </c>
      <c r="B653" s="1" t="n">
        <v>44841.939375</v>
      </c>
      <c r="C653" s="1" t="n">
        <v>46048</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45630-2021</t>
        </is>
      </c>
      <c r="B654" s="1" t="n">
        <v>44440</v>
      </c>
      <c r="C654" s="1" t="n">
        <v>46048</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15865-2022</t>
        </is>
      </c>
      <c r="B655" s="1" t="n">
        <v>44664</v>
      </c>
      <c r="C655" s="1" t="n">
        <v>46048</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40290-2022</t>
        </is>
      </c>
      <c r="B656" s="1" t="n">
        <v>44820.94702546296</v>
      </c>
      <c r="C656" s="1" t="n">
        <v>46048</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47291-2022</t>
        </is>
      </c>
      <c r="B657" s="1" t="n">
        <v>44852</v>
      </c>
      <c r="C657" s="1" t="n">
        <v>46048</v>
      </c>
      <c r="D657" t="inlineStr">
        <is>
          <t>JÄMTLANDS LÄN</t>
        </is>
      </c>
      <c r="E657" t="inlineStr">
        <is>
          <t>STRÖMSUND</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48531-2022</t>
        </is>
      </c>
      <c r="B658" s="1" t="n">
        <v>44858</v>
      </c>
      <c r="C658" s="1" t="n">
        <v>46048</v>
      </c>
      <c r="D658" t="inlineStr">
        <is>
          <t>JÄMTLANDS LÄN</t>
        </is>
      </c>
      <c r="E658" t="inlineStr">
        <is>
          <t>STRÖMSUND</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59313-2021</t>
        </is>
      </c>
      <c r="B659" s="1" t="n">
        <v>44490.94037037037</v>
      </c>
      <c r="C659" s="1" t="n">
        <v>46048</v>
      </c>
      <c r="D659" t="inlineStr">
        <is>
          <t>JÄMTLANDS LÄN</t>
        </is>
      </c>
      <c r="E659" t="inlineStr">
        <is>
          <t>STRÖMSUND</t>
        </is>
      </c>
      <c r="F659" t="inlineStr">
        <is>
          <t>SCA</t>
        </is>
      </c>
      <c r="G659" t="n">
        <v>7.4</v>
      </c>
      <c r="H659" t="n">
        <v>0</v>
      </c>
      <c r="I659" t="n">
        <v>0</v>
      </c>
      <c r="J659" t="n">
        <v>0</v>
      </c>
      <c r="K659" t="n">
        <v>0</v>
      </c>
      <c r="L659" t="n">
        <v>0</v>
      </c>
      <c r="M659" t="n">
        <v>0</v>
      </c>
      <c r="N659" t="n">
        <v>0</v>
      </c>
      <c r="O659" t="n">
        <v>0</v>
      </c>
      <c r="P659" t="n">
        <v>0</v>
      </c>
      <c r="Q659" t="n">
        <v>0</v>
      </c>
      <c r="R659" s="2" t="inlineStr"/>
    </row>
    <row r="660" ht="15" customHeight="1">
      <c r="A660" t="inlineStr">
        <is>
          <t>A 45398-2022</t>
        </is>
      </c>
      <c r="B660" s="1" t="n">
        <v>44841</v>
      </c>
      <c r="C660" s="1" t="n">
        <v>46048</v>
      </c>
      <c r="D660" t="inlineStr">
        <is>
          <t>JÄMTLANDS LÄN</t>
        </is>
      </c>
      <c r="E660" t="inlineStr">
        <is>
          <t>STRÖMSUND</t>
        </is>
      </c>
      <c r="G660" t="n">
        <v>11.6</v>
      </c>
      <c r="H660" t="n">
        <v>0</v>
      </c>
      <c r="I660" t="n">
        <v>0</v>
      </c>
      <c r="J660" t="n">
        <v>0</v>
      </c>
      <c r="K660" t="n">
        <v>0</v>
      </c>
      <c r="L660" t="n">
        <v>0</v>
      </c>
      <c r="M660" t="n">
        <v>0</v>
      </c>
      <c r="N660" t="n">
        <v>0</v>
      </c>
      <c r="O660" t="n">
        <v>0</v>
      </c>
      <c r="P660" t="n">
        <v>0</v>
      </c>
      <c r="Q660" t="n">
        <v>0</v>
      </c>
      <c r="R660" s="2" t="inlineStr"/>
    </row>
    <row r="661" ht="15" customHeight="1">
      <c r="A661" t="inlineStr">
        <is>
          <t>A 44049-2022</t>
        </is>
      </c>
      <c r="B661" s="1" t="n">
        <v>44838.94920138889</v>
      </c>
      <c r="C661" s="1" t="n">
        <v>46048</v>
      </c>
      <c r="D661" t="inlineStr">
        <is>
          <t>JÄMTLANDS LÄN</t>
        </is>
      </c>
      <c r="E661" t="inlineStr">
        <is>
          <t>STRÖMSUND</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47566-2022</t>
        </is>
      </c>
      <c r="B662" s="1" t="n">
        <v>44853.94927083333</v>
      </c>
      <c r="C662" s="1" t="n">
        <v>46048</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22814-2022</t>
        </is>
      </c>
      <c r="B663" s="1" t="n">
        <v>44715</v>
      </c>
      <c r="C663" s="1" t="n">
        <v>46048</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27148-2021</t>
        </is>
      </c>
      <c r="B664" s="1" t="n">
        <v>44350</v>
      </c>
      <c r="C664" s="1" t="n">
        <v>46048</v>
      </c>
      <c r="D664" t="inlineStr">
        <is>
          <t>JÄMTLANDS LÄN</t>
        </is>
      </c>
      <c r="E664" t="inlineStr">
        <is>
          <t>STRÖMSUND</t>
        </is>
      </c>
      <c r="G664" t="n">
        <v>10.9</v>
      </c>
      <c r="H664" t="n">
        <v>0</v>
      </c>
      <c r="I664" t="n">
        <v>0</v>
      </c>
      <c r="J664" t="n">
        <v>0</v>
      </c>
      <c r="K664" t="n">
        <v>0</v>
      </c>
      <c r="L664" t="n">
        <v>0</v>
      </c>
      <c r="M664" t="n">
        <v>0</v>
      </c>
      <c r="N664" t="n">
        <v>0</v>
      </c>
      <c r="O664" t="n">
        <v>0</v>
      </c>
      <c r="P664" t="n">
        <v>0</v>
      </c>
      <c r="Q664" t="n">
        <v>0</v>
      </c>
      <c r="R664" s="2" t="inlineStr"/>
    </row>
    <row r="665" ht="15" customHeight="1">
      <c r="A665" t="inlineStr">
        <is>
          <t>A 48545-2022</t>
        </is>
      </c>
      <c r="B665" s="1" t="n">
        <v>44858</v>
      </c>
      <c r="C665" s="1" t="n">
        <v>46048</v>
      </c>
      <c r="D665" t="inlineStr">
        <is>
          <t>JÄMTLANDS LÄN</t>
        </is>
      </c>
      <c r="E665" t="inlineStr">
        <is>
          <t>STRÖMSUND</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12198-2022</t>
        </is>
      </c>
      <c r="B666" s="1" t="n">
        <v>44636.94222222222</v>
      </c>
      <c r="C666" s="1" t="n">
        <v>46048</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27232-2021</t>
        </is>
      </c>
      <c r="B667" s="1" t="n">
        <v>44350</v>
      </c>
      <c r="C667" s="1" t="n">
        <v>46048</v>
      </c>
      <c r="D667" t="inlineStr">
        <is>
          <t>JÄMTLANDS LÄN</t>
        </is>
      </c>
      <c r="E667" t="inlineStr">
        <is>
          <t>STRÖMSUND</t>
        </is>
      </c>
      <c r="G667" t="n">
        <v>3.3</v>
      </c>
      <c r="H667" t="n">
        <v>0</v>
      </c>
      <c r="I667" t="n">
        <v>0</v>
      </c>
      <c r="J667" t="n">
        <v>0</v>
      </c>
      <c r="K667" t="n">
        <v>0</v>
      </c>
      <c r="L667" t="n">
        <v>0</v>
      </c>
      <c r="M667" t="n">
        <v>0</v>
      </c>
      <c r="N667" t="n">
        <v>0</v>
      </c>
      <c r="O667" t="n">
        <v>0</v>
      </c>
      <c r="P667" t="n">
        <v>0</v>
      </c>
      <c r="Q667" t="n">
        <v>0</v>
      </c>
      <c r="R667" s="2" t="inlineStr"/>
    </row>
    <row r="668" ht="15" customHeight="1">
      <c r="A668" t="inlineStr">
        <is>
          <t>A 24302-2022</t>
        </is>
      </c>
      <c r="B668" s="1" t="n">
        <v>44725.94356481481</v>
      </c>
      <c r="C668" s="1" t="n">
        <v>46048</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50450-2022</t>
        </is>
      </c>
      <c r="B669" s="1" t="n">
        <v>44866.47369212963</v>
      </c>
      <c r="C669" s="1" t="n">
        <v>46048</v>
      </c>
      <c r="D669" t="inlineStr">
        <is>
          <t>JÄMTLANDS LÄN</t>
        </is>
      </c>
      <c r="E669" t="inlineStr">
        <is>
          <t>STRÖMSUND</t>
        </is>
      </c>
      <c r="G669" t="n">
        <v>2.8</v>
      </c>
      <c r="H669" t="n">
        <v>0</v>
      </c>
      <c r="I669" t="n">
        <v>0</v>
      </c>
      <c r="J669" t="n">
        <v>0</v>
      </c>
      <c r="K669" t="n">
        <v>0</v>
      </c>
      <c r="L669" t="n">
        <v>0</v>
      </c>
      <c r="M669" t="n">
        <v>0</v>
      </c>
      <c r="N669" t="n">
        <v>0</v>
      </c>
      <c r="O669" t="n">
        <v>0</v>
      </c>
      <c r="P669" t="n">
        <v>0</v>
      </c>
      <c r="Q669" t="n">
        <v>0</v>
      </c>
      <c r="R669" s="2" t="inlineStr"/>
    </row>
    <row r="670" ht="15" customHeight="1">
      <c r="A670" t="inlineStr">
        <is>
          <t>A 59969-2021</t>
        </is>
      </c>
      <c r="B670" s="1" t="n">
        <v>44494.93578703704</v>
      </c>
      <c r="C670" s="1" t="n">
        <v>46048</v>
      </c>
      <c r="D670" t="inlineStr">
        <is>
          <t>JÄMTLANDS LÄN</t>
        </is>
      </c>
      <c r="E670" t="inlineStr">
        <is>
          <t>STRÖMSUND</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54050-2021</t>
        </is>
      </c>
      <c r="B671" s="1" t="n">
        <v>44470</v>
      </c>
      <c r="C671" s="1" t="n">
        <v>46048</v>
      </c>
      <c r="D671" t="inlineStr">
        <is>
          <t>JÄMTLANDS LÄN</t>
        </is>
      </c>
      <c r="E671" t="inlineStr">
        <is>
          <t>STRÖMSUND</t>
        </is>
      </c>
      <c r="G671" t="n">
        <v>2</v>
      </c>
      <c r="H671" t="n">
        <v>0</v>
      </c>
      <c r="I671" t="n">
        <v>0</v>
      </c>
      <c r="J671" t="n">
        <v>0</v>
      </c>
      <c r="K671" t="n">
        <v>0</v>
      </c>
      <c r="L671" t="n">
        <v>0</v>
      </c>
      <c r="M671" t="n">
        <v>0</v>
      </c>
      <c r="N671" t="n">
        <v>0</v>
      </c>
      <c r="O671" t="n">
        <v>0</v>
      </c>
      <c r="P671" t="n">
        <v>0</v>
      </c>
      <c r="Q671" t="n">
        <v>0</v>
      </c>
      <c r="R671" s="2" t="inlineStr"/>
    </row>
    <row r="672" ht="15" customHeight="1">
      <c r="A672" t="inlineStr">
        <is>
          <t>A 54077-2023</t>
        </is>
      </c>
      <c r="B672" s="1" t="n">
        <v>45231</v>
      </c>
      <c r="C672" s="1" t="n">
        <v>46048</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46048</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40602-2022</t>
        </is>
      </c>
      <c r="B674" s="1" t="n">
        <v>44823</v>
      </c>
      <c r="C674" s="1" t="n">
        <v>46048</v>
      </c>
      <c r="D674" t="inlineStr">
        <is>
          <t>JÄMTLANDS LÄN</t>
        </is>
      </c>
      <c r="E674" t="inlineStr">
        <is>
          <t>STRÖMSUND</t>
        </is>
      </c>
      <c r="G674" t="n">
        <v>1.6</v>
      </c>
      <c r="H674" t="n">
        <v>0</v>
      </c>
      <c r="I674" t="n">
        <v>0</v>
      </c>
      <c r="J674" t="n">
        <v>0</v>
      </c>
      <c r="K674" t="n">
        <v>0</v>
      </c>
      <c r="L674" t="n">
        <v>0</v>
      </c>
      <c r="M674" t="n">
        <v>0</v>
      </c>
      <c r="N674" t="n">
        <v>0</v>
      </c>
      <c r="O674" t="n">
        <v>0</v>
      </c>
      <c r="P674" t="n">
        <v>0</v>
      </c>
      <c r="Q674" t="n">
        <v>0</v>
      </c>
      <c r="R674" s="2" t="inlineStr"/>
    </row>
    <row r="675" ht="15" customHeight="1">
      <c r="A675" t="inlineStr">
        <is>
          <t>A 13584-2024</t>
        </is>
      </c>
      <c r="B675" s="1" t="n">
        <v>45389</v>
      </c>
      <c r="C675" s="1" t="n">
        <v>46048</v>
      </c>
      <c r="D675" t="inlineStr">
        <is>
          <t>JÄMTLANDS LÄN</t>
        </is>
      </c>
      <c r="E675" t="inlineStr">
        <is>
          <t>STRÖMSUND</t>
        </is>
      </c>
      <c r="G675" t="n">
        <v>47.8</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46048</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46048</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46048</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46048</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14442-2022</t>
        </is>
      </c>
      <c r="B680" s="1" t="n">
        <v>44652.94479166667</v>
      </c>
      <c r="C680" s="1" t="n">
        <v>46048</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46048</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46048</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46048</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25843-2022</t>
        </is>
      </c>
      <c r="B684" s="1" t="n">
        <v>44733</v>
      </c>
      <c r="C684" s="1" t="n">
        <v>46048</v>
      </c>
      <c r="D684" t="inlineStr">
        <is>
          <t>JÄMTLANDS LÄN</t>
        </is>
      </c>
      <c r="E684" t="inlineStr">
        <is>
          <t>STRÖMSUND</t>
        </is>
      </c>
      <c r="F684" t="inlineStr">
        <is>
          <t>Kyrkan</t>
        </is>
      </c>
      <c r="G684" t="n">
        <v>12.2</v>
      </c>
      <c r="H684" t="n">
        <v>0</v>
      </c>
      <c r="I684" t="n">
        <v>0</v>
      </c>
      <c r="J684" t="n">
        <v>0</v>
      </c>
      <c r="K684" t="n">
        <v>0</v>
      </c>
      <c r="L684" t="n">
        <v>0</v>
      </c>
      <c r="M684" t="n">
        <v>0</v>
      </c>
      <c r="N684" t="n">
        <v>0</v>
      </c>
      <c r="O684" t="n">
        <v>0</v>
      </c>
      <c r="P684" t="n">
        <v>0</v>
      </c>
      <c r="Q684" t="n">
        <v>0</v>
      </c>
      <c r="R684" s="2" t="inlineStr"/>
    </row>
    <row r="685" ht="15" customHeight="1">
      <c r="A685" t="inlineStr">
        <is>
          <t>A 64309-2021</t>
        </is>
      </c>
      <c r="B685" s="1" t="n">
        <v>44510</v>
      </c>
      <c r="C685" s="1" t="n">
        <v>46048</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33230-2022</t>
        </is>
      </c>
      <c r="B686" s="1" t="n">
        <v>44785.9421412037</v>
      </c>
      <c r="C686" s="1" t="n">
        <v>46048</v>
      </c>
      <c r="D686" t="inlineStr">
        <is>
          <t>JÄMTLANDS LÄN</t>
        </is>
      </c>
      <c r="E686" t="inlineStr">
        <is>
          <t>STRÖMSUND</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52399-2021</t>
        </is>
      </c>
      <c r="B687" s="1" t="n">
        <v>44466.28903935185</v>
      </c>
      <c r="C687" s="1" t="n">
        <v>46048</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64657-2021</t>
        </is>
      </c>
      <c r="B688" s="1" t="n">
        <v>44511.94723379629</v>
      </c>
      <c r="C688" s="1" t="n">
        <v>46048</v>
      </c>
      <c r="D688" t="inlineStr">
        <is>
          <t>JÄMTLANDS LÄN</t>
        </is>
      </c>
      <c r="E688" t="inlineStr">
        <is>
          <t>STRÖMSUND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55939-2021</t>
        </is>
      </c>
      <c r="B689" s="1" t="n">
        <v>44476</v>
      </c>
      <c r="C689" s="1" t="n">
        <v>46048</v>
      </c>
      <c r="D689" t="inlineStr">
        <is>
          <t>JÄMTLANDS LÄN</t>
        </is>
      </c>
      <c r="E689" t="inlineStr">
        <is>
          <t>STRÖMSUND</t>
        </is>
      </c>
      <c r="F689" t="inlineStr">
        <is>
          <t>SCA</t>
        </is>
      </c>
      <c r="G689" t="n">
        <v>19.3</v>
      </c>
      <c r="H689" t="n">
        <v>0</v>
      </c>
      <c r="I689" t="n">
        <v>0</v>
      </c>
      <c r="J689" t="n">
        <v>0</v>
      </c>
      <c r="K689" t="n">
        <v>0</v>
      </c>
      <c r="L689" t="n">
        <v>0</v>
      </c>
      <c r="M689" t="n">
        <v>0</v>
      </c>
      <c r="N689" t="n">
        <v>0</v>
      </c>
      <c r="O689" t="n">
        <v>0</v>
      </c>
      <c r="P689" t="n">
        <v>0</v>
      </c>
      <c r="Q689" t="n">
        <v>0</v>
      </c>
      <c r="R689" s="2" t="inlineStr"/>
    </row>
    <row r="690" ht="15" customHeight="1">
      <c r="A690" t="inlineStr">
        <is>
          <t>A 10904-2022</t>
        </is>
      </c>
      <c r="B690" s="1" t="n">
        <v>44627</v>
      </c>
      <c r="C690" s="1" t="n">
        <v>46048</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50645-2022</t>
        </is>
      </c>
      <c r="B691" s="1" t="n">
        <v>44866.94913194444</v>
      </c>
      <c r="C691" s="1" t="n">
        <v>46048</v>
      </c>
      <c r="D691" t="inlineStr">
        <is>
          <t>JÄMTLANDS LÄN</t>
        </is>
      </c>
      <c r="E691" t="inlineStr">
        <is>
          <t>STRÖMSUND</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50657-2022</t>
        </is>
      </c>
      <c r="B692" s="1" t="n">
        <v>44866.95130787037</v>
      </c>
      <c r="C692" s="1" t="n">
        <v>46048</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50659-2022</t>
        </is>
      </c>
      <c r="B693" s="1" t="n">
        <v>44866.95142361111</v>
      </c>
      <c r="C693" s="1" t="n">
        <v>46048</v>
      </c>
      <c r="D693" t="inlineStr">
        <is>
          <t>JÄMTLANDS LÄN</t>
        </is>
      </c>
      <c r="E693" t="inlineStr">
        <is>
          <t>STRÖMSUND</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49166-2021</t>
        </is>
      </c>
      <c r="B694" s="1" t="n">
        <v>44453.94054398148</v>
      </c>
      <c r="C694" s="1" t="n">
        <v>46048</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c r="U694">
        <f>HYPERLINK("https://klasma.github.io/Logging_2313/knärot/A 49166-2021 karta knärot.png", "A 49166-2021")</f>
        <v/>
      </c>
      <c r="V694">
        <f>HYPERLINK("https://klasma.github.io/Logging_2313/klagomål/A 49166-2021 FSC-klagomål.docx", "A 49166-2021")</f>
        <v/>
      </c>
      <c r="W694">
        <f>HYPERLINK("https://klasma.github.io/Logging_2313/klagomålsmail/A 49166-2021 FSC-klagomål mail.docx", "A 49166-2021")</f>
        <v/>
      </c>
      <c r="X694">
        <f>HYPERLINK("https://klasma.github.io/Logging_2313/tillsyn/A 49166-2021 tillsynsbegäran.docx", "A 49166-2021")</f>
        <v/>
      </c>
      <c r="Y694">
        <f>HYPERLINK("https://klasma.github.io/Logging_2313/tillsynsmail/A 49166-2021 tillsynsbegäran mail.docx", "A 49166-2021")</f>
        <v/>
      </c>
    </row>
    <row r="695" ht="15" customHeight="1">
      <c r="A695" t="inlineStr">
        <is>
          <t>A 25963-2021</t>
        </is>
      </c>
      <c r="B695" s="1" t="n">
        <v>44344.52491898148</v>
      </c>
      <c r="C695" s="1" t="n">
        <v>46048</v>
      </c>
      <c r="D695" t="inlineStr">
        <is>
          <t>JÄMTLANDS LÄN</t>
        </is>
      </c>
      <c r="E695" t="inlineStr">
        <is>
          <t>STRÖMSUND</t>
        </is>
      </c>
      <c r="F695" t="inlineStr">
        <is>
          <t>Sveaskog</t>
        </is>
      </c>
      <c r="G695" t="n">
        <v>3.6</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46048</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46048</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72543-2021</t>
        </is>
      </c>
      <c r="B698" s="1" t="n">
        <v>44546</v>
      </c>
      <c r="C698" s="1" t="n">
        <v>46048</v>
      </c>
      <c r="D698" t="inlineStr">
        <is>
          <t>JÄMTLANDS LÄN</t>
        </is>
      </c>
      <c r="E698" t="inlineStr">
        <is>
          <t>STRÖMSUND</t>
        </is>
      </c>
      <c r="G698" t="n">
        <v>3.7</v>
      </c>
      <c r="H698" t="n">
        <v>0</v>
      </c>
      <c r="I698" t="n">
        <v>0</v>
      </c>
      <c r="J698" t="n">
        <v>0</v>
      </c>
      <c r="K698" t="n">
        <v>0</v>
      </c>
      <c r="L698" t="n">
        <v>0</v>
      </c>
      <c r="M698" t="n">
        <v>0</v>
      </c>
      <c r="N698" t="n">
        <v>0</v>
      </c>
      <c r="O698" t="n">
        <v>0</v>
      </c>
      <c r="P698" t="n">
        <v>0</v>
      </c>
      <c r="Q698" t="n">
        <v>0</v>
      </c>
      <c r="R698" s="2" t="inlineStr"/>
    </row>
    <row r="699" ht="15" customHeight="1">
      <c r="A699" t="inlineStr">
        <is>
          <t>A 52728-2022</t>
        </is>
      </c>
      <c r="B699" s="1" t="n">
        <v>44874.95616898148</v>
      </c>
      <c r="C699" s="1" t="n">
        <v>46048</v>
      </c>
      <c r="D699" t="inlineStr">
        <is>
          <t>JÄMTLANDS LÄN</t>
        </is>
      </c>
      <c r="E699" t="inlineStr">
        <is>
          <t>STRÖMSUND</t>
        </is>
      </c>
      <c r="F699" t="inlineStr">
        <is>
          <t>SCA</t>
        </is>
      </c>
      <c r="G699" t="n">
        <v>4.4</v>
      </c>
      <c r="H699" t="n">
        <v>0</v>
      </c>
      <c r="I699" t="n">
        <v>0</v>
      </c>
      <c r="J699" t="n">
        <v>0</v>
      </c>
      <c r="K699" t="n">
        <v>0</v>
      </c>
      <c r="L699" t="n">
        <v>0</v>
      </c>
      <c r="M699" t="n">
        <v>0</v>
      </c>
      <c r="N699" t="n">
        <v>0</v>
      </c>
      <c r="O699" t="n">
        <v>0</v>
      </c>
      <c r="P699" t="n">
        <v>0</v>
      </c>
      <c r="Q699" t="n">
        <v>0</v>
      </c>
      <c r="R699" s="2" t="inlineStr"/>
    </row>
    <row r="700" ht="15" customHeight="1">
      <c r="A700" t="inlineStr">
        <is>
          <t>A 42237-2022</t>
        </is>
      </c>
      <c r="B700" s="1" t="n">
        <v>44830</v>
      </c>
      <c r="C700" s="1" t="n">
        <v>46048</v>
      </c>
      <c r="D700" t="inlineStr">
        <is>
          <t>JÄMTLANDS LÄN</t>
        </is>
      </c>
      <c r="E700" t="inlineStr">
        <is>
          <t>STRÖMSUND</t>
        </is>
      </c>
      <c r="G700" t="n">
        <v>3.7</v>
      </c>
      <c r="H700" t="n">
        <v>0</v>
      </c>
      <c r="I700" t="n">
        <v>0</v>
      </c>
      <c r="J700" t="n">
        <v>0</v>
      </c>
      <c r="K700" t="n">
        <v>0</v>
      </c>
      <c r="L700" t="n">
        <v>0</v>
      </c>
      <c r="M700" t="n">
        <v>0</v>
      </c>
      <c r="N700" t="n">
        <v>0</v>
      </c>
      <c r="O700" t="n">
        <v>0</v>
      </c>
      <c r="P700" t="n">
        <v>0</v>
      </c>
      <c r="Q700" t="n">
        <v>0</v>
      </c>
      <c r="R700" s="2" t="inlineStr"/>
    </row>
    <row r="701" ht="15" customHeight="1">
      <c r="A701" t="inlineStr">
        <is>
          <t>A 5277-2023</t>
        </is>
      </c>
      <c r="B701" s="1" t="n">
        <v>44959</v>
      </c>
      <c r="C701" s="1" t="n">
        <v>46048</v>
      </c>
      <c r="D701" t="inlineStr">
        <is>
          <t>JÄMTLANDS LÄN</t>
        </is>
      </c>
      <c r="E701" t="inlineStr">
        <is>
          <t>STRÖMSUND</t>
        </is>
      </c>
      <c r="G701" t="n">
        <v>0.2</v>
      </c>
      <c r="H701" t="n">
        <v>0</v>
      </c>
      <c r="I701" t="n">
        <v>0</v>
      </c>
      <c r="J701" t="n">
        <v>0</v>
      </c>
      <c r="K701" t="n">
        <v>0</v>
      </c>
      <c r="L701" t="n">
        <v>0</v>
      </c>
      <c r="M701" t="n">
        <v>0</v>
      </c>
      <c r="N701" t="n">
        <v>0</v>
      </c>
      <c r="O701" t="n">
        <v>0</v>
      </c>
      <c r="P701" t="n">
        <v>0</v>
      </c>
      <c r="Q701" t="n">
        <v>0</v>
      </c>
      <c r="R701" s="2" t="inlineStr"/>
    </row>
    <row r="702" ht="15" customHeight="1">
      <c r="A702" t="inlineStr">
        <is>
          <t>A 5278-2023</t>
        </is>
      </c>
      <c r="B702" s="1" t="n">
        <v>44959.4874537037</v>
      </c>
      <c r="C702" s="1" t="n">
        <v>46048</v>
      </c>
      <c r="D702" t="inlineStr">
        <is>
          <t>JÄMTLANDS LÄN</t>
        </is>
      </c>
      <c r="E702" t="inlineStr">
        <is>
          <t>STRÖMSUND</t>
        </is>
      </c>
      <c r="G702" t="n">
        <v>2.2</v>
      </c>
      <c r="H702" t="n">
        <v>0</v>
      </c>
      <c r="I702" t="n">
        <v>0</v>
      </c>
      <c r="J702" t="n">
        <v>0</v>
      </c>
      <c r="K702" t="n">
        <v>0</v>
      </c>
      <c r="L702" t="n">
        <v>0</v>
      </c>
      <c r="M702" t="n">
        <v>0</v>
      </c>
      <c r="N702" t="n">
        <v>0</v>
      </c>
      <c r="O702" t="n">
        <v>0</v>
      </c>
      <c r="P702" t="n">
        <v>0</v>
      </c>
      <c r="Q702" t="n">
        <v>0</v>
      </c>
      <c r="R702" s="2" t="inlineStr"/>
    </row>
    <row r="703" ht="15" customHeight="1">
      <c r="A703" t="inlineStr">
        <is>
          <t>A 21399-2022</t>
        </is>
      </c>
      <c r="B703" s="1" t="n">
        <v>44705.94010416666</v>
      </c>
      <c r="C703" s="1" t="n">
        <v>46048</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62666-2021</t>
        </is>
      </c>
      <c r="B704" s="1" t="n">
        <v>44503.94432870371</v>
      </c>
      <c r="C704" s="1" t="n">
        <v>46048</v>
      </c>
      <c r="D704" t="inlineStr">
        <is>
          <t>JÄMTLANDS LÄN</t>
        </is>
      </c>
      <c r="E704" t="inlineStr">
        <is>
          <t>STRÖMSUND</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61854-2024</t>
        </is>
      </c>
      <c r="B705" s="1" t="n">
        <v>45649.67358796296</v>
      </c>
      <c r="C705" s="1" t="n">
        <v>46048</v>
      </c>
      <c r="D705" t="inlineStr">
        <is>
          <t>JÄMTLANDS LÄN</t>
        </is>
      </c>
      <c r="E705" t="inlineStr">
        <is>
          <t>STRÖMSUND</t>
        </is>
      </c>
      <c r="G705" t="n">
        <v>1.6</v>
      </c>
      <c r="H705" t="n">
        <v>0</v>
      </c>
      <c r="I705" t="n">
        <v>0</v>
      </c>
      <c r="J705" t="n">
        <v>0</v>
      </c>
      <c r="K705" t="n">
        <v>0</v>
      </c>
      <c r="L705" t="n">
        <v>0</v>
      </c>
      <c r="M705" t="n">
        <v>0</v>
      </c>
      <c r="N705" t="n">
        <v>0</v>
      </c>
      <c r="O705" t="n">
        <v>0</v>
      </c>
      <c r="P705" t="n">
        <v>0</v>
      </c>
      <c r="Q705" t="n">
        <v>0</v>
      </c>
      <c r="R705" s="2" t="inlineStr"/>
    </row>
    <row r="706" ht="15" customHeight="1">
      <c r="A706" t="inlineStr">
        <is>
          <t>A 27917-2022</t>
        </is>
      </c>
      <c r="B706" s="1" t="n">
        <v>44743.94123842593</v>
      </c>
      <c r="C706" s="1" t="n">
        <v>46048</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46048</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61163-2024</t>
        </is>
      </c>
      <c r="B708" s="1" t="n">
        <v>45645.59503472222</v>
      </c>
      <c r="C708" s="1" t="n">
        <v>46048</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36689-2022</t>
        </is>
      </c>
      <c r="B709" s="1" t="n">
        <v>44804</v>
      </c>
      <c r="C709" s="1" t="n">
        <v>46048</v>
      </c>
      <c r="D709" t="inlineStr">
        <is>
          <t>JÄMTLANDS LÄN</t>
        </is>
      </c>
      <c r="E709" t="inlineStr">
        <is>
          <t>STRÖMSUND</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57012-2022</t>
        </is>
      </c>
      <c r="B710" s="1" t="n">
        <v>44894.9581712963</v>
      </c>
      <c r="C710" s="1" t="n">
        <v>46048</v>
      </c>
      <c r="D710" t="inlineStr">
        <is>
          <t>JÄMTLANDS LÄN</t>
        </is>
      </c>
      <c r="E710" t="inlineStr">
        <is>
          <t>STRÖMSUND</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57016-2022</t>
        </is>
      </c>
      <c r="B711" s="1" t="n">
        <v>44894</v>
      </c>
      <c r="C711" s="1" t="n">
        <v>46048</v>
      </c>
      <c r="D711" t="inlineStr">
        <is>
          <t>JÄMTLANDS LÄN</t>
        </is>
      </c>
      <c r="E711" t="inlineStr">
        <is>
          <t>STRÖMSUND</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43072-2021</t>
        </is>
      </c>
      <c r="B712" s="1" t="n">
        <v>44431.55541666667</v>
      </c>
      <c r="C712" s="1" t="n">
        <v>46048</v>
      </c>
      <c r="D712" t="inlineStr">
        <is>
          <t>JÄMTLANDS LÄN</t>
        </is>
      </c>
      <c r="E712" t="inlineStr">
        <is>
          <t>STRÖMSUND</t>
        </is>
      </c>
      <c r="G712" t="n">
        <v>1.3</v>
      </c>
      <c r="H712" t="n">
        <v>0</v>
      </c>
      <c r="I712" t="n">
        <v>0</v>
      </c>
      <c r="J712" t="n">
        <v>0</v>
      </c>
      <c r="K712" t="n">
        <v>0</v>
      </c>
      <c r="L712" t="n">
        <v>0</v>
      </c>
      <c r="M712" t="n">
        <v>0</v>
      </c>
      <c r="N712" t="n">
        <v>0</v>
      </c>
      <c r="O712" t="n">
        <v>0</v>
      </c>
      <c r="P712" t="n">
        <v>0</v>
      </c>
      <c r="Q712" t="n">
        <v>0</v>
      </c>
      <c r="R712" s="2" t="inlineStr"/>
    </row>
    <row r="713" ht="15" customHeight="1">
      <c r="A713" t="inlineStr">
        <is>
          <t>A 11578-2022</t>
        </is>
      </c>
      <c r="B713" s="1" t="n">
        <v>44631</v>
      </c>
      <c r="C713" s="1" t="n">
        <v>46048</v>
      </c>
      <c r="D713" t="inlineStr">
        <is>
          <t>JÄMTLANDS LÄN</t>
        </is>
      </c>
      <c r="E713" t="inlineStr">
        <is>
          <t>STRÖMSUND</t>
        </is>
      </c>
      <c r="G713" t="n">
        <v>9.9</v>
      </c>
      <c r="H713" t="n">
        <v>0</v>
      </c>
      <c r="I713" t="n">
        <v>0</v>
      </c>
      <c r="J713" t="n">
        <v>0</v>
      </c>
      <c r="K713" t="n">
        <v>0</v>
      </c>
      <c r="L713" t="n">
        <v>0</v>
      </c>
      <c r="M713" t="n">
        <v>0</v>
      </c>
      <c r="N713" t="n">
        <v>0</v>
      </c>
      <c r="O713" t="n">
        <v>0</v>
      </c>
      <c r="P713" t="n">
        <v>0</v>
      </c>
      <c r="Q713" t="n">
        <v>0</v>
      </c>
      <c r="R713" s="2" t="inlineStr"/>
    </row>
    <row r="714" ht="15" customHeight="1">
      <c r="A714" t="inlineStr">
        <is>
          <t>A 27031-2022</t>
        </is>
      </c>
      <c r="B714" s="1" t="n">
        <v>44740.94326388889</v>
      </c>
      <c r="C714" s="1" t="n">
        <v>46048</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29624-2021</t>
        </is>
      </c>
      <c r="B715" s="1" t="n">
        <v>44361.93820601852</v>
      </c>
      <c r="C715" s="1" t="n">
        <v>46048</v>
      </c>
      <c r="D715" t="inlineStr">
        <is>
          <t>JÄMTLANDS LÄN</t>
        </is>
      </c>
      <c r="E715" t="inlineStr">
        <is>
          <t>STRÖMSUND</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62356-2023</t>
        </is>
      </c>
      <c r="B716" s="1" t="n">
        <v>45267</v>
      </c>
      <c r="C716" s="1" t="n">
        <v>46048</v>
      </c>
      <c r="D716" t="inlineStr">
        <is>
          <t>JÄMTLANDS LÄN</t>
        </is>
      </c>
      <c r="E716" t="inlineStr">
        <is>
          <t>STRÖMSUND</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64760-2021</t>
        </is>
      </c>
      <c r="B717" s="1" t="n">
        <v>44503</v>
      </c>
      <c r="C717" s="1" t="n">
        <v>46048</v>
      </c>
      <c r="D717" t="inlineStr">
        <is>
          <t>JÄMTLANDS LÄN</t>
        </is>
      </c>
      <c r="E717" t="inlineStr">
        <is>
          <t>STRÖMSUND</t>
        </is>
      </c>
      <c r="G717" t="n">
        <v>1.8</v>
      </c>
      <c r="H717" t="n">
        <v>0</v>
      </c>
      <c r="I717" t="n">
        <v>0</v>
      </c>
      <c r="J717" t="n">
        <v>0</v>
      </c>
      <c r="K717" t="n">
        <v>0</v>
      </c>
      <c r="L717" t="n">
        <v>0</v>
      </c>
      <c r="M717" t="n">
        <v>0</v>
      </c>
      <c r="N717" t="n">
        <v>0</v>
      </c>
      <c r="O717" t="n">
        <v>0</v>
      </c>
      <c r="P717" t="n">
        <v>0</v>
      </c>
      <c r="Q717" t="n">
        <v>0</v>
      </c>
      <c r="R717" s="2" t="inlineStr"/>
    </row>
    <row r="718" ht="15" customHeight="1">
      <c r="A718" t="inlineStr">
        <is>
          <t>A 32443-2024</t>
        </is>
      </c>
      <c r="B718" s="1" t="n">
        <v>45512.95568287037</v>
      </c>
      <c r="C718" s="1" t="n">
        <v>46048</v>
      </c>
      <c r="D718" t="inlineStr">
        <is>
          <t>JÄMTLANDS LÄN</t>
        </is>
      </c>
      <c r="E718" t="inlineStr">
        <is>
          <t>STRÖMSUND</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60911-2024</t>
        </is>
      </c>
      <c r="B719" s="1" t="n">
        <v>45644</v>
      </c>
      <c r="C719" s="1" t="n">
        <v>46048</v>
      </c>
      <c r="D719" t="inlineStr">
        <is>
          <t>JÄMTLANDS LÄN</t>
        </is>
      </c>
      <c r="E719" t="inlineStr">
        <is>
          <t>STRÖMSUND</t>
        </is>
      </c>
      <c r="G719" t="n">
        <v>1.8</v>
      </c>
      <c r="H719" t="n">
        <v>0</v>
      </c>
      <c r="I719" t="n">
        <v>0</v>
      </c>
      <c r="J719" t="n">
        <v>0</v>
      </c>
      <c r="K719" t="n">
        <v>0</v>
      </c>
      <c r="L719" t="n">
        <v>0</v>
      </c>
      <c r="M719" t="n">
        <v>0</v>
      </c>
      <c r="N719" t="n">
        <v>0</v>
      </c>
      <c r="O719" t="n">
        <v>0</v>
      </c>
      <c r="P719" t="n">
        <v>0</v>
      </c>
      <c r="Q719" t="n">
        <v>0</v>
      </c>
      <c r="R719" s="2" t="inlineStr"/>
    </row>
    <row r="720" ht="15" customHeight="1">
      <c r="A720" t="inlineStr">
        <is>
          <t>A 60917-2024</t>
        </is>
      </c>
      <c r="B720" s="1" t="n">
        <v>45644</v>
      </c>
      <c r="C720" s="1" t="n">
        <v>46048</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41940-2024</t>
        </is>
      </c>
      <c r="B721" s="1" t="n">
        <v>45561.57373842593</v>
      </c>
      <c r="C721" s="1" t="n">
        <v>46048</v>
      </c>
      <c r="D721" t="inlineStr">
        <is>
          <t>JÄMTLANDS LÄN</t>
        </is>
      </c>
      <c r="E721" t="inlineStr">
        <is>
          <t>STRÖMSUND</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58031-2022</t>
        </is>
      </c>
      <c r="B722" s="1" t="n">
        <v>44893</v>
      </c>
      <c r="C722" s="1" t="n">
        <v>46048</v>
      </c>
      <c r="D722" t="inlineStr">
        <is>
          <t>JÄMTLANDS LÄN</t>
        </is>
      </c>
      <c r="E722" t="inlineStr">
        <is>
          <t>STRÖMSUND</t>
        </is>
      </c>
      <c r="G722" t="n">
        <v>2.2</v>
      </c>
      <c r="H722" t="n">
        <v>0</v>
      </c>
      <c r="I722" t="n">
        <v>0</v>
      </c>
      <c r="J722" t="n">
        <v>0</v>
      </c>
      <c r="K722" t="n">
        <v>0</v>
      </c>
      <c r="L722" t="n">
        <v>0</v>
      </c>
      <c r="M722" t="n">
        <v>0</v>
      </c>
      <c r="N722" t="n">
        <v>0</v>
      </c>
      <c r="O722" t="n">
        <v>0</v>
      </c>
      <c r="P722" t="n">
        <v>0</v>
      </c>
      <c r="Q722" t="n">
        <v>0</v>
      </c>
      <c r="R722" s="2" t="inlineStr"/>
    </row>
    <row r="723" ht="15" customHeight="1">
      <c r="A723" t="inlineStr">
        <is>
          <t>A 52147-2024</t>
        </is>
      </c>
      <c r="B723" s="1" t="n">
        <v>45608.52340277778</v>
      </c>
      <c r="C723" s="1" t="n">
        <v>46048</v>
      </c>
      <c r="D723" t="inlineStr">
        <is>
          <t>JÄMTLANDS LÄN</t>
        </is>
      </c>
      <c r="E723" t="inlineStr">
        <is>
          <t>STRÖMSUND</t>
        </is>
      </c>
      <c r="F723" t="inlineStr">
        <is>
          <t>SCA</t>
        </is>
      </c>
      <c r="G723" t="n">
        <v>9</v>
      </c>
      <c r="H723" t="n">
        <v>0</v>
      </c>
      <c r="I723" t="n">
        <v>0</v>
      </c>
      <c r="J723" t="n">
        <v>0</v>
      </c>
      <c r="K723" t="n">
        <v>0</v>
      </c>
      <c r="L723" t="n">
        <v>0</v>
      </c>
      <c r="M723" t="n">
        <v>0</v>
      </c>
      <c r="N723" t="n">
        <v>0</v>
      </c>
      <c r="O723" t="n">
        <v>0</v>
      </c>
      <c r="P723" t="n">
        <v>0</v>
      </c>
      <c r="Q723" t="n">
        <v>0</v>
      </c>
      <c r="R723" s="2" t="inlineStr"/>
    </row>
    <row r="724" ht="15" customHeight="1">
      <c r="A724" t="inlineStr">
        <is>
          <t>A 24042-2024</t>
        </is>
      </c>
      <c r="B724" s="1" t="n">
        <v>45456.48665509259</v>
      </c>
      <c r="C724" s="1" t="n">
        <v>46048</v>
      </c>
      <c r="D724" t="inlineStr">
        <is>
          <t>JÄMTLANDS LÄN</t>
        </is>
      </c>
      <c r="E724" t="inlineStr">
        <is>
          <t>STRÖMSUND</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7854-2024</t>
        </is>
      </c>
      <c r="B725" s="1" t="n">
        <v>45350.01711805556</v>
      </c>
      <c r="C725" s="1" t="n">
        <v>46048</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4988-2023</t>
        </is>
      </c>
      <c r="B726" s="1" t="n">
        <v>44956</v>
      </c>
      <c r="C726" s="1" t="n">
        <v>46048</v>
      </c>
      <c r="D726" t="inlineStr">
        <is>
          <t>JÄMTLANDS LÄN</t>
        </is>
      </c>
      <c r="E726" t="inlineStr">
        <is>
          <t>STRÖMSUND</t>
        </is>
      </c>
      <c r="G726" t="n">
        <v>4.7</v>
      </c>
      <c r="H726" t="n">
        <v>0</v>
      </c>
      <c r="I726" t="n">
        <v>0</v>
      </c>
      <c r="J726" t="n">
        <v>0</v>
      </c>
      <c r="K726" t="n">
        <v>0</v>
      </c>
      <c r="L726" t="n">
        <v>0</v>
      </c>
      <c r="M726" t="n">
        <v>0</v>
      </c>
      <c r="N726" t="n">
        <v>0</v>
      </c>
      <c r="O726" t="n">
        <v>0</v>
      </c>
      <c r="P726" t="n">
        <v>0</v>
      </c>
      <c r="Q726" t="n">
        <v>0</v>
      </c>
      <c r="R726" s="2" t="inlineStr"/>
    </row>
    <row r="727" ht="15" customHeight="1">
      <c r="A727" t="inlineStr">
        <is>
          <t>A 14894-2022</t>
        </is>
      </c>
      <c r="B727" s="1" t="n">
        <v>44656.94644675926</v>
      </c>
      <c r="C727" s="1" t="n">
        <v>46048</v>
      </c>
      <c r="D727" t="inlineStr">
        <is>
          <t>JÄMTLANDS LÄN</t>
        </is>
      </c>
      <c r="E727" t="inlineStr">
        <is>
          <t>STRÖMSUND</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20551-2025</t>
        </is>
      </c>
      <c r="B728" s="1" t="n">
        <v>45775.63619212963</v>
      </c>
      <c r="C728" s="1" t="n">
        <v>46048</v>
      </c>
      <c r="D728" t="inlineStr">
        <is>
          <t>JÄMTLANDS LÄN</t>
        </is>
      </c>
      <c r="E728" t="inlineStr">
        <is>
          <t>STRÖMSUND</t>
        </is>
      </c>
      <c r="F728" t="inlineStr">
        <is>
          <t>SCA</t>
        </is>
      </c>
      <c r="G728" t="n">
        <v>12.9</v>
      </c>
      <c r="H728" t="n">
        <v>0</v>
      </c>
      <c r="I728" t="n">
        <v>0</v>
      </c>
      <c r="J728" t="n">
        <v>0</v>
      </c>
      <c r="K728" t="n">
        <v>0</v>
      </c>
      <c r="L728" t="n">
        <v>0</v>
      </c>
      <c r="M728" t="n">
        <v>0</v>
      </c>
      <c r="N728" t="n">
        <v>0</v>
      </c>
      <c r="O728" t="n">
        <v>0</v>
      </c>
      <c r="P728" t="n">
        <v>0</v>
      </c>
      <c r="Q728" t="n">
        <v>0</v>
      </c>
      <c r="R728" s="2" t="inlineStr"/>
    </row>
    <row r="729" ht="15" customHeight="1">
      <c r="A729" t="inlineStr">
        <is>
          <t>A 30220-2022</t>
        </is>
      </c>
      <c r="B729" s="1" t="n">
        <v>44757.94265046297</v>
      </c>
      <c r="C729" s="1" t="n">
        <v>46048</v>
      </c>
      <c r="D729" t="inlineStr">
        <is>
          <t>JÄMTLANDS LÄN</t>
        </is>
      </c>
      <c r="E729" t="inlineStr">
        <is>
          <t>STRÖMSUND</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58905-2022</t>
        </is>
      </c>
      <c r="B730" s="1" t="n">
        <v>44903</v>
      </c>
      <c r="C730" s="1" t="n">
        <v>46048</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39870-2023</t>
        </is>
      </c>
      <c r="B731" s="1" t="n">
        <v>45168</v>
      </c>
      <c r="C731" s="1" t="n">
        <v>46048</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24214-2024</t>
        </is>
      </c>
      <c r="B732" s="1" t="n">
        <v>45457</v>
      </c>
      <c r="C732" s="1" t="n">
        <v>46048</v>
      </c>
      <c r="D732" t="inlineStr">
        <is>
          <t>JÄMTLANDS LÄN</t>
        </is>
      </c>
      <c r="E732" t="inlineStr">
        <is>
          <t>STRÖMSUND</t>
        </is>
      </c>
      <c r="F732" t="inlineStr">
        <is>
          <t>Holmen skog AB</t>
        </is>
      </c>
      <c r="G732" t="n">
        <v>6.2</v>
      </c>
      <c r="H732" t="n">
        <v>0</v>
      </c>
      <c r="I732" t="n">
        <v>0</v>
      </c>
      <c r="J732" t="n">
        <v>0</v>
      </c>
      <c r="K732" t="n">
        <v>0</v>
      </c>
      <c r="L732" t="n">
        <v>0</v>
      </c>
      <c r="M732" t="n">
        <v>0</v>
      </c>
      <c r="N732" t="n">
        <v>0</v>
      </c>
      <c r="O732" t="n">
        <v>0</v>
      </c>
      <c r="P732" t="n">
        <v>0</v>
      </c>
      <c r="Q732" t="n">
        <v>0</v>
      </c>
      <c r="R732" s="2" t="inlineStr"/>
    </row>
    <row r="733" ht="15" customHeight="1">
      <c r="A733" t="inlineStr">
        <is>
          <t>A 39286-2024</t>
        </is>
      </c>
      <c r="B733" s="1" t="n">
        <v>45551.36491898148</v>
      </c>
      <c r="C733" s="1" t="n">
        <v>46048</v>
      </c>
      <c r="D733" t="inlineStr">
        <is>
          <t>JÄMTLANDS LÄN</t>
        </is>
      </c>
      <c r="E733" t="inlineStr">
        <is>
          <t>STRÖMSUND</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6494-2025</t>
        </is>
      </c>
      <c r="B734" s="1" t="n">
        <v>45699.63442129629</v>
      </c>
      <c r="C734" s="1" t="n">
        <v>46048</v>
      </c>
      <c r="D734" t="inlineStr">
        <is>
          <t>JÄMTLANDS LÄN</t>
        </is>
      </c>
      <c r="E734" t="inlineStr">
        <is>
          <t>STRÖMSUND</t>
        </is>
      </c>
      <c r="G734" t="n">
        <v>1.1</v>
      </c>
      <c r="H734" t="n">
        <v>0</v>
      </c>
      <c r="I734" t="n">
        <v>0</v>
      </c>
      <c r="J734" t="n">
        <v>0</v>
      </c>
      <c r="K734" t="n">
        <v>0</v>
      </c>
      <c r="L734" t="n">
        <v>0</v>
      </c>
      <c r="M734" t="n">
        <v>0</v>
      </c>
      <c r="N734" t="n">
        <v>0</v>
      </c>
      <c r="O734" t="n">
        <v>0</v>
      </c>
      <c r="P734" t="n">
        <v>0</v>
      </c>
      <c r="Q734" t="n">
        <v>0</v>
      </c>
      <c r="R734" s="2" t="inlineStr"/>
    </row>
    <row r="735" ht="15" customHeight="1">
      <c r="A735" t="inlineStr">
        <is>
          <t>A 21358-2023</t>
        </is>
      </c>
      <c r="B735" s="1" t="n">
        <v>45062.93969907407</v>
      </c>
      <c r="C735" s="1" t="n">
        <v>46048</v>
      </c>
      <c r="D735" t="inlineStr">
        <is>
          <t>JÄMTLANDS LÄN</t>
        </is>
      </c>
      <c r="E735" t="inlineStr">
        <is>
          <t>STRÖMSUND</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35342-2021</t>
        </is>
      </c>
      <c r="B736" s="1" t="n">
        <v>44384.9189699074</v>
      </c>
      <c r="C736" s="1" t="n">
        <v>46048</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67099-2021</t>
        </is>
      </c>
      <c r="B737" s="1" t="n">
        <v>44522.94574074074</v>
      </c>
      <c r="C737" s="1" t="n">
        <v>46048</v>
      </c>
      <c r="D737" t="inlineStr">
        <is>
          <t>JÄMTLANDS LÄN</t>
        </is>
      </c>
      <c r="E737" t="inlineStr">
        <is>
          <t>STRÖMSUND</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69143-2021</t>
        </is>
      </c>
      <c r="B738" s="1" t="n">
        <v>44530</v>
      </c>
      <c r="C738" s="1" t="n">
        <v>46048</v>
      </c>
      <c r="D738" t="inlineStr">
        <is>
          <t>JÄMTLANDS LÄN</t>
        </is>
      </c>
      <c r="E738" t="inlineStr">
        <is>
          <t>STRÖMSUND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35178-2024</t>
        </is>
      </c>
      <c r="B739" s="1" t="n">
        <v>45530.43956018519</v>
      </c>
      <c r="C739" s="1" t="n">
        <v>46048</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35244-2024</t>
        </is>
      </c>
      <c r="B740" s="1" t="n">
        <v>45530.55811342593</v>
      </c>
      <c r="C740" s="1" t="n">
        <v>46048</v>
      </c>
      <c r="D740" t="inlineStr">
        <is>
          <t>JÄMTLANDS LÄN</t>
        </is>
      </c>
      <c r="E740" t="inlineStr">
        <is>
          <t>STRÖMSUND</t>
        </is>
      </c>
      <c r="G740" t="n">
        <v>1.4</v>
      </c>
      <c r="H740" t="n">
        <v>0</v>
      </c>
      <c r="I740" t="n">
        <v>0</v>
      </c>
      <c r="J740" t="n">
        <v>0</v>
      </c>
      <c r="K740" t="n">
        <v>0</v>
      </c>
      <c r="L740" t="n">
        <v>0</v>
      </c>
      <c r="M740" t="n">
        <v>0</v>
      </c>
      <c r="N740" t="n">
        <v>0</v>
      </c>
      <c r="O740" t="n">
        <v>0</v>
      </c>
      <c r="P740" t="n">
        <v>0</v>
      </c>
      <c r="Q740" t="n">
        <v>0</v>
      </c>
      <c r="R740" s="2" t="inlineStr"/>
    </row>
    <row r="741" ht="15" customHeight="1">
      <c r="A741" t="inlineStr">
        <is>
          <t>A 21616-2024</t>
        </is>
      </c>
      <c r="B741" s="1" t="n">
        <v>45441.95365740741</v>
      </c>
      <c r="C741" s="1" t="n">
        <v>46048</v>
      </c>
      <c r="D741" t="inlineStr">
        <is>
          <t>JÄMTLANDS LÄN</t>
        </is>
      </c>
      <c r="E741" t="inlineStr">
        <is>
          <t>STRÖMSUND</t>
        </is>
      </c>
      <c r="F741" t="inlineStr">
        <is>
          <t>SCA</t>
        </is>
      </c>
      <c r="G741" t="n">
        <v>9</v>
      </c>
      <c r="H741" t="n">
        <v>0</v>
      </c>
      <c r="I741" t="n">
        <v>0</v>
      </c>
      <c r="J741" t="n">
        <v>0</v>
      </c>
      <c r="K741" t="n">
        <v>0</v>
      </c>
      <c r="L741" t="n">
        <v>0</v>
      </c>
      <c r="M741" t="n">
        <v>0</v>
      </c>
      <c r="N741" t="n">
        <v>0</v>
      </c>
      <c r="O741" t="n">
        <v>0</v>
      </c>
      <c r="P741" t="n">
        <v>0</v>
      </c>
      <c r="Q741" t="n">
        <v>0</v>
      </c>
      <c r="R741" s="2" t="inlineStr"/>
    </row>
    <row r="742" ht="15" customHeight="1">
      <c r="A742" t="inlineStr">
        <is>
          <t>A 47098-2022</t>
        </is>
      </c>
      <c r="B742" s="1" t="n">
        <v>44852.47255787037</v>
      </c>
      <c r="C742" s="1" t="n">
        <v>46048</v>
      </c>
      <c r="D742" t="inlineStr">
        <is>
          <t>JÄMTLANDS LÄN</t>
        </is>
      </c>
      <c r="E742" t="inlineStr">
        <is>
          <t>STRÖMSUND</t>
        </is>
      </c>
      <c r="G742" t="n">
        <v>1.9</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46048</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31740-2021</t>
        </is>
      </c>
      <c r="B744" s="1" t="n">
        <v>44369.93760416667</v>
      </c>
      <c r="C744" s="1" t="n">
        <v>46048</v>
      </c>
      <c r="D744" t="inlineStr">
        <is>
          <t>JÄMTLANDS LÄN</t>
        </is>
      </c>
      <c r="E744" t="inlineStr">
        <is>
          <t>STRÖMSUND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53149-2022</t>
        </is>
      </c>
      <c r="B745" s="1" t="n">
        <v>44876</v>
      </c>
      <c r="C745" s="1" t="n">
        <v>46048</v>
      </c>
      <c r="D745" t="inlineStr">
        <is>
          <t>JÄMTLANDS LÄN</t>
        </is>
      </c>
      <c r="E745" t="inlineStr">
        <is>
          <t>STRÖMSUND</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55655-2023</t>
        </is>
      </c>
      <c r="B746" s="1" t="n">
        <v>45238.96651620371</v>
      </c>
      <c r="C746" s="1" t="n">
        <v>46048</v>
      </c>
      <c r="D746" t="inlineStr">
        <is>
          <t>JÄMTLANDS LÄN</t>
        </is>
      </c>
      <c r="E746" t="inlineStr">
        <is>
          <t>STRÖMSUND</t>
        </is>
      </c>
      <c r="G746" t="n">
        <v>1.4</v>
      </c>
      <c r="H746" t="n">
        <v>0</v>
      </c>
      <c r="I746" t="n">
        <v>0</v>
      </c>
      <c r="J746" t="n">
        <v>0</v>
      </c>
      <c r="K746" t="n">
        <v>0</v>
      </c>
      <c r="L746" t="n">
        <v>0</v>
      </c>
      <c r="M746" t="n">
        <v>0</v>
      </c>
      <c r="N746" t="n">
        <v>0</v>
      </c>
      <c r="O746" t="n">
        <v>0</v>
      </c>
      <c r="P746" t="n">
        <v>0</v>
      </c>
      <c r="Q746" t="n">
        <v>0</v>
      </c>
      <c r="R746" s="2" t="inlineStr"/>
    </row>
    <row r="747" ht="15" customHeight="1">
      <c r="A747" t="inlineStr">
        <is>
          <t>A 7542-2025</t>
        </is>
      </c>
      <c r="B747" s="1" t="n">
        <v>45705.57324074074</v>
      </c>
      <c r="C747" s="1" t="n">
        <v>46048</v>
      </c>
      <c r="D747" t="inlineStr">
        <is>
          <t>JÄMTLANDS LÄN</t>
        </is>
      </c>
      <c r="E747" t="inlineStr">
        <is>
          <t>STRÖMSUND</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7546-2025</t>
        </is>
      </c>
      <c r="B748" s="1" t="n">
        <v>45705.57405092593</v>
      </c>
      <c r="C748" s="1" t="n">
        <v>46048</v>
      </c>
      <c r="D748" t="inlineStr">
        <is>
          <t>JÄMTLANDS LÄN</t>
        </is>
      </c>
      <c r="E748" t="inlineStr">
        <is>
          <t>STRÖMSUND</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35375-2022</t>
        </is>
      </c>
      <c r="B749" s="1" t="n">
        <v>44798</v>
      </c>
      <c r="C749" s="1" t="n">
        <v>46048</v>
      </c>
      <c r="D749" t="inlineStr">
        <is>
          <t>JÄMTLANDS LÄN</t>
        </is>
      </c>
      <c r="E749" t="inlineStr">
        <is>
          <t>STRÖMSUND</t>
        </is>
      </c>
      <c r="F749" t="inlineStr">
        <is>
          <t>Kommuner</t>
        </is>
      </c>
      <c r="G749" t="n">
        <v>3.9</v>
      </c>
      <c r="H749" t="n">
        <v>0</v>
      </c>
      <c r="I749" t="n">
        <v>0</v>
      </c>
      <c r="J749" t="n">
        <v>0</v>
      </c>
      <c r="K749" t="n">
        <v>0</v>
      </c>
      <c r="L749" t="n">
        <v>0</v>
      </c>
      <c r="M749" t="n">
        <v>0</v>
      </c>
      <c r="N749" t="n">
        <v>0</v>
      </c>
      <c r="O749" t="n">
        <v>0</v>
      </c>
      <c r="P749" t="n">
        <v>0</v>
      </c>
      <c r="Q749" t="n">
        <v>0</v>
      </c>
      <c r="R749" s="2" t="inlineStr"/>
    </row>
    <row r="750" ht="15" customHeight="1">
      <c r="A750" t="inlineStr">
        <is>
          <t>A 58393-2024</t>
        </is>
      </c>
      <c r="B750" s="1" t="n">
        <v>45633.78479166667</v>
      </c>
      <c r="C750" s="1" t="n">
        <v>46048</v>
      </c>
      <c r="D750" t="inlineStr">
        <is>
          <t>JÄMTLANDS LÄN</t>
        </is>
      </c>
      <c r="E750" t="inlineStr">
        <is>
          <t>STRÖMSUND</t>
        </is>
      </c>
      <c r="G750" t="n">
        <v>2.3</v>
      </c>
      <c r="H750" t="n">
        <v>0</v>
      </c>
      <c r="I750" t="n">
        <v>0</v>
      </c>
      <c r="J750" t="n">
        <v>0</v>
      </c>
      <c r="K750" t="n">
        <v>0</v>
      </c>
      <c r="L750" t="n">
        <v>0</v>
      </c>
      <c r="M750" t="n">
        <v>0</v>
      </c>
      <c r="N750" t="n">
        <v>0</v>
      </c>
      <c r="O750" t="n">
        <v>0</v>
      </c>
      <c r="P750" t="n">
        <v>0</v>
      </c>
      <c r="Q750" t="n">
        <v>0</v>
      </c>
      <c r="R750" s="2" t="inlineStr"/>
    </row>
    <row r="751" ht="15" customHeight="1">
      <c r="A751" t="inlineStr">
        <is>
          <t>A 21338-2023</t>
        </is>
      </c>
      <c r="B751" s="1" t="n">
        <v>45062</v>
      </c>
      <c r="C751" s="1" t="n">
        <v>46048</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12822-2022</t>
        </is>
      </c>
      <c r="B752" s="1" t="n">
        <v>44642</v>
      </c>
      <c r="C752" s="1" t="n">
        <v>46048</v>
      </c>
      <c r="D752" t="inlineStr">
        <is>
          <t>JÄMTLANDS LÄN</t>
        </is>
      </c>
      <c r="E752" t="inlineStr">
        <is>
          <t>STRÖMSUND</t>
        </is>
      </c>
      <c r="G752" t="n">
        <v>2.2</v>
      </c>
      <c r="H752" t="n">
        <v>0</v>
      </c>
      <c r="I752" t="n">
        <v>0</v>
      </c>
      <c r="J752" t="n">
        <v>0</v>
      </c>
      <c r="K752" t="n">
        <v>0</v>
      </c>
      <c r="L752" t="n">
        <v>0</v>
      </c>
      <c r="M752" t="n">
        <v>0</v>
      </c>
      <c r="N752" t="n">
        <v>0</v>
      </c>
      <c r="O752" t="n">
        <v>0</v>
      </c>
      <c r="P752" t="n">
        <v>0</v>
      </c>
      <c r="Q752" t="n">
        <v>0</v>
      </c>
      <c r="R752" s="2" t="inlineStr"/>
    </row>
    <row r="753" ht="15" customHeight="1">
      <c r="A753" t="inlineStr">
        <is>
          <t>A 7085-2025</t>
        </is>
      </c>
      <c r="B753" s="1" t="n">
        <v>45701.70259259259</v>
      </c>
      <c r="C753" s="1" t="n">
        <v>46048</v>
      </c>
      <c r="D753" t="inlineStr">
        <is>
          <t>JÄMTLANDS LÄN</t>
        </is>
      </c>
      <c r="E753" t="inlineStr">
        <is>
          <t>STRÖMSUND</t>
        </is>
      </c>
      <c r="G753" t="n">
        <v>7.8</v>
      </c>
      <c r="H753" t="n">
        <v>0</v>
      </c>
      <c r="I753" t="n">
        <v>0</v>
      </c>
      <c r="J753" t="n">
        <v>0</v>
      </c>
      <c r="K753" t="n">
        <v>0</v>
      </c>
      <c r="L753" t="n">
        <v>0</v>
      </c>
      <c r="M753" t="n">
        <v>0</v>
      </c>
      <c r="N753" t="n">
        <v>0</v>
      </c>
      <c r="O753" t="n">
        <v>0</v>
      </c>
      <c r="P753" t="n">
        <v>0</v>
      </c>
      <c r="Q753" t="n">
        <v>0</v>
      </c>
      <c r="R753" s="2" t="inlineStr"/>
    </row>
    <row r="754" ht="15" customHeight="1">
      <c r="A754" t="inlineStr">
        <is>
          <t>A 53396-2022</t>
        </is>
      </c>
      <c r="B754" s="1" t="n">
        <v>44879.43427083334</v>
      </c>
      <c r="C754" s="1" t="n">
        <v>46048</v>
      </c>
      <c r="D754" t="inlineStr">
        <is>
          <t>JÄMTLANDS LÄN</t>
        </is>
      </c>
      <c r="E754" t="inlineStr">
        <is>
          <t>STRÖMSUND</t>
        </is>
      </c>
      <c r="G754" t="n">
        <v>3.3</v>
      </c>
      <c r="H754" t="n">
        <v>0</v>
      </c>
      <c r="I754" t="n">
        <v>0</v>
      </c>
      <c r="J754" t="n">
        <v>0</v>
      </c>
      <c r="K754" t="n">
        <v>0</v>
      </c>
      <c r="L754" t="n">
        <v>0</v>
      </c>
      <c r="M754" t="n">
        <v>0</v>
      </c>
      <c r="N754" t="n">
        <v>0</v>
      </c>
      <c r="O754" t="n">
        <v>0</v>
      </c>
      <c r="P754" t="n">
        <v>0</v>
      </c>
      <c r="Q754" t="n">
        <v>0</v>
      </c>
      <c r="R754" s="2" t="inlineStr"/>
    </row>
    <row r="755" ht="15" customHeight="1">
      <c r="A755" t="inlineStr">
        <is>
          <t>A 5627-2025</t>
        </is>
      </c>
      <c r="B755" s="1" t="n">
        <v>45693.64836805555</v>
      </c>
      <c r="C755" s="1" t="n">
        <v>46048</v>
      </c>
      <c r="D755" t="inlineStr">
        <is>
          <t>JÄMTLANDS LÄN</t>
        </is>
      </c>
      <c r="E755" t="inlineStr">
        <is>
          <t>STRÖMSUND</t>
        </is>
      </c>
      <c r="G755" t="n">
        <v>5.6</v>
      </c>
      <c r="H755" t="n">
        <v>0</v>
      </c>
      <c r="I755" t="n">
        <v>0</v>
      </c>
      <c r="J755" t="n">
        <v>0</v>
      </c>
      <c r="K755" t="n">
        <v>0</v>
      </c>
      <c r="L755" t="n">
        <v>0</v>
      </c>
      <c r="M755" t="n">
        <v>0</v>
      </c>
      <c r="N755" t="n">
        <v>0</v>
      </c>
      <c r="O755" t="n">
        <v>0</v>
      </c>
      <c r="P755" t="n">
        <v>0</v>
      </c>
      <c r="Q755" t="n">
        <v>0</v>
      </c>
      <c r="R755" s="2" t="inlineStr"/>
    </row>
    <row r="756" ht="15" customHeight="1">
      <c r="A756" t="inlineStr">
        <is>
          <t>A 23780-2023</t>
        </is>
      </c>
      <c r="B756" s="1" t="n">
        <v>45077.94703703704</v>
      </c>
      <c r="C756" s="1" t="n">
        <v>46048</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13687-2023</t>
        </is>
      </c>
      <c r="B757" s="1" t="n">
        <v>45006</v>
      </c>
      <c r="C757" s="1" t="n">
        <v>46048</v>
      </c>
      <c r="D757" t="inlineStr">
        <is>
          <t>JÄMTLANDS LÄN</t>
        </is>
      </c>
      <c r="E757" t="inlineStr">
        <is>
          <t>STRÖMSUND</t>
        </is>
      </c>
      <c r="G757" t="n">
        <v>7.1</v>
      </c>
      <c r="H757" t="n">
        <v>0</v>
      </c>
      <c r="I757" t="n">
        <v>0</v>
      </c>
      <c r="J757" t="n">
        <v>0</v>
      </c>
      <c r="K757" t="n">
        <v>0</v>
      </c>
      <c r="L757" t="n">
        <v>0</v>
      </c>
      <c r="M757" t="n">
        <v>0</v>
      </c>
      <c r="N757" t="n">
        <v>0</v>
      </c>
      <c r="O757" t="n">
        <v>0</v>
      </c>
      <c r="P757" t="n">
        <v>0</v>
      </c>
      <c r="Q757" t="n">
        <v>0</v>
      </c>
      <c r="R757" s="2" t="inlineStr"/>
    </row>
    <row r="758" ht="15" customHeight="1">
      <c r="A758" t="inlineStr">
        <is>
          <t>A 61540-2024</t>
        </is>
      </c>
      <c r="B758" s="1" t="n">
        <v>45646.5943287037</v>
      </c>
      <c r="C758" s="1" t="n">
        <v>46048</v>
      </c>
      <c r="D758" t="inlineStr">
        <is>
          <t>JÄMTLANDS LÄN</t>
        </is>
      </c>
      <c r="E758" t="inlineStr">
        <is>
          <t>STRÖMSUND</t>
        </is>
      </c>
      <c r="F758" t="inlineStr">
        <is>
          <t>SCA</t>
        </is>
      </c>
      <c r="G758" t="n">
        <v>18.2</v>
      </c>
      <c r="H758" t="n">
        <v>0</v>
      </c>
      <c r="I758" t="n">
        <v>0</v>
      </c>
      <c r="J758" t="n">
        <v>0</v>
      </c>
      <c r="K758" t="n">
        <v>0</v>
      </c>
      <c r="L758" t="n">
        <v>0</v>
      </c>
      <c r="M758" t="n">
        <v>0</v>
      </c>
      <c r="N758" t="n">
        <v>0</v>
      </c>
      <c r="O758" t="n">
        <v>0</v>
      </c>
      <c r="P758" t="n">
        <v>0</v>
      </c>
      <c r="Q758" t="n">
        <v>0</v>
      </c>
      <c r="R758" s="2" t="inlineStr"/>
    </row>
    <row r="759" ht="15" customHeight="1">
      <c r="A759" t="inlineStr">
        <is>
          <t>A 37143-2023</t>
        </is>
      </c>
      <c r="B759" s="1" t="n">
        <v>45155.58578703704</v>
      </c>
      <c r="C759" s="1" t="n">
        <v>46048</v>
      </c>
      <c r="D759" t="inlineStr">
        <is>
          <t>JÄMTLANDS LÄN</t>
        </is>
      </c>
      <c r="E759" t="inlineStr">
        <is>
          <t>STRÖMSUND</t>
        </is>
      </c>
      <c r="G759" t="n">
        <v>4.3</v>
      </c>
      <c r="H759" t="n">
        <v>0</v>
      </c>
      <c r="I759" t="n">
        <v>0</v>
      </c>
      <c r="J759" t="n">
        <v>0</v>
      </c>
      <c r="K759" t="n">
        <v>0</v>
      </c>
      <c r="L759" t="n">
        <v>0</v>
      </c>
      <c r="M759" t="n">
        <v>0</v>
      </c>
      <c r="N759" t="n">
        <v>0</v>
      </c>
      <c r="O759" t="n">
        <v>0</v>
      </c>
      <c r="P759" t="n">
        <v>0</v>
      </c>
      <c r="Q759" t="n">
        <v>0</v>
      </c>
      <c r="R759" s="2" t="inlineStr"/>
    </row>
    <row r="760" ht="15" customHeight="1">
      <c r="A760" t="inlineStr">
        <is>
          <t>A 20273-2024</t>
        </is>
      </c>
      <c r="B760" s="1" t="n">
        <v>45434</v>
      </c>
      <c r="C760" s="1" t="n">
        <v>46048</v>
      </c>
      <c r="D760" t="inlineStr">
        <is>
          <t>JÄMTLANDS LÄN</t>
        </is>
      </c>
      <c r="E760" t="inlineStr">
        <is>
          <t>STRÖMSUND</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17031-2025</t>
        </is>
      </c>
      <c r="B761" s="1" t="n">
        <v>45755.57349537037</v>
      </c>
      <c r="C761" s="1" t="n">
        <v>46048</v>
      </c>
      <c r="D761" t="inlineStr">
        <is>
          <t>JÄMTLANDS LÄN</t>
        </is>
      </c>
      <c r="E761" t="inlineStr">
        <is>
          <t>STRÖMSUND</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15463-2025</t>
        </is>
      </c>
      <c r="B762" s="1" t="n">
        <v>45747.51116898148</v>
      </c>
      <c r="C762" s="1" t="n">
        <v>46048</v>
      </c>
      <c r="D762" t="inlineStr">
        <is>
          <t>JÄMTLANDS LÄN</t>
        </is>
      </c>
      <c r="E762" t="inlineStr">
        <is>
          <t>STRÖMSUND</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46776-2023</t>
        </is>
      </c>
      <c r="B763" s="1" t="n">
        <v>45195</v>
      </c>
      <c r="C763" s="1" t="n">
        <v>46048</v>
      </c>
      <c r="D763" t="inlineStr">
        <is>
          <t>JÄMTLANDS LÄN</t>
        </is>
      </c>
      <c r="E763" t="inlineStr">
        <is>
          <t>STRÖMSUND</t>
        </is>
      </c>
      <c r="G763" t="n">
        <v>10.4</v>
      </c>
      <c r="H763" t="n">
        <v>0</v>
      </c>
      <c r="I763" t="n">
        <v>0</v>
      </c>
      <c r="J763" t="n">
        <v>0</v>
      </c>
      <c r="K763" t="n">
        <v>0</v>
      </c>
      <c r="L763" t="n">
        <v>0</v>
      </c>
      <c r="M763" t="n">
        <v>0</v>
      </c>
      <c r="N763" t="n">
        <v>0</v>
      </c>
      <c r="O763" t="n">
        <v>0</v>
      </c>
      <c r="P763" t="n">
        <v>0</v>
      </c>
      <c r="Q763" t="n">
        <v>0</v>
      </c>
      <c r="R763" s="2" t="inlineStr"/>
    </row>
    <row r="764" ht="15" customHeight="1">
      <c r="A764" t="inlineStr">
        <is>
          <t>A 16053-2024</t>
        </is>
      </c>
      <c r="B764" s="1" t="n">
        <v>45406</v>
      </c>
      <c r="C764" s="1" t="n">
        <v>46048</v>
      </c>
      <c r="D764" t="inlineStr">
        <is>
          <t>JÄMTLANDS LÄN</t>
        </is>
      </c>
      <c r="E764" t="inlineStr">
        <is>
          <t>STRÖMSUND</t>
        </is>
      </c>
      <c r="F764" t="inlineStr">
        <is>
          <t>SCA</t>
        </is>
      </c>
      <c r="G764" t="n">
        <v>11.7</v>
      </c>
      <c r="H764" t="n">
        <v>0</v>
      </c>
      <c r="I764" t="n">
        <v>0</v>
      </c>
      <c r="J764" t="n">
        <v>0</v>
      </c>
      <c r="K764" t="n">
        <v>0</v>
      </c>
      <c r="L764" t="n">
        <v>0</v>
      </c>
      <c r="M764" t="n">
        <v>0</v>
      </c>
      <c r="N764" t="n">
        <v>0</v>
      </c>
      <c r="O764" t="n">
        <v>0</v>
      </c>
      <c r="P764" t="n">
        <v>0</v>
      </c>
      <c r="Q764" t="n">
        <v>0</v>
      </c>
      <c r="R764" s="2" t="inlineStr"/>
    </row>
    <row r="765" ht="15" customHeight="1">
      <c r="A765" t="inlineStr">
        <is>
          <t>A 18994-2022</t>
        </is>
      </c>
      <c r="B765" s="1" t="n">
        <v>44690.93938657407</v>
      </c>
      <c r="C765" s="1" t="n">
        <v>46048</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35584-2024</t>
        </is>
      </c>
      <c r="B766" s="1" t="n">
        <v>45531.6481712963</v>
      </c>
      <c r="C766" s="1" t="n">
        <v>46048</v>
      </c>
      <c r="D766" t="inlineStr">
        <is>
          <t>JÄMTLANDS LÄN</t>
        </is>
      </c>
      <c r="E766" t="inlineStr">
        <is>
          <t>STRÖMSUND</t>
        </is>
      </c>
      <c r="G766" t="n">
        <v>4</v>
      </c>
      <c r="H766" t="n">
        <v>0</v>
      </c>
      <c r="I766" t="n">
        <v>0</v>
      </c>
      <c r="J766" t="n">
        <v>0</v>
      </c>
      <c r="K766" t="n">
        <v>0</v>
      </c>
      <c r="L766" t="n">
        <v>0</v>
      </c>
      <c r="M766" t="n">
        <v>0</v>
      </c>
      <c r="N766" t="n">
        <v>0</v>
      </c>
      <c r="O766" t="n">
        <v>0</v>
      </c>
      <c r="P766" t="n">
        <v>0</v>
      </c>
      <c r="Q766" t="n">
        <v>0</v>
      </c>
      <c r="R766" s="2" t="inlineStr"/>
    </row>
    <row r="767" ht="15" customHeight="1">
      <c r="A767" t="inlineStr">
        <is>
          <t>A 39051-2023</t>
        </is>
      </c>
      <c r="B767" s="1" t="n">
        <v>45163</v>
      </c>
      <c r="C767" s="1" t="n">
        <v>46048</v>
      </c>
      <c r="D767" t="inlineStr">
        <is>
          <t>JÄMTLANDS LÄN</t>
        </is>
      </c>
      <c r="E767" t="inlineStr">
        <is>
          <t>STRÖMSUND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60740-2022</t>
        </is>
      </c>
      <c r="B768" s="1" t="n">
        <v>44913</v>
      </c>
      <c r="C768" s="1" t="n">
        <v>46048</v>
      </c>
      <c r="D768" t="inlineStr">
        <is>
          <t>JÄMTLANDS LÄN</t>
        </is>
      </c>
      <c r="E768" t="inlineStr">
        <is>
          <t>STRÖMSUND</t>
        </is>
      </c>
      <c r="F768" t="inlineStr">
        <is>
          <t>SCA</t>
        </is>
      </c>
      <c r="G768" t="n">
        <v>16.7</v>
      </c>
      <c r="H768" t="n">
        <v>0</v>
      </c>
      <c r="I768" t="n">
        <v>0</v>
      </c>
      <c r="J768" t="n">
        <v>0</v>
      </c>
      <c r="K768" t="n">
        <v>0</v>
      </c>
      <c r="L768" t="n">
        <v>0</v>
      </c>
      <c r="M768" t="n">
        <v>0</v>
      </c>
      <c r="N768" t="n">
        <v>0</v>
      </c>
      <c r="O768" t="n">
        <v>0</v>
      </c>
      <c r="P768" t="n">
        <v>0</v>
      </c>
      <c r="Q768" t="n">
        <v>0</v>
      </c>
      <c r="R768" s="2" t="inlineStr"/>
    </row>
    <row r="769" ht="15" customHeight="1">
      <c r="A769" t="inlineStr">
        <is>
          <t>A 59003-2022</t>
        </is>
      </c>
      <c r="B769" s="1" t="n">
        <v>44903.79608796296</v>
      </c>
      <c r="C769" s="1" t="n">
        <v>46048</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51478-2024</t>
        </is>
      </c>
      <c r="B770" s="1" t="n">
        <v>45604.51259259259</v>
      </c>
      <c r="C770" s="1" t="n">
        <v>46048</v>
      </c>
      <c r="D770" t="inlineStr">
        <is>
          <t>JÄMTLANDS LÄN</t>
        </is>
      </c>
      <c r="E770" t="inlineStr">
        <is>
          <t>STRÖMSUND</t>
        </is>
      </c>
      <c r="F770" t="inlineStr">
        <is>
          <t>Kommuner</t>
        </is>
      </c>
      <c r="G770" t="n">
        <v>1.1</v>
      </c>
      <c r="H770" t="n">
        <v>0</v>
      </c>
      <c r="I770" t="n">
        <v>0</v>
      </c>
      <c r="J770" t="n">
        <v>0</v>
      </c>
      <c r="K770" t="n">
        <v>0</v>
      </c>
      <c r="L770" t="n">
        <v>0</v>
      </c>
      <c r="M770" t="n">
        <v>0</v>
      </c>
      <c r="N770" t="n">
        <v>0</v>
      </c>
      <c r="O770" t="n">
        <v>0</v>
      </c>
      <c r="P770" t="n">
        <v>0</v>
      </c>
      <c r="Q770" t="n">
        <v>0</v>
      </c>
      <c r="R770" s="2" t="inlineStr"/>
    </row>
    <row r="771" ht="15" customHeight="1">
      <c r="A771" t="inlineStr">
        <is>
          <t>A 11733-2025</t>
        </is>
      </c>
      <c r="B771" s="1" t="n">
        <v>45727</v>
      </c>
      <c r="C771" s="1" t="n">
        <v>46048</v>
      </c>
      <c r="D771" t="inlineStr">
        <is>
          <t>JÄMTLANDS LÄN</t>
        </is>
      </c>
      <c r="E771" t="inlineStr">
        <is>
          <t>STRÖMSUND</t>
        </is>
      </c>
      <c r="G771" t="n">
        <v>1.3</v>
      </c>
      <c r="H771" t="n">
        <v>0</v>
      </c>
      <c r="I771" t="n">
        <v>0</v>
      </c>
      <c r="J771" t="n">
        <v>0</v>
      </c>
      <c r="K771" t="n">
        <v>0</v>
      </c>
      <c r="L771" t="n">
        <v>0</v>
      </c>
      <c r="M771" t="n">
        <v>0</v>
      </c>
      <c r="N771" t="n">
        <v>0</v>
      </c>
      <c r="O771" t="n">
        <v>0</v>
      </c>
      <c r="P771" t="n">
        <v>0</v>
      </c>
      <c r="Q771" t="n">
        <v>0</v>
      </c>
      <c r="R771" s="2" t="inlineStr"/>
    </row>
    <row r="772" ht="15" customHeight="1">
      <c r="A772" t="inlineStr">
        <is>
          <t>A 23942-2024</t>
        </is>
      </c>
      <c r="B772" s="1" t="n">
        <v>45455.96350694444</v>
      </c>
      <c r="C772" s="1" t="n">
        <v>46048</v>
      </c>
      <c r="D772" t="inlineStr">
        <is>
          <t>JÄMTLANDS LÄN</t>
        </is>
      </c>
      <c r="E772" t="inlineStr">
        <is>
          <t>STRÖMSUND</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20871-2025</t>
        </is>
      </c>
      <c r="B773" s="1" t="n">
        <v>45777.34578703704</v>
      </c>
      <c r="C773" s="1" t="n">
        <v>46048</v>
      </c>
      <c r="D773" t="inlineStr">
        <is>
          <t>JÄMTLANDS LÄN</t>
        </is>
      </c>
      <c r="E773" t="inlineStr">
        <is>
          <t>STRÖMSUND</t>
        </is>
      </c>
      <c r="G773" t="n">
        <v>4</v>
      </c>
      <c r="H773" t="n">
        <v>0</v>
      </c>
      <c r="I773" t="n">
        <v>0</v>
      </c>
      <c r="J773" t="n">
        <v>0</v>
      </c>
      <c r="K773" t="n">
        <v>0</v>
      </c>
      <c r="L773" t="n">
        <v>0</v>
      </c>
      <c r="M773" t="n">
        <v>0</v>
      </c>
      <c r="N773" t="n">
        <v>0</v>
      </c>
      <c r="O773" t="n">
        <v>0</v>
      </c>
      <c r="P773" t="n">
        <v>0</v>
      </c>
      <c r="Q773" t="n">
        <v>0</v>
      </c>
      <c r="R773" s="2" t="inlineStr"/>
    </row>
    <row r="774" ht="15" customHeight="1">
      <c r="A774" t="inlineStr">
        <is>
          <t>A 30828-2023</t>
        </is>
      </c>
      <c r="B774" s="1" t="n">
        <v>45112.94333333334</v>
      </c>
      <c r="C774" s="1" t="n">
        <v>46048</v>
      </c>
      <c r="D774" t="inlineStr">
        <is>
          <t>JÄMTLANDS LÄN</t>
        </is>
      </c>
      <c r="E774" t="inlineStr">
        <is>
          <t>STRÖMSUND</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15522-2022</t>
        </is>
      </c>
      <c r="B775" s="1" t="n">
        <v>44662</v>
      </c>
      <c r="C775" s="1" t="n">
        <v>46048</v>
      </c>
      <c r="D775" t="inlineStr">
        <is>
          <t>JÄMTLANDS LÄN</t>
        </is>
      </c>
      <c r="E775" t="inlineStr">
        <is>
          <t>STRÖMSUND</t>
        </is>
      </c>
      <c r="G775" t="n">
        <v>41.8</v>
      </c>
      <c r="H775" t="n">
        <v>0</v>
      </c>
      <c r="I775" t="n">
        <v>0</v>
      </c>
      <c r="J775" t="n">
        <v>0</v>
      </c>
      <c r="K775" t="n">
        <v>0</v>
      </c>
      <c r="L775" t="n">
        <v>0</v>
      </c>
      <c r="M775" t="n">
        <v>0</v>
      </c>
      <c r="N775" t="n">
        <v>0</v>
      </c>
      <c r="O775" t="n">
        <v>0</v>
      </c>
      <c r="P775" t="n">
        <v>0</v>
      </c>
      <c r="Q775" t="n">
        <v>0</v>
      </c>
      <c r="R775" s="2" t="inlineStr"/>
    </row>
    <row r="776" ht="15" customHeight="1">
      <c r="A776" t="inlineStr">
        <is>
          <t>A 8133-2024</t>
        </is>
      </c>
      <c r="B776" s="1" t="n">
        <v>45349</v>
      </c>
      <c r="C776" s="1" t="n">
        <v>46048</v>
      </c>
      <c r="D776" t="inlineStr">
        <is>
          <t>JÄMTLANDS LÄN</t>
        </is>
      </c>
      <c r="E776" t="inlineStr">
        <is>
          <t>STRÖMSUND</t>
        </is>
      </c>
      <c r="G776" t="n">
        <v>1.8</v>
      </c>
      <c r="H776" t="n">
        <v>0</v>
      </c>
      <c r="I776" t="n">
        <v>0</v>
      </c>
      <c r="J776" t="n">
        <v>0</v>
      </c>
      <c r="K776" t="n">
        <v>0</v>
      </c>
      <c r="L776" t="n">
        <v>0</v>
      </c>
      <c r="M776" t="n">
        <v>0</v>
      </c>
      <c r="N776" t="n">
        <v>0</v>
      </c>
      <c r="O776" t="n">
        <v>0</v>
      </c>
      <c r="P776" t="n">
        <v>0</v>
      </c>
      <c r="Q776" t="n">
        <v>0</v>
      </c>
      <c r="R776" s="2" t="inlineStr"/>
    </row>
    <row r="777" ht="15" customHeight="1">
      <c r="A777" t="inlineStr">
        <is>
          <t>A 20667-2025</t>
        </is>
      </c>
      <c r="B777" s="1" t="n">
        <v>45776.42745370371</v>
      </c>
      <c r="C777" s="1" t="n">
        <v>46048</v>
      </c>
      <c r="D777" t="inlineStr">
        <is>
          <t>JÄMTLANDS LÄN</t>
        </is>
      </c>
      <c r="E777" t="inlineStr">
        <is>
          <t>STRÖMSUND</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36343-2024</t>
        </is>
      </c>
      <c r="B778" s="1" t="n">
        <v>45534.64329861111</v>
      </c>
      <c r="C778" s="1" t="n">
        <v>46048</v>
      </c>
      <c r="D778" t="inlineStr">
        <is>
          <t>JÄMTLANDS LÄN</t>
        </is>
      </c>
      <c r="E778" t="inlineStr">
        <is>
          <t>STRÖMSUND</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20814-2025</t>
        </is>
      </c>
      <c r="B779" s="1" t="n">
        <v>45776.67769675926</v>
      </c>
      <c r="C779" s="1" t="n">
        <v>46048</v>
      </c>
      <c r="D779" t="inlineStr">
        <is>
          <t>JÄMTLANDS LÄN</t>
        </is>
      </c>
      <c r="E779" t="inlineStr">
        <is>
          <t>STRÖMSUND</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34007-2023</t>
        </is>
      </c>
      <c r="B780" s="1" t="n">
        <v>45134.95141203704</v>
      </c>
      <c r="C780" s="1" t="n">
        <v>46048</v>
      </c>
      <c r="D780" t="inlineStr">
        <is>
          <t>JÄMTLANDS LÄN</t>
        </is>
      </c>
      <c r="E780" t="inlineStr">
        <is>
          <t>STRÖMSUND</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34008-2023</t>
        </is>
      </c>
      <c r="B781" s="1" t="n">
        <v>45134</v>
      </c>
      <c r="C781" s="1" t="n">
        <v>46048</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36311-2024</t>
        </is>
      </c>
      <c r="B782" s="1" t="n">
        <v>45534.63079861111</v>
      </c>
      <c r="C782" s="1" t="n">
        <v>46048</v>
      </c>
      <c r="D782" t="inlineStr">
        <is>
          <t>JÄMTLANDS LÄN</t>
        </is>
      </c>
      <c r="E782" t="inlineStr">
        <is>
          <t>STRÖMSUND</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41194-2022</t>
        </is>
      </c>
      <c r="B783" s="1" t="n">
        <v>44825.94982638889</v>
      </c>
      <c r="C783" s="1" t="n">
        <v>46048</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18780-2025</t>
        </is>
      </c>
      <c r="B784" s="1" t="n">
        <v>45763</v>
      </c>
      <c r="C784" s="1" t="n">
        <v>46048</v>
      </c>
      <c r="D784" t="inlineStr">
        <is>
          <t>JÄMTLANDS LÄN</t>
        </is>
      </c>
      <c r="E784" t="inlineStr">
        <is>
          <t>STRÖMSUND</t>
        </is>
      </c>
      <c r="G784" t="n">
        <v>3</v>
      </c>
      <c r="H784" t="n">
        <v>0</v>
      </c>
      <c r="I784" t="n">
        <v>0</v>
      </c>
      <c r="J784" t="n">
        <v>0</v>
      </c>
      <c r="K784" t="n">
        <v>0</v>
      </c>
      <c r="L784" t="n">
        <v>0</v>
      </c>
      <c r="M784" t="n">
        <v>0</v>
      </c>
      <c r="N784" t="n">
        <v>0</v>
      </c>
      <c r="O784" t="n">
        <v>0</v>
      </c>
      <c r="P784" t="n">
        <v>0</v>
      </c>
      <c r="Q784" t="n">
        <v>0</v>
      </c>
      <c r="R784" s="2" t="inlineStr"/>
    </row>
    <row r="785" ht="15" customHeight="1">
      <c r="A785" t="inlineStr">
        <is>
          <t>A 21701-2022</t>
        </is>
      </c>
      <c r="B785" s="1" t="n">
        <v>44707.93929398148</v>
      </c>
      <c r="C785" s="1" t="n">
        <v>46048</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46048</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20783-2025</t>
        </is>
      </c>
      <c r="B787" s="1" t="n">
        <v>45776.61612268518</v>
      </c>
      <c r="C787" s="1" t="n">
        <v>46048</v>
      </c>
      <c r="D787" t="inlineStr">
        <is>
          <t>JÄMTLANDS LÄN</t>
        </is>
      </c>
      <c r="E787" t="inlineStr">
        <is>
          <t>STRÖMSUND</t>
        </is>
      </c>
      <c r="G787" t="n">
        <v>4.8</v>
      </c>
      <c r="H787" t="n">
        <v>0</v>
      </c>
      <c r="I787" t="n">
        <v>0</v>
      </c>
      <c r="J787" t="n">
        <v>0</v>
      </c>
      <c r="K787" t="n">
        <v>0</v>
      </c>
      <c r="L787" t="n">
        <v>0</v>
      </c>
      <c r="M787" t="n">
        <v>0</v>
      </c>
      <c r="N787" t="n">
        <v>0</v>
      </c>
      <c r="O787" t="n">
        <v>0</v>
      </c>
      <c r="P787" t="n">
        <v>0</v>
      </c>
      <c r="Q787" t="n">
        <v>0</v>
      </c>
      <c r="R787" s="2" t="inlineStr"/>
    </row>
    <row r="788" ht="15" customHeight="1">
      <c r="A788" t="inlineStr">
        <is>
          <t>A 32873-2023</t>
        </is>
      </c>
      <c r="B788" s="1" t="n">
        <v>45112</v>
      </c>
      <c r="C788" s="1" t="n">
        <v>46048</v>
      </c>
      <c r="D788" t="inlineStr">
        <is>
          <t>JÄMTLANDS LÄN</t>
        </is>
      </c>
      <c r="E788" t="inlineStr">
        <is>
          <t>STRÖMSUND</t>
        </is>
      </c>
      <c r="F788" t="inlineStr">
        <is>
          <t>Kommuner</t>
        </is>
      </c>
      <c r="G788" t="n">
        <v>0.7</v>
      </c>
      <c r="H788" t="n">
        <v>0</v>
      </c>
      <c r="I788" t="n">
        <v>0</v>
      </c>
      <c r="J788" t="n">
        <v>0</v>
      </c>
      <c r="K788" t="n">
        <v>0</v>
      </c>
      <c r="L788" t="n">
        <v>0</v>
      </c>
      <c r="M788" t="n">
        <v>0</v>
      </c>
      <c r="N788" t="n">
        <v>0</v>
      </c>
      <c r="O788" t="n">
        <v>0</v>
      </c>
      <c r="P788" t="n">
        <v>0</v>
      </c>
      <c r="Q788" t="n">
        <v>0</v>
      </c>
      <c r="R788" s="2" t="inlineStr"/>
    </row>
    <row r="789" ht="15" customHeight="1">
      <c r="A789" t="inlineStr">
        <is>
          <t>A 20815-2025</t>
        </is>
      </c>
      <c r="B789" s="1" t="n">
        <v>45776.67771990741</v>
      </c>
      <c r="C789" s="1" t="n">
        <v>46048</v>
      </c>
      <c r="D789" t="inlineStr">
        <is>
          <t>JÄMTLANDS LÄN</t>
        </is>
      </c>
      <c r="E789" t="inlineStr">
        <is>
          <t>STRÖMSUND</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27642-2024</t>
        </is>
      </c>
      <c r="B790" s="1" t="n">
        <v>45474.94703703704</v>
      </c>
      <c r="C790" s="1" t="n">
        <v>46048</v>
      </c>
      <c r="D790" t="inlineStr">
        <is>
          <t>JÄMTLANDS LÄN</t>
        </is>
      </c>
      <c r="E790" t="inlineStr">
        <is>
          <t>STRÖMSUND</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8420-2024</t>
        </is>
      </c>
      <c r="B791" s="1" t="n">
        <v>45352</v>
      </c>
      <c r="C791" s="1" t="n">
        <v>46048</v>
      </c>
      <c r="D791" t="inlineStr">
        <is>
          <t>JÄMTLANDS LÄN</t>
        </is>
      </c>
      <c r="E791" t="inlineStr">
        <is>
          <t>STRÖMSUND</t>
        </is>
      </c>
      <c r="F791" t="inlineStr">
        <is>
          <t>SCA</t>
        </is>
      </c>
      <c r="G791" t="n">
        <v>9.800000000000001</v>
      </c>
      <c r="H791" t="n">
        <v>0</v>
      </c>
      <c r="I791" t="n">
        <v>0</v>
      </c>
      <c r="J791" t="n">
        <v>0</v>
      </c>
      <c r="K791" t="n">
        <v>0</v>
      </c>
      <c r="L791" t="n">
        <v>0</v>
      </c>
      <c r="M791" t="n">
        <v>0</v>
      </c>
      <c r="N791" t="n">
        <v>0</v>
      </c>
      <c r="O791" t="n">
        <v>0</v>
      </c>
      <c r="P791" t="n">
        <v>0</v>
      </c>
      <c r="Q791" t="n">
        <v>0</v>
      </c>
      <c r="R791" s="2" t="inlineStr"/>
      <c r="U791">
        <f>HYPERLINK("https://klasma.github.io/Logging_2313/knärot/A 8420-2024 karta knärot.png", "A 8420-2024")</f>
        <v/>
      </c>
      <c r="V791">
        <f>HYPERLINK("https://klasma.github.io/Logging_2313/klagomål/A 8420-2024 FSC-klagomål.docx", "A 8420-2024")</f>
        <v/>
      </c>
      <c r="W791">
        <f>HYPERLINK("https://klasma.github.io/Logging_2313/klagomålsmail/A 8420-2024 FSC-klagomål mail.docx", "A 8420-2024")</f>
        <v/>
      </c>
      <c r="X791">
        <f>HYPERLINK("https://klasma.github.io/Logging_2313/tillsyn/A 8420-2024 tillsynsbegäran.docx", "A 8420-2024")</f>
        <v/>
      </c>
      <c r="Y791">
        <f>HYPERLINK("https://klasma.github.io/Logging_2313/tillsynsmail/A 8420-2024 tillsynsbegäran mail.docx", "A 8420-2024")</f>
        <v/>
      </c>
    </row>
    <row r="792" ht="15" customHeight="1">
      <c r="A792" t="inlineStr">
        <is>
          <t>A 21180-2025</t>
        </is>
      </c>
      <c r="B792" s="1" t="n">
        <v>45779.43546296296</v>
      </c>
      <c r="C792" s="1" t="n">
        <v>46048</v>
      </c>
      <c r="D792" t="inlineStr">
        <is>
          <t>JÄMTLANDS LÄN</t>
        </is>
      </c>
      <c r="E792" t="inlineStr">
        <is>
          <t>STRÖMSUND</t>
        </is>
      </c>
      <c r="G792" t="n">
        <v>14.5</v>
      </c>
      <c r="H792" t="n">
        <v>0</v>
      </c>
      <c r="I792" t="n">
        <v>0</v>
      </c>
      <c r="J792" t="n">
        <v>0</v>
      </c>
      <c r="K792" t="n">
        <v>0</v>
      </c>
      <c r="L792" t="n">
        <v>0</v>
      </c>
      <c r="M792" t="n">
        <v>0</v>
      </c>
      <c r="N792" t="n">
        <v>0</v>
      </c>
      <c r="O792" t="n">
        <v>0</v>
      </c>
      <c r="P792" t="n">
        <v>0</v>
      </c>
      <c r="Q792" t="n">
        <v>0</v>
      </c>
      <c r="R792" s="2" t="inlineStr"/>
    </row>
    <row r="793" ht="15" customHeight="1">
      <c r="A793" t="inlineStr">
        <is>
          <t>A 26037-2024</t>
        </is>
      </c>
      <c r="B793" s="1" t="n">
        <v>45467.96422453703</v>
      </c>
      <c r="C793" s="1" t="n">
        <v>46048</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41940-2023</t>
        </is>
      </c>
      <c r="B794" s="1" t="n">
        <v>45176</v>
      </c>
      <c r="C794" s="1" t="n">
        <v>46048</v>
      </c>
      <c r="D794" t="inlineStr">
        <is>
          <t>JÄMTLANDS LÄN</t>
        </is>
      </c>
      <c r="E794" t="inlineStr">
        <is>
          <t>STRÖMSUND</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12869-2024</t>
        </is>
      </c>
      <c r="B795" s="1" t="n">
        <v>45384.9421412037</v>
      </c>
      <c r="C795" s="1" t="n">
        <v>46048</v>
      </c>
      <c r="D795" t="inlineStr">
        <is>
          <t>JÄMTLANDS LÄN</t>
        </is>
      </c>
      <c r="E795" t="inlineStr">
        <is>
          <t>STRÖMSUND</t>
        </is>
      </c>
      <c r="F795" t="inlineStr">
        <is>
          <t>SCA</t>
        </is>
      </c>
      <c r="G795" t="n">
        <v>9.1</v>
      </c>
      <c r="H795" t="n">
        <v>0</v>
      </c>
      <c r="I795" t="n">
        <v>0</v>
      </c>
      <c r="J795" t="n">
        <v>0</v>
      </c>
      <c r="K795" t="n">
        <v>0</v>
      </c>
      <c r="L795" t="n">
        <v>0</v>
      </c>
      <c r="M795" t="n">
        <v>0</v>
      </c>
      <c r="N795" t="n">
        <v>0</v>
      </c>
      <c r="O795" t="n">
        <v>0</v>
      </c>
      <c r="P795" t="n">
        <v>0</v>
      </c>
      <c r="Q795" t="n">
        <v>0</v>
      </c>
      <c r="R795" s="2" t="inlineStr"/>
    </row>
    <row r="796" ht="15" customHeight="1">
      <c r="A796" t="inlineStr">
        <is>
          <t>A 7714-2023</t>
        </is>
      </c>
      <c r="B796" s="1" t="n">
        <v>44972</v>
      </c>
      <c r="C796" s="1" t="n">
        <v>46048</v>
      </c>
      <c r="D796" t="inlineStr">
        <is>
          <t>JÄMTLANDS LÄN</t>
        </is>
      </c>
      <c r="E796" t="inlineStr">
        <is>
          <t>STRÖMSUND</t>
        </is>
      </c>
      <c r="G796" t="n">
        <v>23.9</v>
      </c>
      <c r="H796" t="n">
        <v>0</v>
      </c>
      <c r="I796" t="n">
        <v>0</v>
      </c>
      <c r="J796" t="n">
        <v>0</v>
      </c>
      <c r="K796" t="n">
        <v>0</v>
      </c>
      <c r="L796" t="n">
        <v>0</v>
      </c>
      <c r="M796" t="n">
        <v>0</v>
      </c>
      <c r="N796" t="n">
        <v>0</v>
      </c>
      <c r="O796" t="n">
        <v>0</v>
      </c>
      <c r="P796" t="n">
        <v>0</v>
      </c>
      <c r="Q796" t="n">
        <v>0</v>
      </c>
      <c r="R796" s="2" t="inlineStr"/>
    </row>
    <row r="797" ht="15" customHeight="1">
      <c r="A797" t="inlineStr">
        <is>
          <t>A 15064-2023</t>
        </is>
      </c>
      <c r="B797" s="1" t="n">
        <v>45015</v>
      </c>
      <c r="C797" s="1" t="n">
        <v>46048</v>
      </c>
      <c r="D797" t="inlineStr">
        <is>
          <t>JÄMTLANDS LÄN</t>
        </is>
      </c>
      <c r="E797" t="inlineStr">
        <is>
          <t>STRÖMSUND</t>
        </is>
      </c>
      <c r="G797" t="n">
        <v>4.4</v>
      </c>
      <c r="H797" t="n">
        <v>0</v>
      </c>
      <c r="I797" t="n">
        <v>0</v>
      </c>
      <c r="J797" t="n">
        <v>0</v>
      </c>
      <c r="K797" t="n">
        <v>0</v>
      </c>
      <c r="L797" t="n">
        <v>0</v>
      </c>
      <c r="M797" t="n">
        <v>0</v>
      </c>
      <c r="N797" t="n">
        <v>0</v>
      </c>
      <c r="O797" t="n">
        <v>0</v>
      </c>
      <c r="P797" t="n">
        <v>0</v>
      </c>
      <c r="Q797" t="n">
        <v>0</v>
      </c>
      <c r="R797" s="2" t="inlineStr"/>
    </row>
    <row r="798" ht="15" customHeight="1">
      <c r="A798" t="inlineStr">
        <is>
          <t>A 41292-2024</t>
        </is>
      </c>
      <c r="B798" s="1" t="n">
        <v>45559</v>
      </c>
      <c r="C798" s="1" t="n">
        <v>46048</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13236-2024</t>
        </is>
      </c>
      <c r="B799" s="1" t="n">
        <v>45386</v>
      </c>
      <c r="C799" s="1" t="n">
        <v>46048</v>
      </c>
      <c r="D799" t="inlineStr">
        <is>
          <t>JÄMTLANDS LÄN</t>
        </is>
      </c>
      <c r="E799" t="inlineStr">
        <is>
          <t>STRÖMSUND</t>
        </is>
      </c>
      <c r="G799" t="n">
        <v>12.1</v>
      </c>
      <c r="H799" t="n">
        <v>0</v>
      </c>
      <c r="I799" t="n">
        <v>0</v>
      </c>
      <c r="J799" t="n">
        <v>0</v>
      </c>
      <c r="K799" t="n">
        <v>0</v>
      </c>
      <c r="L799" t="n">
        <v>0</v>
      </c>
      <c r="M799" t="n">
        <v>0</v>
      </c>
      <c r="N799" t="n">
        <v>0</v>
      </c>
      <c r="O799" t="n">
        <v>0</v>
      </c>
      <c r="P799" t="n">
        <v>0</v>
      </c>
      <c r="Q799" t="n">
        <v>0</v>
      </c>
      <c r="R799" s="2" t="inlineStr"/>
    </row>
    <row r="800" ht="15" customHeight="1">
      <c r="A800" t="inlineStr">
        <is>
          <t>A 59334-2023</t>
        </is>
      </c>
      <c r="B800" s="1" t="n">
        <v>45252</v>
      </c>
      <c r="C800" s="1" t="n">
        <v>46048</v>
      </c>
      <c r="D800" t="inlineStr">
        <is>
          <t>JÄMTLANDS LÄN</t>
        </is>
      </c>
      <c r="E800" t="inlineStr">
        <is>
          <t>STRÖMSUND</t>
        </is>
      </c>
      <c r="G800" t="n">
        <v>8.4</v>
      </c>
      <c r="H800" t="n">
        <v>0</v>
      </c>
      <c r="I800" t="n">
        <v>0</v>
      </c>
      <c r="J800" t="n">
        <v>0</v>
      </c>
      <c r="K800" t="n">
        <v>0</v>
      </c>
      <c r="L800" t="n">
        <v>0</v>
      </c>
      <c r="M800" t="n">
        <v>0</v>
      </c>
      <c r="N800" t="n">
        <v>0</v>
      </c>
      <c r="O800" t="n">
        <v>0</v>
      </c>
      <c r="P800" t="n">
        <v>0</v>
      </c>
      <c r="Q800" t="n">
        <v>0</v>
      </c>
      <c r="R800" s="2" t="inlineStr"/>
    </row>
    <row r="801" ht="15" customHeight="1">
      <c r="A801" t="inlineStr">
        <is>
          <t>A 21129-2025</t>
        </is>
      </c>
      <c r="B801" s="1" t="n">
        <v>45778.34454861111</v>
      </c>
      <c r="C801" s="1" t="n">
        <v>46048</v>
      </c>
      <c r="D801" t="inlineStr">
        <is>
          <t>JÄMTLANDS LÄN</t>
        </is>
      </c>
      <c r="E801" t="inlineStr">
        <is>
          <t>STRÖMSUND</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1226-2024</t>
        </is>
      </c>
      <c r="B802" s="1" t="n">
        <v>45302</v>
      </c>
      <c r="C802" s="1" t="n">
        <v>46048</v>
      </c>
      <c r="D802" t="inlineStr">
        <is>
          <t>JÄMTLANDS LÄN</t>
        </is>
      </c>
      <c r="E802" t="inlineStr">
        <is>
          <t>STRÖMSUND</t>
        </is>
      </c>
      <c r="G802" t="n">
        <v>5.5</v>
      </c>
      <c r="H802" t="n">
        <v>0</v>
      </c>
      <c r="I802" t="n">
        <v>0</v>
      </c>
      <c r="J802" t="n">
        <v>0</v>
      </c>
      <c r="K802" t="n">
        <v>0</v>
      </c>
      <c r="L802" t="n">
        <v>0</v>
      </c>
      <c r="M802" t="n">
        <v>0</v>
      </c>
      <c r="N802" t="n">
        <v>0</v>
      </c>
      <c r="O802" t="n">
        <v>0</v>
      </c>
      <c r="P802" t="n">
        <v>0</v>
      </c>
      <c r="Q802" t="n">
        <v>0</v>
      </c>
      <c r="R802" s="2" t="inlineStr"/>
    </row>
    <row r="803" ht="15" customHeight="1">
      <c r="A803" t="inlineStr">
        <is>
          <t>A 60002-2022</t>
        </is>
      </c>
      <c r="B803" s="1" t="n">
        <v>44909</v>
      </c>
      <c r="C803" s="1" t="n">
        <v>46048</v>
      </c>
      <c r="D803" t="inlineStr">
        <is>
          <t>JÄMTLANDS LÄN</t>
        </is>
      </c>
      <c r="E803" t="inlineStr">
        <is>
          <t>STRÖMSUND</t>
        </is>
      </c>
      <c r="G803" t="n">
        <v>1.8</v>
      </c>
      <c r="H803" t="n">
        <v>0</v>
      </c>
      <c r="I803" t="n">
        <v>0</v>
      </c>
      <c r="J803" t="n">
        <v>0</v>
      </c>
      <c r="K803" t="n">
        <v>0</v>
      </c>
      <c r="L803" t="n">
        <v>0</v>
      </c>
      <c r="M803" t="n">
        <v>0</v>
      </c>
      <c r="N803" t="n">
        <v>0</v>
      </c>
      <c r="O803" t="n">
        <v>0</v>
      </c>
      <c r="P803" t="n">
        <v>0</v>
      </c>
      <c r="Q803" t="n">
        <v>0</v>
      </c>
      <c r="R803" s="2" t="inlineStr"/>
    </row>
    <row r="804" ht="15" customHeight="1">
      <c r="A804" t="inlineStr">
        <is>
          <t>A 40426-2024</t>
        </is>
      </c>
      <c r="B804" s="1" t="n">
        <v>45555</v>
      </c>
      <c r="C804" s="1" t="n">
        <v>46048</v>
      </c>
      <c r="D804" t="inlineStr">
        <is>
          <t>JÄMTLANDS LÄN</t>
        </is>
      </c>
      <c r="E804" t="inlineStr">
        <is>
          <t>STRÖMSUND</t>
        </is>
      </c>
      <c r="F804" t="inlineStr">
        <is>
          <t>SCA</t>
        </is>
      </c>
      <c r="G804" t="n">
        <v>0.2</v>
      </c>
      <c r="H804" t="n">
        <v>0</v>
      </c>
      <c r="I804" t="n">
        <v>0</v>
      </c>
      <c r="J804" t="n">
        <v>0</v>
      </c>
      <c r="K804" t="n">
        <v>0</v>
      </c>
      <c r="L804" t="n">
        <v>0</v>
      </c>
      <c r="M804" t="n">
        <v>0</v>
      </c>
      <c r="N804" t="n">
        <v>0</v>
      </c>
      <c r="O804" t="n">
        <v>0</v>
      </c>
      <c r="P804" t="n">
        <v>0</v>
      </c>
      <c r="Q804" t="n">
        <v>0</v>
      </c>
      <c r="R804" s="2" t="inlineStr"/>
    </row>
    <row r="805" ht="15" customHeight="1">
      <c r="A805" t="inlineStr">
        <is>
          <t>A 6414-2025</t>
        </is>
      </c>
      <c r="B805" s="1" t="n">
        <v>45699.46289351852</v>
      </c>
      <c r="C805" s="1" t="n">
        <v>46048</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1641-2023</t>
        </is>
      </c>
      <c r="B806" s="1" t="n">
        <v>44937.92457175926</v>
      </c>
      <c r="C806" s="1" t="n">
        <v>46048</v>
      </c>
      <c r="D806" t="inlineStr">
        <is>
          <t>JÄMTLANDS LÄN</t>
        </is>
      </c>
      <c r="E806" t="inlineStr">
        <is>
          <t>STRÖMSUND</t>
        </is>
      </c>
      <c r="G806" t="n">
        <v>3.2</v>
      </c>
      <c r="H806" t="n">
        <v>0</v>
      </c>
      <c r="I806" t="n">
        <v>0</v>
      </c>
      <c r="J806" t="n">
        <v>0</v>
      </c>
      <c r="K806" t="n">
        <v>0</v>
      </c>
      <c r="L806" t="n">
        <v>0</v>
      </c>
      <c r="M806" t="n">
        <v>0</v>
      </c>
      <c r="N806" t="n">
        <v>0</v>
      </c>
      <c r="O806" t="n">
        <v>0</v>
      </c>
      <c r="P806" t="n">
        <v>0</v>
      </c>
      <c r="Q806" t="n">
        <v>0</v>
      </c>
      <c r="R806" s="2" t="inlineStr"/>
    </row>
    <row r="807" ht="15" customHeight="1">
      <c r="A807" t="inlineStr">
        <is>
          <t>A 21682-2025</t>
        </is>
      </c>
      <c r="B807" s="1" t="n">
        <v>45783.49026620371</v>
      </c>
      <c r="C807" s="1" t="n">
        <v>46048</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21322-2025</t>
        </is>
      </c>
      <c r="B808" s="1" t="n">
        <v>45782.34524305556</v>
      </c>
      <c r="C808" s="1" t="n">
        <v>46048</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58449-2022</t>
        </is>
      </c>
      <c r="B809" s="1" t="n">
        <v>44901.95508101852</v>
      </c>
      <c r="C809" s="1" t="n">
        <v>46048</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21559-2025</t>
        </is>
      </c>
      <c r="B810" s="1" t="n">
        <v>45782.67873842592</v>
      </c>
      <c r="C810" s="1" t="n">
        <v>46048</v>
      </c>
      <c r="D810" t="inlineStr">
        <is>
          <t>JÄMTLANDS LÄN</t>
        </is>
      </c>
      <c r="E810" t="inlineStr">
        <is>
          <t>STRÖMSUND</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1801-2024</t>
        </is>
      </c>
      <c r="B811" s="1" t="n">
        <v>45307</v>
      </c>
      <c r="C811" s="1" t="n">
        <v>46048</v>
      </c>
      <c r="D811" t="inlineStr">
        <is>
          <t>JÄMTLANDS LÄN</t>
        </is>
      </c>
      <c r="E811" t="inlineStr">
        <is>
          <t>STRÖMSUND</t>
        </is>
      </c>
      <c r="G811" t="n">
        <v>2.9</v>
      </c>
      <c r="H811" t="n">
        <v>0</v>
      </c>
      <c r="I811" t="n">
        <v>0</v>
      </c>
      <c r="J811" t="n">
        <v>0</v>
      </c>
      <c r="K811" t="n">
        <v>0</v>
      </c>
      <c r="L811" t="n">
        <v>0</v>
      </c>
      <c r="M811" t="n">
        <v>0</v>
      </c>
      <c r="N811" t="n">
        <v>0</v>
      </c>
      <c r="O811" t="n">
        <v>0</v>
      </c>
      <c r="P811" t="n">
        <v>0</v>
      </c>
      <c r="Q811" t="n">
        <v>0</v>
      </c>
      <c r="R811" s="2" t="inlineStr"/>
    </row>
    <row r="812" ht="15" customHeight="1">
      <c r="A812" t="inlineStr">
        <is>
          <t>A 6693-2024</t>
        </is>
      </c>
      <c r="B812" s="1" t="n">
        <v>45341.95372685185</v>
      </c>
      <c r="C812" s="1" t="n">
        <v>46048</v>
      </c>
      <c r="D812" t="inlineStr">
        <is>
          <t>JÄMTLANDS LÄN</t>
        </is>
      </c>
      <c r="E812" t="inlineStr">
        <is>
          <t>STRÖMSUND</t>
        </is>
      </c>
      <c r="F812" t="inlineStr">
        <is>
          <t>SCA</t>
        </is>
      </c>
      <c r="G812" t="n">
        <v>14.2</v>
      </c>
      <c r="H812" t="n">
        <v>0</v>
      </c>
      <c r="I812" t="n">
        <v>0</v>
      </c>
      <c r="J812" t="n">
        <v>0</v>
      </c>
      <c r="K812" t="n">
        <v>0</v>
      </c>
      <c r="L812" t="n">
        <v>0</v>
      </c>
      <c r="M812" t="n">
        <v>0</v>
      </c>
      <c r="N812" t="n">
        <v>0</v>
      </c>
      <c r="O812" t="n">
        <v>0</v>
      </c>
      <c r="P812" t="n">
        <v>0</v>
      </c>
      <c r="Q812" t="n">
        <v>0</v>
      </c>
      <c r="R812" s="2" t="inlineStr"/>
    </row>
    <row r="813" ht="15" customHeight="1">
      <c r="A813" t="inlineStr">
        <is>
          <t>A 17975-2025</t>
        </is>
      </c>
      <c r="B813" s="1" t="n">
        <v>45761.36520833334</v>
      </c>
      <c r="C813" s="1" t="n">
        <v>46048</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21337-2025</t>
        </is>
      </c>
      <c r="B814" s="1" t="n">
        <v>45782.3819212963</v>
      </c>
      <c r="C814" s="1" t="n">
        <v>46048</v>
      </c>
      <c r="D814" t="inlineStr">
        <is>
          <t>JÄMTLANDS LÄN</t>
        </is>
      </c>
      <c r="E814" t="inlineStr">
        <is>
          <t>STRÖMSUND</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21407-2025</t>
        </is>
      </c>
      <c r="B815" s="1" t="n">
        <v>45782.49057870371</v>
      </c>
      <c r="C815" s="1" t="n">
        <v>46048</v>
      </c>
      <c r="D815" t="inlineStr">
        <is>
          <t>JÄMTLANDS LÄN</t>
        </is>
      </c>
      <c r="E815" t="inlineStr">
        <is>
          <t>STRÖMSUND</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28003-2023</t>
        </is>
      </c>
      <c r="B816" s="1" t="n">
        <v>45098.93894675926</v>
      </c>
      <c r="C816" s="1" t="n">
        <v>46048</v>
      </c>
      <c r="D816" t="inlineStr">
        <is>
          <t>JÄMTLANDS LÄN</t>
        </is>
      </c>
      <c r="E816" t="inlineStr">
        <is>
          <t>STRÖMSUND</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21353-2025</t>
        </is>
      </c>
      <c r="B817" s="1" t="n">
        <v>45782.41182870371</v>
      </c>
      <c r="C817" s="1" t="n">
        <v>46048</v>
      </c>
      <c r="D817" t="inlineStr">
        <is>
          <t>JÄMTLANDS LÄN</t>
        </is>
      </c>
      <c r="E817" t="inlineStr">
        <is>
          <t>STRÖMSUND</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60801-2021</t>
        </is>
      </c>
      <c r="B818" s="1" t="n">
        <v>44497.29736111111</v>
      </c>
      <c r="C818" s="1" t="n">
        <v>46048</v>
      </c>
      <c r="D818" t="inlineStr">
        <is>
          <t>JÄMTLANDS LÄN</t>
        </is>
      </c>
      <c r="E818" t="inlineStr">
        <is>
          <t>STRÖMSUND</t>
        </is>
      </c>
      <c r="G818" t="n">
        <v>2.7</v>
      </c>
      <c r="H818" t="n">
        <v>0</v>
      </c>
      <c r="I818" t="n">
        <v>0</v>
      </c>
      <c r="J818" t="n">
        <v>0</v>
      </c>
      <c r="K818" t="n">
        <v>0</v>
      </c>
      <c r="L818" t="n">
        <v>0</v>
      </c>
      <c r="M818" t="n">
        <v>0</v>
      </c>
      <c r="N818" t="n">
        <v>0</v>
      </c>
      <c r="O818" t="n">
        <v>0</v>
      </c>
      <c r="P818" t="n">
        <v>0</v>
      </c>
      <c r="Q818" t="n">
        <v>0</v>
      </c>
      <c r="R818" s="2" t="inlineStr"/>
    </row>
    <row r="819" ht="15" customHeight="1">
      <c r="A819" t="inlineStr">
        <is>
          <t>A 14147-2021</t>
        </is>
      </c>
      <c r="B819" s="1" t="n">
        <v>44278</v>
      </c>
      <c r="C819" s="1" t="n">
        <v>46048</v>
      </c>
      <c r="D819" t="inlineStr">
        <is>
          <t>JÄMTLANDS LÄN</t>
        </is>
      </c>
      <c r="E819" t="inlineStr">
        <is>
          <t>STRÖMSUND</t>
        </is>
      </c>
      <c r="G819" t="n">
        <v>3.9</v>
      </c>
      <c r="H819" t="n">
        <v>0</v>
      </c>
      <c r="I819" t="n">
        <v>0</v>
      </c>
      <c r="J819" t="n">
        <v>0</v>
      </c>
      <c r="K819" t="n">
        <v>0</v>
      </c>
      <c r="L819" t="n">
        <v>0</v>
      </c>
      <c r="M819" t="n">
        <v>0</v>
      </c>
      <c r="N819" t="n">
        <v>0</v>
      </c>
      <c r="O819" t="n">
        <v>0</v>
      </c>
      <c r="P819" t="n">
        <v>0</v>
      </c>
      <c r="Q819" t="n">
        <v>0</v>
      </c>
      <c r="R819" s="2" t="inlineStr"/>
    </row>
    <row r="820" ht="15" customHeight="1">
      <c r="A820" t="inlineStr">
        <is>
          <t>A 1642-2023</t>
        </is>
      </c>
      <c r="B820" s="1" t="n">
        <v>44937.92461805556</v>
      </c>
      <c r="C820" s="1" t="n">
        <v>46048</v>
      </c>
      <c r="D820" t="inlineStr">
        <is>
          <t>JÄMTLANDS LÄN</t>
        </is>
      </c>
      <c r="E820" t="inlineStr">
        <is>
          <t>STRÖMSUND</t>
        </is>
      </c>
      <c r="G820" t="n">
        <v>0.7</v>
      </c>
      <c r="H820" t="n">
        <v>0</v>
      </c>
      <c r="I820" t="n">
        <v>0</v>
      </c>
      <c r="J820" t="n">
        <v>0</v>
      </c>
      <c r="K820" t="n">
        <v>0</v>
      </c>
      <c r="L820" t="n">
        <v>0</v>
      </c>
      <c r="M820" t="n">
        <v>0</v>
      </c>
      <c r="N820" t="n">
        <v>0</v>
      </c>
      <c r="O820" t="n">
        <v>0</v>
      </c>
      <c r="P820" t="n">
        <v>0</v>
      </c>
      <c r="Q820" t="n">
        <v>0</v>
      </c>
      <c r="R820" s="2" t="inlineStr"/>
    </row>
    <row r="821" ht="15" customHeight="1">
      <c r="A821" t="inlineStr">
        <is>
          <t>A 19261-2023</t>
        </is>
      </c>
      <c r="B821" s="1" t="n">
        <v>45048</v>
      </c>
      <c r="C821" s="1" t="n">
        <v>46048</v>
      </c>
      <c r="D821" t="inlineStr">
        <is>
          <t>JÄMTLANDS LÄN</t>
        </is>
      </c>
      <c r="E821" t="inlineStr">
        <is>
          <t>STRÖMSUND</t>
        </is>
      </c>
      <c r="G821" t="n">
        <v>17.2</v>
      </c>
      <c r="H821" t="n">
        <v>0</v>
      </c>
      <c r="I821" t="n">
        <v>0</v>
      </c>
      <c r="J821" t="n">
        <v>0</v>
      </c>
      <c r="K821" t="n">
        <v>0</v>
      </c>
      <c r="L821" t="n">
        <v>0</v>
      </c>
      <c r="M821" t="n">
        <v>0</v>
      </c>
      <c r="N821" t="n">
        <v>0</v>
      </c>
      <c r="O821" t="n">
        <v>0</v>
      </c>
      <c r="P821" t="n">
        <v>0</v>
      </c>
      <c r="Q821" t="n">
        <v>0</v>
      </c>
      <c r="R821" s="2" t="inlineStr"/>
    </row>
    <row r="822" ht="15" customHeight="1">
      <c r="A822" t="inlineStr">
        <is>
          <t>A 46394-2024</t>
        </is>
      </c>
      <c r="B822" s="1" t="n">
        <v>45582.4071875</v>
      </c>
      <c r="C822" s="1" t="n">
        <v>46048</v>
      </c>
      <c r="D822" t="inlineStr">
        <is>
          <t>JÄMTLANDS LÄN</t>
        </is>
      </c>
      <c r="E822" t="inlineStr">
        <is>
          <t>STRÖMSUND</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4050-2023</t>
        </is>
      </c>
      <c r="B823" s="1" t="n">
        <v>44952.60730324074</v>
      </c>
      <c r="C823" s="1" t="n">
        <v>46048</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17030-2025</t>
        </is>
      </c>
      <c r="B824" s="1" t="n">
        <v>45755.57325231482</v>
      </c>
      <c r="C824" s="1" t="n">
        <v>46048</v>
      </c>
      <c r="D824" t="inlineStr">
        <is>
          <t>JÄMTLANDS LÄN</t>
        </is>
      </c>
      <c r="E824" t="inlineStr">
        <is>
          <t>STRÖMSUND</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15407-2022</t>
        </is>
      </c>
      <c r="B825" s="1" t="n">
        <v>44662</v>
      </c>
      <c r="C825" s="1" t="n">
        <v>46048</v>
      </c>
      <c r="D825" t="inlineStr">
        <is>
          <t>JÄMTLANDS LÄN</t>
        </is>
      </c>
      <c r="E825" t="inlineStr">
        <is>
          <t>STRÖMSUND</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14072-2023</t>
        </is>
      </c>
      <c r="B826" s="1" t="n">
        <v>45009.08899305556</v>
      </c>
      <c r="C826" s="1" t="n">
        <v>46048</v>
      </c>
      <c r="D826" t="inlineStr">
        <is>
          <t>JÄMTLANDS LÄN</t>
        </is>
      </c>
      <c r="E826" t="inlineStr">
        <is>
          <t>STRÖMSUND</t>
        </is>
      </c>
      <c r="F826" t="inlineStr">
        <is>
          <t>SCA</t>
        </is>
      </c>
      <c r="G826" t="n">
        <v>24.8</v>
      </c>
      <c r="H826" t="n">
        <v>0</v>
      </c>
      <c r="I826" t="n">
        <v>0</v>
      </c>
      <c r="J826" t="n">
        <v>0</v>
      </c>
      <c r="K826" t="n">
        <v>0</v>
      </c>
      <c r="L826" t="n">
        <v>0</v>
      </c>
      <c r="M826" t="n">
        <v>0</v>
      </c>
      <c r="N826" t="n">
        <v>0</v>
      </c>
      <c r="O826" t="n">
        <v>0</v>
      </c>
      <c r="P826" t="n">
        <v>0</v>
      </c>
      <c r="Q826" t="n">
        <v>0</v>
      </c>
      <c r="R826" s="2" t="inlineStr"/>
    </row>
    <row r="827" ht="15" customHeight="1">
      <c r="A827" t="inlineStr">
        <is>
          <t>A 6773-2023</t>
        </is>
      </c>
      <c r="B827" s="1" t="n">
        <v>44966.93340277778</v>
      </c>
      <c r="C827" s="1" t="n">
        <v>46048</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53143-2022</t>
        </is>
      </c>
      <c r="B828" s="1" t="n">
        <v>44876</v>
      </c>
      <c r="C828" s="1" t="n">
        <v>46048</v>
      </c>
      <c r="D828" t="inlineStr">
        <is>
          <t>JÄMTLANDS LÄN</t>
        </is>
      </c>
      <c r="E828" t="inlineStr">
        <is>
          <t>STRÖMSUND</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22476-2023</t>
        </is>
      </c>
      <c r="B829" s="1" t="n">
        <v>45070</v>
      </c>
      <c r="C829" s="1" t="n">
        <v>46048</v>
      </c>
      <c r="D829" t="inlineStr">
        <is>
          <t>JÄMTLANDS LÄN</t>
        </is>
      </c>
      <c r="E829" t="inlineStr">
        <is>
          <t>STRÖMSUND</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21557-2025</t>
        </is>
      </c>
      <c r="B830" s="1" t="n">
        <v>45782.67844907408</v>
      </c>
      <c r="C830" s="1" t="n">
        <v>46048</v>
      </c>
      <c r="D830" t="inlineStr">
        <is>
          <t>JÄMTLANDS LÄN</t>
        </is>
      </c>
      <c r="E830" t="inlineStr">
        <is>
          <t>STRÖMSUND</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21633-2025</t>
        </is>
      </c>
      <c r="B831" s="1" t="n">
        <v>45783.42767361111</v>
      </c>
      <c r="C831" s="1" t="n">
        <v>46048</v>
      </c>
      <c r="D831" t="inlineStr">
        <is>
          <t>JÄMTLANDS LÄN</t>
        </is>
      </c>
      <c r="E831" t="inlineStr">
        <is>
          <t>STRÖMSUND</t>
        </is>
      </c>
      <c r="G831" t="n">
        <v>2.6</v>
      </c>
      <c r="H831" t="n">
        <v>0</v>
      </c>
      <c r="I831" t="n">
        <v>0</v>
      </c>
      <c r="J831" t="n">
        <v>0</v>
      </c>
      <c r="K831" t="n">
        <v>0</v>
      </c>
      <c r="L831" t="n">
        <v>0</v>
      </c>
      <c r="M831" t="n">
        <v>0</v>
      </c>
      <c r="N831" t="n">
        <v>0</v>
      </c>
      <c r="O831" t="n">
        <v>0</v>
      </c>
      <c r="P831" t="n">
        <v>0</v>
      </c>
      <c r="Q831" t="n">
        <v>0</v>
      </c>
      <c r="R831" s="2" t="inlineStr"/>
    </row>
    <row r="832" ht="15" customHeight="1">
      <c r="A832" t="inlineStr">
        <is>
          <t>A 30284-2023</t>
        </is>
      </c>
      <c r="B832" s="1" t="n">
        <v>45110</v>
      </c>
      <c r="C832" s="1" t="n">
        <v>46048</v>
      </c>
      <c r="D832" t="inlineStr">
        <is>
          <t>JÄMTLANDS LÄN</t>
        </is>
      </c>
      <c r="E832" t="inlineStr">
        <is>
          <t>STRÖMSUND</t>
        </is>
      </c>
      <c r="G832" t="n">
        <v>4</v>
      </c>
      <c r="H832" t="n">
        <v>0</v>
      </c>
      <c r="I832" t="n">
        <v>0</v>
      </c>
      <c r="J832" t="n">
        <v>0</v>
      </c>
      <c r="K832" t="n">
        <v>0</v>
      </c>
      <c r="L832" t="n">
        <v>0</v>
      </c>
      <c r="M832" t="n">
        <v>0</v>
      </c>
      <c r="N832" t="n">
        <v>0</v>
      </c>
      <c r="O832" t="n">
        <v>0</v>
      </c>
      <c r="P832" t="n">
        <v>0</v>
      </c>
      <c r="Q832" t="n">
        <v>0</v>
      </c>
      <c r="R832" s="2" t="inlineStr"/>
    </row>
    <row r="833" ht="15" customHeight="1">
      <c r="A833" t="inlineStr">
        <is>
          <t>A 59742-2023</t>
        </is>
      </c>
      <c r="B833" s="1" t="n">
        <v>45257.3837037037</v>
      </c>
      <c r="C833" s="1" t="n">
        <v>46048</v>
      </c>
      <c r="D833" t="inlineStr">
        <is>
          <t>JÄMTLANDS LÄN</t>
        </is>
      </c>
      <c r="E833" t="inlineStr">
        <is>
          <t>STRÖMSUND</t>
        </is>
      </c>
      <c r="F833" t="inlineStr">
        <is>
          <t>Sveaskog</t>
        </is>
      </c>
      <c r="G833" t="n">
        <v>7.6</v>
      </c>
      <c r="H833" t="n">
        <v>0</v>
      </c>
      <c r="I833" t="n">
        <v>0</v>
      </c>
      <c r="J833" t="n">
        <v>0</v>
      </c>
      <c r="K833" t="n">
        <v>0</v>
      </c>
      <c r="L833" t="n">
        <v>0</v>
      </c>
      <c r="M833" t="n">
        <v>0</v>
      </c>
      <c r="N833" t="n">
        <v>0</v>
      </c>
      <c r="O833" t="n">
        <v>0</v>
      </c>
      <c r="P833" t="n">
        <v>0</v>
      </c>
      <c r="Q833" t="n">
        <v>0</v>
      </c>
      <c r="R833" s="2" t="inlineStr"/>
    </row>
    <row r="834" ht="15" customHeight="1">
      <c r="A834" t="inlineStr">
        <is>
          <t>A 7260-2022</t>
        </is>
      </c>
      <c r="B834" s="1" t="n">
        <v>44606</v>
      </c>
      <c r="C834" s="1" t="n">
        <v>46048</v>
      </c>
      <c r="D834" t="inlineStr">
        <is>
          <t>JÄMTLANDS LÄN</t>
        </is>
      </c>
      <c r="E834" t="inlineStr">
        <is>
          <t>STRÖMSUND</t>
        </is>
      </c>
      <c r="F834" t="inlineStr">
        <is>
          <t>SCA</t>
        </is>
      </c>
      <c r="G834" t="n">
        <v>76.40000000000001</v>
      </c>
      <c r="H834" t="n">
        <v>0</v>
      </c>
      <c r="I834" t="n">
        <v>0</v>
      </c>
      <c r="J834" t="n">
        <v>0</v>
      </c>
      <c r="K834" t="n">
        <v>0</v>
      </c>
      <c r="L834" t="n">
        <v>0</v>
      </c>
      <c r="M834" t="n">
        <v>0</v>
      </c>
      <c r="N834" t="n">
        <v>0</v>
      </c>
      <c r="O834" t="n">
        <v>0</v>
      </c>
      <c r="P834" t="n">
        <v>0</v>
      </c>
      <c r="Q834" t="n">
        <v>0</v>
      </c>
      <c r="R834" s="2" t="inlineStr"/>
    </row>
    <row r="835" ht="15" customHeight="1">
      <c r="A835" t="inlineStr">
        <is>
          <t>A 48476-2023</t>
        </is>
      </c>
      <c r="B835" s="1" t="n">
        <v>45206</v>
      </c>
      <c r="C835" s="1" t="n">
        <v>46048</v>
      </c>
      <c r="D835" t="inlineStr">
        <is>
          <t>JÄMTLANDS LÄN</t>
        </is>
      </c>
      <c r="E835" t="inlineStr">
        <is>
          <t>STRÖMSUND</t>
        </is>
      </c>
      <c r="F835" t="inlineStr">
        <is>
          <t>SCA</t>
        </is>
      </c>
      <c r="G835" t="n">
        <v>16.7</v>
      </c>
      <c r="H835" t="n">
        <v>0</v>
      </c>
      <c r="I835" t="n">
        <v>0</v>
      </c>
      <c r="J835" t="n">
        <v>0</v>
      </c>
      <c r="K835" t="n">
        <v>0</v>
      </c>
      <c r="L835" t="n">
        <v>0</v>
      </c>
      <c r="M835" t="n">
        <v>0</v>
      </c>
      <c r="N835" t="n">
        <v>0</v>
      </c>
      <c r="O835" t="n">
        <v>0</v>
      </c>
      <c r="P835" t="n">
        <v>0</v>
      </c>
      <c r="Q835" t="n">
        <v>0</v>
      </c>
      <c r="R835" s="2" t="inlineStr"/>
    </row>
    <row r="836" ht="15" customHeight="1">
      <c r="A836" t="inlineStr">
        <is>
          <t>A 44969-2023</t>
        </is>
      </c>
      <c r="B836" s="1" t="n">
        <v>45190.92511574074</v>
      </c>
      <c r="C836" s="1" t="n">
        <v>46048</v>
      </c>
      <c r="D836" t="inlineStr">
        <is>
          <t>JÄMTLANDS LÄN</t>
        </is>
      </c>
      <c r="E836" t="inlineStr">
        <is>
          <t>STRÖMSUND</t>
        </is>
      </c>
      <c r="G836" t="n">
        <v>2.8</v>
      </c>
      <c r="H836" t="n">
        <v>0</v>
      </c>
      <c r="I836" t="n">
        <v>0</v>
      </c>
      <c r="J836" t="n">
        <v>0</v>
      </c>
      <c r="K836" t="n">
        <v>0</v>
      </c>
      <c r="L836" t="n">
        <v>0</v>
      </c>
      <c r="M836" t="n">
        <v>0</v>
      </c>
      <c r="N836" t="n">
        <v>0</v>
      </c>
      <c r="O836" t="n">
        <v>0</v>
      </c>
      <c r="P836" t="n">
        <v>0</v>
      </c>
      <c r="Q836" t="n">
        <v>0</v>
      </c>
      <c r="R836" s="2" t="inlineStr"/>
    </row>
    <row r="837" ht="15" customHeight="1">
      <c r="A837" t="inlineStr">
        <is>
          <t>A 44995-2023</t>
        </is>
      </c>
      <c r="B837" s="1" t="n">
        <v>45190.95940972222</v>
      </c>
      <c r="C837" s="1" t="n">
        <v>46048</v>
      </c>
      <c r="D837" t="inlineStr">
        <is>
          <t>JÄMTLANDS LÄN</t>
        </is>
      </c>
      <c r="E837" t="inlineStr">
        <is>
          <t>STRÖMSUND</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29069-2023</t>
        </is>
      </c>
      <c r="B838" s="1" t="n">
        <v>45104.94112268519</v>
      </c>
      <c r="C838" s="1" t="n">
        <v>46048</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14043-2022</t>
        </is>
      </c>
      <c r="B839" s="1" t="n">
        <v>44650</v>
      </c>
      <c r="C839" s="1" t="n">
        <v>46048</v>
      </c>
      <c r="D839" t="inlineStr">
        <is>
          <t>JÄMTLANDS LÄN</t>
        </is>
      </c>
      <c r="E839" t="inlineStr">
        <is>
          <t>STRÖMSUND</t>
        </is>
      </c>
      <c r="G839" t="n">
        <v>11.6</v>
      </c>
      <c r="H839" t="n">
        <v>0</v>
      </c>
      <c r="I839" t="n">
        <v>0</v>
      </c>
      <c r="J839" t="n">
        <v>0</v>
      </c>
      <c r="K839" t="n">
        <v>0</v>
      </c>
      <c r="L839" t="n">
        <v>0</v>
      </c>
      <c r="M839" t="n">
        <v>0</v>
      </c>
      <c r="N839" t="n">
        <v>0</v>
      </c>
      <c r="O839" t="n">
        <v>0</v>
      </c>
      <c r="P839" t="n">
        <v>0</v>
      </c>
      <c r="Q839" t="n">
        <v>0</v>
      </c>
      <c r="R839" s="2" t="inlineStr"/>
    </row>
    <row r="840" ht="15" customHeight="1">
      <c r="A840" t="inlineStr">
        <is>
          <t>A 22071-2025</t>
        </is>
      </c>
      <c r="B840" s="1" t="n">
        <v>45785.40689814815</v>
      </c>
      <c r="C840" s="1" t="n">
        <v>46048</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35746-2024</t>
        </is>
      </c>
      <c r="B841" s="1" t="n">
        <v>45532</v>
      </c>
      <c r="C841" s="1" t="n">
        <v>46048</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22093-2025</t>
        </is>
      </c>
      <c r="B842" s="1" t="n">
        <v>45784</v>
      </c>
      <c r="C842" s="1" t="n">
        <v>46048</v>
      </c>
      <c r="D842" t="inlineStr">
        <is>
          <t>JÄMTLANDS LÄN</t>
        </is>
      </c>
      <c r="E842" t="inlineStr">
        <is>
          <t>STRÖMSUND</t>
        </is>
      </c>
      <c r="G842" t="n">
        <v>13.7</v>
      </c>
      <c r="H842" t="n">
        <v>0</v>
      </c>
      <c r="I842" t="n">
        <v>0</v>
      </c>
      <c r="J842" t="n">
        <v>0</v>
      </c>
      <c r="K842" t="n">
        <v>0</v>
      </c>
      <c r="L842" t="n">
        <v>0</v>
      </c>
      <c r="M842" t="n">
        <v>0</v>
      </c>
      <c r="N842" t="n">
        <v>0</v>
      </c>
      <c r="O842" t="n">
        <v>0</v>
      </c>
      <c r="P842" t="n">
        <v>0</v>
      </c>
      <c r="Q842" t="n">
        <v>0</v>
      </c>
      <c r="R842" s="2" t="inlineStr"/>
    </row>
    <row r="843" ht="15" customHeight="1">
      <c r="A843" t="inlineStr">
        <is>
          <t>A 45251-2024</t>
        </is>
      </c>
      <c r="B843" s="1" t="n">
        <v>45576.32583333334</v>
      </c>
      <c r="C843" s="1" t="n">
        <v>46048</v>
      </c>
      <c r="D843" t="inlineStr">
        <is>
          <t>JÄMTLANDS LÄN</t>
        </is>
      </c>
      <c r="E843" t="inlineStr">
        <is>
          <t>STRÖMSUND</t>
        </is>
      </c>
      <c r="F843" t="inlineStr">
        <is>
          <t>Sveaskog</t>
        </is>
      </c>
      <c r="G843" t="n">
        <v>7.4</v>
      </c>
      <c r="H843" t="n">
        <v>0</v>
      </c>
      <c r="I843" t="n">
        <v>0</v>
      </c>
      <c r="J843" t="n">
        <v>0</v>
      </c>
      <c r="K843" t="n">
        <v>0</v>
      </c>
      <c r="L843" t="n">
        <v>0</v>
      </c>
      <c r="M843" t="n">
        <v>0</v>
      </c>
      <c r="N843" t="n">
        <v>0</v>
      </c>
      <c r="O843" t="n">
        <v>0</v>
      </c>
      <c r="P843" t="n">
        <v>0</v>
      </c>
      <c r="Q843" t="n">
        <v>0</v>
      </c>
      <c r="R843" s="2" t="inlineStr"/>
    </row>
    <row r="844" ht="15" customHeight="1">
      <c r="A844" t="inlineStr">
        <is>
          <t>A 22070-2025</t>
        </is>
      </c>
      <c r="B844" s="1" t="n">
        <v>45785.40671296296</v>
      </c>
      <c r="C844" s="1" t="n">
        <v>46048</v>
      </c>
      <c r="D844" t="inlineStr">
        <is>
          <t>JÄMTLANDS LÄN</t>
        </is>
      </c>
      <c r="E844" t="inlineStr">
        <is>
          <t>STRÖMSUND</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54598-2023</t>
        </is>
      </c>
      <c r="B845" s="1" t="n">
        <v>45233.92585648148</v>
      </c>
      <c r="C845" s="1" t="n">
        <v>46048</v>
      </c>
      <c r="D845" t="inlineStr">
        <is>
          <t>JÄMTLANDS LÄN</t>
        </is>
      </c>
      <c r="E845" t="inlineStr">
        <is>
          <t>STRÖMSUND</t>
        </is>
      </c>
      <c r="G845" t="n">
        <v>2.4</v>
      </c>
      <c r="H845" t="n">
        <v>0</v>
      </c>
      <c r="I845" t="n">
        <v>0</v>
      </c>
      <c r="J845" t="n">
        <v>0</v>
      </c>
      <c r="K845" t="n">
        <v>0</v>
      </c>
      <c r="L845" t="n">
        <v>0</v>
      </c>
      <c r="M845" t="n">
        <v>0</v>
      </c>
      <c r="N845" t="n">
        <v>0</v>
      </c>
      <c r="O845" t="n">
        <v>0</v>
      </c>
      <c r="P845" t="n">
        <v>0</v>
      </c>
      <c r="Q845" t="n">
        <v>0</v>
      </c>
      <c r="R845" s="2" t="inlineStr"/>
    </row>
    <row r="846" ht="15" customHeight="1">
      <c r="A846" t="inlineStr">
        <is>
          <t>A 32451-2024</t>
        </is>
      </c>
      <c r="B846" s="1" t="n">
        <v>45512.95784722222</v>
      </c>
      <c r="C846" s="1" t="n">
        <v>46048</v>
      </c>
      <c r="D846" t="inlineStr">
        <is>
          <t>JÄMTLANDS LÄN</t>
        </is>
      </c>
      <c r="E846" t="inlineStr">
        <is>
          <t>STRÖMSUND</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21971-2025</t>
        </is>
      </c>
      <c r="B847" s="1" t="n">
        <v>45784.63574074074</v>
      </c>
      <c r="C847" s="1" t="n">
        <v>46048</v>
      </c>
      <c r="D847" t="inlineStr">
        <is>
          <t>JÄMTLANDS LÄN</t>
        </is>
      </c>
      <c r="E847" t="inlineStr">
        <is>
          <t>STRÖMSUND</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31497-2023</t>
        </is>
      </c>
      <c r="B848" s="1" t="n">
        <v>45114.94144675926</v>
      </c>
      <c r="C848" s="1" t="n">
        <v>46048</v>
      </c>
      <c r="D848" t="inlineStr">
        <is>
          <t>JÄMTLANDS LÄN</t>
        </is>
      </c>
      <c r="E848" t="inlineStr">
        <is>
          <t>STRÖMSUND</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22001-2025</t>
        </is>
      </c>
      <c r="B849" s="1" t="n">
        <v>45784.69862268519</v>
      </c>
      <c r="C849" s="1" t="n">
        <v>46048</v>
      </c>
      <c r="D849" t="inlineStr">
        <is>
          <t>JÄMTLANDS LÄN</t>
        </is>
      </c>
      <c r="E849" t="inlineStr">
        <is>
          <t>STRÖMSUND</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48775-2023</t>
        </is>
      </c>
      <c r="B850" s="1" t="n">
        <v>45208.949375</v>
      </c>
      <c r="C850" s="1" t="n">
        <v>46048</v>
      </c>
      <c r="D850" t="inlineStr">
        <is>
          <t>JÄMTLANDS LÄN</t>
        </is>
      </c>
      <c r="E850" t="inlineStr">
        <is>
          <t>STRÖMSUND</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22238-2025</t>
        </is>
      </c>
      <c r="B851" s="1" t="n">
        <v>45785.67763888889</v>
      </c>
      <c r="C851" s="1" t="n">
        <v>46048</v>
      </c>
      <c r="D851" t="inlineStr">
        <is>
          <t>JÄMTLANDS LÄN</t>
        </is>
      </c>
      <c r="E851" t="inlineStr">
        <is>
          <t>STRÖMSUND</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56426-2024</t>
        </is>
      </c>
      <c r="B852" s="1" t="n">
        <v>45624</v>
      </c>
      <c r="C852" s="1" t="n">
        <v>46048</v>
      </c>
      <c r="D852" t="inlineStr">
        <is>
          <t>JÄMTLANDS LÄN</t>
        </is>
      </c>
      <c r="E852" t="inlineStr">
        <is>
          <t>STRÖMSUND</t>
        </is>
      </c>
      <c r="G852" t="n">
        <v>16.2</v>
      </c>
      <c r="H852" t="n">
        <v>0</v>
      </c>
      <c r="I852" t="n">
        <v>0</v>
      </c>
      <c r="J852" t="n">
        <v>0</v>
      </c>
      <c r="K852" t="n">
        <v>0</v>
      </c>
      <c r="L852" t="n">
        <v>0</v>
      </c>
      <c r="M852" t="n">
        <v>0</v>
      </c>
      <c r="N852" t="n">
        <v>0</v>
      </c>
      <c r="O852" t="n">
        <v>0</v>
      </c>
      <c r="P852" t="n">
        <v>0</v>
      </c>
      <c r="Q852" t="n">
        <v>0</v>
      </c>
      <c r="R852" s="2" t="inlineStr"/>
    </row>
    <row r="853" ht="15" customHeight="1">
      <c r="A853" t="inlineStr">
        <is>
          <t>A 48936-2024</t>
        </is>
      </c>
      <c r="B853" s="1" t="n">
        <v>45594</v>
      </c>
      <c r="C853" s="1" t="n">
        <v>46048</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42385-2024</t>
        </is>
      </c>
      <c r="B854" s="1" t="n">
        <v>45562</v>
      </c>
      <c r="C854" s="1" t="n">
        <v>46048</v>
      </c>
      <c r="D854" t="inlineStr">
        <is>
          <t>JÄMTLANDS LÄN</t>
        </is>
      </c>
      <c r="E854" t="inlineStr">
        <is>
          <t>STRÖMSUND</t>
        </is>
      </c>
      <c r="F854" t="inlineStr">
        <is>
          <t>Övriga statliga verk och myndigheter</t>
        </is>
      </c>
      <c r="G854" t="n">
        <v>4.1</v>
      </c>
      <c r="H854" t="n">
        <v>0</v>
      </c>
      <c r="I854" t="n">
        <v>0</v>
      </c>
      <c r="J854" t="n">
        <v>0</v>
      </c>
      <c r="K854" t="n">
        <v>0</v>
      </c>
      <c r="L854" t="n">
        <v>0</v>
      </c>
      <c r="M854" t="n">
        <v>0</v>
      </c>
      <c r="N854" t="n">
        <v>0</v>
      </c>
      <c r="O854" t="n">
        <v>0</v>
      </c>
      <c r="P854" t="n">
        <v>0</v>
      </c>
      <c r="Q854" t="n">
        <v>0</v>
      </c>
      <c r="R854" s="2" t="inlineStr"/>
      <c r="T854">
        <f>HYPERLINK("https://klasma.github.io/Logging_2313/kartor/A 42385-2024 karta.png", "A 42385-2024")</f>
        <v/>
      </c>
      <c r="V854">
        <f>HYPERLINK("https://klasma.github.io/Logging_2313/klagomål/A 42385-2024 FSC-klagomål.docx", "A 42385-2024")</f>
        <v/>
      </c>
      <c r="W854">
        <f>HYPERLINK("https://klasma.github.io/Logging_2313/klagomålsmail/A 42385-2024 FSC-klagomål mail.docx", "A 42385-2024")</f>
        <v/>
      </c>
      <c r="X854">
        <f>HYPERLINK("https://klasma.github.io/Logging_2313/tillsyn/A 42385-2024 tillsynsbegäran.docx", "A 42385-2024")</f>
        <v/>
      </c>
      <c r="Y854">
        <f>HYPERLINK("https://klasma.github.io/Logging_2313/tillsynsmail/A 42385-2024 tillsynsbegäran mail.docx", "A 42385-2024")</f>
        <v/>
      </c>
    </row>
    <row r="855" ht="15" customHeight="1">
      <c r="A855" t="inlineStr">
        <is>
          <t>A 22239-2025</t>
        </is>
      </c>
      <c r="B855" s="1" t="n">
        <v>45785.67766203704</v>
      </c>
      <c r="C855" s="1" t="n">
        <v>46048</v>
      </c>
      <c r="D855" t="inlineStr">
        <is>
          <t>JÄMTLANDS LÄN</t>
        </is>
      </c>
      <c r="E855" t="inlineStr">
        <is>
          <t>STRÖMSUND</t>
        </is>
      </c>
      <c r="F855" t="inlineStr">
        <is>
          <t>SCA</t>
        </is>
      </c>
      <c r="G855" t="n">
        <v>0.3</v>
      </c>
      <c r="H855" t="n">
        <v>0</v>
      </c>
      <c r="I855" t="n">
        <v>0</v>
      </c>
      <c r="J855" t="n">
        <v>0</v>
      </c>
      <c r="K855" t="n">
        <v>0</v>
      </c>
      <c r="L855" t="n">
        <v>0</v>
      </c>
      <c r="M855" t="n">
        <v>0</v>
      </c>
      <c r="N855" t="n">
        <v>0</v>
      </c>
      <c r="O855" t="n">
        <v>0</v>
      </c>
      <c r="P855" t="n">
        <v>0</v>
      </c>
      <c r="Q855" t="n">
        <v>0</v>
      </c>
      <c r="R855" s="2" t="inlineStr"/>
    </row>
    <row r="856" ht="15" customHeight="1">
      <c r="A856" t="inlineStr">
        <is>
          <t>A 11856-2022</t>
        </is>
      </c>
      <c r="B856" s="1" t="n">
        <v>44635</v>
      </c>
      <c r="C856" s="1" t="n">
        <v>46048</v>
      </c>
      <c r="D856" t="inlineStr">
        <is>
          <t>JÄMTLANDS LÄN</t>
        </is>
      </c>
      <c r="E856" t="inlineStr">
        <is>
          <t>STRÖMSUND</t>
        </is>
      </c>
      <c r="G856" t="n">
        <v>7.4</v>
      </c>
      <c r="H856" t="n">
        <v>0</v>
      </c>
      <c r="I856" t="n">
        <v>0</v>
      </c>
      <c r="J856" t="n">
        <v>0</v>
      </c>
      <c r="K856" t="n">
        <v>0</v>
      </c>
      <c r="L856" t="n">
        <v>0</v>
      </c>
      <c r="M856" t="n">
        <v>0</v>
      </c>
      <c r="N856" t="n">
        <v>0</v>
      </c>
      <c r="O856" t="n">
        <v>0</v>
      </c>
      <c r="P856" t="n">
        <v>0</v>
      </c>
      <c r="Q856" t="n">
        <v>0</v>
      </c>
      <c r="R856" s="2" t="inlineStr"/>
    </row>
    <row r="857" ht="15" customHeight="1">
      <c r="A857" t="inlineStr">
        <is>
          <t>A 22256-2025</t>
        </is>
      </c>
      <c r="B857" s="1" t="n">
        <v>45785.71936342592</v>
      </c>
      <c r="C857" s="1" t="n">
        <v>46048</v>
      </c>
      <c r="D857" t="inlineStr">
        <is>
          <t>JÄMTLANDS LÄN</t>
        </is>
      </c>
      <c r="E857" t="inlineStr">
        <is>
          <t>STRÖMSUND</t>
        </is>
      </c>
      <c r="F857" t="inlineStr">
        <is>
          <t>SCA</t>
        </is>
      </c>
      <c r="G857" t="n">
        <v>6.8</v>
      </c>
      <c r="H857" t="n">
        <v>0</v>
      </c>
      <c r="I857" t="n">
        <v>0</v>
      </c>
      <c r="J857" t="n">
        <v>0</v>
      </c>
      <c r="K857" t="n">
        <v>0</v>
      </c>
      <c r="L857" t="n">
        <v>0</v>
      </c>
      <c r="M857" t="n">
        <v>0</v>
      </c>
      <c r="N857" t="n">
        <v>0</v>
      </c>
      <c r="O857" t="n">
        <v>0</v>
      </c>
      <c r="P857" t="n">
        <v>0</v>
      </c>
      <c r="Q857" t="n">
        <v>0</v>
      </c>
      <c r="R857" s="2" t="inlineStr"/>
    </row>
    <row r="858" ht="15" customHeight="1">
      <c r="A858" t="inlineStr">
        <is>
          <t>A 22073-2025</t>
        </is>
      </c>
      <c r="B858" s="1" t="n">
        <v>45785.40710648148</v>
      </c>
      <c r="C858" s="1" t="n">
        <v>46048</v>
      </c>
      <c r="D858" t="inlineStr">
        <is>
          <t>JÄMTLANDS LÄN</t>
        </is>
      </c>
      <c r="E858" t="inlineStr">
        <is>
          <t>STRÖMSUND</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21209-2024</t>
        </is>
      </c>
      <c r="B859" s="1" t="n">
        <v>45440</v>
      </c>
      <c r="C859" s="1" t="n">
        <v>46048</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42980-2024</t>
        </is>
      </c>
      <c r="B860" s="1" t="n">
        <v>45567.37451388889</v>
      </c>
      <c r="C860" s="1" t="n">
        <v>46048</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22005-2025</t>
        </is>
      </c>
      <c r="B861" s="1" t="n">
        <v>45784</v>
      </c>
      <c r="C861" s="1" t="n">
        <v>46048</v>
      </c>
      <c r="D861" t="inlineStr">
        <is>
          <t>JÄMTLANDS LÄN</t>
        </is>
      </c>
      <c r="E861" t="inlineStr">
        <is>
          <t>STRÖMSUND</t>
        </is>
      </c>
      <c r="G861" t="n">
        <v>5.2</v>
      </c>
      <c r="H861" t="n">
        <v>0</v>
      </c>
      <c r="I861" t="n">
        <v>0</v>
      </c>
      <c r="J861" t="n">
        <v>0</v>
      </c>
      <c r="K861" t="n">
        <v>0</v>
      </c>
      <c r="L861" t="n">
        <v>0</v>
      </c>
      <c r="M861" t="n">
        <v>0</v>
      </c>
      <c r="N861" t="n">
        <v>0</v>
      </c>
      <c r="O861" t="n">
        <v>0</v>
      </c>
      <c r="P861" t="n">
        <v>0</v>
      </c>
      <c r="Q861" t="n">
        <v>0</v>
      </c>
      <c r="R861" s="2" t="inlineStr"/>
    </row>
    <row r="862" ht="15" customHeight="1">
      <c r="A862" t="inlineStr">
        <is>
          <t>A 43326-2024</t>
        </is>
      </c>
      <c r="B862" s="1" t="n">
        <v>45568.47420138889</v>
      </c>
      <c r="C862" s="1" t="n">
        <v>46048</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52402-2023</t>
        </is>
      </c>
      <c r="B863" s="1" t="n">
        <v>45224.96487268519</v>
      </c>
      <c r="C863" s="1" t="n">
        <v>46048</v>
      </c>
      <c r="D863" t="inlineStr">
        <is>
          <t>JÄMTLANDS LÄN</t>
        </is>
      </c>
      <c r="E863" t="inlineStr">
        <is>
          <t>STRÖMSUND</t>
        </is>
      </c>
      <c r="F863" t="inlineStr">
        <is>
          <t>SCA</t>
        </is>
      </c>
      <c r="G863" t="n">
        <v>8</v>
      </c>
      <c r="H863" t="n">
        <v>0</v>
      </c>
      <c r="I863" t="n">
        <v>0</v>
      </c>
      <c r="J863" t="n">
        <v>0</v>
      </c>
      <c r="K863" t="n">
        <v>0</v>
      </c>
      <c r="L863" t="n">
        <v>0</v>
      </c>
      <c r="M863" t="n">
        <v>0</v>
      </c>
      <c r="N863" t="n">
        <v>0</v>
      </c>
      <c r="O863" t="n">
        <v>0</v>
      </c>
      <c r="P863" t="n">
        <v>0</v>
      </c>
      <c r="Q863" t="n">
        <v>0</v>
      </c>
      <c r="R863" s="2" t="inlineStr"/>
    </row>
    <row r="864" ht="15" customHeight="1">
      <c r="A864" t="inlineStr">
        <is>
          <t>A 9390-2025</t>
        </is>
      </c>
      <c r="B864" s="1" t="n">
        <v>45714</v>
      </c>
      <c r="C864" s="1" t="n">
        <v>46048</v>
      </c>
      <c r="D864" t="inlineStr">
        <is>
          <t>JÄMTLANDS LÄN</t>
        </is>
      </c>
      <c r="E864" t="inlineStr">
        <is>
          <t>STRÖMSUND</t>
        </is>
      </c>
      <c r="G864" t="n">
        <v>6.6</v>
      </c>
      <c r="H864" t="n">
        <v>0</v>
      </c>
      <c r="I864" t="n">
        <v>0</v>
      </c>
      <c r="J864" t="n">
        <v>0</v>
      </c>
      <c r="K864" t="n">
        <v>0</v>
      </c>
      <c r="L864" t="n">
        <v>0</v>
      </c>
      <c r="M864" t="n">
        <v>0</v>
      </c>
      <c r="N864" t="n">
        <v>0</v>
      </c>
      <c r="O864" t="n">
        <v>0</v>
      </c>
      <c r="P864" t="n">
        <v>0</v>
      </c>
      <c r="Q864" t="n">
        <v>0</v>
      </c>
      <c r="R864" s="2" t="inlineStr"/>
    </row>
    <row r="865" ht="15" customHeight="1">
      <c r="A865" t="inlineStr">
        <is>
          <t>A 39946-2023</t>
        </is>
      </c>
      <c r="B865" s="1" t="n">
        <v>45168.5315625</v>
      </c>
      <c r="C865" s="1" t="n">
        <v>46048</v>
      </c>
      <c r="D865" t="inlineStr">
        <is>
          <t>JÄMTLANDS LÄN</t>
        </is>
      </c>
      <c r="E865" t="inlineStr">
        <is>
          <t>STRÖMSUND</t>
        </is>
      </c>
      <c r="G865" t="n">
        <v>3.3</v>
      </c>
      <c r="H865" t="n">
        <v>0</v>
      </c>
      <c r="I865" t="n">
        <v>0</v>
      </c>
      <c r="J865" t="n">
        <v>0</v>
      </c>
      <c r="K865" t="n">
        <v>0</v>
      </c>
      <c r="L865" t="n">
        <v>0</v>
      </c>
      <c r="M865" t="n">
        <v>0</v>
      </c>
      <c r="N865" t="n">
        <v>0</v>
      </c>
      <c r="O865" t="n">
        <v>0</v>
      </c>
      <c r="P865" t="n">
        <v>0</v>
      </c>
      <c r="Q865" t="n">
        <v>0</v>
      </c>
      <c r="R865" s="2" t="inlineStr"/>
    </row>
    <row r="866" ht="15" customHeight="1">
      <c r="A866" t="inlineStr">
        <is>
          <t>A 16242-2024</t>
        </is>
      </c>
      <c r="B866" s="1" t="n">
        <v>45407.05734953703</v>
      </c>
      <c r="C866" s="1" t="n">
        <v>46048</v>
      </c>
      <c r="D866" t="inlineStr">
        <is>
          <t>JÄMTLANDS LÄN</t>
        </is>
      </c>
      <c r="E866" t="inlineStr">
        <is>
          <t>STRÖMSUND</t>
        </is>
      </c>
      <c r="F866" t="inlineStr">
        <is>
          <t>SCA</t>
        </is>
      </c>
      <c r="G866" t="n">
        <v>31.2</v>
      </c>
      <c r="H866" t="n">
        <v>0</v>
      </c>
      <c r="I866" t="n">
        <v>0</v>
      </c>
      <c r="J866" t="n">
        <v>0</v>
      </c>
      <c r="K866" t="n">
        <v>0</v>
      </c>
      <c r="L866" t="n">
        <v>0</v>
      </c>
      <c r="M866" t="n">
        <v>0</v>
      </c>
      <c r="N866" t="n">
        <v>0</v>
      </c>
      <c r="O866" t="n">
        <v>0</v>
      </c>
      <c r="P866" t="n">
        <v>0</v>
      </c>
      <c r="Q866" t="n">
        <v>0</v>
      </c>
      <c r="R866" s="2" t="inlineStr"/>
    </row>
    <row r="867" ht="15" customHeight="1">
      <c r="A867" t="inlineStr">
        <is>
          <t>A 24059-2024</t>
        </is>
      </c>
      <c r="B867" s="1" t="n">
        <v>45456.53324074074</v>
      </c>
      <c r="C867" s="1" t="n">
        <v>46048</v>
      </c>
      <c r="D867" t="inlineStr">
        <is>
          <t>JÄMTLANDS LÄN</t>
        </is>
      </c>
      <c r="E867" t="inlineStr">
        <is>
          <t>STRÖMSUND</t>
        </is>
      </c>
      <c r="F867" t="inlineStr">
        <is>
          <t>Holmen skog AB</t>
        </is>
      </c>
      <c r="G867" t="n">
        <v>6.3</v>
      </c>
      <c r="H867" t="n">
        <v>0</v>
      </c>
      <c r="I867" t="n">
        <v>0</v>
      </c>
      <c r="J867" t="n">
        <v>0</v>
      </c>
      <c r="K867" t="n">
        <v>0</v>
      </c>
      <c r="L867" t="n">
        <v>0</v>
      </c>
      <c r="M867" t="n">
        <v>0</v>
      </c>
      <c r="N867" t="n">
        <v>0</v>
      </c>
      <c r="O867" t="n">
        <v>0</v>
      </c>
      <c r="P867" t="n">
        <v>0</v>
      </c>
      <c r="Q867" t="n">
        <v>0</v>
      </c>
      <c r="R867" s="2" t="inlineStr"/>
    </row>
    <row r="868" ht="15" customHeight="1">
      <c r="A868" t="inlineStr">
        <is>
          <t>A 22519-2025</t>
        </is>
      </c>
      <c r="B868" s="1" t="n">
        <v>45786.67841435185</v>
      </c>
      <c r="C868" s="1" t="n">
        <v>46048</v>
      </c>
      <c r="D868" t="inlineStr">
        <is>
          <t>JÄMTLANDS LÄN</t>
        </is>
      </c>
      <c r="E868" t="inlineStr">
        <is>
          <t>STRÖMSUND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54945-2024</t>
        </is>
      </c>
      <c r="B869" s="1" t="n">
        <v>45619.344375</v>
      </c>
      <c r="C869" s="1" t="n">
        <v>46048</v>
      </c>
      <c r="D869" t="inlineStr">
        <is>
          <t>JÄMTLANDS LÄN</t>
        </is>
      </c>
      <c r="E869" t="inlineStr">
        <is>
          <t>STRÖMSUND</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54964-2024</t>
        </is>
      </c>
      <c r="B870" s="1" t="n">
        <v>45620</v>
      </c>
      <c r="C870" s="1" t="n">
        <v>46048</v>
      </c>
      <c r="D870" t="inlineStr">
        <is>
          <t>JÄMTLANDS LÄN</t>
        </is>
      </c>
      <c r="E870" t="inlineStr">
        <is>
          <t>STRÖMSUND</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22741-2025</t>
        </is>
      </c>
      <c r="B871" s="1" t="n">
        <v>45789.59423611111</v>
      </c>
      <c r="C871" s="1" t="n">
        <v>46048</v>
      </c>
      <c r="D871" t="inlineStr">
        <is>
          <t>JÄMTLANDS LÄN</t>
        </is>
      </c>
      <c r="E871" t="inlineStr">
        <is>
          <t>STRÖMSUND</t>
        </is>
      </c>
      <c r="F871" t="inlineStr">
        <is>
          <t>SCA</t>
        </is>
      </c>
      <c r="G871" t="n">
        <v>5.1</v>
      </c>
      <c r="H871" t="n">
        <v>0</v>
      </c>
      <c r="I871" t="n">
        <v>0</v>
      </c>
      <c r="J871" t="n">
        <v>0</v>
      </c>
      <c r="K871" t="n">
        <v>0</v>
      </c>
      <c r="L871" t="n">
        <v>0</v>
      </c>
      <c r="M871" t="n">
        <v>0</v>
      </c>
      <c r="N871" t="n">
        <v>0</v>
      </c>
      <c r="O871" t="n">
        <v>0</v>
      </c>
      <c r="P871" t="n">
        <v>0</v>
      </c>
      <c r="Q871" t="n">
        <v>0</v>
      </c>
      <c r="R871" s="2" t="inlineStr"/>
    </row>
    <row r="872" ht="15" customHeight="1">
      <c r="A872" t="inlineStr">
        <is>
          <t>A 9234-2025</t>
        </is>
      </c>
      <c r="B872" s="1" t="n">
        <v>45714.55267361111</v>
      </c>
      <c r="C872" s="1" t="n">
        <v>46048</v>
      </c>
      <c r="D872" t="inlineStr">
        <is>
          <t>JÄMTLANDS LÄN</t>
        </is>
      </c>
      <c r="E872" t="inlineStr">
        <is>
          <t>STRÖMSUND</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20144-2025</t>
        </is>
      </c>
      <c r="B873" s="1" t="n">
        <v>45772.53158564815</v>
      </c>
      <c r="C873" s="1" t="n">
        <v>46048</v>
      </c>
      <c r="D873" t="inlineStr">
        <is>
          <t>JÄMTLANDS LÄN</t>
        </is>
      </c>
      <c r="E873" t="inlineStr">
        <is>
          <t>STRÖMSUND</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6112-2024</t>
        </is>
      </c>
      <c r="B874" s="1" t="n">
        <v>45337.39020833333</v>
      </c>
      <c r="C874" s="1" t="n">
        <v>46048</v>
      </c>
      <c r="D874" t="inlineStr">
        <is>
          <t>JÄMTLANDS LÄN</t>
        </is>
      </c>
      <c r="E874" t="inlineStr">
        <is>
          <t>STRÖMSUND</t>
        </is>
      </c>
      <c r="G874" t="n">
        <v>0.5</v>
      </c>
      <c r="H874" t="n">
        <v>0</v>
      </c>
      <c r="I874" t="n">
        <v>0</v>
      </c>
      <c r="J874" t="n">
        <v>0</v>
      </c>
      <c r="K874" t="n">
        <v>0</v>
      </c>
      <c r="L874" t="n">
        <v>0</v>
      </c>
      <c r="M874" t="n">
        <v>0</v>
      </c>
      <c r="N874" t="n">
        <v>0</v>
      </c>
      <c r="O874" t="n">
        <v>0</v>
      </c>
      <c r="P874" t="n">
        <v>0</v>
      </c>
      <c r="Q874" t="n">
        <v>0</v>
      </c>
      <c r="R874" s="2" t="inlineStr"/>
    </row>
    <row r="875" ht="15" customHeight="1">
      <c r="A875" t="inlineStr">
        <is>
          <t>A 15455-2023</t>
        </is>
      </c>
      <c r="B875" s="1" t="n">
        <v>45019</v>
      </c>
      <c r="C875" s="1" t="n">
        <v>46048</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29039-2023</t>
        </is>
      </c>
      <c r="B876" s="1" t="n">
        <v>45104.77043981481</v>
      </c>
      <c r="C876" s="1" t="n">
        <v>46048</v>
      </c>
      <c r="D876" t="inlineStr">
        <is>
          <t>JÄMTLANDS LÄN</t>
        </is>
      </c>
      <c r="E876" t="inlineStr">
        <is>
          <t>STRÖMSUND</t>
        </is>
      </c>
      <c r="G876" t="n">
        <v>2.9</v>
      </c>
      <c r="H876" t="n">
        <v>0</v>
      </c>
      <c r="I876" t="n">
        <v>0</v>
      </c>
      <c r="J876" t="n">
        <v>0</v>
      </c>
      <c r="K876" t="n">
        <v>0</v>
      </c>
      <c r="L876" t="n">
        <v>0</v>
      </c>
      <c r="M876" t="n">
        <v>0</v>
      </c>
      <c r="N876" t="n">
        <v>0</v>
      </c>
      <c r="O876" t="n">
        <v>0</v>
      </c>
      <c r="P876" t="n">
        <v>0</v>
      </c>
      <c r="Q876" t="n">
        <v>0</v>
      </c>
      <c r="R876" s="2" t="inlineStr"/>
    </row>
    <row r="877" ht="15" customHeight="1">
      <c r="A877" t="inlineStr">
        <is>
          <t>A 59367-2022</t>
        </is>
      </c>
      <c r="B877" s="1" t="n">
        <v>44904</v>
      </c>
      <c r="C877" s="1" t="n">
        <v>46048</v>
      </c>
      <c r="D877" t="inlineStr">
        <is>
          <t>JÄMTLANDS LÄN</t>
        </is>
      </c>
      <c r="E877" t="inlineStr">
        <is>
          <t>STRÖMSUND</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25365-2024</t>
        </is>
      </c>
      <c r="B878" s="1" t="n">
        <v>45462.95862268518</v>
      </c>
      <c r="C878" s="1" t="n">
        <v>46048</v>
      </c>
      <c r="D878" t="inlineStr">
        <is>
          <t>JÄMTLANDS LÄN</t>
        </is>
      </c>
      <c r="E878" t="inlineStr">
        <is>
          <t>STRÖMSUND</t>
        </is>
      </c>
      <c r="F878" t="inlineStr">
        <is>
          <t>SCA</t>
        </is>
      </c>
      <c r="G878" t="n">
        <v>6.8</v>
      </c>
      <c r="H878" t="n">
        <v>0</v>
      </c>
      <c r="I878" t="n">
        <v>0</v>
      </c>
      <c r="J878" t="n">
        <v>0</v>
      </c>
      <c r="K878" t="n">
        <v>0</v>
      </c>
      <c r="L878" t="n">
        <v>0</v>
      </c>
      <c r="M878" t="n">
        <v>0</v>
      </c>
      <c r="N878" t="n">
        <v>0</v>
      </c>
      <c r="O878" t="n">
        <v>0</v>
      </c>
      <c r="P878" t="n">
        <v>0</v>
      </c>
      <c r="Q878" t="n">
        <v>0</v>
      </c>
      <c r="R878" s="2" t="inlineStr"/>
    </row>
    <row r="879" ht="15" customHeight="1">
      <c r="A879" t="inlineStr">
        <is>
          <t>A 15783-2025</t>
        </is>
      </c>
      <c r="B879" s="1" t="n">
        <v>45748.6204050926</v>
      </c>
      <c r="C879" s="1" t="n">
        <v>46048</v>
      </c>
      <c r="D879" t="inlineStr">
        <is>
          <t>JÄMTLANDS LÄN</t>
        </is>
      </c>
      <c r="E879" t="inlineStr">
        <is>
          <t>STRÖMSUND</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40840-2022</t>
        </is>
      </c>
      <c r="B880" s="1" t="n">
        <v>44824</v>
      </c>
      <c r="C880" s="1" t="n">
        <v>46048</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32324-2024</t>
        </is>
      </c>
      <c r="B881" s="1" t="n">
        <v>45512</v>
      </c>
      <c r="C881" s="1" t="n">
        <v>46048</v>
      </c>
      <c r="D881" t="inlineStr">
        <is>
          <t>JÄMTLANDS LÄN</t>
        </is>
      </c>
      <c r="E881" t="inlineStr">
        <is>
          <t>STRÖMSUND</t>
        </is>
      </c>
      <c r="G881" t="n">
        <v>3.6</v>
      </c>
      <c r="H881" t="n">
        <v>0</v>
      </c>
      <c r="I881" t="n">
        <v>0</v>
      </c>
      <c r="J881" t="n">
        <v>0</v>
      </c>
      <c r="K881" t="n">
        <v>0</v>
      </c>
      <c r="L881" t="n">
        <v>0</v>
      </c>
      <c r="M881" t="n">
        <v>0</v>
      </c>
      <c r="N881" t="n">
        <v>0</v>
      </c>
      <c r="O881" t="n">
        <v>0</v>
      </c>
      <c r="P881" t="n">
        <v>0</v>
      </c>
      <c r="Q881" t="n">
        <v>0</v>
      </c>
      <c r="R881" s="2" t="inlineStr"/>
    </row>
    <row r="882" ht="15" customHeight="1">
      <c r="A882" t="inlineStr">
        <is>
          <t>A 37207-2024</t>
        </is>
      </c>
      <c r="B882" s="1" t="n">
        <v>45539.67773148148</v>
      </c>
      <c r="C882" s="1" t="n">
        <v>46048</v>
      </c>
      <c r="D882" t="inlineStr">
        <is>
          <t>JÄMTLANDS LÄN</t>
        </is>
      </c>
      <c r="E882" t="inlineStr">
        <is>
          <t>STRÖMSUND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10163-2025</t>
        </is>
      </c>
      <c r="B883" s="1" t="n">
        <v>45719.64944444445</v>
      </c>
      <c r="C883" s="1" t="n">
        <v>46048</v>
      </c>
      <c r="D883" t="inlineStr">
        <is>
          <t>JÄMTLANDS LÄN</t>
        </is>
      </c>
      <c r="E883" t="inlineStr">
        <is>
          <t>STRÖMSUND</t>
        </is>
      </c>
      <c r="F883" t="inlineStr">
        <is>
          <t>Kyrkan</t>
        </is>
      </c>
      <c r="G883" t="n">
        <v>1.6</v>
      </c>
      <c r="H883" t="n">
        <v>0</v>
      </c>
      <c r="I883" t="n">
        <v>0</v>
      </c>
      <c r="J883" t="n">
        <v>0</v>
      </c>
      <c r="K883" t="n">
        <v>0</v>
      </c>
      <c r="L883" t="n">
        <v>0</v>
      </c>
      <c r="M883" t="n">
        <v>0</v>
      </c>
      <c r="N883" t="n">
        <v>0</v>
      </c>
      <c r="O883" t="n">
        <v>0</v>
      </c>
      <c r="P883" t="n">
        <v>0</v>
      </c>
      <c r="Q883" t="n">
        <v>0</v>
      </c>
      <c r="R883" s="2" t="inlineStr"/>
    </row>
    <row r="884" ht="15" customHeight="1">
      <c r="A884" t="inlineStr">
        <is>
          <t>A 8480-2025</t>
        </is>
      </c>
      <c r="B884" s="1" t="n">
        <v>45706</v>
      </c>
      <c r="C884" s="1" t="n">
        <v>46048</v>
      </c>
      <c r="D884" t="inlineStr">
        <is>
          <t>JÄMTLANDS LÄN</t>
        </is>
      </c>
      <c r="E884" t="inlineStr">
        <is>
          <t>STRÖMSUND</t>
        </is>
      </c>
      <c r="G884" t="n">
        <v>6.4</v>
      </c>
      <c r="H884" t="n">
        <v>0</v>
      </c>
      <c r="I884" t="n">
        <v>0</v>
      </c>
      <c r="J884" t="n">
        <v>0</v>
      </c>
      <c r="K884" t="n">
        <v>0</v>
      </c>
      <c r="L884" t="n">
        <v>0</v>
      </c>
      <c r="M884" t="n">
        <v>0</v>
      </c>
      <c r="N884" t="n">
        <v>0</v>
      </c>
      <c r="O884" t="n">
        <v>0</v>
      </c>
      <c r="P884" t="n">
        <v>0</v>
      </c>
      <c r="Q884" t="n">
        <v>0</v>
      </c>
      <c r="R884" s="2" t="inlineStr"/>
    </row>
    <row r="885" ht="15" customHeight="1">
      <c r="A885" t="inlineStr">
        <is>
          <t>A 22723-2025</t>
        </is>
      </c>
      <c r="B885" s="1" t="n">
        <v>45789.5733912037</v>
      </c>
      <c r="C885" s="1" t="n">
        <v>46048</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40970-2024</t>
        </is>
      </c>
      <c r="B886" s="1" t="n">
        <v>45558.67643518518</v>
      </c>
      <c r="C886" s="1" t="n">
        <v>46048</v>
      </c>
      <c r="D886" t="inlineStr">
        <is>
          <t>JÄMTLANDS LÄN</t>
        </is>
      </c>
      <c r="E886" t="inlineStr">
        <is>
          <t>STRÖMSUND</t>
        </is>
      </c>
      <c r="G886" t="n">
        <v>4.6</v>
      </c>
      <c r="H886" t="n">
        <v>0</v>
      </c>
      <c r="I886" t="n">
        <v>0</v>
      </c>
      <c r="J886" t="n">
        <v>0</v>
      </c>
      <c r="K886" t="n">
        <v>0</v>
      </c>
      <c r="L886" t="n">
        <v>0</v>
      </c>
      <c r="M886" t="n">
        <v>0</v>
      </c>
      <c r="N886" t="n">
        <v>0</v>
      </c>
      <c r="O886" t="n">
        <v>0</v>
      </c>
      <c r="P886" t="n">
        <v>0</v>
      </c>
      <c r="Q886" t="n">
        <v>0</v>
      </c>
      <c r="R886" s="2" t="inlineStr"/>
    </row>
    <row r="887" ht="15" customHeight="1">
      <c r="A887" t="inlineStr">
        <is>
          <t>A 37147-2024</t>
        </is>
      </c>
      <c r="B887" s="1" t="n">
        <v>45539.60231481482</v>
      </c>
      <c r="C887" s="1" t="n">
        <v>46048</v>
      </c>
      <c r="D887" t="inlineStr">
        <is>
          <t>JÄMTLANDS LÄN</t>
        </is>
      </c>
      <c r="E887" t="inlineStr">
        <is>
          <t>STRÖMSUND</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37150-2024</t>
        </is>
      </c>
      <c r="B888" s="1" t="n">
        <v>45539</v>
      </c>
      <c r="C888" s="1" t="n">
        <v>46048</v>
      </c>
      <c r="D888" t="inlineStr">
        <is>
          <t>JÄMTLANDS LÄN</t>
        </is>
      </c>
      <c r="E888" t="inlineStr">
        <is>
          <t>STRÖMSUND</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37208-2024</t>
        </is>
      </c>
      <c r="B889" s="1" t="n">
        <v>45539.67788194444</v>
      </c>
      <c r="C889" s="1" t="n">
        <v>46048</v>
      </c>
      <c r="D889" t="inlineStr">
        <is>
          <t>JÄMTLANDS LÄN</t>
        </is>
      </c>
      <c r="E889" t="inlineStr">
        <is>
          <t>STRÖMSUND</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24801-2024</t>
        </is>
      </c>
      <c r="B890" s="1" t="n">
        <v>45460.95300925926</v>
      </c>
      <c r="C890" s="1" t="n">
        <v>46048</v>
      </c>
      <c r="D890" t="inlineStr">
        <is>
          <t>JÄMTLANDS LÄN</t>
        </is>
      </c>
      <c r="E890" t="inlineStr">
        <is>
          <t>STRÖMSUND</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22288-2025</t>
        </is>
      </c>
      <c r="B891" s="1" t="n">
        <v>45786.34425925926</v>
      </c>
      <c r="C891" s="1" t="n">
        <v>46048</v>
      </c>
      <c r="D891" t="inlineStr">
        <is>
          <t>JÄMTLANDS LÄN</t>
        </is>
      </c>
      <c r="E891" t="inlineStr">
        <is>
          <t>STRÖMSUND</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59646-2022</t>
        </is>
      </c>
      <c r="B892" s="1" t="n">
        <v>44907.96568287037</v>
      </c>
      <c r="C892" s="1" t="n">
        <v>46048</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5807-2025</t>
        </is>
      </c>
      <c r="B893" s="1" t="n">
        <v>45694.6984837963</v>
      </c>
      <c r="C893" s="1" t="n">
        <v>46048</v>
      </c>
      <c r="D893" t="inlineStr">
        <is>
          <t>JÄMTLANDS LÄN</t>
        </is>
      </c>
      <c r="E893" t="inlineStr">
        <is>
          <t>STRÖMSUND</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47877-2024</t>
        </is>
      </c>
      <c r="B894" s="1" t="n">
        <v>45588</v>
      </c>
      <c r="C894" s="1" t="n">
        <v>46048</v>
      </c>
      <c r="D894" t="inlineStr">
        <is>
          <t>JÄMTLANDS LÄN</t>
        </is>
      </c>
      <c r="E894" t="inlineStr">
        <is>
          <t>STRÖMSUND</t>
        </is>
      </c>
      <c r="G894" t="n">
        <v>1.3</v>
      </c>
      <c r="H894" t="n">
        <v>0</v>
      </c>
      <c r="I894" t="n">
        <v>0</v>
      </c>
      <c r="J894" t="n">
        <v>0</v>
      </c>
      <c r="K894" t="n">
        <v>0</v>
      </c>
      <c r="L894" t="n">
        <v>0</v>
      </c>
      <c r="M894" t="n">
        <v>0</v>
      </c>
      <c r="N894" t="n">
        <v>0</v>
      </c>
      <c r="O894" t="n">
        <v>0</v>
      </c>
      <c r="P894" t="n">
        <v>0</v>
      </c>
      <c r="Q894" t="n">
        <v>0</v>
      </c>
      <c r="R894" s="2" t="inlineStr"/>
    </row>
    <row r="895" ht="15" customHeight="1">
      <c r="A895" t="inlineStr">
        <is>
          <t>A 52211-2024</t>
        </is>
      </c>
      <c r="B895" s="1" t="n">
        <v>45608.59245370371</v>
      </c>
      <c r="C895" s="1" t="n">
        <v>46048</v>
      </c>
      <c r="D895" t="inlineStr">
        <is>
          <t>JÄMTLANDS LÄN</t>
        </is>
      </c>
      <c r="E895" t="inlineStr">
        <is>
          <t>STRÖMSUND</t>
        </is>
      </c>
      <c r="F895" t="inlineStr">
        <is>
          <t>SCA</t>
        </is>
      </c>
      <c r="G895" t="n">
        <v>9</v>
      </c>
      <c r="H895" t="n">
        <v>0</v>
      </c>
      <c r="I895" t="n">
        <v>0</v>
      </c>
      <c r="J895" t="n">
        <v>0</v>
      </c>
      <c r="K895" t="n">
        <v>0</v>
      </c>
      <c r="L895" t="n">
        <v>0</v>
      </c>
      <c r="M895" t="n">
        <v>0</v>
      </c>
      <c r="N895" t="n">
        <v>0</v>
      </c>
      <c r="O895" t="n">
        <v>0</v>
      </c>
      <c r="P895" t="n">
        <v>0</v>
      </c>
      <c r="Q895" t="n">
        <v>0</v>
      </c>
      <c r="R895" s="2" t="inlineStr"/>
    </row>
    <row r="896" ht="15" customHeight="1">
      <c r="A896" t="inlineStr">
        <is>
          <t>A 8676-2023</t>
        </is>
      </c>
      <c r="B896" s="1" t="n">
        <v>44977.98641203704</v>
      </c>
      <c r="C896" s="1" t="n">
        <v>46048</v>
      </c>
      <c r="D896" t="inlineStr">
        <is>
          <t>JÄMTLANDS LÄN</t>
        </is>
      </c>
      <c r="E896" t="inlineStr">
        <is>
          <t>STRÖMSUND</t>
        </is>
      </c>
      <c r="F896" t="inlineStr">
        <is>
          <t>SCA</t>
        </is>
      </c>
      <c r="G896" t="n">
        <v>16.5</v>
      </c>
      <c r="H896" t="n">
        <v>0</v>
      </c>
      <c r="I896" t="n">
        <v>0</v>
      </c>
      <c r="J896" t="n">
        <v>0</v>
      </c>
      <c r="K896" t="n">
        <v>0</v>
      </c>
      <c r="L896" t="n">
        <v>0</v>
      </c>
      <c r="M896" t="n">
        <v>0</v>
      </c>
      <c r="N896" t="n">
        <v>0</v>
      </c>
      <c r="O896" t="n">
        <v>0</v>
      </c>
      <c r="P896" t="n">
        <v>0</v>
      </c>
      <c r="Q896" t="n">
        <v>0</v>
      </c>
      <c r="R896" s="2" t="inlineStr"/>
    </row>
    <row r="897" ht="15" customHeight="1">
      <c r="A897" t="inlineStr">
        <is>
          <t>A 22497-2025</t>
        </is>
      </c>
      <c r="B897" s="1" t="n">
        <v>45786.6568287037</v>
      </c>
      <c r="C897" s="1" t="n">
        <v>46048</v>
      </c>
      <c r="D897" t="inlineStr">
        <is>
          <t>JÄMTLANDS LÄN</t>
        </is>
      </c>
      <c r="E897" t="inlineStr">
        <is>
          <t>STRÖMSUND</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217-2025</t>
        </is>
      </c>
      <c r="B898" s="1" t="n">
        <v>45660.34424768519</v>
      </c>
      <c r="C898" s="1" t="n">
        <v>46048</v>
      </c>
      <c r="D898" t="inlineStr">
        <is>
          <t>JÄMTLANDS LÄN</t>
        </is>
      </c>
      <c r="E898" t="inlineStr">
        <is>
          <t>STRÖMSUND</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33787-2021</t>
        </is>
      </c>
      <c r="B899" s="1" t="n">
        <v>44368</v>
      </c>
      <c r="C899" s="1" t="n">
        <v>46048</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46816-2024</t>
        </is>
      </c>
      <c r="B900" s="1" t="n">
        <v>45583.5734837963</v>
      </c>
      <c r="C900" s="1" t="n">
        <v>46048</v>
      </c>
      <c r="D900" t="inlineStr">
        <is>
          <t>JÄMTLANDS LÄN</t>
        </is>
      </c>
      <c r="E900" t="inlineStr">
        <is>
          <t>STRÖMSUND</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57021-2022</t>
        </is>
      </c>
      <c r="B901" s="1" t="n">
        <v>44894.95893518518</v>
      </c>
      <c r="C901" s="1" t="n">
        <v>46048</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57022-2022</t>
        </is>
      </c>
      <c r="B902" s="1" t="n">
        <v>44894.95902777778</v>
      </c>
      <c r="C902" s="1" t="n">
        <v>46048</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52153-2024</t>
        </is>
      </c>
      <c r="B903" s="1" t="n">
        <v>45608.5240625</v>
      </c>
      <c r="C903" s="1" t="n">
        <v>46048</v>
      </c>
      <c r="D903" t="inlineStr">
        <is>
          <t>JÄMTLANDS LÄN</t>
        </is>
      </c>
      <c r="E903" t="inlineStr">
        <is>
          <t>STRÖMSUND</t>
        </is>
      </c>
      <c r="F903" t="inlineStr">
        <is>
          <t>SCA</t>
        </is>
      </c>
      <c r="G903" t="n">
        <v>11.4</v>
      </c>
      <c r="H903" t="n">
        <v>0</v>
      </c>
      <c r="I903" t="n">
        <v>0</v>
      </c>
      <c r="J903" t="n">
        <v>0</v>
      </c>
      <c r="K903" t="n">
        <v>0</v>
      </c>
      <c r="L903" t="n">
        <v>0</v>
      </c>
      <c r="M903" t="n">
        <v>0</v>
      </c>
      <c r="N903" t="n">
        <v>0</v>
      </c>
      <c r="O903" t="n">
        <v>0</v>
      </c>
      <c r="P903" t="n">
        <v>0</v>
      </c>
      <c r="Q903" t="n">
        <v>0</v>
      </c>
      <c r="R903" s="2" t="inlineStr"/>
    </row>
    <row r="904" ht="15" customHeight="1">
      <c r="A904" t="inlineStr">
        <is>
          <t>A 23362-2025</t>
        </is>
      </c>
      <c r="B904" s="1" t="n">
        <v>45791.67763888889</v>
      </c>
      <c r="C904" s="1" t="n">
        <v>46048</v>
      </c>
      <c r="D904" t="inlineStr">
        <is>
          <t>JÄMTLANDS LÄN</t>
        </is>
      </c>
      <c r="E904" t="inlineStr">
        <is>
          <t>STRÖMSUND</t>
        </is>
      </c>
      <c r="F904" t="inlineStr">
        <is>
          <t>SCA</t>
        </is>
      </c>
      <c r="G904" t="n">
        <v>7.8</v>
      </c>
      <c r="H904" t="n">
        <v>0</v>
      </c>
      <c r="I904" t="n">
        <v>0</v>
      </c>
      <c r="J904" t="n">
        <v>0</v>
      </c>
      <c r="K904" t="n">
        <v>0</v>
      </c>
      <c r="L904" t="n">
        <v>0</v>
      </c>
      <c r="M904" t="n">
        <v>0</v>
      </c>
      <c r="N904" t="n">
        <v>0</v>
      </c>
      <c r="O904" t="n">
        <v>0</v>
      </c>
      <c r="P904" t="n">
        <v>0</v>
      </c>
      <c r="Q904" t="n">
        <v>0</v>
      </c>
      <c r="R904" s="2" t="inlineStr"/>
    </row>
    <row r="905" ht="15" customHeight="1">
      <c r="A905" t="inlineStr">
        <is>
          <t>A 26665-2024</t>
        </is>
      </c>
      <c r="B905" s="1" t="n">
        <v>45469.95024305556</v>
      </c>
      <c r="C905" s="1" t="n">
        <v>46048</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15950-2025</t>
        </is>
      </c>
      <c r="B906" s="1" t="n">
        <v>45749.4984837963</v>
      </c>
      <c r="C906" s="1" t="n">
        <v>46048</v>
      </c>
      <c r="D906" t="inlineStr">
        <is>
          <t>JÄMTLANDS LÄN</t>
        </is>
      </c>
      <c r="E906" t="inlineStr">
        <is>
          <t>STRÖMSUND</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47241-2024</t>
        </is>
      </c>
      <c r="B907" s="1" t="n">
        <v>45586.69837962963</v>
      </c>
      <c r="C907" s="1" t="n">
        <v>46048</v>
      </c>
      <c r="D907" t="inlineStr">
        <is>
          <t>JÄMTLANDS LÄN</t>
        </is>
      </c>
      <c r="E907" t="inlineStr">
        <is>
          <t>STRÖMSUND</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55942-2024</t>
        </is>
      </c>
      <c r="B908" s="1" t="n">
        <v>45623.61278935185</v>
      </c>
      <c r="C908" s="1" t="n">
        <v>46048</v>
      </c>
      <c r="D908" t="inlineStr">
        <is>
          <t>JÄMTLANDS LÄN</t>
        </is>
      </c>
      <c r="E908" t="inlineStr">
        <is>
          <t>STRÖMSUND</t>
        </is>
      </c>
      <c r="G908" t="n">
        <v>3.1</v>
      </c>
      <c r="H908" t="n">
        <v>0</v>
      </c>
      <c r="I908" t="n">
        <v>0</v>
      </c>
      <c r="J908" t="n">
        <v>0</v>
      </c>
      <c r="K908" t="n">
        <v>0</v>
      </c>
      <c r="L908" t="n">
        <v>0</v>
      </c>
      <c r="M908" t="n">
        <v>0</v>
      </c>
      <c r="N908" t="n">
        <v>0</v>
      </c>
      <c r="O908" t="n">
        <v>0</v>
      </c>
      <c r="P908" t="n">
        <v>0</v>
      </c>
      <c r="Q908" t="n">
        <v>0</v>
      </c>
      <c r="R908" s="2" t="inlineStr"/>
    </row>
    <row r="909" ht="15" customHeight="1">
      <c r="A909" t="inlineStr">
        <is>
          <t>A 14975-2023</t>
        </is>
      </c>
      <c r="B909" s="1" t="n">
        <v>45013</v>
      </c>
      <c r="C909" s="1" t="n">
        <v>46048</v>
      </c>
      <c r="D909" t="inlineStr">
        <is>
          <t>JÄMTLANDS LÄN</t>
        </is>
      </c>
      <c r="E909" t="inlineStr">
        <is>
          <t>STRÖMSUND</t>
        </is>
      </c>
      <c r="G909" t="n">
        <v>10.6</v>
      </c>
      <c r="H909" t="n">
        <v>0</v>
      </c>
      <c r="I909" t="n">
        <v>0</v>
      </c>
      <c r="J909" t="n">
        <v>0</v>
      </c>
      <c r="K909" t="n">
        <v>0</v>
      </c>
      <c r="L909" t="n">
        <v>0</v>
      </c>
      <c r="M909" t="n">
        <v>0</v>
      </c>
      <c r="N909" t="n">
        <v>0</v>
      </c>
      <c r="O909" t="n">
        <v>0</v>
      </c>
      <c r="P909" t="n">
        <v>0</v>
      </c>
      <c r="Q909" t="n">
        <v>0</v>
      </c>
      <c r="R909" s="2" t="inlineStr"/>
    </row>
    <row r="910" ht="15" customHeight="1">
      <c r="A910" t="inlineStr">
        <is>
          <t>A 28766-2023</t>
        </is>
      </c>
      <c r="B910" s="1" t="n">
        <v>45103.94268518518</v>
      </c>
      <c r="C910" s="1" t="n">
        <v>46048</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22865-2025</t>
        </is>
      </c>
      <c r="B911" s="1" t="n">
        <v>45790.3650462963</v>
      </c>
      <c r="C911" s="1" t="n">
        <v>46048</v>
      </c>
      <c r="D911" t="inlineStr">
        <is>
          <t>JÄMTLANDS LÄN</t>
        </is>
      </c>
      <c r="E911" t="inlineStr">
        <is>
          <t>STRÖMSUND</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23093-2025</t>
        </is>
      </c>
      <c r="B912" s="1" t="n">
        <v>45791.34475694445</v>
      </c>
      <c r="C912" s="1" t="n">
        <v>46048</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52158-2024</t>
        </is>
      </c>
      <c r="B913" s="1" t="n">
        <v>45608.5270949074</v>
      </c>
      <c r="C913" s="1" t="n">
        <v>46048</v>
      </c>
      <c r="D913" t="inlineStr">
        <is>
          <t>JÄMTLANDS LÄN</t>
        </is>
      </c>
      <c r="E913" t="inlineStr">
        <is>
          <t>STRÖMSUND</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63756-2023</t>
        </is>
      </c>
      <c r="B914" s="1" t="n">
        <v>45278.30370370371</v>
      </c>
      <c r="C914" s="1" t="n">
        <v>46048</v>
      </c>
      <c r="D914" t="inlineStr">
        <is>
          <t>JÄMTLANDS LÄN</t>
        </is>
      </c>
      <c r="E914" t="inlineStr">
        <is>
          <t>STRÖMSUND</t>
        </is>
      </c>
      <c r="G914" t="n">
        <v>4.3</v>
      </c>
      <c r="H914" t="n">
        <v>0</v>
      </c>
      <c r="I914" t="n">
        <v>0</v>
      </c>
      <c r="J914" t="n">
        <v>0</v>
      </c>
      <c r="K914" t="n">
        <v>0</v>
      </c>
      <c r="L914" t="n">
        <v>0</v>
      </c>
      <c r="M914" t="n">
        <v>0</v>
      </c>
      <c r="N914" t="n">
        <v>0</v>
      </c>
      <c r="O914" t="n">
        <v>0</v>
      </c>
      <c r="P914" t="n">
        <v>0</v>
      </c>
      <c r="Q914" t="n">
        <v>0</v>
      </c>
      <c r="R914" s="2" t="inlineStr"/>
    </row>
    <row r="915" ht="15" customHeight="1">
      <c r="A915" t="inlineStr">
        <is>
          <t>A 13685-2023</t>
        </is>
      </c>
      <c r="B915" s="1" t="n">
        <v>45006</v>
      </c>
      <c r="C915" s="1" t="n">
        <v>46048</v>
      </c>
      <c r="D915" t="inlineStr">
        <is>
          <t>JÄMTLANDS LÄN</t>
        </is>
      </c>
      <c r="E915" t="inlineStr">
        <is>
          <t>STRÖMSUND</t>
        </is>
      </c>
      <c r="G915" t="n">
        <v>11.4</v>
      </c>
      <c r="H915" t="n">
        <v>0</v>
      </c>
      <c r="I915" t="n">
        <v>0</v>
      </c>
      <c r="J915" t="n">
        <v>0</v>
      </c>
      <c r="K915" t="n">
        <v>0</v>
      </c>
      <c r="L915" t="n">
        <v>0</v>
      </c>
      <c r="M915" t="n">
        <v>0</v>
      </c>
      <c r="N915" t="n">
        <v>0</v>
      </c>
      <c r="O915" t="n">
        <v>0</v>
      </c>
      <c r="P915" t="n">
        <v>0</v>
      </c>
      <c r="Q915" t="n">
        <v>0</v>
      </c>
      <c r="R915" s="2" t="inlineStr"/>
    </row>
    <row r="916" ht="15" customHeight="1">
      <c r="A916" t="inlineStr">
        <is>
          <t>A 29276-2022</t>
        </is>
      </c>
      <c r="B916" s="1" t="n">
        <v>44750</v>
      </c>
      <c r="C916" s="1" t="n">
        <v>46048</v>
      </c>
      <c r="D916" t="inlineStr">
        <is>
          <t>JÄMTLANDS LÄN</t>
        </is>
      </c>
      <c r="E916" t="inlineStr">
        <is>
          <t>STRÖMSUND</t>
        </is>
      </c>
      <c r="G916" t="n">
        <v>18.8</v>
      </c>
      <c r="H916" t="n">
        <v>0</v>
      </c>
      <c r="I916" t="n">
        <v>0</v>
      </c>
      <c r="J916" t="n">
        <v>0</v>
      </c>
      <c r="K916" t="n">
        <v>0</v>
      </c>
      <c r="L916" t="n">
        <v>0</v>
      </c>
      <c r="M916" t="n">
        <v>0</v>
      </c>
      <c r="N916" t="n">
        <v>0</v>
      </c>
      <c r="O916" t="n">
        <v>0</v>
      </c>
      <c r="P916" t="n">
        <v>0</v>
      </c>
      <c r="Q916" t="n">
        <v>0</v>
      </c>
      <c r="R916" s="2" t="inlineStr"/>
    </row>
    <row r="917" ht="15" customHeight="1">
      <c r="A917" t="inlineStr">
        <is>
          <t>A 37104-2022</t>
        </is>
      </c>
      <c r="B917" s="1" t="n">
        <v>44806</v>
      </c>
      <c r="C917" s="1" t="n">
        <v>46048</v>
      </c>
      <c r="D917" t="inlineStr">
        <is>
          <t>JÄMTLANDS LÄN</t>
        </is>
      </c>
      <c r="E917" t="inlineStr">
        <is>
          <t>STRÖMSUND</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49370-2024</t>
        </is>
      </c>
      <c r="B918" s="1" t="n">
        <v>45595.6412037037</v>
      </c>
      <c r="C918" s="1" t="n">
        <v>46048</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60775-2022</t>
        </is>
      </c>
      <c r="B919" s="1" t="n">
        <v>44907</v>
      </c>
      <c r="C919" s="1" t="n">
        <v>46048</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23155-2025</t>
        </is>
      </c>
      <c r="B920" s="1" t="n">
        <v>45791.40679398148</v>
      </c>
      <c r="C920" s="1" t="n">
        <v>46048</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22864-2025</t>
        </is>
      </c>
      <c r="B921" s="1" t="n">
        <v>45790.36502314815</v>
      </c>
      <c r="C921" s="1" t="n">
        <v>46048</v>
      </c>
      <c r="D921" t="inlineStr">
        <is>
          <t>JÄMTLANDS LÄN</t>
        </is>
      </c>
      <c r="E921" t="inlineStr">
        <is>
          <t>STRÖMSUND</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38661-2022</t>
        </is>
      </c>
      <c r="B922" s="1" t="n">
        <v>44813</v>
      </c>
      <c r="C922" s="1" t="n">
        <v>46048</v>
      </c>
      <c r="D922" t="inlineStr">
        <is>
          <t>JÄMTLANDS LÄN</t>
        </is>
      </c>
      <c r="E922" t="inlineStr">
        <is>
          <t>STRÖMSUND</t>
        </is>
      </c>
      <c r="G922" t="n">
        <v>3.1</v>
      </c>
      <c r="H922" t="n">
        <v>0</v>
      </c>
      <c r="I922" t="n">
        <v>0</v>
      </c>
      <c r="J922" t="n">
        <v>0</v>
      </c>
      <c r="K922" t="n">
        <v>0</v>
      </c>
      <c r="L922" t="n">
        <v>0</v>
      </c>
      <c r="M922" t="n">
        <v>0</v>
      </c>
      <c r="N922" t="n">
        <v>0</v>
      </c>
      <c r="O922" t="n">
        <v>0</v>
      </c>
      <c r="P922" t="n">
        <v>0</v>
      </c>
      <c r="Q922" t="n">
        <v>0</v>
      </c>
      <c r="R922" s="2" t="inlineStr"/>
    </row>
    <row r="923" ht="15" customHeight="1">
      <c r="A923" t="inlineStr">
        <is>
          <t>A 21735-2024</t>
        </is>
      </c>
      <c r="B923" s="1" t="n">
        <v>45442.54158564815</v>
      </c>
      <c r="C923" s="1" t="n">
        <v>46048</v>
      </c>
      <c r="D923" t="inlineStr">
        <is>
          <t>JÄMTLANDS LÄN</t>
        </is>
      </c>
      <c r="E923" t="inlineStr">
        <is>
          <t>STRÖMSUND</t>
        </is>
      </c>
      <c r="G923" t="n">
        <v>15.1</v>
      </c>
      <c r="H923" t="n">
        <v>0</v>
      </c>
      <c r="I923" t="n">
        <v>0</v>
      </c>
      <c r="J923" t="n">
        <v>0</v>
      </c>
      <c r="K923" t="n">
        <v>0</v>
      </c>
      <c r="L923" t="n">
        <v>0</v>
      </c>
      <c r="M923" t="n">
        <v>0</v>
      </c>
      <c r="N923" t="n">
        <v>0</v>
      </c>
      <c r="O923" t="n">
        <v>0</v>
      </c>
      <c r="P923" t="n">
        <v>0</v>
      </c>
      <c r="Q923" t="n">
        <v>0</v>
      </c>
      <c r="R923" s="2" t="inlineStr"/>
    </row>
    <row r="924" ht="15" customHeight="1">
      <c r="A924" t="inlineStr">
        <is>
          <t>A 24831-2023</t>
        </is>
      </c>
      <c r="B924" s="1" t="n">
        <v>45084.94445601852</v>
      </c>
      <c r="C924" s="1" t="n">
        <v>46048</v>
      </c>
      <c r="D924" t="inlineStr">
        <is>
          <t>JÄMTLANDS LÄN</t>
        </is>
      </c>
      <c r="E924" t="inlineStr">
        <is>
          <t>STRÖMSUND</t>
        </is>
      </c>
      <c r="G924" t="n">
        <v>5</v>
      </c>
      <c r="H924" t="n">
        <v>0</v>
      </c>
      <c r="I924" t="n">
        <v>0</v>
      </c>
      <c r="J924" t="n">
        <v>0</v>
      </c>
      <c r="K924" t="n">
        <v>0</v>
      </c>
      <c r="L924" t="n">
        <v>0</v>
      </c>
      <c r="M924" t="n">
        <v>0</v>
      </c>
      <c r="N924" t="n">
        <v>0</v>
      </c>
      <c r="O924" t="n">
        <v>0</v>
      </c>
      <c r="P924" t="n">
        <v>0</v>
      </c>
      <c r="Q924" t="n">
        <v>0</v>
      </c>
      <c r="R924" s="2" t="inlineStr"/>
    </row>
    <row r="925" ht="15" customHeight="1">
      <c r="A925" t="inlineStr">
        <is>
          <t>A 33299-2024</t>
        </is>
      </c>
      <c r="B925" s="1" t="n">
        <v>45518.96902777778</v>
      </c>
      <c r="C925" s="1" t="n">
        <v>46048</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18775-2023</t>
        </is>
      </c>
      <c r="B926" s="1" t="n">
        <v>45043.94303240741</v>
      </c>
      <c r="C926" s="1" t="n">
        <v>46048</v>
      </c>
      <c r="D926" t="inlineStr">
        <is>
          <t>JÄMTLANDS LÄN</t>
        </is>
      </c>
      <c r="E926" t="inlineStr">
        <is>
          <t>STRÖMSUND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47320-2022</t>
        </is>
      </c>
      <c r="B927" s="1" t="n">
        <v>44846</v>
      </c>
      <c r="C927" s="1" t="n">
        <v>46048</v>
      </c>
      <c r="D927" t="inlineStr">
        <is>
          <t>JÄMTLANDS LÄN</t>
        </is>
      </c>
      <c r="E927" t="inlineStr">
        <is>
          <t>STRÖMSUND</t>
        </is>
      </c>
      <c r="G927" t="n">
        <v>6.5</v>
      </c>
      <c r="H927" t="n">
        <v>0</v>
      </c>
      <c r="I927" t="n">
        <v>0</v>
      </c>
      <c r="J927" t="n">
        <v>0</v>
      </c>
      <c r="K927" t="n">
        <v>0</v>
      </c>
      <c r="L927" t="n">
        <v>0</v>
      </c>
      <c r="M927" t="n">
        <v>0</v>
      </c>
      <c r="N927" t="n">
        <v>0</v>
      </c>
      <c r="O927" t="n">
        <v>0</v>
      </c>
      <c r="P927" t="n">
        <v>0</v>
      </c>
      <c r="Q927" t="n">
        <v>0</v>
      </c>
      <c r="R927" s="2" t="inlineStr"/>
    </row>
    <row r="928" ht="15" customHeight="1">
      <c r="A928" t="inlineStr">
        <is>
          <t>A 27365-2023</t>
        </is>
      </c>
      <c r="B928" s="1" t="n">
        <v>45096.93800925926</v>
      </c>
      <c r="C928" s="1" t="n">
        <v>46048</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829-2022</t>
        </is>
      </c>
      <c r="B929" s="1" t="n">
        <v>44568</v>
      </c>
      <c r="C929" s="1" t="n">
        <v>46048</v>
      </c>
      <c r="D929" t="inlineStr">
        <is>
          <t>JÄMTLANDS LÄN</t>
        </is>
      </c>
      <c r="E929" t="inlineStr">
        <is>
          <t>STRÖMSUND</t>
        </is>
      </c>
      <c r="G929" t="n">
        <v>2.5</v>
      </c>
      <c r="H929" t="n">
        <v>0</v>
      </c>
      <c r="I929" t="n">
        <v>0</v>
      </c>
      <c r="J929" t="n">
        <v>0</v>
      </c>
      <c r="K929" t="n">
        <v>0</v>
      </c>
      <c r="L929" t="n">
        <v>0</v>
      </c>
      <c r="M929" t="n">
        <v>0</v>
      </c>
      <c r="N929" t="n">
        <v>0</v>
      </c>
      <c r="O929" t="n">
        <v>0</v>
      </c>
      <c r="P929" t="n">
        <v>0</v>
      </c>
      <c r="Q929" t="n">
        <v>0</v>
      </c>
      <c r="R929" s="2" t="inlineStr"/>
    </row>
    <row r="930" ht="15" customHeight="1">
      <c r="A930" t="inlineStr">
        <is>
          <t>A 35278-2023</t>
        </is>
      </c>
      <c r="B930" s="1" t="n">
        <v>45145.95423611111</v>
      </c>
      <c r="C930" s="1" t="n">
        <v>46048</v>
      </c>
      <c r="D930" t="inlineStr">
        <is>
          <t>JÄMTLANDS LÄN</t>
        </is>
      </c>
      <c r="E930" t="inlineStr">
        <is>
          <t>STRÖMSUND</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57963-2024</t>
        </is>
      </c>
      <c r="B931" s="1" t="n">
        <v>45631.59405092592</v>
      </c>
      <c r="C931" s="1" t="n">
        <v>46048</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59358-2023</t>
        </is>
      </c>
      <c r="B932" s="1" t="n">
        <v>45253.68273148148</v>
      </c>
      <c r="C932" s="1" t="n">
        <v>46048</v>
      </c>
      <c r="D932" t="inlineStr">
        <is>
          <t>JÄMTLANDS LÄN</t>
        </is>
      </c>
      <c r="E932" t="inlineStr">
        <is>
          <t>STRÖMSUND</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53142-2023</t>
        </is>
      </c>
      <c r="B933" s="1" t="n">
        <v>45229</v>
      </c>
      <c r="C933" s="1" t="n">
        <v>46048</v>
      </c>
      <c r="D933" t="inlineStr">
        <is>
          <t>JÄMTLANDS LÄN</t>
        </is>
      </c>
      <c r="E933" t="inlineStr">
        <is>
          <t>STRÖMSUND</t>
        </is>
      </c>
      <c r="G933" t="n">
        <v>2.8</v>
      </c>
      <c r="H933" t="n">
        <v>0</v>
      </c>
      <c r="I933" t="n">
        <v>0</v>
      </c>
      <c r="J933" t="n">
        <v>0</v>
      </c>
      <c r="K933" t="n">
        <v>0</v>
      </c>
      <c r="L933" t="n">
        <v>0</v>
      </c>
      <c r="M933" t="n">
        <v>0</v>
      </c>
      <c r="N933" t="n">
        <v>0</v>
      </c>
      <c r="O933" t="n">
        <v>0</v>
      </c>
      <c r="P933" t="n">
        <v>0</v>
      </c>
      <c r="Q933" t="n">
        <v>0</v>
      </c>
      <c r="R933" s="2" t="inlineStr"/>
    </row>
    <row r="934" ht="15" customHeight="1">
      <c r="A934" t="inlineStr">
        <is>
          <t>A 2109-2024</t>
        </is>
      </c>
      <c r="B934" s="1" t="n">
        <v>45309</v>
      </c>
      <c r="C934" s="1" t="n">
        <v>46048</v>
      </c>
      <c r="D934" t="inlineStr">
        <is>
          <t>JÄMTLANDS LÄN</t>
        </is>
      </c>
      <c r="E934" t="inlineStr">
        <is>
          <t>STRÖMSUND</t>
        </is>
      </c>
      <c r="G934" t="n">
        <v>23.5</v>
      </c>
      <c r="H934" t="n">
        <v>0</v>
      </c>
      <c r="I934" t="n">
        <v>0</v>
      </c>
      <c r="J934" t="n">
        <v>0</v>
      </c>
      <c r="K934" t="n">
        <v>0</v>
      </c>
      <c r="L934" t="n">
        <v>0</v>
      </c>
      <c r="M934" t="n">
        <v>0</v>
      </c>
      <c r="N934" t="n">
        <v>0</v>
      </c>
      <c r="O934" t="n">
        <v>0</v>
      </c>
      <c r="P934" t="n">
        <v>0</v>
      </c>
      <c r="Q934" t="n">
        <v>0</v>
      </c>
      <c r="R934" s="2" t="inlineStr"/>
    </row>
    <row r="935" ht="15" customHeight="1">
      <c r="A935" t="inlineStr">
        <is>
          <t>A 9678-2023</t>
        </is>
      </c>
      <c r="B935" s="1" t="n">
        <v>44984</v>
      </c>
      <c r="C935" s="1" t="n">
        <v>46048</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10429-2025</t>
        </is>
      </c>
      <c r="B936" s="1" t="n">
        <v>45720.65675925926</v>
      </c>
      <c r="C936" s="1" t="n">
        <v>46048</v>
      </c>
      <c r="D936" t="inlineStr">
        <is>
          <t>JÄMTLANDS LÄN</t>
        </is>
      </c>
      <c r="E936" t="inlineStr">
        <is>
          <t>STRÖMSUND</t>
        </is>
      </c>
      <c r="G936" t="n">
        <v>5</v>
      </c>
      <c r="H936" t="n">
        <v>0</v>
      </c>
      <c r="I936" t="n">
        <v>0</v>
      </c>
      <c r="J936" t="n">
        <v>0</v>
      </c>
      <c r="K936" t="n">
        <v>0</v>
      </c>
      <c r="L936" t="n">
        <v>0</v>
      </c>
      <c r="M936" t="n">
        <v>0</v>
      </c>
      <c r="N936" t="n">
        <v>0</v>
      </c>
      <c r="O936" t="n">
        <v>0</v>
      </c>
      <c r="P936" t="n">
        <v>0</v>
      </c>
      <c r="Q936" t="n">
        <v>0</v>
      </c>
      <c r="R936" s="2" t="inlineStr"/>
    </row>
    <row r="937" ht="15" customHeight="1">
      <c r="A937" t="inlineStr">
        <is>
          <t>A 61419-2021</t>
        </is>
      </c>
      <c r="B937" s="1" t="n">
        <v>44500.93606481481</v>
      </c>
      <c r="C937" s="1" t="n">
        <v>46048</v>
      </c>
      <c r="D937" t="inlineStr">
        <is>
          <t>JÄMTLANDS LÄN</t>
        </is>
      </c>
      <c r="E937" t="inlineStr">
        <is>
          <t>STRÖMSUND</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40140-2024</t>
        </is>
      </c>
      <c r="B938" s="1" t="n">
        <v>45554</v>
      </c>
      <c r="C938" s="1" t="n">
        <v>46048</v>
      </c>
      <c r="D938" t="inlineStr">
        <is>
          <t>JÄMTLANDS LÄN</t>
        </is>
      </c>
      <c r="E938" t="inlineStr">
        <is>
          <t>STRÖMSUND</t>
        </is>
      </c>
      <c r="F938" t="inlineStr">
        <is>
          <t>Kyrkan</t>
        </is>
      </c>
      <c r="G938" t="n">
        <v>6.4</v>
      </c>
      <c r="H938" t="n">
        <v>0</v>
      </c>
      <c r="I938" t="n">
        <v>0</v>
      </c>
      <c r="J938" t="n">
        <v>0</v>
      </c>
      <c r="K938" t="n">
        <v>0</v>
      </c>
      <c r="L938" t="n">
        <v>0</v>
      </c>
      <c r="M938" t="n">
        <v>0</v>
      </c>
      <c r="N938" t="n">
        <v>0</v>
      </c>
      <c r="O938" t="n">
        <v>0</v>
      </c>
      <c r="P938" t="n">
        <v>0</v>
      </c>
      <c r="Q938" t="n">
        <v>0</v>
      </c>
      <c r="R938" s="2" t="inlineStr"/>
    </row>
    <row r="939" ht="15" customHeight="1">
      <c r="A939" t="inlineStr">
        <is>
          <t>A 23689-2025</t>
        </is>
      </c>
      <c r="B939" s="1" t="n">
        <v>45793.34449074074</v>
      </c>
      <c r="C939" s="1" t="n">
        <v>46048</v>
      </c>
      <c r="D939" t="inlineStr">
        <is>
          <t>JÄMTLANDS LÄN</t>
        </is>
      </c>
      <c r="E939" t="inlineStr">
        <is>
          <t>STRÖMSUND</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60014-2023</t>
        </is>
      </c>
      <c r="B940" s="1" t="n">
        <v>45257.97363425926</v>
      </c>
      <c r="C940" s="1" t="n">
        <v>46048</v>
      </c>
      <c r="D940" t="inlineStr">
        <is>
          <t>JÄMTLANDS LÄN</t>
        </is>
      </c>
      <c r="E940" t="inlineStr">
        <is>
          <t>STRÖMSUND</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51450-2022</t>
        </is>
      </c>
      <c r="B941" s="1" t="n">
        <v>44869.5025</v>
      </c>
      <c r="C941" s="1" t="n">
        <v>46048</v>
      </c>
      <c r="D941" t="inlineStr">
        <is>
          <t>JÄMTLANDS LÄN</t>
        </is>
      </c>
      <c r="E941" t="inlineStr">
        <is>
          <t>STRÖMSUND</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14928-2025</t>
        </is>
      </c>
      <c r="B942" s="1" t="n">
        <v>45743.55309027778</v>
      </c>
      <c r="C942" s="1" t="n">
        <v>46048</v>
      </c>
      <c r="D942" t="inlineStr">
        <is>
          <t>JÄMTLANDS LÄN</t>
        </is>
      </c>
      <c r="E942" t="inlineStr">
        <is>
          <t>STRÖMSUND</t>
        </is>
      </c>
      <c r="F942" t="inlineStr">
        <is>
          <t>SCA</t>
        </is>
      </c>
      <c r="G942" t="n">
        <v>12.2</v>
      </c>
      <c r="H942" t="n">
        <v>0</v>
      </c>
      <c r="I942" t="n">
        <v>0</v>
      </c>
      <c r="J942" t="n">
        <v>0</v>
      </c>
      <c r="K942" t="n">
        <v>0</v>
      </c>
      <c r="L942" t="n">
        <v>0</v>
      </c>
      <c r="M942" t="n">
        <v>0</v>
      </c>
      <c r="N942" t="n">
        <v>0</v>
      </c>
      <c r="O942" t="n">
        <v>0</v>
      </c>
      <c r="P942" t="n">
        <v>0</v>
      </c>
      <c r="Q942" t="n">
        <v>0</v>
      </c>
      <c r="R942" s="2" t="inlineStr"/>
    </row>
    <row r="943" ht="15" customHeight="1">
      <c r="A943" t="inlineStr">
        <is>
          <t>A 5047-2025</t>
        </is>
      </c>
      <c r="B943" s="1" t="n">
        <v>45691.44754629629</v>
      </c>
      <c r="C943" s="1" t="n">
        <v>46048</v>
      </c>
      <c r="D943" t="inlineStr">
        <is>
          <t>JÄMTLANDS LÄN</t>
        </is>
      </c>
      <c r="E943" t="inlineStr">
        <is>
          <t>STRÖMSUND</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48543-2022</t>
        </is>
      </c>
      <c r="B944" s="1" t="n">
        <v>44858.95497685186</v>
      </c>
      <c r="C944" s="1" t="n">
        <v>46048</v>
      </c>
      <c r="D944" t="inlineStr">
        <is>
          <t>JÄMTLANDS LÄN</t>
        </is>
      </c>
      <c r="E944" t="inlineStr">
        <is>
          <t>STRÖMSUND</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23628-2025</t>
        </is>
      </c>
      <c r="B945" s="1" t="n">
        <v>45792.67740740741</v>
      </c>
      <c r="C945" s="1" t="n">
        <v>46048</v>
      </c>
      <c r="D945" t="inlineStr">
        <is>
          <t>JÄMTLANDS LÄN</t>
        </is>
      </c>
      <c r="E945" t="inlineStr">
        <is>
          <t>STRÖMSUND</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30586-2024</t>
        </is>
      </c>
      <c r="B946" s="1" t="n">
        <v>45492</v>
      </c>
      <c r="C946" s="1" t="n">
        <v>46048</v>
      </c>
      <c r="D946" t="inlineStr">
        <is>
          <t>JÄMTLANDS LÄN</t>
        </is>
      </c>
      <c r="E946" t="inlineStr">
        <is>
          <t>STRÖMSUND</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46048</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18750-2022</t>
        </is>
      </c>
      <c r="B948" s="1" t="n">
        <v>44687.94185185185</v>
      </c>
      <c r="C948" s="1" t="n">
        <v>46048</v>
      </c>
      <c r="D948" t="inlineStr">
        <is>
          <t>JÄMTLANDS LÄN</t>
        </is>
      </c>
      <c r="E948" t="inlineStr">
        <is>
          <t>STRÖMSUND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1747-2023</t>
        </is>
      </c>
      <c r="B949" s="1" t="n">
        <v>44936</v>
      </c>
      <c r="C949" s="1" t="n">
        <v>46048</v>
      </c>
      <c r="D949" t="inlineStr">
        <is>
          <t>JÄMTLANDS LÄN</t>
        </is>
      </c>
      <c r="E949" t="inlineStr">
        <is>
          <t>STRÖMSUND</t>
        </is>
      </c>
      <c r="G949" t="n">
        <v>13.1</v>
      </c>
      <c r="H949" t="n">
        <v>0</v>
      </c>
      <c r="I949" t="n">
        <v>0</v>
      </c>
      <c r="J949" t="n">
        <v>0</v>
      </c>
      <c r="K949" t="n">
        <v>0</v>
      </c>
      <c r="L949" t="n">
        <v>0</v>
      </c>
      <c r="M949" t="n">
        <v>0</v>
      </c>
      <c r="N949" t="n">
        <v>0</v>
      </c>
      <c r="O949" t="n">
        <v>0</v>
      </c>
      <c r="P949" t="n">
        <v>0</v>
      </c>
      <c r="Q949" t="n">
        <v>0</v>
      </c>
      <c r="R949" s="2" t="inlineStr"/>
    </row>
    <row r="950" ht="15" customHeight="1">
      <c r="A950" t="inlineStr">
        <is>
          <t>A 41070-2024</t>
        </is>
      </c>
      <c r="B950" s="1" t="n">
        <v>45559.39347222223</v>
      </c>
      <c r="C950" s="1" t="n">
        <v>46048</v>
      </c>
      <c r="D950" t="inlineStr">
        <is>
          <t>JÄMTLANDS LÄN</t>
        </is>
      </c>
      <c r="E950" t="inlineStr">
        <is>
          <t>STRÖMSUND</t>
        </is>
      </c>
      <c r="F950" t="inlineStr">
        <is>
          <t>Holmen skog AB</t>
        </is>
      </c>
      <c r="G950" t="n">
        <v>3.8</v>
      </c>
      <c r="H950" t="n">
        <v>0</v>
      </c>
      <c r="I950" t="n">
        <v>0</v>
      </c>
      <c r="J950" t="n">
        <v>0</v>
      </c>
      <c r="K950" t="n">
        <v>0</v>
      </c>
      <c r="L950" t="n">
        <v>0</v>
      </c>
      <c r="M950" t="n">
        <v>0</v>
      </c>
      <c r="N950" t="n">
        <v>0</v>
      </c>
      <c r="O950" t="n">
        <v>0</v>
      </c>
      <c r="P950" t="n">
        <v>0</v>
      </c>
      <c r="Q950" t="n">
        <v>0</v>
      </c>
      <c r="R950" s="2" t="inlineStr"/>
    </row>
    <row r="951" ht="15" customHeight="1">
      <c r="A951" t="inlineStr">
        <is>
          <t>A 59141-2024</t>
        </is>
      </c>
      <c r="B951" s="1" t="n">
        <v>45637.44400462963</v>
      </c>
      <c r="C951" s="1" t="n">
        <v>46048</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35423-2024</t>
        </is>
      </c>
      <c r="B952" s="1" t="n">
        <v>45531.4108912037</v>
      </c>
      <c r="C952" s="1" t="n">
        <v>46048</v>
      </c>
      <c r="D952" t="inlineStr">
        <is>
          <t>JÄMTLANDS LÄN</t>
        </is>
      </c>
      <c r="E952" t="inlineStr">
        <is>
          <t>STRÖMSUND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4034-2025</t>
        </is>
      </c>
      <c r="B953" s="1" t="n">
        <v>45684.59953703704</v>
      </c>
      <c r="C953" s="1" t="n">
        <v>46048</v>
      </c>
      <c r="D953" t="inlineStr">
        <is>
          <t>JÄMTLANDS LÄN</t>
        </is>
      </c>
      <c r="E953" t="inlineStr">
        <is>
          <t>STRÖMSUND</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63140-2023</t>
        </is>
      </c>
      <c r="B954" s="1" t="n">
        <v>45273.47074074074</v>
      </c>
      <c r="C954" s="1" t="n">
        <v>46048</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56961-2024</t>
        </is>
      </c>
      <c r="B955" s="1" t="n">
        <v>45628.65688657408</v>
      </c>
      <c r="C955" s="1" t="n">
        <v>46048</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21192-2022</t>
        </is>
      </c>
      <c r="B956" s="1" t="n">
        <v>44704.94199074074</v>
      </c>
      <c r="C956" s="1" t="n">
        <v>46048</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16722-2025</t>
        </is>
      </c>
      <c r="B957" s="1" t="n">
        <v>45754.49059027778</v>
      </c>
      <c r="C957" s="1" t="n">
        <v>46048</v>
      </c>
      <c r="D957" t="inlineStr">
        <is>
          <t>JÄMTLANDS LÄN</t>
        </is>
      </c>
      <c r="E957" t="inlineStr">
        <is>
          <t>STRÖMSUND</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24419-2025</t>
        </is>
      </c>
      <c r="B958" s="1" t="n">
        <v>45797.67760416667</v>
      </c>
      <c r="C958" s="1" t="n">
        <v>46048</v>
      </c>
      <c r="D958" t="inlineStr">
        <is>
          <t>JÄMTLANDS LÄN</t>
        </is>
      </c>
      <c r="E958" t="inlineStr">
        <is>
          <t>STRÖMSUND</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32107-2024</t>
        </is>
      </c>
      <c r="B959" s="1" t="n">
        <v>45511</v>
      </c>
      <c r="C959" s="1" t="n">
        <v>46048</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22026-2022</t>
        </is>
      </c>
      <c r="B960" s="1" t="n">
        <v>44711</v>
      </c>
      <c r="C960" s="1" t="n">
        <v>46048</v>
      </c>
      <c r="D960" t="inlineStr">
        <is>
          <t>JÄMTLANDS LÄN</t>
        </is>
      </c>
      <c r="E960" t="inlineStr">
        <is>
          <t>STRÖMSUND</t>
        </is>
      </c>
      <c r="G960" t="n">
        <v>5.8</v>
      </c>
      <c r="H960" t="n">
        <v>0</v>
      </c>
      <c r="I960" t="n">
        <v>0</v>
      </c>
      <c r="J960" t="n">
        <v>0</v>
      </c>
      <c r="K960" t="n">
        <v>0</v>
      </c>
      <c r="L960" t="n">
        <v>0</v>
      </c>
      <c r="M960" t="n">
        <v>0</v>
      </c>
      <c r="N960" t="n">
        <v>0</v>
      </c>
      <c r="O960" t="n">
        <v>0</v>
      </c>
      <c r="P960" t="n">
        <v>0</v>
      </c>
      <c r="Q960" t="n">
        <v>0</v>
      </c>
      <c r="R960" s="2" t="inlineStr"/>
    </row>
    <row r="961" ht="15" customHeight="1">
      <c r="A961" t="inlineStr">
        <is>
          <t>A 22745-2023</t>
        </is>
      </c>
      <c r="B961" s="1" t="n">
        <v>45071.94046296296</v>
      </c>
      <c r="C961" s="1" t="n">
        <v>46048</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24197-2021</t>
        </is>
      </c>
      <c r="B962" s="1" t="n">
        <v>44336</v>
      </c>
      <c r="C962" s="1" t="n">
        <v>46048</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24334-2025</t>
        </is>
      </c>
      <c r="B963" s="1" t="n">
        <v>45797.57329861111</v>
      </c>
      <c r="C963" s="1" t="n">
        <v>46048</v>
      </c>
      <c r="D963" t="inlineStr">
        <is>
          <t>JÄMTLANDS LÄN</t>
        </is>
      </c>
      <c r="E963" t="inlineStr">
        <is>
          <t>STRÖMSUND</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24337-2025</t>
        </is>
      </c>
      <c r="B964" s="1" t="n">
        <v>45797.57368055556</v>
      </c>
      <c r="C964" s="1" t="n">
        <v>46048</v>
      </c>
      <c r="D964" t="inlineStr">
        <is>
          <t>JÄMTLANDS LÄN</t>
        </is>
      </c>
      <c r="E964" t="inlineStr">
        <is>
          <t>STRÖMSUND</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53019-2022</t>
        </is>
      </c>
      <c r="B965" s="1" t="n">
        <v>44875</v>
      </c>
      <c r="C965" s="1" t="n">
        <v>46048</v>
      </c>
      <c r="D965" t="inlineStr">
        <is>
          <t>JÄMTLANDS LÄN</t>
        </is>
      </c>
      <c r="E965" t="inlineStr">
        <is>
          <t>STRÖMSUND</t>
        </is>
      </c>
      <c r="F965" t="inlineStr">
        <is>
          <t>SCA</t>
        </is>
      </c>
      <c r="G965" t="n">
        <v>4.8</v>
      </c>
      <c r="H965" t="n">
        <v>0</v>
      </c>
      <c r="I965" t="n">
        <v>0</v>
      </c>
      <c r="J965" t="n">
        <v>0</v>
      </c>
      <c r="K965" t="n">
        <v>0</v>
      </c>
      <c r="L965" t="n">
        <v>0</v>
      </c>
      <c r="M965" t="n">
        <v>0</v>
      </c>
      <c r="N965" t="n">
        <v>0</v>
      </c>
      <c r="O965" t="n">
        <v>0</v>
      </c>
      <c r="P965" t="n">
        <v>0</v>
      </c>
      <c r="Q965" t="n">
        <v>0</v>
      </c>
      <c r="R965" s="2" t="inlineStr"/>
    </row>
    <row r="966" ht="15" customHeight="1">
      <c r="A966" t="inlineStr">
        <is>
          <t>A 61538-2024</t>
        </is>
      </c>
      <c r="B966" s="1" t="n">
        <v>45646.5940625</v>
      </c>
      <c r="C966" s="1" t="n">
        <v>46048</v>
      </c>
      <c r="D966" t="inlineStr">
        <is>
          <t>JÄMTLANDS LÄN</t>
        </is>
      </c>
      <c r="E966" t="inlineStr">
        <is>
          <t>STRÖMSUND</t>
        </is>
      </c>
      <c r="F966" t="inlineStr">
        <is>
          <t>SCA</t>
        </is>
      </c>
      <c r="G966" t="n">
        <v>24.4</v>
      </c>
      <c r="H966" t="n">
        <v>0</v>
      </c>
      <c r="I966" t="n">
        <v>0</v>
      </c>
      <c r="J966" t="n">
        <v>0</v>
      </c>
      <c r="K966" t="n">
        <v>0</v>
      </c>
      <c r="L966" t="n">
        <v>0</v>
      </c>
      <c r="M966" t="n">
        <v>0</v>
      </c>
      <c r="N966" t="n">
        <v>0</v>
      </c>
      <c r="O966" t="n">
        <v>0</v>
      </c>
      <c r="P966" t="n">
        <v>0</v>
      </c>
      <c r="Q966" t="n">
        <v>0</v>
      </c>
      <c r="R966" s="2" t="inlineStr"/>
    </row>
    <row r="967" ht="15" customHeight="1">
      <c r="A967" t="inlineStr">
        <is>
          <t>A 58179-2022</t>
        </is>
      </c>
      <c r="B967" s="1" t="n">
        <v>44900</v>
      </c>
      <c r="C967" s="1" t="n">
        <v>46048</v>
      </c>
      <c r="D967" t="inlineStr">
        <is>
          <t>JÄMTLANDS LÄN</t>
        </is>
      </c>
      <c r="E967" t="inlineStr">
        <is>
          <t>STRÖMSUND</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69132-2021</t>
        </is>
      </c>
      <c r="B968" s="1" t="n">
        <v>44530</v>
      </c>
      <c r="C968" s="1" t="n">
        <v>46048</v>
      </c>
      <c r="D968" t="inlineStr">
        <is>
          <t>JÄMTLANDS LÄN</t>
        </is>
      </c>
      <c r="E968" t="inlineStr">
        <is>
          <t>STRÖMSUND</t>
        </is>
      </c>
      <c r="G968" t="n">
        <v>4.5</v>
      </c>
      <c r="H968" t="n">
        <v>0</v>
      </c>
      <c r="I968" t="n">
        <v>0</v>
      </c>
      <c r="J968" t="n">
        <v>0</v>
      </c>
      <c r="K968" t="n">
        <v>0</v>
      </c>
      <c r="L968" t="n">
        <v>0</v>
      </c>
      <c r="M968" t="n">
        <v>0</v>
      </c>
      <c r="N968" t="n">
        <v>0</v>
      </c>
      <c r="O968" t="n">
        <v>0</v>
      </c>
      <c r="P968" t="n">
        <v>0</v>
      </c>
      <c r="Q968" t="n">
        <v>0</v>
      </c>
      <c r="R968" s="2" t="inlineStr"/>
    </row>
    <row r="969" ht="15" customHeight="1">
      <c r="A969" t="inlineStr">
        <is>
          <t>A 1429-2025</t>
        </is>
      </c>
      <c r="B969" s="1" t="n">
        <v>45669.37052083333</v>
      </c>
      <c r="C969" s="1" t="n">
        <v>46048</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32530-2023</t>
        </is>
      </c>
      <c r="B970" s="1" t="n">
        <v>45111</v>
      </c>
      <c r="C970" s="1" t="n">
        <v>46048</v>
      </c>
      <c r="D970" t="inlineStr">
        <is>
          <t>JÄMTLANDS LÄN</t>
        </is>
      </c>
      <c r="E970" t="inlineStr">
        <is>
          <t>STRÖMSUND</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1548-2025</t>
        </is>
      </c>
      <c r="B971" s="1" t="n">
        <v>45670</v>
      </c>
      <c r="C971" s="1" t="n">
        <v>46048</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52134-2023</t>
        </is>
      </c>
      <c r="B972" s="1" t="n">
        <v>45223</v>
      </c>
      <c r="C972" s="1" t="n">
        <v>46048</v>
      </c>
      <c r="D972" t="inlineStr">
        <is>
          <t>JÄMTLANDS LÄN</t>
        </is>
      </c>
      <c r="E972" t="inlineStr">
        <is>
          <t>STRÖMSUND</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43558-2023</t>
        </is>
      </c>
      <c r="B973" s="1" t="n">
        <v>45181</v>
      </c>
      <c r="C973" s="1" t="n">
        <v>46048</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31156-2023</t>
        </is>
      </c>
      <c r="B974" s="1" t="n">
        <v>45103</v>
      </c>
      <c r="C974" s="1" t="n">
        <v>46048</v>
      </c>
      <c r="D974" t="inlineStr">
        <is>
          <t>JÄMTLANDS LÄN</t>
        </is>
      </c>
      <c r="E974" t="inlineStr">
        <is>
          <t>STRÖMSUND</t>
        </is>
      </c>
      <c r="G974" t="n">
        <v>0.9</v>
      </c>
      <c r="H974" t="n">
        <v>0</v>
      </c>
      <c r="I974" t="n">
        <v>0</v>
      </c>
      <c r="J974" t="n">
        <v>0</v>
      </c>
      <c r="K974" t="n">
        <v>0</v>
      </c>
      <c r="L974" t="n">
        <v>0</v>
      </c>
      <c r="M974" t="n">
        <v>0</v>
      </c>
      <c r="N974" t="n">
        <v>0</v>
      </c>
      <c r="O974" t="n">
        <v>0</v>
      </c>
      <c r="P974" t="n">
        <v>0</v>
      </c>
      <c r="Q974" t="n">
        <v>0</v>
      </c>
      <c r="R974" s="2" t="inlineStr"/>
    </row>
    <row r="975" ht="15" customHeight="1">
      <c r="A975" t="inlineStr">
        <is>
          <t>A 1929-2024</t>
        </is>
      </c>
      <c r="B975" s="1" t="n">
        <v>45308.45653935185</v>
      </c>
      <c r="C975" s="1" t="n">
        <v>46048</v>
      </c>
      <c r="D975" t="inlineStr">
        <is>
          <t>JÄMTLANDS LÄN</t>
        </is>
      </c>
      <c r="E975" t="inlineStr">
        <is>
          <t>STRÖMSUND</t>
        </is>
      </c>
      <c r="G975" t="n">
        <v>6</v>
      </c>
      <c r="H975" t="n">
        <v>0</v>
      </c>
      <c r="I975" t="n">
        <v>0</v>
      </c>
      <c r="J975" t="n">
        <v>0</v>
      </c>
      <c r="K975" t="n">
        <v>0</v>
      </c>
      <c r="L975" t="n">
        <v>0</v>
      </c>
      <c r="M975" t="n">
        <v>0</v>
      </c>
      <c r="N975" t="n">
        <v>0</v>
      </c>
      <c r="O975" t="n">
        <v>0</v>
      </c>
      <c r="P975" t="n">
        <v>0</v>
      </c>
      <c r="Q975" t="n">
        <v>0</v>
      </c>
      <c r="R975" s="2" t="inlineStr"/>
    </row>
    <row r="976" ht="15" customHeight="1">
      <c r="A976" t="inlineStr">
        <is>
          <t>A 28767-2023</t>
        </is>
      </c>
      <c r="B976" s="1" t="n">
        <v>45103.94275462963</v>
      </c>
      <c r="C976" s="1" t="n">
        <v>46048</v>
      </c>
      <c r="D976" t="inlineStr">
        <is>
          <t>JÄMTLANDS LÄN</t>
        </is>
      </c>
      <c r="E976" t="inlineStr">
        <is>
          <t>STRÖMSUND</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18146-2025</t>
        </is>
      </c>
      <c r="B977" s="1" t="n">
        <v>45761.61534722222</v>
      </c>
      <c r="C977" s="1" t="n">
        <v>46048</v>
      </c>
      <c r="D977" t="inlineStr">
        <is>
          <t>JÄMTLANDS LÄN</t>
        </is>
      </c>
      <c r="E977" t="inlineStr">
        <is>
          <t>STRÖMSUND</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473-2025</t>
        </is>
      </c>
      <c r="B978" s="1" t="n">
        <v>45664</v>
      </c>
      <c r="C978" s="1" t="n">
        <v>46048</v>
      </c>
      <c r="D978" t="inlineStr">
        <is>
          <t>JÄMTLANDS LÄN</t>
        </is>
      </c>
      <c r="E978" t="inlineStr">
        <is>
          <t>STRÖMSUND</t>
        </is>
      </c>
      <c r="G978" t="n">
        <v>0.1</v>
      </c>
      <c r="H978" t="n">
        <v>0</v>
      </c>
      <c r="I978" t="n">
        <v>0</v>
      </c>
      <c r="J978" t="n">
        <v>0</v>
      </c>
      <c r="K978" t="n">
        <v>0</v>
      </c>
      <c r="L978" t="n">
        <v>0</v>
      </c>
      <c r="M978" t="n">
        <v>0</v>
      </c>
      <c r="N978" t="n">
        <v>0</v>
      </c>
      <c r="O978" t="n">
        <v>0</v>
      </c>
      <c r="P978" t="n">
        <v>0</v>
      </c>
      <c r="Q978" t="n">
        <v>0</v>
      </c>
      <c r="R978" s="2" t="inlineStr"/>
    </row>
    <row r="979" ht="15" customHeight="1">
      <c r="A979" t="inlineStr">
        <is>
          <t>A 7999-2025</t>
        </is>
      </c>
      <c r="B979" s="1" t="n">
        <v>45706</v>
      </c>
      <c r="C979" s="1" t="n">
        <v>46048</v>
      </c>
      <c r="D979" t="inlineStr">
        <is>
          <t>JÄMTLANDS LÄN</t>
        </is>
      </c>
      <c r="E979" t="inlineStr">
        <is>
          <t>STRÖMSUND</t>
        </is>
      </c>
      <c r="G979" t="n">
        <v>2.9</v>
      </c>
      <c r="H979" t="n">
        <v>0</v>
      </c>
      <c r="I979" t="n">
        <v>0</v>
      </c>
      <c r="J979" t="n">
        <v>0</v>
      </c>
      <c r="K979" t="n">
        <v>0</v>
      </c>
      <c r="L979" t="n">
        <v>0</v>
      </c>
      <c r="M979" t="n">
        <v>0</v>
      </c>
      <c r="N979" t="n">
        <v>0</v>
      </c>
      <c r="O979" t="n">
        <v>0</v>
      </c>
      <c r="P979" t="n">
        <v>0</v>
      </c>
      <c r="Q979" t="n">
        <v>0</v>
      </c>
      <c r="R979" s="2" t="inlineStr"/>
    </row>
    <row r="980" ht="15" customHeight="1">
      <c r="A980" t="inlineStr">
        <is>
          <t>A 52645-2024</t>
        </is>
      </c>
      <c r="B980" s="1" t="n">
        <v>45610.34516203704</v>
      </c>
      <c r="C980" s="1" t="n">
        <v>46048</v>
      </c>
      <c r="D980" t="inlineStr">
        <is>
          <t>JÄMTLANDS LÄN</t>
        </is>
      </c>
      <c r="E980" t="inlineStr">
        <is>
          <t>STRÖMSUND</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17105-2024</t>
        </is>
      </c>
      <c r="B981" s="1" t="n">
        <v>45412</v>
      </c>
      <c r="C981" s="1" t="n">
        <v>46048</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23779-2023</t>
        </is>
      </c>
      <c r="B982" s="1" t="n">
        <v>45077.94695601852</v>
      </c>
      <c r="C982" s="1" t="n">
        <v>46048</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23783-2023</t>
        </is>
      </c>
      <c r="B983" s="1" t="n">
        <v>45077.94710648148</v>
      </c>
      <c r="C983" s="1" t="n">
        <v>46048</v>
      </c>
      <c r="D983" t="inlineStr">
        <is>
          <t>JÄMTLANDS LÄN</t>
        </is>
      </c>
      <c r="E983" t="inlineStr">
        <is>
          <t>STRÖMSUND</t>
        </is>
      </c>
      <c r="G983" t="n">
        <v>2.2</v>
      </c>
      <c r="H983" t="n">
        <v>0</v>
      </c>
      <c r="I983" t="n">
        <v>0</v>
      </c>
      <c r="J983" t="n">
        <v>0</v>
      </c>
      <c r="K983" t="n">
        <v>0</v>
      </c>
      <c r="L983" t="n">
        <v>0</v>
      </c>
      <c r="M983" t="n">
        <v>0</v>
      </c>
      <c r="N983" t="n">
        <v>0</v>
      </c>
      <c r="O983" t="n">
        <v>0</v>
      </c>
      <c r="P983" t="n">
        <v>0</v>
      </c>
      <c r="Q983" t="n">
        <v>0</v>
      </c>
      <c r="R983" s="2" t="inlineStr"/>
    </row>
    <row r="984" ht="15" customHeight="1">
      <c r="A984" t="inlineStr">
        <is>
          <t>A 19826-2023</t>
        </is>
      </c>
      <c r="B984" s="1" t="n">
        <v>45051.94119212963</v>
      </c>
      <c r="C984" s="1" t="n">
        <v>46048</v>
      </c>
      <c r="D984" t="inlineStr">
        <is>
          <t>JÄMTLANDS LÄN</t>
        </is>
      </c>
      <c r="E984" t="inlineStr">
        <is>
          <t>STRÖMSUND</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36913-2024</t>
        </is>
      </c>
      <c r="B985" s="1" t="n">
        <v>45538.63615740741</v>
      </c>
      <c r="C985" s="1" t="n">
        <v>46048</v>
      </c>
      <c r="D985" t="inlineStr">
        <is>
          <t>JÄMTLANDS LÄN</t>
        </is>
      </c>
      <c r="E985" t="inlineStr">
        <is>
          <t>STRÖMSUND</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27643-2024</t>
        </is>
      </c>
      <c r="B986" s="1" t="n">
        <v>45474.94711805556</v>
      </c>
      <c r="C986" s="1" t="n">
        <v>46048</v>
      </c>
      <c r="D986" t="inlineStr">
        <is>
          <t>JÄMTLANDS LÄN</t>
        </is>
      </c>
      <c r="E986" t="inlineStr">
        <is>
          <t>STRÖMSUND</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57501-2023</t>
        </is>
      </c>
      <c r="B987" s="1" t="n">
        <v>45246.42853009259</v>
      </c>
      <c r="C987" s="1" t="n">
        <v>46048</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57504-2023</t>
        </is>
      </c>
      <c r="B988" s="1" t="n">
        <v>45246.43067129629</v>
      </c>
      <c r="C988" s="1" t="n">
        <v>46048</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52850-2023</t>
        </is>
      </c>
      <c r="B989" s="1" t="n">
        <v>45226.43943287037</v>
      </c>
      <c r="C989" s="1" t="n">
        <v>46048</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24316-2025</t>
        </is>
      </c>
      <c r="B990" s="1" t="n">
        <v>45797.53180555555</v>
      </c>
      <c r="C990" s="1" t="n">
        <v>46048</v>
      </c>
      <c r="D990" t="inlineStr">
        <is>
          <t>JÄMTLANDS LÄN</t>
        </is>
      </c>
      <c r="E990" t="inlineStr">
        <is>
          <t>STRÖMSUND</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24341-2025</t>
        </is>
      </c>
      <c r="B991" s="1" t="n">
        <v>45797.57416666667</v>
      </c>
      <c r="C991" s="1" t="n">
        <v>46048</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24263-2025</t>
        </is>
      </c>
      <c r="B992" s="1" t="n">
        <v>45797.42107638889</v>
      </c>
      <c r="C992" s="1" t="n">
        <v>46048</v>
      </c>
      <c r="D992" t="inlineStr">
        <is>
          <t>JÄMTLANDS LÄN</t>
        </is>
      </c>
      <c r="E992" t="inlineStr">
        <is>
          <t>STRÖMSUND</t>
        </is>
      </c>
      <c r="G992" t="n">
        <v>2.6</v>
      </c>
      <c r="H992" t="n">
        <v>0</v>
      </c>
      <c r="I992" t="n">
        <v>0</v>
      </c>
      <c r="J992" t="n">
        <v>0</v>
      </c>
      <c r="K992" t="n">
        <v>0</v>
      </c>
      <c r="L992" t="n">
        <v>0</v>
      </c>
      <c r="M992" t="n">
        <v>0</v>
      </c>
      <c r="N992" t="n">
        <v>0</v>
      </c>
      <c r="O992" t="n">
        <v>0</v>
      </c>
      <c r="P992" t="n">
        <v>0</v>
      </c>
      <c r="Q992" t="n">
        <v>0</v>
      </c>
      <c r="R992" s="2" t="inlineStr"/>
    </row>
    <row r="993" ht="15" customHeight="1">
      <c r="A993" t="inlineStr">
        <is>
          <t>A 24338-2025</t>
        </is>
      </c>
      <c r="B993" s="1" t="n">
        <v>45797.57383101852</v>
      </c>
      <c r="C993" s="1" t="n">
        <v>46048</v>
      </c>
      <c r="D993" t="inlineStr">
        <is>
          <t>JÄMTLANDS LÄN</t>
        </is>
      </c>
      <c r="E993" t="inlineStr">
        <is>
          <t>STRÖMSUND</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48134-2024</t>
        </is>
      </c>
      <c r="B994" s="1" t="n">
        <v>45589</v>
      </c>
      <c r="C994" s="1" t="n">
        <v>46048</v>
      </c>
      <c r="D994" t="inlineStr">
        <is>
          <t>JÄMTLANDS LÄN</t>
        </is>
      </c>
      <c r="E994" t="inlineStr">
        <is>
          <t>STRÖMSUND</t>
        </is>
      </c>
      <c r="G994" t="n">
        <v>27.3</v>
      </c>
      <c r="H994" t="n">
        <v>0</v>
      </c>
      <c r="I994" t="n">
        <v>0</v>
      </c>
      <c r="J994" t="n">
        <v>0</v>
      </c>
      <c r="K994" t="n">
        <v>0</v>
      </c>
      <c r="L994" t="n">
        <v>0</v>
      </c>
      <c r="M994" t="n">
        <v>0</v>
      </c>
      <c r="N994" t="n">
        <v>0</v>
      </c>
      <c r="O994" t="n">
        <v>0</v>
      </c>
      <c r="P994" t="n">
        <v>0</v>
      </c>
      <c r="Q994" t="n">
        <v>0</v>
      </c>
      <c r="R994" s="2" t="inlineStr"/>
    </row>
    <row r="995" ht="15" customHeight="1">
      <c r="A995" t="inlineStr">
        <is>
          <t>A 8743-2024</t>
        </is>
      </c>
      <c r="B995" s="1" t="n">
        <v>45356</v>
      </c>
      <c r="C995" s="1" t="n">
        <v>46048</v>
      </c>
      <c r="D995" t="inlineStr">
        <is>
          <t>JÄMTLANDS LÄN</t>
        </is>
      </c>
      <c r="E995" t="inlineStr">
        <is>
          <t>STRÖMSUND</t>
        </is>
      </c>
      <c r="G995" t="n">
        <v>4.3</v>
      </c>
      <c r="H995" t="n">
        <v>0</v>
      </c>
      <c r="I995" t="n">
        <v>0</v>
      </c>
      <c r="J995" t="n">
        <v>0</v>
      </c>
      <c r="K995" t="n">
        <v>0</v>
      </c>
      <c r="L995" t="n">
        <v>0</v>
      </c>
      <c r="M995" t="n">
        <v>0</v>
      </c>
      <c r="N995" t="n">
        <v>0</v>
      </c>
      <c r="O995" t="n">
        <v>0</v>
      </c>
      <c r="P995" t="n">
        <v>0</v>
      </c>
      <c r="Q995" t="n">
        <v>0</v>
      </c>
      <c r="R995" s="2" t="inlineStr"/>
    </row>
    <row r="996" ht="15" customHeight="1">
      <c r="A996" t="inlineStr">
        <is>
          <t>A 29091-2024</t>
        </is>
      </c>
      <c r="B996" s="1" t="n">
        <v>45481.93001157408</v>
      </c>
      <c r="C996" s="1" t="n">
        <v>46048</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29096-2024</t>
        </is>
      </c>
      <c r="B997" s="1" t="n">
        <v>45481.9506712963</v>
      </c>
      <c r="C997" s="1" t="n">
        <v>46048</v>
      </c>
      <c r="D997" t="inlineStr">
        <is>
          <t>JÄMTLANDS LÄN</t>
        </is>
      </c>
      <c r="E997" t="inlineStr">
        <is>
          <t>STRÖMSUND</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55327-2024</t>
        </is>
      </c>
      <c r="B998" s="1" t="n">
        <v>45621</v>
      </c>
      <c r="C998" s="1" t="n">
        <v>46048</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24340-2025</t>
        </is>
      </c>
      <c r="B999" s="1" t="n">
        <v>45797.5740625</v>
      </c>
      <c r="C999" s="1" t="n">
        <v>46048</v>
      </c>
      <c r="D999" t="inlineStr">
        <is>
          <t>JÄMTLANDS LÄN</t>
        </is>
      </c>
      <c r="E999" t="inlineStr">
        <is>
          <t>STRÖMSUND</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24343-2025</t>
        </is>
      </c>
      <c r="B1000" s="1" t="n">
        <v>45797.57434027778</v>
      </c>
      <c r="C1000" s="1" t="n">
        <v>46048</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7324-2025</t>
        </is>
      </c>
      <c r="B1001" s="1" t="n">
        <v>45702</v>
      </c>
      <c r="C1001" s="1" t="n">
        <v>46048</v>
      </c>
      <c r="D1001" t="inlineStr">
        <is>
          <t>JÄMTLANDS LÄN</t>
        </is>
      </c>
      <c r="E1001" t="inlineStr">
        <is>
          <t>STRÖMSUND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39979-2024</t>
        </is>
      </c>
      <c r="B1002" s="1" t="n">
        <v>45553</v>
      </c>
      <c r="C1002" s="1" t="n">
        <v>46048</v>
      </c>
      <c r="D1002" t="inlineStr">
        <is>
          <t>JÄMTLANDS LÄN</t>
        </is>
      </c>
      <c r="E1002" t="inlineStr">
        <is>
          <t>STRÖMSUND</t>
        </is>
      </c>
      <c r="F1002" t="inlineStr">
        <is>
          <t>Kyrkan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24336-2025</t>
        </is>
      </c>
      <c r="B1003" s="1" t="n">
        <v>45797.57349537037</v>
      </c>
      <c r="C1003" s="1" t="n">
        <v>46048</v>
      </c>
      <c r="D1003" t="inlineStr">
        <is>
          <t>JÄMTLANDS LÄN</t>
        </is>
      </c>
      <c r="E1003" t="inlineStr">
        <is>
          <t>STRÖMSUND</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50335-2022</t>
        </is>
      </c>
      <c r="B1004" s="1" t="n">
        <v>44865.9521875</v>
      </c>
      <c r="C1004" s="1" t="n">
        <v>46048</v>
      </c>
      <c r="D1004" t="inlineStr">
        <is>
          <t>JÄMTLANDS LÄN</t>
        </is>
      </c>
      <c r="E1004" t="inlineStr">
        <is>
          <t>STRÖMSUND</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24299-2025</t>
        </is>
      </c>
      <c r="B1005" s="1" t="n">
        <v>45797.47692129629</v>
      </c>
      <c r="C1005" s="1" t="n">
        <v>46048</v>
      </c>
      <c r="D1005" t="inlineStr">
        <is>
          <t>JÄMTLANDS LÄN</t>
        </is>
      </c>
      <c r="E1005" t="inlineStr">
        <is>
          <t>STRÖMSUND</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293-2025</t>
        </is>
      </c>
      <c r="B1006" s="1" t="n">
        <v>45660.53192129629</v>
      </c>
      <c r="C1006" s="1" t="n">
        <v>46048</v>
      </c>
      <c r="D1006" t="inlineStr">
        <is>
          <t>JÄMTLANDS LÄN</t>
        </is>
      </c>
      <c r="E1006" t="inlineStr">
        <is>
          <t>STRÖMSUND</t>
        </is>
      </c>
      <c r="F1006" t="inlineStr">
        <is>
          <t>SCA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294-2025</t>
        </is>
      </c>
      <c r="B1007" s="1" t="n">
        <v>45660.53195601852</v>
      </c>
      <c r="C1007" s="1" t="n">
        <v>46048</v>
      </c>
      <c r="D1007" t="inlineStr">
        <is>
          <t>JÄMTLANDS LÄN</t>
        </is>
      </c>
      <c r="E1007" t="inlineStr">
        <is>
          <t>STRÖMSUND</t>
        </is>
      </c>
      <c r="F1007" t="inlineStr">
        <is>
          <t>SCA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5910-2025</t>
        </is>
      </c>
      <c r="B1008" s="1" t="n">
        <v>45695.40684027778</v>
      </c>
      <c r="C1008" s="1" t="n">
        <v>46048</v>
      </c>
      <c r="D1008" t="inlineStr">
        <is>
          <t>JÄMTLANDS LÄN</t>
        </is>
      </c>
      <c r="E1008" t="inlineStr">
        <is>
          <t>STRÖMSUND</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4315-2025</t>
        </is>
      </c>
      <c r="B1009" s="1" t="n">
        <v>45685.70465277778</v>
      </c>
      <c r="C1009" s="1" t="n">
        <v>46048</v>
      </c>
      <c r="D1009" t="inlineStr">
        <is>
          <t>JÄMTLANDS LÄN</t>
        </is>
      </c>
      <c r="E1009" t="inlineStr">
        <is>
          <t>STRÖMSUND</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1609-2024</t>
        </is>
      </c>
      <c r="B1010" s="1" t="n">
        <v>45306</v>
      </c>
      <c r="C1010" s="1" t="n">
        <v>46048</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20505-2024</t>
        </is>
      </c>
      <c r="B1011" s="1" t="n">
        <v>45435.94232638889</v>
      </c>
      <c r="C1011" s="1" t="n">
        <v>46048</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25361-2024</t>
        </is>
      </c>
      <c r="B1012" s="1" t="n">
        <v>45462.95800925926</v>
      </c>
      <c r="C1012" s="1" t="n">
        <v>46048</v>
      </c>
      <c r="D1012" t="inlineStr">
        <is>
          <t>JÄMTLANDS LÄN</t>
        </is>
      </c>
      <c r="E1012" t="inlineStr">
        <is>
          <t>STRÖMSUND</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59360-2023</t>
        </is>
      </c>
      <c r="B1013" s="1" t="n">
        <v>45253.685625</v>
      </c>
      <c r="C1013" s="1" t="n">
        <v>46048</v>
      </c>
      <c r="D1013" t="inlineStr">
        <is>
          <t>JÄMTLANDS LÄN</t>
        </is>
      </c>
      <c r="E1013" t="inlineStr">
        <is>
          <t>STRÖMSUND</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18770-2024</t>
        </is>
      </c>
      <c r="B1014" s="1" t="n">
        <v>45426</v>
      </c>
      <c r="C1014" s="1" t="n">
        <v>46048</v>
      </c>
      <c r="D1014" t="inlineStr">
        <is>
          <t>JÄMTLANDS LÄN</t>
        </is>
      </c>
      <c r="E1014" t="inlineStr">
        <is>
          <t>STRÖMSUND</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24952-2025</t>
        </is>
      </c>
      <c r="B1015" s="1" t="n">
        <v>45799.57366898148</v>
      </c>
      <c r="C1015" s="1" t="n">
        <v>46048</v>
      </c>
      <c r="D1015" t="inlineStr">
        <is>
          <t>JÄMTLANDS LÄN</t>
        </is>
      </c>
      <c r="E1015" t="inlineStr">
        <is>
          <t>STRÖMSUND</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24956-2025</t>
        </is>
      </c>
      <c r="B1016" s="1" t="n">
        <v>45799.57424768519</v>
      </c>
      <c r="C1016" s="1" t="n">
        <v>46048</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41939-2024</t>
        </is>
      </c>
      <c r="B1017" s="1" t="n">
        <v>45561.57342592593</v>
      </c>
      <c r="C1017" s="1" t="n">
        <v>46048</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59461-2022</t>
        </is>
      </c>
      <c r="B1018" s="1" t="n">
        <v>44907</v>
      </c>
      <c r="C1018" s="1" t="n">
        <v>46048</v>
      </c>
      <c r="D1018" t="inlineStr">
        <is>
          <t>JÄMTLANDS LÄN</t>
        </is>
      </c>
      <c r="E1018" t="inlineStr">
        <is>
          <t>STRÖMSUND</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55675-2024</t>
        </is>
      </c>
      <c r="B1019" s="1" t="n">
        <v>45622.65668981482</v>
      </c>
      <c r="C1019" s="1" t="n">
        <v>46048</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51943-2024</t>
        </is>
      </c>
      <c r="B1020" s="1" t="n">
        <v>45607.63606481482</v>
      </c>
      <c r="C1020" s="1" t="n">
        <v>46048</v>
      </c>
      <c r="D1020" t="inlineStr">
        <is>
          <t>JÄMTLANDS LÄN</t>
        </is>
      </c>
      <c r="E1020" t="inlineStr">
        <is>
          <t>STRÖMSUND</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11763-2024</t>
        </is>
      </c>
      <c r="B1021" s="1" t="n">
        <v>45373.94820601852</v>
      </c>
      <c r="C1021" s="1" t="n">
        <v>46048</v>
      </c>
      <c r="D1021" t="inlineStr">
        <is>
          <t>JÄMTLANDS LÄN</t>
        </is>
      </c>
      <c r="E1021" t="inlineStr">
        <is>
          <t>STRÖMSUND</t>
        </is>
      </c>
      <c r="F1021" t="inlineStr">
        <is>
          <t>SCA</t>
        </is>
      </c>
      <c r="G1021" t="n">
        <v>31.6</v>
      </c>
      <c r="H1021" t="n">
        <v>0</v>
      </c>
      <c r="I1021" t="n">
        <v>0</v>
      </c>
      <c r="J1021" t="n">
        <v>0</v>
      </c>
      <c r="K1021" t="n">
        <v>0</v>
      </c>
      <c r="L1021" t="n">
        <v>0</v>
      </c>
      <c r="M1021" t="n">
        <v>0</v>
      </c>
      <c r="N1021" t="n">
        <v>0</v>
      </c>
      <c r="O1021" t="n">
        <v>0</v>
      </c>
      <c r="P1021" t="n">
        <v>0</v>
      </c>
      <c r="Q1021" t="n">
        <v>0</v>
      </c>
      <c r="R1021" s="2" t="inlineStr"/>
    </row>
    <row r="1022" ht="15" customHeight="1">
      <c r="A1022" t="inlineStr">
        <is>
          <t>A 24742-2025</t>
        </is>
      </c>
      <c r="B1022" s="1" t="n">
        <v>45799.34582175926</v>
      </c>
      <c r="C1022" s="1" t="n">
        <v>46048</v>
      </c>
      <c r="D1022" t="inlineStr">
        <is>
          <t>JÄMTLANDS LÄN</t>
        </is>
      </c>
      <c r="E1022" t="inlineStr">
        <is>
          <t>STRÖMSUND</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59645-2022</t>
        </is>
      </c>
      <c r="B1023" s="1" t="n">
        <v>44907.96560185185</v>
      </c>
      <c r="C1023" s="1" t="n">
        <v>46048</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29242-2024</t>
        </is>
      </c>
      <c r="B1024" s="1" t="n">
        <v>45482.94611111111</v>
      </c>
      <c r="C1024" s="1" t="n">
        <v>46048</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29243-2024</t>
        </is>
      </c>
      <c r="B1025" s="1" t="n">
        <v>45482.94621527778</v>
      </c>
      <c r="C1025" s="1" t="n">
        <v>46048</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29274-2024</t>
        </is>
      </c>
      <c r="B1026" s="1" t="n">
        <v>45482.95017361111</v>
      </c>
      <c r="C1026" s="1" t="n">
        <v>46048</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1546-2025</t>
        </is>
      </c>
      <c r="B1027" s="1" t="n">
        <v>45670</v>
      </c>
      <c r="C1027" s="1" t="n">
        <v>46048</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57075-2024</t>
        </is>
      </c>
      <c r="B1028" s="1" t="n">
        <v>45629.35474537037</v>
      </c>
      <c r="C1028" s="1" t="n">
        <v>46048</v>
      </c>
      <c r="D1028" t="inlineStr">
        <is>
          <t>JÄMTLANDS LÄN</t>
        </is>
      </c>
      <c r="E1028" t="inlineStr">
        <is>
          <t>STRÖMSUND</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8758-2025</t>
        </is>
      </c>
      <c r="B1029" s="1" t="n">
        <v>45712.57364583333</v>
      </c>
      <c r="C1029" s="1" t="n">
        <v>46048</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24863-2025</t>
        </is>
      </c>
      <c r="B1030" s="1" t="n">
        <v>45799.48059027778</v>
      </c>
      <c r="C1030" s="1" t="n">
        <v>46048</v>
      </c>
      <c r="D1030" t="inlineStr">
        <is>
          <t>JÄMTLANDS LÄN</t>
        </is>
      </c>
      <c r="E1030" t="inlineStr">
        <is>
          <t>STRÖMSUND</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36959-2023</t>
        </is>
      </c>
      <c r="B1031" s="1" t="n">
        <v>45154.92638888889</v>
      </c>
      <c r="C1031" s="1" t="n">
        <v>46048</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57415-2023</t>
        </is>
      </c>
      <c r="B1032" s="1" t="n">
        <v>45245.96947916667</v>
      </c>
      <c r="C1032" s="1" t="n">
        <v>46048</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57429-2023</t>
        </is>
      </c>
      <c r="B1033" s="1" t="n">
        <v>45240</v>
      </c>
      <c r="C1033" s="1" t="n">
        <v>46048</v>
      </c>
      <c r="D1033" t="inlineStr">
        <is>
          <t>JÄMTLANDS LÄN</t>
        </is>
      </c>
      <c r="E1033" t="inlineStr">
        <is>
          <t>STRÖMSUND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2808-2025</t>
        </is>
      </c>
      <c r="B1034" s="1" t="n">
        <v>45677.59420138889</v>
      </c>
      <c r="C1034" s="1" t="n">
        <v>46048</v>
      </c>
      <c r="D1034" t="inlineStr">
        <is>
          <t>JÄMTLANDS LÄN</t>
        </is>
      </c>
      <c r="E1034" t="inlineStr">
        <is>
          <t>STRÖMSUND</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47182-2023</t>
        </is>
      </c>
      <c r="B1035" s="1" t="n">
        <v>45201.94883101852</v>
      </c>
      <c r="C1035" s="1" t="n">
        <v>46048</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52392-2023</t>
        </is>
      </c>
      <c r="B1036" s="1" t="n">
        <v>45224</v>
      </c>
      <c r="C1036" s="1" t="n">
        <v>46048</v>
      </c>
      <c r="D1036" t="inlineStr">
        <is>
          <t>JÄMTLANDS LÄN</t>
        </is>
      </c>
      <c r="E1036" t="inlineStr">
        <is>
          <t>STRÖMSUND</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27587-2024</t>
        </is>
      </c>
      <c r="B1037" s="1" t="n">
        <v>45474.66636574074</v>
      </c>
      <c r="C1037" s="1" t="n">
        <v>46048</v>
      </c>
      <c r="D1037" t="inlineStr">
        <is>
          <t>JÄMTLANDS LÄN</t>
        </is>
      </c>
      <c r="E1037" t="inlineStr">
        <is>
          <t>STRÖMSUND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18912-2024</t>
        </is>
      </c>
      <c r="B1038" s="1" t="n">
        <v>45426</v>
      </c>
      <c r="C1038" s="1" t="n">
        <v>46048</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53053-2023</t>
        </is>
      </c>
      <c r="B1039" s="1" t="n">
        <v>45226</v>
      </c>
      <c r="C1039" s="1" t="n">
        <v>46048</v>
      </c>
      <c r="D1039" t="inlineStr">
        <is>
          <t>JÄMTLANDS LÄN</t>
        </is>
      </c>
      <c r="E1039" t="inlineStr">
        <is>
          <t>STRÖMSUND</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24488-2022</t>
        </is>
      </c>
      <c r="B1040" s="1" t="n">
        <v>44726</v>
      </c>
      <c r="C1040" s="1" t="n">
        <v>46048</v>
      </c>
      <c r="D1040" t="inlineStr">
        <is>
          <t>JÄMTLANDS LÄN</t>
        </is>
      </c>
      <c r="E1040" t="inlineStr">
        <is>
          <t>STRÖMSUND</t>
        </is>
      </c>
      <c r="G1040" t="n">
        <v>19.1</v>
      </c>
      <c r="H1040" t="n">
        <v>0</v>
      </c>
      <c r="I1040" t="n">
        <v>0</v>
      </c>
      <c r="J1040" t="n">
        <v>0</v>
      </c>
      <c r="K1040" t="n">
        <v>0</v>
      </c>
      <c r="L1040" t="n">
        <v>0</v>
      </c>
      <c r="M1040" t="n">
        <v>0</v>
      </c>
      <c r="N1040" t="n">
        <v>0</v>
      </c>
      <c r="O1040" t="n">
        <v>0</v>
      </c>
      <c r="P1040" t="n">
        <v>0</v>
      </c>
      <c r="Q1040" t="n">
        <v>0</v>
      </c>
      <c r="R1040" s="2" t="inlineStr"/>
    </row>
    <row r="1041" ht="15" customHeight="1">
      <c r="A1041" t="inlineStr">
        <is>
          <t>A 10583-2025</t>
        </is>
      </c>
      <c r="B1041" s="1" t="n">
        <v>45721</v>
      </c>
      <c r="C1041" s="1" t="n">
        <v>46048</v>
      </c>
      <c r="D1041" t="inlineStr">
        <is>
          <t>JÄMTLANDS LÄN</t>
        </is>
      </c>
      <c r="E1041" t="inlineStr">
        <is>
          <t>STRÖMSUND</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29335-2023</t>
        </is>
      </c>
      <c r="B1042" s="1" t="n">
        <v>45105.94405092593</v>
      </c>
      <c r="C1042" s="1" t="n">
        <v>46048</v>
      </c>
      <c r="D1042" t="inlineStr">
        <is>
          <t>JÄMTLANDS LÄN</t>
        </is>
      </c>
      <c r="E1042" t="inlineStr">
        <is>
          <t>STRÖMSUND</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24736-2025</t>
        </is>
      </c>
      <c r="B1043" s="1" t="n">
        <v>45799.34473379629</v>
      </c>
      <c r="C1043" s="1" t="n">
        <v>46048</v>
      </c>
      <c r="D1043" t="inlineStr">
        <is>
          <t>JÄMTLANDS LÄN</t>
        </is>
      </c>
      <c r="E1043" t="inlineStr">
        <is>
          <t>STRÖMSUND</t>
        </is>
      </c>
      <c r="F1043" t="inlineStr">
        <is>
          <t>SCA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5267-2024</t>
        </is>
      </c>
      <c r="B1044" s="1" t="n">
        <v>45330.96278935186</v>
      </c>
      <c r="C1044" s="1" t="n">
        <v>46048</v>
      </c>
      <c r="D1044" t="inlineStr">
        <is>
          <t>JÄMTLANDS LÄN</t>
        </is>
      </c>
      <c r="E1044" t="inlineStr">
        <is>
          <t>STRÖMSUND</t>
        </is>
      </c>
      <c r="F1044" t="inlineStr">
        <is>
          <t>SCA</t>
        </is>
      </c>
      <c r="G1044" t="n">
        <v>29.1</v>
      </c>
      <c r="H1044" t="n">
        <v>0</v>
      </c>
      <c r="I1044" t="n">
        <v>0</v>
      </c>
      <c r="J1044" t="n">
        <v>0</v>
      </c>
      <c r="K1044" t="n">
        <v>0</v>
      </c>
      <c r="L1044" t="n">
        <v>0</v>
      </c>
      <c r="M1044" t="n">
        <v>0</v>
      </c>
      <c r="N1044" t="n">
        <v>0</v>
      </c>
      <c r="O1044" t="n">
        <v>0</v>
      </c>
      <c r="P1044" t="n">
        <v>0</v>
      </c>
      <c r="Q1044" t="n">
        <v>0</v>
      </c>
      <c r="R1044" s="2" t="inlineStr"/>
    </row>
    <row r="1045" ht="15" customHeight="1">
      <c r="A1045" t="inlineStr">
        <is>
          <t>A 37632-2024</t>
        </is>
      </c>
      <c r="B1045" s="1" t="n">
        <v>45541</v>
      </c>
      <c r="C1045" s="1" t="n">
        <v>46048</v>
      </c>
      <c r="D1045" t="inlineStr">
        <is>
          <t>JÄMTLANDS LÄN</t>
        </is>
      </c>
      <c r="E1045" t="inlineStr">
        <is>
          <t>STRÖMSUND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58027-2024</t>
        </is>
      </c>
      <c r="B1046" s="1" t="n">
        <v>45631</v>
      </c>
      <c r="C1046" s="1" t="n">
        <v>46048</v>
      </c>
      <c r="D1046" t="inlineStr">
        <is>
          <t>JÄMTLANDS LÄN</t>
        </is>
      </c>
      <c r="E1046" t="inlineStr">
        <is>
          <t>STRÖMSUND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13054-2025</t>
        </is>
      </c>
      <c r="B1047" s="1" t="n">
        <v>45734.59476851852</v>
      </c>
      <c r="C1047" s="1" t="n">
        <v>46048</v>
      </c>
      <c r="D1047" t="inlineStr">
        <is>
          <t>JÄMTLANDS LÄN</t>
        </is>
      </c>
      <c r="E1047" t="inlineStr">
        <is>
          <t>STRÖMSUND</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29605-2023</t>
        </is>
      </c>
      <c r="B1048" s="1" t="n">
        <v>45106.94369212963</v>
      </c>
      <c r="C1048" s="1" t="n">
        <v>46048</v>
      </c>
      <c r="D1048" t="inlineStr">
        <is>
          <t>JÄMTLANDS LÄN</t>
        </is>
      </c>
      <c r="E1048" t="inlineStr">
        <is>
          <t>STRÖMSUND</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25656-2025</t>
        </is>
      </c>
      <c r="B1049" s="1" t="n">
        <v>45803.61532407408</v>
      </c>
      <c r="C1049" s="1" t="n">
        <v>46048</v>
      </c>
      <c r="D1049" t="inlineStr">
        <is>
          <t>JÄMTLANDS LÄN</t>
        </is>
      </c>
      <c r="E1049" t="inlineStr">
        <is>
          <t>STRÖMSUND</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25520-2025</t>
        </is>
      </c>
      <c r="B1050" s="1" t="n">
        <v>45803.38596064815</v>
      </c>
      <c r="C1050" s="1" t="n">
        <v>46048</v>
      </c>
      <c r="D1050" t="inlineStr">
        <is>
          <t>JÄMTLANDS LÄN</t>
        </is>
      </c>
      <c r="E1050" t="inlineStr">
        <is>
          <t>STRÖMSUND</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59530-2024</t>
        </is>
      </c>
      <c r="B1051" s="1" t="n">
        <v>45638.59427083333</v>
      </c>
      <c r="C1051" s="1" t="n">
        <v>46048</v>
      </c>
      <c r="D1051" t="inlineStr">
        <is>
          <t>JÄMTLANDS LÄN</t>
        </is>
      </c>
      <c r="E1051" t="inlineStr">
        <is>
          <t>STRÖMSUND</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35377-2022</t>
        </is>
      </c>
      <c r="B1052" s="1" t="n">
        <v>44798</v>
      </c>
      <c r="C1052" s="1" t="n">
        <v>46048</v>
      </c>
      <c r="D1052" t="inlineStr">
        <is>
          <t>JÄMTLANDS LÄN</t>
        </is>
      </c>
      <c r="E1052" t="inlineStr">
        <is>
          <t>STRÖMSUND</t>
        </is>
      </c>
      <c r="F1052" t="inlineStr">
        <is>
          <t>Kommuner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5377-2025</t>
        </is>
      </c>
      <c r="B1053" s="1" t="n">
        <v>45692</v>
      </c>
      <c r="C1053" s="1" t="n">
        <v>46048</v>
      </c>
      <c r="D1053" t="inlineStr">
        <is>
          <t>JÄMTLANDS LÄN</t>
        </is>
      </c>
      <c r="E1053" t="inlineStr">
        <is>
          <t>STRÖMSUND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41942-2024</t>
        </is>
      </c>
      <c r="B1054" s="1" t="n">
        <v>45561.57388888889</v>
      </c>
      <c r="C1054" s="1" t="n">
        <v>46048</v>
      </c>
      <c r="D1054" t="inlineStr">
        <is>
          <t>JÄMTLANDS LÄN</t>
        </is>
      </c>
      <c r="E1054" t="inlineStr">
        <is>
          <t>STRÖMSUND</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38642-2023</t>
        </is>
      </c>
      <c r="B1055" s="1" t="n">
        <v>45162</v>
      </c>
      <c r="C1055" s="1" t="n">
        <v>46048</v>
      </c>
      <c r="D1055" t="inlineStr">
        <is>
          <t>JÄMTLANDS LÄN</t>
        </is>
      </c>
      <c r="E1055" t="inlineStr">
        <is>
          <t>STRÖMSUND</t>
        </is>
      </c>
      <c r="F1055" t="inlineStr">
        <is>
          <t>Holmen skog AB</t>
        </is>
      </c>
      <c r="G1055" t="n">
        <v>12.6</v>
      </c>
      <c r="H1055" t="n">
        <v>0</v>
      </c>
      <c r="I1055" t="n">
        <v>0</v>
      </c>
      <c r="J1055" t="n">
        <v>0</v>
      </c>
      <c r="K1055" t="n">
        <v>0</v>
      </c>
      <c r="L1055" t="n">
        <v>0</v>
      </c>
      <c r="M1055" t="n">
        <v>0</v>
      </c>
      <c r="N1055" t="n">
        <v>0</v>
      </c>
      <c r="O1055" t="n">
        <v>0</v>
      </c>
      <c r="P1055" t="n">
        <v>0</v>
      </c>
      <c r="Q1055" t="n">
        <v>0</v>
      </c>
      <c r="R1055" s="2" t="inlineStr"/>
    </row>
    <row r="1056" ht="15" customHeight="1">
      <c r="A1056" t="inlineStr">
        <is>
          <t>A 39599-2024</t>
        </is>
      </c>
      <c r="B1056" s="1" t="n">
        <v>45552</v>
      </c>
      <c r="C1056" s="1" t="n">
        <v>46048</v>
      </c>
      <c r="D1056" t="inlineStr">
        <is>
          <t>JÄMTLANDS LÄN</t>
        </is>
      </c>
      <c r="E1056" t="inlineStr">
        <is>
          <t>STRÖMSUND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9956-2025</t>
        </is>
      </c>
      <c r="B1057" s="1" t="n">
        <v>45719.35915509259</v>
      </c>
      <c r="C1057" s="1" t="n">
        <v>46048</v>
      </c>
      <c r="D1057" t="inlineStr">
        <is>
          <t>JÄMTLANDS LÄN</t>
        </is>
      </c>
      <c r="E1057" t="inlineStr">
        <is>
          <t>STRÖMSUND</t>
        </is>
      </c>
      <c r="F1057" t="inlineStr">
        <is>
          <t>Holmen skog AB</t>
        </is>
      </c>
      <c r="G1057" t="n">
        <v>21.4</v>
      </c>
      <c r="H1057" t="n">
        <v>0</v>
      </c>
      <c r="I1057" t="n">
        <v>0</v>
      </c>
      <c r="J1057" t="n">
        <v>0</v>
      </c>
      <c r="K1057" t="n">
        <v>0</v>
      </c>
      <c r="L1057" t="n">
        <v>0</v>
      </c>
      <c r="M1057" t="n">
        <v>0</v>
      </c>
      <c r="N1057" t="n">
        <v>0</v>
      </c>
      <c r="O1057" t="n">
        <v>0</v>
      </c>
      <c r="P1057" t="n">
        <v>0</v>
      </c>
      <c r="Q1057" t="n">
        <v>0</v>
      </c>
      <c r="R1057" s="2" t="inlineStr"/>
    </row>
    <row r="1058" ht="15" customHeight="1">
      <c r="A1058" t="inlineStr">
        <is>
          <t>A 28741-2023</t>
        </is>
      </c>
      <c r="B1058" s="1" t="n">
        <v>45103</v>
      </c>
      <c r="C1058" s="1" t="n">
        <v>46048</v>
      </c>
      <c r="D1058" t="inlineStr">
        <is>
          <t>JÄMTLANDS LÄN</t>
        </is>
      </c>
      <c r="E1058" t="inlineStr">
        <is>
          <t>STRÖMSUND</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25311-2025</t>
        </is>
      </c>
      <c r="B1059" s="1" t="n">
        <v>45800.57407407407</v>
      </c>
      <c r="C1059" s="1" t="n">
        <v>46048</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28753-2023</t>
        </is>
      </c>
      <c r="B1060" s="1" t="n">
        <v>45103.94179398148</v>
      </c>
      <c r="C1060" s="1" t="n">
        <v>46048</v>
      </c>
      <c r="D1060" t="inlineStr">
        <is>
          <t>JÄMTLANDS LÄN</t>
        </is>
      </c>
      <c r="E1060" t="inlineStr">
        <is>
          <t>STRÖMSUND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25439-2025</t>
        </is>
      </c>
      <c r="B1061" s="1" t="n">
        <v>45801.34453703704</v>
      </c>
      <c r="C1061" s="1" t="n">
        <v>46048</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39689-2022</t>
        </is>
      </c>
      <c r="B1062" s="1" t="n">
        <v>44818</v>
      </c>
      <c r="C1062" s="1" t="n">
        <v>46048</v>
      </c>
      <c r="D1062" t="inlineStr">
        <is>
          <t>JÄMTLANDS LÄN</t>
        </is>
      </c>
      <c r="E1062" t="inlineStr">
        <is>
          <t>STRÖMSUND</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61365-2024</t>
        </is>
      </c>
      <c r="B1063" s="1" t="n">
        <v>45646.38611111111</v>
      </c>
      <c r="C1063" s="1" t="n">
        <v>46048</v>
      </c>
      <c r="D1063" t="inlineStr">
        <is>
          <t>JÄMTLANDS LÄN</t>
        </is>
      </c>
      <c r="E1063" t="inlineStr">
        <is>
          <t>STRÖMSUND</t>
        </is>
      </c>
      <c r="F1063" t="inlineStr">
        <is>
          <t>SCA</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9301-2023</t>
        </is>
      </c>
      <c r="B1064" s="1" t="n">
        <v>44977</v>
      </c>
      <c r="C1064" s="1" t="n">
        <v>46048</v>
      </c>
      <c r="D1064" t="inlineStr">
        <is>
          <t>JÄMTLANDS LÄN</t>
        </is>
      </c>
      <c r="E1064" t="inlineStr">
        <is>
          <t>STRÖMSUND</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2534-2025</t>
        </is>
      </c>
      <c r="B1065" s="1" t="n">
        <v>45674.61513888889</v>
      </c>
      <c r="C1065" s="1" t="n">
        <v>46048</v>
      </c>
      <c r="D1065" t="inlineStr">
        <is>
          <t>JÄMTLANDS LÄN</t>
        </is>
      </c>
      <c r="E1065" t="inlineStr">
        <is>
          <t>STRÖMSUND</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8327-2025</t>
        </is>
      </c>
      <c r="B1066" s="1" t="n">
        <v>45708.63655092593</v>
      </c>
      <c r="C1066" s="1" t="n">
        <v>46048</v>
      </c>
      <c r="D1066" t="inlineStr">
        <is>
          <t>JÄMTLANDS LÄN</t>
        </is>
      </c>
      <c r="E1066" t="inlineStr">
        <is>
          <t>STRÖMSUND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32907-2023</t>
        </is>
      </c>
      <c r="B1067" s="1" t="n">
        <v>45124</v>
      </c>
      <c r="C1067" s="1" t="n">
        <v>46048</v>
      </c>
      <c r="D1067" t="inlineStr">
        <is>
          <t>JÄMTLANDS LÄN</t>
        </is>
      </c>
      <c r="E1067" t="inlineStr">
        <is>
          <t>STRÖMSUND</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32910-2023</t>
        </is>
      </c>
      <c r="B1068" s="1" t="n">
        <v>45124.95171296296</v>
      </c>
      <c r="C1068" s="1" t="n">
        <v>46048</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25354-2025</t>
        </is>
      </c>
      <c r="B1069" s="1" t="n">
        <v>45800.61581018518</v>
      </c>
      <c r="C1069" s="1" t="n">
        <v>46048</v>
      </c>
      <c r="D1069" t="inlineStr">
        <is>
          <t>JÄMTLANDS LÄN</t>
        </is>
      </c>
      <c r="E1069" t="inlineStr">
        <is>
          <t>STRÖMSUND</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53241-2024</t>
        </is>
      </c>
      <c r="B1070" s="1" t="n">
        <v>45613.87335648148</v>
      </c>
      <c r="C1070" s="1" t="n">
        <v>46048</v>
      </c>
      <c r="D1070" t="inlineStr">
        <is>
          <t>JÄMTLANDS LÄN</t>
        </is>
      </c>
      <c r="E1070" t="inlineStr">
        <is>
          <t>STRÖMSUND</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35418-2024</t>
        </is>
      </c>
      <c r="B1071" s="1" t="n">
        <v>45531.40873842593</v>
      </c>
      <c r="C1071" s="1" t="n">
        <v>46048</v>
      </c>
      <c r="D1071" t="inlineStr">
        <is>
          <t>JÄMTLANDS LÄN</t>
        </is>
      </c>
      <c r="E1071" t="inlineStr">
        <is>
          <t>STRÖMSUND</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49396-2024</t>
        </is>
      </c>
      <c r="B1072" s="1" t="n">
        <v>45595.67100694445</v>
      </c>
      <c r="C1072" s="1" t="n">
        <v>46048</v>
      </c>
      <c r="D1072" t="inlineStr">
        <is>
          <t>JÄMTLANDS LÄN</t>
        </is>
      </c>
      <c r="E1072" t="inlineStr">
        <is>
          <t>STRÖMSUND</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25444-2025</t>
        </is>
      </c>
      <c r="B1073" s="1" t="n">
        <v>45801.52229166667</v>
      </c>
      <c r="C1073" s="1" t="n">
        <v>46048</v>
      </c>
      <c r="D1073" t="inlineStr">
        <is>
          <t>JÄMTLANDS LÄN</t>
        </is>
      </c>
      <c r="E1073" t="inlineStr">
        <is>
          <t>STRÖMSUND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38301-2024</t>
        </is>
      </c>
      <c r="B1074" s="1" t="n">
        <v>45545.6360300926</v>
      </c>
      <c r="C1074" s="1" t="n">
        <v>46048</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31606-2024</t>
        </is>
      </c>
      <c r="B1075" s="1" t="n">
        <v>45506</v>
      </c>
      <c r="C1075" s="1" t="n">
        <v>46048</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25156-2025</t>
        </is>
      </c>
      <c r="B1076" s="1" t="n">
        <v>45800.42793981481</v>
      </c>
      <c r="C1076" s="1" t="n">
        <v>46048</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60310-2024</t>
        </is>
      </c>
      <c r="B1077" s="1" t="n">
        <v>45643.34416666667</v>
      </c>
      <c r="C1077" s="1" t="n">
        <v>46048</v>
      </c>
      <c r="D1077" t="inlineStr">
        <is>
          <t>JÄMTLANDS LÄN</t>
        </is>
      </c>
      <c r="E1077" t="inlineStr">
        <is>
          <t>STRÖMSUND</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61833-2023</t>
        </is>
      </c>
      <c r="B1078" s="1" t="n">
        <v>45264</v>
      </c>
      <c r="C1078" s="1" t="n">
        <v>46048</v>
      </c>
      <c r="D1078" t="inlineStr">
        <is>
          <t>JÄMTLANDS LÄN</t>
        </is>
      </c>
      <c r="E1078" t="inlineStr">
        <is>
          <t>STRÖMSUND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28016-2023</t>
        </is>
      </c>
      <c r="B1079" s="1" t="n">
        <v>45098.93996527778</v>
      </c>
      <c r="C1079" s="1" t="n">
        <v>46048</v>
      </c>
      <c r="D1079" t="inlineStr">
        <is>
          <t>JÄMTLANDS LÄN</t>
        </is>
      </c>
      <c r="E1079" t="inlineStr">
        <is>
          <t>STRÖMSUND</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13298-2025</t>
        </is>
      </c>
      <c r="B1080" s="1" t="n">
        <v>45735.57391203703</v>
      </c>
      <c r="C1080" s="1" t="n">
        <v>46048</v>
      </c>
      <c r="D1080" t="inlineStr">
        <is>
          <t>JÄMTLANDS LÄN</t>
        </is>
      </c>
      <c r="E1080" t="inlineStr">
        <is>
          <t>STRÖMSUND</t>
        </is>
      </c>
      <c r="F1080" t="inlineStr">
        <is>
          <t>SCA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54805-2024</t>
        </is>
      </c>
      <c r="B1081" s="1" t="n">
        <v>45618.51116898148</v>
      </c>
      <c r="C1081" s="1" t="n">
        <v>46048</v>
      </c>
      <c r="D1081" t="inlineStr">
        <is>
          <t>JÄMTLANDS LÄN</t>
        </is>
      </c>
      <c r="E1081" t="inlineStr">
        <is>
          <t>STRÖMSUND</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14931-2025</t>
        </is>
      </c>
      <c r="B1082" s="1" t="n">
        <v>45743.55354166667</v>
      </c>
      <c r="C1082" s="1" t="n">
        <v>46048</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11157-2025</t>
        </is>
      </c>
      <c r="B1083" s="1" t="n">
        <v>45723</v>
      </c>
      <c r="C1083" s="1" t="n">
        <v>46048</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35578-2024</t>
        </is>
      </c>
      <c r="B1084" s="1" t="n">
        <v>45531.64777777778</v>
      </c>
      <c r="C1084" s="1" t="n">
        <v>46048</v>
      </c>
      <c r="D1084" t="inlineStr">
        <is>
          <t>JÄMTLANDS LÄN</t>
        </is>
      </c>
      <c r="E1084" t="inlineStr">
        <is>
          <t>STRÖMSUND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53400-2022</t>
        </is>
      </c>
      <c r="B1085" s="1" t="n">
        <v>44879</v>
      </c>
      <c r="C1085" s="1" t="n">
        <v>46048</v>
      </c>
      <c r="D1085" t="inlineStr">
        <is>
          <t>JÄMTLANDS LÄN</t>
        </is>
      </c>
      <c r="E1085" t="inlineStr">
        <is>
          <t>STRÖMSUND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6512-2024</t>
        </is>
      </c>
      <c r="B1086" s="1" t="n">
        <v>45340</v>
      </c>
      <c r="C1086" s="1" t="n">
        <v>46048</v>
      </c>
      <c r="D1086" t="inlineStr">
        <is>
          <t>JÄMTLANDS LÄN</t>
        </is>
      </c>
      <c r="E1086" t="inlineStr">
        <is>
          <t>STRÖMSUND</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6583-2023</t>
        </is>
      </c>
      <c r="B1087" s="1" t="n">
        <v>44963</v>
      </c>
      <c r="C1087" s="1" t="n">
        <v>46048</v>
      </c>
      <c r="D1087" t="inlineStr">
        <is>
          <t>JÄMTLANDS LÄN</t>
        </is>
      </c>
      <c r="E1087" t="inlineStr">
        <is>
          <t>STRÖMSUND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13776-2025</t>
        </is>
      </c>
      <c r="B1088" s="1" t="n">
        <v>45736</v>
      </c>
      <c r="C1088" s="1" t="n">
        <v>46048</v>
      </c>
      <c r="D1088" t="inlineStr">
        <is>
          <t>JÄMTLANDS LÄN</t>
        </is>
      </c>
      <c r="E1088" t="inlineStr">
        <is>
          <t>STRÖMSUND</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26220-2025</t>
        </is>
      </c>
      <c r="B1089" s="1" t="n">
        <v>45805.55241898148</v>
      </c>
      <c r="C1089" s="1" t="n">
        <v>46048</v>
      </c>
      <c r="D1089" t="inlineStr">
        <is>
          <t>JÄMTLANDS LÄN</t>
        </is>
      </c>
      <c r="E1089" t="inlineStr">
        <is>
          <t>STRÖMSUND</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39516-2024</t>
        </is>
      </c>
      <c r="B1090" s="1" t="n">
        <v>45551.69825231482</v>
      </c>
      <c r="C1090" s="1" t="n">
        <v>46048</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57361-2023</t>
        </is>
      </c>
      <c r="B1091" s="1" t="n">
        <v>45240</v>
      </c>
      <c r="C1091" s="1" t="n">
        <v>46048</v>
      </c>
      <c r="D1091" t="inlineStr">
        <is>
          <t>JÄMTLANDS LÄN</t>
        </is>
      </c>
      <c r="E1091" t="inlineStr">
        <is>
          <t>STRÖMSUND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57387-2023</t>
        </is>
      </c>
      <c r="B1092" s="1" t="n">
        <v>45245.92959490741</v>
      </c>
      <c r="C1092" s="1" t="n">
        <v>46048</v>
      </c>
      <c r="D1092" t="inlineStr">
        <is>
          <t>JÄMTLANDS LÄN</t>
        </is>
      </c>
      <c r="E1092" t="inlineStr">
        <is>
          <t>STRÖMSUND</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26339-2025</t>
        </is>
      </c>
      <c r="B1093" s="1" t="n">
        <v>45805.69855324074</v>
      </c>
      <c r="C1093" s="1" t="n">
        <v>46048</v>
      </c>
      <c r="D1093" t="inlineStr">
        <is>
          <t>JÄMTLANDS LÄN</t>
        </is>
      </c>
      <c r="E1093" t="inlineStr">
        <is>
          <t>STRÖMSUND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26265-2025</t>
        </is>
      </c>
      <c r="B1094" s="1" t="n">
        <v>45805</v>
      </c>
      <c r="C1094" s="1" t="n">
        <v>46048</v>
      </c>
      <c r="D1094" t="inlineStr">
        <is>
          <t>JÄMTLANDS LÄN</t>
        </is>
      </c>
      <c r="E1094" t="inlineStr">
        <is>
          <t>STRÖMSUND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36176-2024</t>
        </is>
      </c>
      <c r="B1095" s="1" t="n">
        <v>45534.40876157407</v>
      </c>
      <c r="C1095" s="1" t="n">
        <v>46048</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4460-2022</t>
        </is>
      </c>
      <c r="B1096" s="1" t="n">
        <v>44589</v>
      </c>
      <c r="C1096" s="1" t="n">
        <v>46048</v>
      </c>
      <c r="D1096" t="inlineStr">
        <is>
          <t>JÄMTLANDS LÄN</t>
        </is>
      </c>
      <c r="E1096" t="inlineStr">
        <is>
          <t>STRÖMSUND</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56678-2024</t>
        </is>
      </c>
      <c r="B1097" s="1" t="n">
        <v>45627.48559027778</v>
      </c>
      <c r="C1097" s="1" t="n">
        <v>46048</v>
      </c>
      <c r="D1097" t="inlineStr">
        <is>
          <t>JÄMTLANDS LÄN</t>
        </is>
      </c>
      <c r="E1097" t="inlineStr">
        <is>
          <t>STRÖMSUND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32724-2023</t>
        </is>
      </c>
      <c r="B1098" s="1" t="n">
        <v>45121</v>
      </c>
      <c r="C1098" s="1" t="n">
        <v>46048</v>
      </c>
      <c r="D1098" t="inlineStr">
        <is>
          <t>JÄMTLANDS LÄN</t>
        </is>
      </c>
      <c r="E1098" t="inlineStr">
        <is>
          <t>STRÖMSUND</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30024-2022</t>
        </is>
      </c>
      <c r="B1099" s="1" t="n">
        <v>44756.9447337963</v>
      </c>
      <c r="C1099" s="1" t="n">
        <v>46048</v>
      </c>
      <c r="D1099" t="inlineStr">
        <is>
          <t>JÄMTLANDS LÄN</t>
        </is>
      </c>
      <c r="E1099" t="inlineStr">
        <is>
          <t>STRÖMSUND</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35585-2024</t>
        </is>
      </c>
      <c r="B1100" s="1" t="n">
        <v>45531.64827546296</v>
      </c>
      <c r="C1100" s="1" t="n">
        <v>46048</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18775-2021</t>
        </is>
      </c>
      <c r="B1101" s="1" t="n">
        <v>44307</v>
      </c>
      <c r="C1101" s="1" t="n">
        <v>46048</v>
      </c>
      <c r="D1101" t="inlineStr">
        <is>
          <t>JÄMTLANDS LÄN</t>
        </is>
      </c>
      <c r="E1101" t="inlineStr">
        <is>
          <t>STRÖMSUND</t>
        </is>
      </c>
      <c r="G1101" t="n">
        <v>39.7</v>
      </c>
      <c r="H1101" t="n">
        <v>0</v>
      </c>
      <c r="I1101" t="n">
        <v>0</v>
      </c>
      <c r="J1101" t="n">
        <v>0</v>
      </c>
      <c r="K1101" t="n">
        <v>0</v>
      </c>
      <c r="L1101" t="n">
        <v>0</v>
      </c>
      <c r="M1101" t="n">
        <v>0</v>
      </c>
      <c r="N1101" t="n">
        <v>0</v>
      </c>
      <c r="O1101" t="n">
        <v>0</v>
      </c>
      <c r="P1101" t="n">
        <v>0</v>
      </c>
      <c r="Q1101" t="n">
        <v>0</v>
      </c>
      <c r="R1101" s="2" t="inlineStr"/>
    </row>
    <row r="1102" ht="15" customHeight="1">
      <c r="A1102" t="inlineStr">
        <is>
          <t>A 7803-2024</t>
        </is>
      </c>
      <c r="B1102" s="1" t="n">
        <v>45348</v>
      </c>
      <c r="C1102" s="1" t="n">
        <v>46048</v>
      </c>
      <c r="D1102" t="inlineStr">
        <is>
          <t>JÄMTLANDS LÄN</t>
        </is>
      </c>
      <c r="E1102" t="inlineStr">
        <is>
          <t>STRÖMSUND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37084-2022</t>
        </is>
      </c>
      <c r="B1103" s="1" t="n">
        <v>44806</v>
      </c>
      <c r="C1103" s="1" t="n">
        <v>46048</v>
      </c>
      <c r="D1103" t="inlineStr">
        <is>
          <t>JÄMTLANDS LÄN</t>
        </is>
      </c>
      <c r="E1103" t="inlineStr">
        <is>
          <t>STRÖMSUND</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37090-2022</t>
        </is>
      </c>
      <c r="B1104" s="1" t="n">
        <v>44806</v>
      </c>
      <c r="C1104" s="1" t="n">
        <v>46048</v>
      </c>
      <c r="D1104" t="inlineStr">
        <is>
          <t>JÄMTLANDS LÄN</t>
        </is>
      </c>
      <c r="E1104" t="inlineStr">
        <is>
          <t>STRÖMSUND</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58947-2024</t>
        </is>
      </c>
      <c r="B1105" s="1" t="n">
        <v>45636.55244212963</v>
      </c>
      <c r="C1105" s="1" t="n">
        <v>46048</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6-2024</t>
        </is>
      </c>
      <c r="B1106" s="1" t="n">
        <v>45293.33496527778</v>
      </c>
      <c r="C1106" s="1" t="n">
        <v>46048</v>
      </c>
      <c r="D1106" t="inlineStr">
        <is>
          <t>JÄMTLANDS LÄN</t>
        </is>
      </c>
      <c r="E1106" t="inlineStr">
        <is>
          <t>STRÖMSUND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49186-2024</t>
        </is>
      </c>
      <c r="B1107" s="1" t="n">
        <v>45595.34479166667</v>
      </c>
      <c r="C1107" s="1" t="n">
        <v>46048</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49196-2024</t>
        </is>
      </c>
      <c r="B1108" s="1" t="n">
        <v>45595.35145833333</v>
      </c>
      <c r="C1108" s="1" t="n">
        <v>46048</v>
      </c>
      <c r="D1108" t="inlineStr">
        <is>
          <t>JÄMTLANDS LÄN</t>
        </is>
      </c>
      <c r="E1108" t="inlineStr">
        <is>
          <t>STRÖMSUND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34179-2024</t>
        </is>
      </c>
      <c r="B1109" s="1" t="n">
        <v>45524.44645833333</v>
      </c>
      <c r="C1109" s="1" t="n">
        <v>46048</v>
      </c>
      <c r="D1109" t="inlineStr">
        <is>
          <t>JÄMTLANDS LÄN</t>
        </is>
      </c>
      <c r="E1109" t="inlineStr">
        <is>
          <t>STRÖMSUND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35583-2024</t>
        </is>
      </c>
      <c r="B1110" s="1" t="n">
        <v>45531.64809027778</v>
      </c>
      <c r="C1110" s="1" t="n">
        <v>46048</v>
      </c>
      <c r="D1110" t="inlineStr">
        <is>
          <t>JÄMTLANDS LÄN</t>
        </is>
      </c>
      <c r="E1110" t="inlineStr">
        <is>
          <t>STRÖMSUND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60335-2023</t>
        </is>
      </c>
      <c r="B1111" s="1" t="n">
        <v>45258.95190972222</v>
      </c>
      <c r="C1111" s="1" t="n">
        <v>46048</v>
      </c>
      <c r="D1111" t="inlineStr">
        <is>
          <t>JÄMTLANDS LÄN</t>
        </is>
      </c>
      <c r="E1111" t="inlineStr">
        <is>
          <t>STRÖMSUND</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53131-2024</t>
        </is>
      </c>
      <c r="B1112" s="1" t="n">
        <v>45611.59434027778</v>
      </c>
      <c r="C1112" s="1" t="n">
        <v>46048</v>
      </c>
      <c r="D1112" t="inlineStr">
        <is>
          <t>JÄMTLANDS LÄN</t>
        </is>
      </c>
      <c r="E1112" t="inlineStr">
        <is>
          <t>STRÖMSUND</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60742-2022</t>
        </is>
      </c>
      <c r="B1113" s="1" t="n">
        <v>44913</v>
      </c>
      <c r="C1113" s="1" t="n">
        <v>46048</v>
      </c>
      <c r="D1113" t="inlineStr">
        <is>
          <t>JÄMTLANDS LÄN</t>
        </is>
      </c>
      <c r="E1113" t="inlineStr">
        <is>
          <t>STRÖMSUND</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33590-2023</t>
        </is>
      </c>
      <c r="B1114" s="1" t="n">
        <v>45131.94982638889</v>
      </c>
      <c r="C1114" s="1" t="n">
        <v>46048</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16490-2024</t>
        </is>
      </c>
      <c r="B1115" s="1" t="n">
        <v>45408.3474074074</v>
      </c>
      <c r="C1115" s="1" t="n">
        <v>46048</v>
      </c>
      <c r="D1115" t="inlineStr">
        <is>
          <t>JÄMTLANDS LÄN</t>
        </is>
      </c>
      <c r="E1115" t="inlineStr">
        <is>
          <t>STRÖMSUND</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60667-2022</t>
        </is>
      </c>
      <c r="B1116" s="1" t="n">
        <v>44911</v>
      </c>
      <c r="C1116" s="1" t="n">
        <v>46048</v>
      </c>
      <c r="D1116" t="inlineStr">
        <is>
          <t>JÄMTLANDS LÄN</t>
        </is>
      </c>
      <c r="E1116" t="inlineStr">
        <is>
          <t>STRÖMSUND</t>
        </is>
      </c>
      <c r="F1116" t="inlineStr">
        <is>
          <t>SCA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26263-2025</t>
        </is>
      </c>
      <c r="B1117" s="1" t="n">
        <v>45805</v>
      </c>
      <c r="C1117" s="1" t="n">
        <v>46048</v>
      </c>
      <c r="D1117" t="inlineStr">
        <is>
          <t>JÄMTLANDS LÄN</t>
        </is>
      </c>
      <c r="E1117" t="inlineStr">
        <is>
          <t>STRÖMSUND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6879-2025</t>
        </is>
      </c>
      <c r="B1118" s="1" t="n">
        <v>45701.34490740741</v>
      </c>
      <c r="C1118" s="1" t="n">
        <v>46048</v>
      </c>
      <c r="D1118" t="inlineStr">
        <is>
          <t>JÄMTLANDS LÄN</t>
        </is>
      </c>
      <c r="E1118" t="inlineStr">
        <is>
          <t>STRÖMSUND</t>
        </is>
      </c>
      <c r="F1118" t="inlineStr">
        <is>
          <t>SCA</t>
        </is>
      </c>
      <c r="G1118" t="n">
        <v>21.3</v>
      </c>
      <c r="H1118" t="n">
        <v>0</v>
      </c>
      <c r="I1118" t="n">
        <v>0</v>
      </c>
      <c r="J1118" t="n">
        <v>0</v>
      </c>
      <c r="K1118" t="n">
        <v>0</v>
      </c>
      <c r="L1118" t="n">
        <v>0</v>
      </c>
      <c r="M1118" t="n">
        <v>0</v>
      </c>
      <c r="N1118" t="n">
        <v>0</v>
      </c>
      <c r="O1118" t="n">
        <v>0</v>
      </c>
      <c r="P1118" t="n">
        <v>0</v>
      </c>
      <c r="Q1118" t="n">
        <v>0</v>
      </c>
      <c r="R1118" s="2" t="inlineStr"/>
    </row>
    <row r="1119" ht="15" customHeight="1">
      <c r="A1119" t="inlineStr">
        <is>
          <t>A 14568-2024</t>
        </is>
      </c>
      <c r="B1119" s="1" t="n">
        <v>45394</v>
      </c>
      <c r="C1119" s="1" t="n">
        <v>46048</v>
      </c>
      <c r="D1119" t="inlineStr">
        <is>
          <t>JÄMTLANDS LÄN</t>
        </is>
      </c>
      <c r="E1119" t="inlineStr">
        <is>
          <t>STRÖMSUND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26498-2025</t>
        </is>
      </c>
      <c r="B1120" s="1" t="n">
        <v>45807.51077546296</v>
      </c>
      <c r="C1120" s="1" t="n">
        <v>46048</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26499-2025</t>
        </is>
      </c>
      <c r="B1121" s="1" t="n">
        <v>45807.5109837963</v>
      </c>
      <c r="C1121" s="1" t="n">
        <v>46048</v>
      </c>
      <c r="D1121" t="inlineStr">
        <is>
          <t>JÄMTLANDS LÄN</t>
        </is>
      </c>
      <c r="E1121" t="inlineStr">
        <is>
          <t>STRÖMSUND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53609-2024</t>
        </is>
      </c>
      <c r="B1122" s="1" t="n">
        <v>45614</v>
      </c>
      <c r="C1122" s="1" t="n">
        <v>46048</v>
      </c>
      <c r="D1122" t="inlineStr">
        <is>
          <t>JÄMTLANDS LÄN</t>
        </is>
      </c>
      <c r="E1122" t="inlineStr">
        <is>
          <t>STRÖMSUND</t>
        </is>
      </c>
      <c r="F1122" t="inlineStr">
        <is>
          <t>SCA</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35687-2024</t>
        </is>
      </c>
      <c r="B1123" s="1" t="n">
        <v>45532.42047453704</v>
      </c>
      <c r="C1123" s="1" t="n">
        <v>46048</v>
      </c>
      <c r="D1123" t="inlineStr">
        <is>
          <t>JÄMTLANDS LÄN</t>
        </is>
      </c>
      <c r="E1123" t="inlineStr">
        <is>
          <t>STRÖMSUND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61136-2023</t>
        </is>
      </c>
      <c r="B1124" s="1" t="n">
        <v>45261.92803240741</v>
      </c>
      <c r="C1124" s="1" t="n">
        <v>46048</v>
      </c>
      <c r="D1124" t="inlineStr">
        <is>
          <t>JÄMTLANDS LÄN</t>
        </is>
      </c>
      <c r="E1124" t="inlineStr">
        <is>
          <t>STRÖMSUND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60661-2023</t>
        </is>
      </c>
      <c r="B1125" s="1" t="n">
        <v>45259</v>
      </c>
      <c r="C1125" s="1" t="n">
        <v>46048</v>
      </c>
      <c r="D1125" t="inlineStr">
        <is>
          <t>JÄMTLANDS LÄN</t>
        </is>
      </c>
      <c r="E1125" t="inlineStr">
        <is>
          <t>STRÖMSUND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13590-2024</t>
        </is>
      </c>
      <c r="B1126" s="1" t="n">
        <v>45389</v>
      </c>
      <c r="C1126" s="1" t="n">
        <v>46048</v>
      </c>
      <c r="D1126" t="inlineStr">
        <is>
          <t>JÄMTLANDS LÄN</t>
        </is>
      </c>
      <c r="E1126" t="inlineStr">
        <is>
          <t>STRÖMSUND</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26375-2025</t>
        </is>
      </c>
      <c r="B1127" s="1" t="n">
        <v>45806.4275462963</v>
      </c>
      <c r="C1127" s="1" t="n">
        <v>46048</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36500-2024</t>
        </is>
      </c>
      <c r="B1128" s="1" t="n">
        <v>45537.40877314815</v>
      </c>
      <c r="C1128" s="1" t="n">
        <v>46048</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40109-2023</t>
        </is>
      </c>
      <c r="B1129" s="1" t="n">
        <v>45168</v>
      </c>
      <c r="C1129" s="1" t="n">
        <v>46048</v>
      </c>
      <c r="D1129" t="inlineStr">
        <is>
          <t>JÄMTLANDS LÄN</t>
        </is>
      </c>
      <c r="E1129" t="inlineStr">
        <is>
          <t>STRÖMSUND</t>
        </is>
      </c>
      <c r="F1129" t="inlineStr">
        <is>
          <t>SCA</t>
        </is>
      </c>
      <c r="G1129" t="n">
        <v>55.1</v>
      </c>
      <c r="H1129" t="n">
        <v>0</v>
      </c>
      <c r="I1129" t="n">
        <v>0</v>
      </c>
      <c r="J1129" t="n">
        <v>0</v>
      </c>
      <c r="K1129" t="n">
        <v>0</v>
      </c>
      <c r="L1129" t="n">
        <v>0</v>
      </c>
      <c r="M1129" t="n">
        <v>0</v>
      </c>
      <c r="N1129" t="n">
        <v>0</v>
      </c>
      <c r="O1129" t="n">
        <v>0</v>
      </c>
      <c r="P1129" t="n">
        <v>0</v>
      </c>
      <c r="Q1129" t="n">
        <v>0</v>
      </c>
      <c r="R1129" s="2" t="inlineStr"/>
    </row>
    <row r="1130" ht="15" customHeight="1">
      <c r="A1130" t="inlineStr">
        <is>
          <t>A 44390-2023</t>
        </is>
      </c>
      <c r="B1130" s="1" t="n">
        <v>45188.94512731482</v>
      </c>
      <c r="C1130" s="1" t="n">
        <v>46048</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48917-2024</t>
        </is>
      </c>
      <c r="B1131" s="1" t="n">
        <v>45594.36982638889</v>
      </c>
      <c r="C1131" s="1" t="n">
        <v>46048</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40862-2022</t>
        </is>
      </c>
      <c r="B1132" s="1" t="n">
        <v>44820</v>
      </c>
      <c r="C1132" s="1" t="n">
        <v>46048</v>
      </c>
      <c r="D1132" t="inlineStr">
        <is>
          <t>JÄMTLANDS LÄN</t>
        </is>
      </c>
      <c r="E1132" t="inlineStr">
        <is>
          <t>STRÖMSUND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57278-2022</t>
        </is>
      </c>
      <c r="B1133" s="1" t="n">
        <v>44895.9491550926</v>
      </c>
      <c r="C1133" s="1" t="n">
        <v>46048</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17435-2024</t>
        </is>
      </c>
      <c r="B1134" s="1" t="n">
        <v>45415.33664351852</v>
      </c>
      <c r="C1134" s="1" t="n">
        <v>46048</v>
      </c>
      <c r="D1134" t="inlineStr">
        <is>
          <t>JÄMTLANDS LÄN</t>
        </is>
      </c>
      <c r="E1134" t="inlineStr">
        <is>
          <t>STRÖMSUND</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12265-2025</t>
        </is>
      </c>
      <c r="B1135" s="1" t="n">
        <v>45729</v>
      </c>
      <c r="C1135" s="1" t="n">
        <v>46048</v>
      </c>
      <c r="D1135" t="inlineStr">
        <is>
          <t>JÄMTLANDS LÄN</t>
        </is>
      </c>
      <c r="E1135" t="inlineStr">
        <is>
          <t>STRÖMSUND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6894-2024</t>
        </is>
      </c>
      <c r="B1136" s="1" t="n">
        <v>45342.92760416667</v>
      </c>
      <c r="C1136" s="1" t="n">
        <v>46048</v>
      </c>
      <c r="D1136" t="inlineStr">
        <is>
          <t>JÄMTLANDS LÄN</t>
        </is>
      </c>
      <c r="E1136" t="inlineStr">
        <is>
          <t>STRÖMSUND</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24800-2024</t>
        </is>
      </c>
      <c r="B1137" s="1" t="n">
        <v>45460.95293981482</v>
      </c>
      <c r="C1137" s="1" t="n">
        <v>46048</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40272-2022</t>
        </is>
      </c>
      <c r="B1138" s="1" t="n">
        <v>44820</v>
      </c>
      <c r="C1138" s="1" t="n">
        <v>46048</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24206-2024</t>
        </is>
      </c>
      <c r="B1139" s="1" t="n">
        <v>45456</v>
      </c>
      <c r="C1139" s="1" t="n">
        <v>46048</v>
      </c>
      <c r="D1139" t="inlineStr">
        <is>
          <t>JÄMTLANDS LÄN</t>
        </is>
      </c>
      <c r="E1139" t="inlineStr">
        <is>
          <t>STRÖMSUND</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47331-2024</t>
        </is>
      </c>
      <c r="B1140" s="1" t="n">
        <v>45587.38944444444</v>
      </c>
      <c r="C1140" s="1" t="n">
        <v>46048</v>
      </c>
      <c r="D1140" t="inlineStr">
        <is>
          <t>JÄMTLANDS LÄN</t>
        </is>
      </c>
      <c r="E1140" t="inlineStr">
        <is>
          <t>STRÖMSUND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26650-2025</t>
        </is>
      </c>
      <c r="B1141" s="1" t="n">
        <v>45810.38618055556</v>
      </c>
      <c r="C1141" s="1" t="n">
        <v>46048</v>
      </c>
      <c r="D1141" t="inlineStr">
        <is>
          <t>JÄMTLANDS LÄN</t>
        </is>
      </c>
      <c r="E1141" t="inlineStr">
        <is>
          <t>STRÖMSUND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64505-2021</t>
        </is>
      </c>
      <c r="B1142" s="1" t="n">
        <v>44511</v>
      </c>
      <c r="C1142" s="1" t="n">
        <v>46048</v>
      </c>
      <c r="D1142" t="inlineStr">
        <is>
          <t>JÄMTLANDS LÄN</t>
        </is>
      </c>
      <c r="E1142" t="inlineStr">
        <is>
          <t>STRÖMSUND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6202-2022</t>
        </is>
      </c>
      <c r="B1143" s="1" t="n">
        <v>44600</v>
      </c>
      <c r="C1143" s="1" t="n">
        <v>46048</v>
      </c>
      <c r="D1143" t="inlineStr">
        <is>
          <t>JÄMTLANDS LÄN</t>
        </is>
      </c>
      <c r="E1143" t="inlineStr">
        <is>
          <t>STRÖMSUND</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32907-2024</t>
        </is>
      </c>
      <c r="B1144" s="1" t="n">
        <v>45516.9477662037</v>
      </c>
      <c r="C1144" s="1" t="n">
        <v>46048</v>
      </c>
      <c r="D1144" t="inlineStr">
        <is>
          <t>JÄMTLANDS LÄN</t>
        </is>
      </c>
      <c r="E1144" t="inlineStr">
        <is>
          <t>STRÖMSUND</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35850-2022</t>
        </is>
      </c>
      <c r="B1145" s="1" t="n">
        <v>44802.41818287037</v>
      </c>
      <c r="C1145" s="1" t="n">
        <v>46048</v>
      </c>
      <c r="D1145" t="inlineStr">
        <is>
          <t>JÄMTLANDS LÄN</t>
        </is>
      </c>
      <c r="E1145" t="inlineStr">
        <is>
          <t>STRÖMSUND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29328-2023</t>
        </is>
      </c>
      <c r="B1146" s="1" t="n">
        <v>45105.94356481481</v>
      </c>
      <c r="C1146" s="1" t="n">
        <v>46048</v>
      </c>
      <c r="D1146" t="inlineStr">
        <is>
          <t>JÄMTLANDS LÄN</t>
        </is>
      </c>
      <c r="E1146" t="inlineStr">
        <is>
          <t>STRÖMSUND</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49752-2022</t>
        </is>
      </c>
      <c r="B1147" s="1" t="n">
        <v>44859</v>
      </c>
      <c r="C1147" s="1" t="n">
        <v>46048</v>
      </c>
      <c r="D1147" t="inlineStr">
        <is>
          <t>JÄMTLANDS LÄN</t>
        </is>
      </c>
      <c r="E1147" t="inlineStr">
        <is>
          <t>STRÖMSUND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6883-2025</t>
        </is>
      </c>
      <c r="B1148" s="1" t="n">
        <v>45701.34560185186</v>
      </c>
      <c r="C1148" s="1" t="n">
        <v>46048</v>
      </c>
      <c r="D1148" t="inlineStr">
        <is>
          <t>JÄMTLANDS LÄN</t>
        </is>
      </c>
      <c r="E1148" t="inlineStr">
        <is>
          <t>STRÖMSUND</t>
        </is>
      </c>
      <c r="F1148" t="inlineStr">
        <is>
          <t>SCA</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12641-2025</t>
        </is>
      </c>
      <c r="B1149" s="1" t="n">
        <v>45733.38623842593</v>
      </c>
      <c r="C1149" s="1" t="n">
        <v>46048</v>
      </c>
      <c r="D1149" t="inlineStr">
        <is>
          <t>JÄMTLANDS LÄN</t>
        </is>
      </c>
      <c r="E1149" t="inlineStr">
        <is>
          <t>STRÖMSUND</t>
        </is>
      </c>
      <c r="F1149" t="inlineStr">
        <is>
          <t>SCA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10047-2025</t>
        </is>
      </c>
      <c r="B1150" s="1" t="n">
        <v>45719.51087962963</v>
      </c>
      <c r="C1150" s="1" t="n">
        <v>46048</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27276-2024</t>
        </is>
      </c>
      <c r="B1151" s="1" t="n">
        <v>45471.92549768519</v>
      </c>
      <c r="C1151" s="1" t="n">
        <v>46048</v>
      </c>
      <c r="D1151" t="inlineStr">
        <is>
          <t>JÄMTLANDS LÄN</t>
        </is>
      </c>
      <c r="E1151" t="inlineStr">
        <is>
          <t>STRÖMSUND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26035-2024</t>
        </is>
      </c>
      <c r="B1152" s="1" t="n">
        <v>45467.96373842593</v>
      </c>
      <c r="C1152" s="1" t="n">
        <v>46048</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43425-2024</t>
        </is>
      </c>
      <c r="B1153" s="1" t="n">
        <v>45568.63625</v>
      </c>
      <c r="C1153" s="1" t="n">
        <v>46048</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3693-2023</t>
        </is>
      </c>
      <c r="B1154" s="1" t="n">
        <v>44950</v>
      </c>
      <c r="C1154" s="1" t="n">
        <v>46048</v>
      </c>
      <c r="D1154" t="inlineStr">
        <is>
          <t>JÄMTLANDS LÄN</t>
        </is>
      </c>
      <c r="E1154" t="inlineStr">
        <is>
          <t>STRÖMSUND</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26939-2025</t>
        </is>
      </c>
      <c r="B1155" s="1" t="n">
        <v>45811.41568287037</v>
      </c>
      <c r="C1155" s="1" t="n">
        <v>46048</v>
      </c>
      <c r="D1155" t="inlineStr">
        <is>
          <t>JÄMTLANDS LÄN</t>
        </is>
      </c>
      <c r="E1155" t="inlineStr">
        <is>
          <t>STRÖMSUND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51889-2022</t>
        </is>
      </c>
      <c r="B1156" s="1" t="n">
        <v>44867</v>
      </c>
      <c r="C1156" s="1" t="n">
        <v>46048</v>
      </c>
      <c r="D1156" t="inlineStr">
        <is>
          <t>JÄMTLANDS LÄN</t>
        </is>
      </c>
      <c r="E1156" t="inlineStr">
        <is>
          <t>STRÖMSUND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26773-2025</t>
        </is>
      </c>
      <c r="B1157" s="1" t="n">
        <v>45810.57366898148</v>
      </c>
      <c r="C1157" s="1" t="n">
        <v>46048</v>
      </c>
      <c r="D1157" t="inlineStr">
        <is>
          <t>JÄMTLANDS LÄN</t>
        </is>
      </c>
      <c r="E1157" t="inlineStr">
        <is>
          <t>STRÖMSUND</t>
        </is>
      </c>
      <c r="F1157" t="inlineStr">
        <is>
          <t>SCA</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49547-2024</t>
        </is>
      </c>
      <c r="B1158" s="1" t="n">
        <v>45596.44854166666</v>
      </c>
      <c r="C1158" s="1" t="n">
        <v>46048</v>
      </c>
      <c r="D1158" t="inlineStr">
        <is>
          <t>JÄMTLANDS LÄN</t>
        </is>
      </c>
      <c r="E1158" t="inlineStr">
        <is>
          <t>STRÖMSUND</t>
        </is>
      </c>
      <c r="F1158" t="inlineStr">
        <is>
          <t>SCA</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12018-2022</t>
        </is>
      </c>
      <c r="B1159" s="1" t="n">
        <v>44635</v>
      </c>
      <c r="C1159" s="1" t="n">
        <v>46048</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60848-2023</t>
        </is>
      </c>
      <c r="B1160" s="1" t="n">
        <v>45260.92621527778</v>
      </c>
      <c r="C1160" s="1" t="n">
        <v>46048</v>
      </c>
      <c r="D1160" t="inlineStr">
        <is>
          <t>JÄMTLANDS LÄN</t>
        </is>
      </c>
      <c r="E1160" t="inlineStr">
        <is>
          <t>STRÖMSUND</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19652-2023</t>
        </is>
      </c>
      <c r="B1161" s="1" t="n">
        <v>45050</v>
      </c>
      <c r="C1161" s="1" t="n">
        <v>46048</v>
      </c>
      <c r="D1161" t="inlineStr">
        <is>
          <t>JÄMTLANDS LÄN</t>
        </is>
      </c>
      <c r="E1161" t="inlineStr">
        <is>
          <t>STRÖMSUND</t>
        </is>
      </c>
      <c r="F1161" t="inlineStr">
        <is>
          <t>Kommuner</t>
        </is>
      </c>
      <c r="G1161" t="n">
        <v>14.2</v>
      </c>
      <c r="H1161" t="n">
        <v>0</v>
      </c>
      <c r="I1161" t="n">
        <v>0</v>
      </c>
      <c r="J1161" t="n">
        <v>0</v>
      </c>
      <c r="K1161" t="n">
        <v>0</v>
      </c>
      <c r="L1161" t="n">
        <v>0</v>
      </c>
      <c r="M1161" t="n">
        <v>0</v>
      </c>
      <c r="N1161" t="n">
        <v>0</v>
      </c>
      <c r="O1161" t="n">
        <v>0</v>
      </c>
      <c r="P1161" t="n">
        <v>0</v>
      </c>
      <c r="Q1161" t="n">
        <v>0</v>
      </c>
      <c r="R1161" s="2" t="inlineStr"/>
    </row>
    <row r="1162" ht="15" customHeight="1">
      <c r="A1162" t="inlineStr">
        <is>
          <t>A 19656-2023</t>
        </is>
      </c>
      <c r="B1162" s="1" t="n">
        <v>45050</v>
      </c>
      <c r="C1162" s="1" t="n">
        <v>46048</v>
      </c>
      <c r="D1162" t="inlineStr">
        <is>
          <t>JÄMTLANDS LÄN</t>
        </is>
      </c>
      <c r="E1162" t="inlineStr">
        <is>
          <t>STRÖMSUND</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19658-2023</t>
        </is>
      </c>
      <c r="B1163" s="1" t="n">
        <v>45050</v>
      </c>
      <c r="C1163" s="1" t="n">
        <v>46048</v>
      </c>
      <c r="D1163" t="inlineStr">
        <is>
          <t>JÄMTLANDS LÄN</t>
        </is>
      </c>
      <c r="E1163" t="inlineStr">
        <is>
          <t>STRÖMSUND</t>
        </is>
      </c>
      <c r="F1163" t="inlineStr">
        <is>
          <t>Kommuner</t>
        </is>
      </c>
      <c r="G1163" t="n">
        <v>23.7</v>
      </c>
      <c r="H1163" t="n">
        <v>0</v>
      </c>
      <c r="I1163" t="n">
        <v>0</v>
      </c>
      <c r="J1163" t="n">
        <v>0</v>
      </c>
      <c r="K1163" t="n">
        <v>0</v>
      </c>
      <c r="L1163" t="n">
        <v>0</v>
      </c>
      <c r="M1163" t="n">
        <v>0</v>
      </c>
      <c r="N1163" t="n">
        <v>0</v>
      </c>
      <c r="O1163" t="n">
        <v>0</v>
      </c>
      <c r="P1163" t="n">
        <v>0</v>
      </c>
      <c r="Q1163" t="n">
        <v>0</v>
      </c>
      <c r="R1163" s="2" t="inlineStr"/>
    </row>
    <row r="1164" ht="15" customHeight="1">
      <c r="A1164" t="inlineStr">
        <is>
          <t>A 19788-2025</t>
        </is>
      </c>
      <c r="B1164" s="1" t="n">
        <v>45771.44377314814</v>
      </c>
      <c r="C1164" s="1" t="n">
        <v>46048</v>
      </c>
      <c r="D1164" t="inlineStr">
        <is>
          <t>JÄMTLANDS LÄN</t>
        </is>
      </c>
      <c r="E1164" t="inlineStr">
        <is>
          <t>STRÖMSUND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1913-2025</t>
        </is>
      </c>
      <c r="B1165" s="1" t="n">
        <v>45671.65716435185</v>
      </c>
      <c r="C1165" s="1" t="n">
        <v>46048</v>
      </c>
      <c r="D1165" t="inlineStr">
        <is>
          <t>JÄMTLANDS LÄN</t>
        </is>
      </c>
      <c r="E1165" t="inlineStr">
        <is>
          <t>STRÖMSUND</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20272-2024</t>
        </is>
      </c>
      <c r="B1166" s="1" t="n">
        <v>45434.94920138889</v>
      </c>
      <c r="C1166" s="1" t="n">
        <v>46048</v>
      </c>
      <c r="D1166" t="inlineStr">
        <is>
          <t>JÄMTLANDS LÄN</t>
        </is>
      </c>
      <c r="E1166" t="inlineStr">
        <is>
          <t>STRÖMSUND</t>
        </is>
      </c>
      <c r="F1166" t="inlineStr">
        <is>
          <t>SCA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19027-2023</t>
        </is>
      </c>
      <c r="B1167" s="1" t="n">
        <v>45047</v>
      </c>
      <c r="C1167" s="1" t="n">
        <v>46048</v>
      </c>
      <c r="D1167" t="inlineStr">
        <is>
          <t>JÄMTLANDS LÄN</t>
        </is>
      </c>
      <c r="E1167" t="inlineStr">
        <is>
          <t>STRÖMSUND</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5453-2024</t>
        </is>
      </c>
      <c r="B1168" s="1" t="n">
        <v>45331.95241898148</v>
      </c>
      <c r="C1168" s="1" t="n">
        <v>46048</v>
      </c>
      <c r="D1168" t="inlineStr">
        <is>
          <t>JÄMTLANDS LÄN</t>
        </is>
      </c>
      <c r="E1168" t="inlineStr">
        <is>
          <t>STRÖMSUND</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58206-2024</t>
        </is>
      </c>
      <c r="B1169" s="1" t="n">
        <v>45632.4900462963</v>
      </c>
      <c r="C1169" s="1" t="n">
        <v>46048</v>
      </c>
      <c r="D1169" t="inlineStr">
        <is>
          <t>JÄMTLANDS LÄN</t>
        </is>
      </c>
      <c r="E1169" t="inlineStr">
        <is>
          <t>STRÖMSUND</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10647-2022</t>
        </is>
      </c>
      <c r="B1170" s="1" t="n">
        <v>44624</v>
      </c>
      <c r="C1170" s="1" t="n">
        <v>46048</v>
      </c>
      <c r="D1170" t="inlineStr">
        <is>
          <t>JÄMTLANDS LÄN</t>
        </is>
      </c>
      <c r="E1170" t="inlineStr">
        <is>
          <t>STRÖMSUND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33453-2023</t>
        </is>
      </c>
      <c r="B1171" s="1" t="n">
        <v>45130</v>
      </c>
      <c r="C1171" s="1" t="n">
        <v>46048</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57638-2024</t>
        </is>
      </c>
      <c r="B1172" s="1" t="n">
        <v>45630.5733912037</v>
      </c>
      <c r="C1172" s="1" t="n">
        <v>46048</v>
      </c>
      <c r="D1172" t="inlineStr">
        <is>
          <t>JÄMTLANDS LÄN</t>
        </is>
      </c>
      <c r="E1172" t="inlineStr">
        <is>
          <t>STRÖMSUND</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508-2024</t>
        </is>
      </c>
      <c r="B1173" s="1" t="n">
        <v>45299</v>
      </c>
      <c r="C1173" s="1" t="n">
        <v>46048</v>
      </c>
      <c r="D1173" t="inlineStr">
        <is>
          <t>JÄMTLANDS LÄN</t>
        </is>
      </c>
      <c r="E1173" t="inlineStr">
        <is>
          <t>STRÖMSUND</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46048</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58729-2022</t>
        </is>
      </c>
      <c r="B1175" s="1" t="n">
        <v>44902.95266203704</v>
      </c>
      <c r="C1175" s="1" t="n">
        <v>46048</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2296-2023</t>
        </is>
      </c>
      <c r="B1176" s="1" t="n">
        <v>44942</v>
      </c>
      <c r="C1176" s="1" t="n">
        <v>46048</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12175-2025</t>
        </is>
      </c>
      <c r="B1177" s="1" t="n">
        <v>45729.4483912037</v>
      </c>
      <c r="C1177" s="1" t="n">
        <v>46048</v>
      </c>
      <c r="D1177" t="inlineStr">
        <is>
          <t>JÄMTLANDS LÄN</t>
        </is>
      </c>
      <c r="E1177" t="inlineStr">
        <is>
          <t>STRÖMSUND</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26680-2025</t>
        </is>
      </c>
      <c r="B1178" s="1" t="n">
        <v>45810</v>
      </c>
      <c r="C1178" s="1" t="n">
        <v>46048</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26660-2023</t>
        </is>
      </c>
      <c r="B1179" s="1" t="n">
        <v>45092</v>
      </c>
      <c r="C1179" s="1" t="n">
        <v>46048</v>
      </c>
      <c r="D1179" t="inlineStr">
        <is>
          <t>JÄMTLANDS LÄN</t>
        </is>
      </c>
      <c r="E1179" t="inlineStr">
        <is>
          <t>STRÖMSUND</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50314-2022</t>
        </is>
      </c>
      <c r="B1180" s="1" t="n">
        <v>44865</v>
      </c>
      <c r="C1180" s="1" t="n">
        <v>46048</v>
      </c>
      <c r="D1180" t="inlineStr">
        <is>
          <t>JÄMTLANDS LÄN</t>
        </is>
      </c>
      <c r="E1180" t="inlineStr">
        <is>
          <t>STRÖMSUND</t>
        </is>
      </c>
      <c r="F1180" t="inlineStr">
        <is>
          <t>SCA</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11838-2025</t>
        </is>
      </c>
      <c r="B1181" s="1" t="n">
        <v>45728.36494212963</v>
      </c>
      <c r="C1181" s="1" t="n">
        <v>46048</v>
      </c>
      <c r="D1181" t="inlineStr">
        <is>
          <t>JÄMTLANDS LÄN</t>
        </is>
      </c>
      <c r="E1181" t="inlineStr">
        <is>
          <t>STRÖMSUND</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18280-2025</t>
        </is>
      </c>
      <c r="B1182" s="1" t="n">
        <v>45762</v>
      </c>
      <c r="C1182" s="1" t="n">
        <v>46048</v>
      </c>
      <c r="D1182" t="inlineStr">
        <is>
          <t>JÄMTLANDS LÄN</t>
        </is>
      </c>
      <c r="E1182" t="inlineStr">
        <is>
          <t>STRÖMSUND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36502-2023</t>
        </is>
      </c>
      <c r="B1183" s="1" t="n">
        <v>45152.95280092592</v>
      </c>
      <c r="C1183" s="1" t="n">
        <v>46048</v>
      </c>
      <c r="D1183" t="inlineStr">
        <is>
          <t>JÄMTLANDS LÄN</t>
        </is>
      </c>
      <c r="E1183" t="inlineStr">
        <is>
          <t>STRÖMSUND</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13350-2025</t>
        </is>
      </c>
      <c r="B1184" s="1" t="n">
        <v>45735.63578703703</v>
      </c>
      <c r="C1184" s="1" t="n">
        <v>46048</v>
      </c>
      <c r="D1184" t="inlineStr">
        <is>
          <t>JÄMTLANDS LÄN</t>
        </is>
      </c>
      <c r="E1184" t="inlineStr">
        <is>
          <t>STRÖMSUND</t>
        </is>
      </c>
      <c r="F1184" t="inlineStr">
        <is>
          <t>SCA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10927-2025</t>
        </is>
      </c>
      <c r="B1185" s="1" t="n">
        <v>45722.870625</v>
      </c>
      <c r="C1185" s="1" t="n">
        <v>46048</v>
      </c>
      <c r="D1185" t="inlineStr">
        <is>
          <t>JÄMTLANDS LÄN</t>
        </is>
      </c>
      <c r="E1185" t="inlineStr">
        <is>
          <t>STRÖMSUND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56312-2023</t>
        </is>
      </c>
      <c r="B1186" s="1" t="n">
        <v>45242</v>
      </c>
      <c r="C1186" s="1" t="n">
        <v>46048</v>
      </c>
      <c r="D1186" t="inlineStr">
        <is>
          <t>JÄMTLANDS LÄN</t>
        </is>
      </c>
      <c r="E1186" t="inlineStr">
        <is>
          <t>STRÖMSUND</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56314-2023</t>
        </is>
      </c>
      <c r="B1187" s="1" t="n">
        <v>45242.96574074074</v>
      </c>
      <c r="C1187" s="1" t="n">
        <v>46048</v>
      </c>
      <c r="D1187" t="inlineStr">
        <is>
          <t>JÄMTLANDS LÄN</t>
        </is>
      </c>
      <c r="E1187" t="inlineStr">
        <is>
          <t>STRÖMSUND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58580-2023</t>
        </is>
      </c>
      <c r="B1188" s="1" t="n">
        <v>45251.45293981482</v>
      </c>
      <c r="C1188" s="1" t="n">
        <v>46048</v>
      </c>
      <c r="D1188" t="inlineStr">
        <is>
          <t>JÄMTLANDS LÄN</t>
        </is>
      </c>
      <c r="E1188" t="inlineStr">
        <is>
          <t>STRÖMSUND</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14830-2025</t>
        </is>
      </c>
      <c r="B1189" s="1" t="n">
        <v>45743.37038194444</v>
      </c>
      <c r="C1189" s="1" t="n">
        <v>46048</v>
      </c>
      <c r="D1189" t="inlineStr">
        <is>
          <t>JÄMTLANDS LÄN</t>
        </is>
      </c>
      <c r="E1189" t="inlineStr">
        <is>
          <t>STRÖMSUND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44010-2024</t>
        </is>
      </c>
      <c r="B1190" s="1" t="n">
        <v>45572.5531712963</v>
      </c>
      <c r="C1190" s="1" t="n">
        <v>46048</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33718-2023</t>
        </is>
      </c>
      <c r="B1191" s="1" t="n">
        <v>45132.9502662037</v>
      </c>
      <c r="C1191" s="1" t="n">
        <v>46048</v>
      </c>
      <c r="D1191" t="inlineStr">
        <is>
          <t>JÄMTLANDS LÄN</t>
        </is>
      </c>
      <c r="E1191" t="inlineStr">
        <is>
          <t>STRÖMSUND</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55656-2023</t>
        </is>
      </c>
      <c r="B1192" s="1" t="n">
        <v>45238.96670138889</v>
      </c>
      <c r="C1192" s="1" t="n">
        <v>46048</v>
      </c>
      <c r="D1192" t="inlineStr">
        <is>
          <t>JÄMTLANDS LÄN</t>
        </is>
      </c>
      <c r="E1192" t="inlineStr">
        <is>
          <t>STRÖMSUND</t>
        </is>
      </c>
      <c r="F1192" t="inlineStr">
        <is>
          <t>SCA</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51694-2024</t>
        </is>
      </c>
      <c r="B1193" s="1" t="n">
        <v>45607</v>
      </c>
      <c r="C1193" s="1" t="n">
        <v>46048</v>
      </c>
      <c r="D1193" t="inlineStr">
        <is>
          <t>JÄMTLANDS LÄN</t>
        </is>
      </c>
      <c r="E1193" t="inlineStr">
        <is>
          <t>STRÖMSUND</t>
        </is>
      </c>
      <c r="F1193" t="inlineStr">
        <is>
          <t>SCA</t>
        </is>
      </c>
      <c r="G1193" t="n">
        <v>82.7</v>
      </c>
      <c r="H1193" t="n">
        <v>0</v>
      </c>
      <c r="I1193" t="n">
        <v>0</v>
      </c>
      <c r="J1193" t="n">
        <v>0</v>
      </c>
      <c r="K1193" t="n">
        <v>0</v>
      </c>
      <c r="L1193" t="n">
        <v>0</v>
      </c>
      <c r="M1193" t="n">
        <v>0</v>
      </c>
      <c r="N1193" t="n">
        <v>0</v>
      </c>
      <c r="O1193" t="n">
        <v>0</v>
      </c>
      <c r="P1193" t="n">
        <v>0</v>
      </c>
      <c r="Q1193" t="n">
        <v>0</v>
      </c>
      <c r="R1193" s="2" t="inlineStr"/>
    </row>
    <row r="1194" ht="15" customHeight="1">
      <c r="A1194" t="inlineStr">
        <is>
          <t>A 19761-2025</t>
        </is>
      </c>
      <c r="B1194" s="1" t="n">
        <v>45771.40674768519</v>
      </c>
      <c r="C1194" s="1" t="n">
        <v>46048</v>
      </c>
      <c r="D1194" t="inlineStr">
        <is>
          <t>JÄMTLANDS LÄN</t>
        </is>
      </c>
      <c r="E1194" t="inlineStr">
        <is>
          <t>STRÖMSUND</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27308-2025</t>
        </is>
      </c>
      <c r="B1195" s="1" t="n">
        <v>45812.57364583333</v>
      </c>
      <c r="C1195" s="1" t="n">
        <v>46048</v>
      </c>
      <c r="D1195" t="inlineStr">
        <is>
          <t>JÄMTLANDS LÄN</t>
        </is>
      </c>
      <c r="E1195" t="inlineStr">
        <is>
          <t>STRÖMSUND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27465-2025</t>
        </is>
      </c>
      <c r="B1196" s="1" t="n">
        <v>45813.34636574074</v>
      </c>
      <c r="C1196" s="1" t="n">
        <v>46048</v>
      </c>
      <c r="D1196" t="inlineStr">
        <is>
          <t>JÄMTLANDS LÄN</t>
        </is>
      </c>
      <c r="E1196" t="inlineStr">
        <is>
          <t>STRÖMSUND</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3629-2024</t>
        </is>
      </c>
      <c r="B1197" s="1" t="n">
        <v>45320.95350694445</v>
      </c>
      <c r="C1197" s="1" t="n">
        <v>46048</v>
      </c>
      <c r="D1197" t="inlineStr">
        <is>
          <t>JÄMTLANDS LÄN</t>
        </is>
      </c>
      <c r="E1197" t="inlineStr">
        <is>
          <t>STRÖMSUND</t>
        </is>
      </c>
      <c r="F1197" t="inlineStr">
        <is>
          <t>SCA</t>
        </is>
      </c>
      <c r="G1197" t="n">
        <v>29.9</v>
      </c>
      <c r="H1197" t="n">
        <v>0</v>
      </c>
      <c r="I1197" t="n">
        <v>0</v>
      </c>
      <c r="J1197" t="n">
        <v>0</v>
      </c>
      <c r="K1197" t="n">
        <v>0</v>
      </c>
      <c r="L1197" t="n">
        <v>0</v>
      </c>
      <c r="M1197" t="n">
        <v>0</v>
      </c>
      <c r="N1197" t="n">
        <v>0</v>
      </c>
      <c r="O1197" t="n">
        <v>0</v>
      </c>
      <c r="P1197" t="n">
        <v>0</v>
      </c>
      <c r="Q1197" t="n">
        <v>0</v>
      </c>
      <c r="R1197" s="2" t="inlineStr"/>
    </row>
    <row r="1198" ht="15" customHeight="1">
      <c r="A1198" t="inlineStr">
        <is>
          <t>A 34227-2024</t>
        </is>
      </c>
      <c r="B1198" s="1" t="n">
        <v>45524.55819444444</v>
      </c>
      <c r="C1198" s="1" t="n">
        <v>46048</v>
      </c>
      <c r="D1198" t="inlineStr">
        <is>
          <t>JÄMTLANDS LÄN</t>
        </is>
      </c>
      <c r="E1198" t="inlineStr">
        <is>
          <t>STRÖMSUND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27649-2025</t>
        </is>
      </c>
      <c r="B1199" s="1" t="n">
        <v>45813.59481481482</v>
      </c>
      <c r="C1199" s="1" t="n">
        <v>46048</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45809-2023</t>
        </is>
      </c>
      <c r="B1200" s="1" t="n">
        <v>45195.49412037037</v>
      </c>
      <c r="C1200" s="1" t="n">
        <v>46048</v>
      </c>
      <c r="D1200" t="inlineStr">
        <is>
          <t>JÄMTLANDS LÄN</t>
        </is>
      </c>
      <c r="E1200" t="inlineStr">
        <is>
          <t>STRÖMSUND</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58587-2023</t>
        </is>
      </c>
      <c r="B1201" s="1" t="n">
        <v>45251</v>
      </c>
      <c r="C1201" s="1" t="n">
        <v>46048</v>
      </c>
      <c r="D1201" t="inlineStr">
        <is>
          <t>JÄMTLANDS LÄN</t>
        </is>
      </c>
      <c r="E1201" t="inlineStr">
        <is>
          <t>STRÖMSUND</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27166-2025</t>
        </is>
      </c>
      <c r="B1202" s="1" t="n">
        <v>45812.34453703704</v>
      </c>
      <c r="C1202" s="1" t="n">
        <v>46048</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27170-2025</t>
        </is>
      </c>
      <c r="B1203" s="1" t="n">
        <v>45812.34488425926</v>
      </c>
      <c r="C1203" s="1" t="n">
        <v>46048</v>
      </c>
      <c r="D1203" t="inlineStr">
        <is>
          <t>JÄMTLANDS LÄN</t>
        </is>
      </c>
      <c r="E1203" t="inlineStr">
        <is>
          <t>STRÖMSUND</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27196-2025</t>
        </is>
      </c>
      <c r="B1204" s="1" t="n">
        <v>45812.38579861111</v>
      </c>
      <c r="C1204" s="1" t="n">
        <v>46048</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41827-2022</t>
        </is>
      </c>
      <c r="B1205" s="1" t="n">
        <v>44827.94630787037</v>
      </c>
      <c r="C1205" s="1" t="n">
        <v>46048</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60366-2024</t>
        </is>
      </c>
      <c r="B1206" s="1" t="n">
        <v>45643.45707175926</v>
      </c>
      <c r="C1206" s="1" t="n">
        <v>46048</v>
      </c>
      <c r="D1206" t="inlineStr">
        <is>
          <t>JÄMTLANDS LÄN</t>
        </is>
      </c>
      <c r="E1206" t="inlineStr">
        <is>
          <t>STRÖMSUND</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17789-2023</t>
        </is>
      </c>
      <c r="B1207" s="1" t="n">
        <v>45036</v>
      </c>
      <c r="C1207" s="1" t="n">
        <v>46048</v>
      </c>
      <c r="D1207" t="inlineStr">
        <is>
          <t>JÄMTLANDS LÄN</t>
        </is>
      </c>
      <c r="E1207" t="inlineStr">
        <is>
          <t>STRÖMSUND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17798-2023</t>
        </is>
      </c>
      <c r="B1208" s="1" t="n">
        <v>45036</v>
      </c>
      <c r="C1208" s="1" t="n">
        <v>46048</v>
      </c>
      <c r="D1208" t="inlineStr">
        <is>
          <t>JÄMTLANDS LÄN</t>
        </is>
      </c>
      <c r="E1208" t="inlineStr">
        <is>
          <t>STRÖMSUND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29113-2024</t>
        </is>
      </c>
      <c r="B1209" s="1" t="n">
        <v>45481.95314814815</v>
      </c>
      <c r="C1209" s="1" t="n">
        <v>46048</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52737-2023</t>
        </is>
      </c>
      <c r="B1210" s="1" t="n">
        <v>45225.96638888889</v>
      </c>
      <c r="C1210" s="1" t="n">
        <v>46048</v>
      </c>
      <c r="D1210" t="inlineStr">
        <is>
          <t>JÄMTLANDS LÄN</t>
        </is>
      </c>
      <c r="E1210" t="inlineStr">
        <is>
          <t>STRÖMSUND</t>
        </is>
      </c>
      <c r="F1210" t="inlineStr">
        <is>
          <t>SCA</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17098-2024</t>
        </is>
      </c>
      <c r="B1211" s="1" t="n">
        <v>45412</v>
      </c>
      <c r="C1211" s="1" t="n">
        <v>46048</v>
      </c>
      <c r="D1211" t="inlineStr">
        <is>
          <t>JÄMTLANDS LÄN</t>
        </is>
      </c>
      <c r="E1211" t="inlineStr">
        <is>
          <t>STRÖMSUND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51593-2024</t>
        </is>
      </c>
      <c r="B1212" s="1" t="n">
        <v>45604.64981481482</v>
      </c>
      <c r="C1212" s="1" t="n">
        <v>46048</v>
      </c>
      <c r="D1212" t="inlineStr">
        <is>
          <t>JÄMTLANDS LÄN</t>
        </is>
      </c>
      <c r="E1212" t="inlineStr">
        <is>
          <t>STRÖMSUND</t>
        </is>
      </c>
      <c r="F1212" t="inlineStr">
        <is>
          <t>Kommuner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27661-2025</t>
        </is>
      </c>
      <c r="B1213" s="1" t="n">
        <v>45813.61508101852</v>
      </c>
      <c r="C1213" s="1" t="n">
        <v>46048</v>
      </c>
      <c r="D1213" t="inlineStr">
        <is>
          <t>JÄMTLANDS LÄN</t>
        </is>
      </c>
      <c r="E1213" t="inlineStr">
        <is>
          <t>STRÖMSUND</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53240-2024</t>
        </is>
      </c>
      <c r="B1214" s="1" t="n">
        <v>45613.86699074074</v>
      </c>
      <c r="C1214" s="1" t="n">
        <v>46048</v>
      </c>
      <c r="D1214" t="inlineStr">
        <is>
          <t>JÄMTLANDS LÄN</t>
        </is>
      </c>
      <c r="E1214" t="inlineStr">
        <is>
          <t>STRÖMSUND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19726-2021</t>
        </is>
      </c>
      <c r="B1215" s="1" t="n">
        <v>44312</v>
      </c>
      <c r="C1215" s="1" t="n">
        <v>46048</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9851-2023</t>
        </is>
      </c>
      <c r="B1216" s="1" t="n">
        <v>44984</v>
      </c>
      <c r="C1216" s="1" t="n">
        <v>46048</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46258-2023</t>
        </is>
      </c>
      <c r="B1217" s="1" t="n">
        <v>45196.93822916667</v>
      </c>
      <c r="C1217" s="1" t="n">
        <v>46048</v>
      </c>
      <c r="D1217" t="inlineStr">
        <is>
          <t>JÄMTLANDS LÄN</t>
        </is>
      </c>
      <c r="E1217" t="inlineStr">
        <is>
          <t>STRÖMSUND</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27646-2025</t>
        </is>
      </c>
      <c r="B1218" s="1" t="n">
        <v>45813.59443287037</v>
      </c>
      <c r="C1218" s="1" t="n">
        <v>46048</v>
      </c>
      <c r="D1218" t="inlineStr">
        <is>
          <t>JÄMTLANDS LÄN</t>
        </is>
      </c>
      <c r="E1218" t="inlineStr">
        <is>
          <t>STRÖMSUND</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27648-2025</t>
        </is>
      </c>
      <c r="B1219" s="1" t="n">
        <v>45813.59472222222</v>
      </c>
      <c r="C1219" s="1" t="n">
        <v>46048</v>
      </c>
      <c r="D1219" t="inlineStr">
        <is>
          <t>JÄMTLANDS LÄN</t>
        </is>
      </c>
      <c r="E1219" t="inlineStr">
        <is>
          <t>STRÖMSUND</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57416-2023</t>
        </is>
      </c>
      <c r="B1220" s="1" t="n">
        <v>45245</v>
      </c>
      <c r="C1220" s="1" t="n">
        <v>46048</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8419-2024</t>
        </is>
      </c>
      <c r="B1221" s="1" t="n">
        <v>45352</v>
      </c>
      <c r="C1221" s="1" t="n">
        <v>46048</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27399-2025</t>
        </is>
      </c>
      <c r="B1222" s="1" t="n">
        <v>45812.69826388889</v>
      </c>
      <c r="C1222" s="1" t="n">
        <v>46048</v>
      </c>
      <c r="D1222" t="inlineStr">
        <is>
          <t>JÄMTLANDS LÄN</t>
        </is>
      </c>
      <c r="E1222" t="inlineStr">
        <is>
          <t>STRÖMSUND</t>
        </is>
      </c>
      <c r="F1222" t="inlineStr">
        <is>
          <t>SCA</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27662-2025</t>
        </is>
      </c>
      <c r="B1223" s="1" t="n">
        <v>45813.61521990741</v>
      </c>
      <c r="C1223" s="1" t="n">
        <v>46048</v>
      </c>
      <c r="D1223" t="inlineStr">
        <is>
          <t>JÄMTLANDS LÄN</t>
        </is>
      </c>
      <c r="E1223" t="inlineStr">
        <is>
          <t>STRÖMSUND</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27692-2025</t>
        </is>
      </c>
      <c r="B1224" s="1" t="n">
        <v>45813.65686342592</v>
      </c>
      <c r="C1224" s="1" t="n">
        <v>46048</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44642-2024</t>
        </is>
      </c>
      <c r="B1225" s="1" t="n">
        <v>45574.515625</v>
      </c>
      <c r="C1225" s="1" t="n">
        <v>46048</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49194-2024</t>
        </is>
      </c>
      <c r="B1226" s="1" t="n">
        <v>45595.35122685185</v>
      </c>
      <c r="C1226" s="1" t="n">
        <v>46048</v>
      </c>
      <c r="D1226" t="inlineStr">
        <is>
          <t>JÄMTLANDS LÄN</t>
        </is>
      </c>
      <c r="E1226" t="inlineStr">
        <is>
          <t>STRÖMSUND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3628-2024</t>
        </is>
      </c>
      <c r="B1227" s="1" t="n">
        <v>45320.95340277778</v>
      </c>
      <c r="C1227" s="1" t="n">
        <v>46048</v>
      </c>
      <c r="D1227" t="inlineStr">
        <is>
          <t>JÄMTLANDS LÄN</t>
        </is>
      </c>
      <c r="E1227" t="inlineStr">
        <is>
          <t>STRÖMSUND</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27650-2025</t>
        </is>
      </c>
      <c r="B1228" s="1" t="n">
        <v>45813.59482638889</v>
      </c>
      <c r="C1228" s="1" t="n">
        <v>46048</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27651-2025</t>
        </is>
      </c>
      <c r="B1229" s="1" t="n">
        <v>45813.59488425926</v>
      </c>
      <c r="C1229" s="1" t="n">
        <v>46048</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27691-2025</t>
        </is>
      </c>
      <c r="B1230" s="1" t="n">
        <v>45813.65671296296</v>
      </c>
      <c r="C1230" s="1" t="n">
        <v>46048</v>
      </c>
      <c r="D1230" t="inlineStr">
        <is>
          <t>JÄMTLANDS LÄN</t>
        </is>
      </c>
      <c r="E1230" t="inlineStr">
        <is>
          <t>STRÖMSUND</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27570-2025</t>
        </is>
      </c>
      <c r="B1231" s="1" t="n">
        <v>45813.49027777778</v>
      </c>
      <c r="C1231" s="1" t="n">
        <v>46048</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24073-2023</t>
        </is>
      </c>
      <c r="B1232" s="1" t="n">
        <v>45078.9421412037</v>
      </c>
      <c r="C1232" s="1" t="n">
        <v>46048</v>
      </c>
      <c r="D1232" t="inlineStr">
        <is>
          <t>JÄMTLANDS LÄN</t>
        </is>
      </c>
      <c r="E1232" t="inlineStr">
        <is>
          <t>STRÖMSUND</t>
        </is>
      </c>
      <c r="F1232" t="inlineStr">
        <is>
          <t>SCA</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35279-2023</t>
        </is>
      </c>
      <c r="B1233" s="1" t="n">
        <v>45145.95431712963</v>
      </c>
      <c r="C1233" s="1" t="n">
        <v>46048</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32452-2024</t>
        </is>
      </c>
      <c r="B1234" s="1" t="n">
        <v>45512.958125</v>
      </c>
      <c r="C1234" s="1" t="n">
        <v>46048</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56655-2021</t>
        </is>
      </c>
      <c r="B1235" s="1" t="n">
        <v>44480</v>
      </c>
      <c r="C1235" s="1" t="n">
        <v>46048</v>
      </c>
      <c r="D1235" t="inlineStr">
        <is>
          <t>JÄMTLANDS LÄN</t>
        </is>
      </c>
      <c r="E1235" t="inlineStr">
        <is>
          <t>STRÖMSUND</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46054-2022</t>
        </is>
      </c>
      <c r="B1236" s="1" t="n">
        <v>44846</v>
      </c>
      <c r="C1236" s="1" t="n">
        <v>46048</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57274-2022</t>
        </is>
      </c>
      <c r="B1237" s="1" t="n">
        <v>44895.94886574074</v>
      </c>
      <c r="C1237" s="1" t="n">
        <v>46048</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34818-2024</t>
        </is>
      </c>
      <c r="B1238" s="1" t="n">
        <v>45526.70923611111</v>
      </c>
      <c r="C1238" s="1" t="n">
        <v>46048</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6386-2021</t>
        </is>
      </c>
      <c r="B1239" s="1" t="n">
        <v>44232</v>
      </c>
      <c r="C1239" s="1" t="n">
        <v>46048</v>
      </c>
      <c r="D1239" t="inlineStr">
        <is>
          <t>JÄMTLANDS LÄN</t>
        </is>
      </c>
      <c r="E1239" t="inlineStr">
        <is>
          <t>STRÖMSUND</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25888-2021</t>
        </is>
      </c>
      <c r="B1240" s="1" t="n">
        <v>44344.3822337963</v>
      </c>
      <c r="C1240" s="1" t="n">
        <v>46048</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40440-2023</t>
        </is>
      </c>
      <c r="B1241" s="1" t="n">
        <v>45169.94126157407</v>
      </c>
      <c r="C1241" s="1" t="n">
        <v>46048</v>
      </c>
      <c r="D1241" t="inlineStr">
        <is>
          <t>JÄMTLANDS LÄN</t>
        </is>
      </c>
      <c r="E1241" t="inlineStr">
        <is>
          <t>STRÖMSUND</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40104-2023</t>
        </is>
      </c>
      <c r="B1242" s="1" t="n">
        <v>45168.93770833333</v>
      </c>
      <c r="C1242" s="1" t="n">
        <v>46048</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27953-2025</t>
        </is>
      </c>
      <c r="B1243" s="1" t="n">
        <v>45817.53171296296</v>
      </c>
      <c r="C1243" s="1" t="n">
        <v>46048</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28000-2025</t>
        </is>
      </c>
      <c r="B1244" s="1" t="n">
        <v>45817.59496527778</v>
      </c>
      <c r="C1244" s="1" t="n">
        <v>46048</v>
      </c>
      <c r="D1244" t="inlineStr">
        <is>
          <t>JÄMTLANDS LÄN</t>
        </is>
      </c>
      <c r="E1244" t="inlineStr">
        <is>
          <t>STRÖMSUND</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6287-2024</t>
        </is>
      </c>
      <c r="B1245" s="1" t="n">
        <v>45337.95644675926</v>
      </c>
      <c r="C1245" s="1" t="n">
        <v>46048</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13686-2023</t>
        </is>
      </c>
      <c r="B1246" s="1" t="n">
        <v>45006</v>
      </c>
      <c r="C1246" s="1" t="n">
        <v>46048</v>
      </c>
      <c r="D1246" t="inlineStr">
        <is>
          <t>JÄMTLANDS LÄN</t>
        </is>
      </c>
      <c r="E1246" t="inlineStr">
        <is>
          <t>STRÖMSUND</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27852-2025</t>
        </is>
      </c>
      <c r="B1247" s="1" t="n">
        <v>45817.40177083333</v>
      </c>
      <c r="C1247" s="1" t="n">
        <v>46048</v>
      </c>
      <c r="D1247" t="inlineStr">
        <is>
          <t>JÄMTLANDS LÄN</t>
        </is>
      </c>
      <c r="E1247" t="inlineStr">
        <is>
          <t>STRÖMSUND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72749-2021</t>
        </is>
      </c>
      <c r="B1248" s="1" t="n">
        <v>44546</v>
      </c>
      <c r="C1248" s="1" t="n">
        <v>46048</v>
      </c>
      <c r="D1248" t="inlineStr">
        <is>
          <t>JÄMTLANDS LÄN</t>
        </is>
      </c>
      <c r="E1248" t="inlineStr">
        <is>
          <t>STRÖMSUND</t>
        </is>
      </c>
      <c r="G1248" t="n">
        <v>35.6</v>
      </c>
      <c r="H1248" t="n">
        <v>0</v>
      </c>
      <c r="I1248" t="n">
        <v>0</v>
      </c>
      <c r="J1248" t="n">
        <v>0</v>
      </c>
      <c r="K1248" t="n">
        <v>0</v>
      </c>
      <c r="L1248" t="n">
        <v>0</v>
      </c>
      <c r="M1248" t="n">
        <v>0</v>
      </c>
      <c r="N1248" t="n">
        <v>0</v>
      </c>
      <c r="O1248" t="n">
        <v>0</v>
      </c>
      <c r="P1248" t="n">
        <v>0</v>
      </c>
      <c r="Q1248" t="n">
        <v>0</v>
      </c>
      <c r="R1248" s="2" t="inlineStr"/>
    </row>
    <row r="1249" ht="15" customHeight="1">
      <c r="A1249" t="inlineStr">
        <is>
          <t>A 23531-2024</t>
        </is>
      </c>
      <c r="B1249" s="1" t="n">
        <v>45453.95122685185</v>
      </c>
      <c r="C1249" s="1" t="n">
        <v>46048</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27726-2025</t>
        </is>
      </c>
      <c r="B1250" s="1" t="n">
        <v>45814.51081018519</v>
      </c>
      <c r="C1250" s="1" t="n">
        <v>46048</v>
      </c>
      <c r="D1250" t="inlineStr">
        <is>
          <t>JÄMTLANDS LÄN</t>
        </is>
      </c>
      <c r="E1250" t="inlineStr">
        <is>
          <t>STRÖMSUND</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12866-2024</t>
        </is>
      </c>
      <c r="B1251" s="1" t="n">
        <v>45384.94175925926</v>
      </c>
      <c r="C1251" s="1" t="n">
        <v>46048</v>
      </c>
      <c r="D1251" t="inlineStr">
        <is>
          <t>JÄMTLANDS LÄN</t>
        </is>
      </c>
      <c r="E1251" t="inlineStr">
        <is>
          <t>STRÖMSUND</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5105-2024</t>
        </is>
      </c>
      <c r="B1252" s="1" t="n">
        <v>45330</v>
      </c>
      <c r="C1252" s="1" t="n">
        <v>46048</v>
      </c>
      <c r="D1252" t="inlineStr">
        <is>
          <t>JÄMTLANDS LÄN</t>
        </is>
      </c>
      <c r="E1252" t="inlineStr">
        <is>
          <t>STRÖMSUND</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41579-2024</t>
        </is>
      </c>
      <c r="B1253" s="1" t="n">
        <v>45560.55297453704</v>
      </c>
      <c r="C1253" s="1" t="n">
        <v>46048</v>
      </c>
      <c r="D1253" t="inlineStr">
        <is>
          <t>JÄMTLANDS LÄN</t>
        </is>
      </c>
      <c r="E1253" t="inlineStr">
        <is>
          <t>STRÖMSUND</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28015-2025</t>
        </is>
      </c>
      <c r="B1254" s="1" t="n">
        <v>45817.61491898148</v>
      </c>
      <c r="C1254" s="1" t="n">
        <v>46048</v>
      </c>
      <c r="D1254" t="inlineStr">
        <is>
          <t>JÄMTLANDS LÄN</t>
        </is>
      </c>
      <c r="E1254" t="inlineStr">
        <is>
          <t>STRÖMSUND</t>
        </is>
      </c>
      <c r="F1254" t="inlineStr">
        <is>
          <t>SCA</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21093-2021</t>
        </is>
      </c>
      <c r="B1255" s="1" t="n">
        <v>44319</v>
      </c>
      <c r="C1255" s="1" t="n">
        <v>46048</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28042-2025</t>
        </is>
      </c>
      <c r="B1256" s="1" t="n">
        <v>45817</v>
      </c>
      <c r="C1256" s="1" t="n">
        <v>46048</v>
      </c>
      <c r="D1256" t="inlineStr">
        <is>
          <t>JÄMTLANDS LÄN</t>
        </is>
      </c>
      <c r="E1256" t="inlineStr">
        <is>
          <t>STRÖMSUND</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64913-2021</t>
        </is>
      </c>
      <c r="B1257" s="1" t="n">
        <v>44512</v>
      </c>
      <c r="C1257" s="1" t="n">
        <v>46048</v>
      </c>
      <c r="D1257" t="inlineStr">
        <is>
          <t>JÄMTLANDS LÄN</t>
        </is>
      </c>
      <c r="E1257" t="inlineStr">
        <is>
          <t>STRÖMSUND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28467-2025</t>
        </is>
      </c>
      <c r="B1258" s="1" t="n">
        <v>45819.42740740741</v>
      </c>
      <c r="C1258" s="1" t="n">
        <v>46048</v>
      </c>
      <c r="D1258" t="inlineStr">
        <is>
          <t>JÄMTLANDS LÄN</t>
        </is>
      </c>
      <c r="E1258" t="inlineStr">
        <is>
          <t>STRÖMSUND</t>
        </is>
      </c>
      <c r="F1258" t="inlineStr">
        <is>
          <t>SCA</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53833-2024</t>
        </is>
      </c>
      <c r="B1259" s="1" t="n">
        <v>45615.61604166667</v>
      </c>
      <c r="C1259" s="1" t="n">
        <v>46048</v>
      </c>
      <c r="D1259" t="inlineStr">
        <is>
          <t>JÄMTLANDS LÄN</t>
        </is>
      </c>
      <c r="E1259" t="inlineStr">
        <is>
          <t>STRÖMSUND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28188-2025</t>
        </is>
      </c>
      <c r="B1260" s="1" t="n">
        <v>45818.41302083333</v>
      </c>
      <c r="C1260" s="1" t="n">
        <v>46048</v>
      </c>
      <c r="D1260" t="inlineStr">
        <is>
          <t>JÄMTLANDS LÄN</t>
        </is>
      </c>
      <c r="E1260" t="inlineStr">
        <is>
          <t>STRÖMSUND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28578-2025</t>
        </is>
      </c>
      <c r="B1261" s="1" t="n">
        <v>45819.57326388889</v>
      </c>
      <c r="C1261" s="1" t="n">
        <v>46048</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48333-2022</t>
        </is>
      </c>
      <c r="B1262" s="1" t="n">
        <v>44858</v>
      </c>
      <c r="C1262" s="1" t="n">
        <v>46048</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15141-2022</t>
        </is>
      </c>
      <c r="B1263" s="1" t="n">
        <v>44658</v>
      </c>
      <c r="C1263" s="1" t="n">
        <v>46048</v>
      </c>
      <c r="D1263" t="inlineStr">
        <is>
          <t>JÄMTLANDS LÄN</t>
        </is>
      </c>
      <c r="E1263" t="inlineStr">
        <is>
          <t>STRÖMSUND</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40399-2023</t>
        </is>
      </c>
      <c r="B1264" s="1" t="n">
        <v>45169.93790509259</v>
      </c>
      <c r="C1264" s="1" t="n">
        <v>46048</v>
      </c>
      <c r="D1264" t="inlineStr">
        <is>
          <t>JÄMTLANDS LÄN</t>
        </is>
      </c>
      <c r="E1264" t="inlineStr">
        <is>
          <t>STRÖMSUND</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40407-2023</t>
        </is>
      </c>
      <c r="B1265" s="1" t="n">
        <v>45169.93855324074</v>
      </c>
      <c r="C1265" s="1" t="n">
        <v>46048</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18254-2025</t>
        </is>
      </c>
      <c r="B1266" s="1" t="n">
        <v>45762.34459490741</v>
      </c>
      <c r="C1266" s="1" t="n">
        <v>46048</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47271-2022</t>
        </is>
      </c>
      <c r="B1267" s="1" t="n">
        <v>44852</v>
      </c>
      <c r="C1267" s="1" t="n">
        <v>46048</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40891-2024</t>
        </is>
      </c>
      <c r="B1268" s="1" t="n">
        <v>45558.61495370371</v>
      </c>
      <c r="C1268" s="1" t="n">
        <v>46048</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6527-2025</t>
        </is>
      </c>
      <c r="B1269" s="1" t="n">
        <v>45699</v>
      </c>
      <c r="C1269" s="1" t="n">
        <v>46048</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28653-2025</t>
        </is>
      </c>
      <c r="B1270" s="1" t="n">
        <v>45819.65170138889</v>
      </c>
      <c r="C1270" s="1" t="n">
        <v>46048</v>
      </c>
      <c r="D1270" t="inlineStr">
        <is>
          <t>JÄMTLANDS LÄN</t>
        </is>
      </c>
      <c r="E1270" t="inlineStr">
        <is>
          <t>STRÖMSUND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28537-2025</t>
        </is>
      </c>
      <c r="B1271" s="1" t="n">
        <v>45819.51075231482</v>
      </c>
      <c r="C1271" s="1" t="n">
        <v>46048</v>
      </c>
      <c r="D1271" t="inlineStr">
        <is>
          <t>JÄMTLANDS LÄN</t>
        </is>
      </c>
      <c r="E1271" t="inlineStr">
        <is>
          <t>STRÖMSUND</t>
        </is>
      </c>
      <c r="F1271" t="inlineStr">
        <is>
          <t>SCA</t>
        </is>
      </c>
      <c r="G1271" t="n">
        <v>19.7</v>
      </c>
      <c r="H1271" t="n">
        <v>0</v>
      </c>
      <c r="I1271" t="n">
        <v>0</v>
      </c>
      <c r="J1271" t="n">
        <v>0</v>
      </c>
      <c r="K1271" t="n">
        <v>0</v>
      </c>
      <c r="L1271" t="n">
        <v>0</v>
      </c>
      <c r="M1271" t="n">
        <v>0</v>
      </c>
      <c r="N1271" t="n">
        <v>0</v>
      </c>
      <c r="O1271" t="n">
        <v>0</v>
      </c>
      <c r="P1271" t="n">
        <v>0</v>
      </c>
      <c r="Q1271" t="n">
        <v>0</v>
      </c>
      <c r="R1271" s="2" t="inlineStr"/>
    </row>
    <row r="1272" ht="15" customHeight="1">
      <c r="A1272" t="inlineStr">
        <is>
          <t>A 54763-2024</t>
        </is>
      </c>
      <c r="B1272" s="1" t="n">
        <v>45618.46903935185</v>
      </c>
      <c r="C1272" s="1" t="n">
        <v>46048</v>
      </c>
      <c r="D1272" t="inlineStr">
        <is>
          <t>JÄMTLANDS LÄN</t>
        </is>
      </c>
      <c r="E1272" t="inlineStr">
        <is>
          <t>STRÖMSUND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57250-2024</t>
        </is>
      </c>
      <c r="B1273" s="1" t="n">
        <v>45628</v>
      </c>
      <c r="C1273" s="1" t="n">
        <v>46048</v>
      </c>
      <c r="D1273" t="inlineStr">
        <is>
          <t>JÄMTLANDS LÄN</t>
        </is>
      </c>
      <c r="E1273" t="inlineStr">
        <is>
          <t>STRÖMSUND</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34524-2022</t>
        </is>
      </c>
      <c r="B1274" s="1" t="n">
        <v>44792.94508101852</v>
      </c>
      <c r="C1274" s="1" t="n">
        <v>46048</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57258-2024</t>
        </is>
      </c>
      <c r="B1275" s="1" t="n">
        <v>45628</v>
      </c>
      <c r="C1275" s="1" t="n">
        <v>46048</v>
      </c>
      <c r="D1275" t="inlineStr">
        <is>
          <t>JÄMTLANDS LÄN</t>
        </is>
      </c>
      <c r="E1275" t="inlineStr">
        <is>
          <t>STRÖMSUND</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28493-2025</t>
        </is>
      </c>
      <c r="B1276" s="1" t="n">
        <v>45819.46922453704</v>
      </c>
      <c r="C1276" s="1" t="n">
        <v>46048</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41490-2021</t>
        </is>
      </c>
      <c r="B1277" s="1" t="n">
        <v>44424.94048611111</v>
      </c>
      <c r="C1277" s="1" t="n">
        <v>46048</v>
      </c>
      <c r="D1277" t="inlineStr">
        <is>
          <t>JÄMTLANDS LÄN</t>
        </is>
      </c>
      <c r="E1277" t="inlineStr">
        <is>
          <t>STRÖMSUND</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70511-2021</t>
        </is>
      </c>
      <c r="B1278" s="1" t="n">
        <v>44536</v>
      </c>
      <c r="C1278" s="1" t="n">
        <v>46048</v>
      </c>
      <c r="D1278" t="inlineStr">
        <is>
          <t>JÄMTLANDS LÄN</t>
        </is>
      </c>
      <c r="E1278" t="inlineStr">
        <is>
          <t>STRÖMSUND</t>
        </is>
      </c>
      <c r="F1278" t="inlineStr">
        <is>
          <t>SCA</t>
        </is>
      </c>
      <c r="G1278" t="n">
        <v>401.6</v>
      </c>
      <c r="H1278" t="n">
        <v>0</v>
      </c>
      <c r="I1278" t="n">
        <v>0</v>
      </c>
      <c r="J1278" t="n">
        <v>0</v>
      </c>
      <c r="K1278" t="n">
        <v>0</v>
      </c>
      <c r="L1278" t="n">
        <v>0</v>
      </c>
      <c r="M1278" t="n">
        <v>0</v>
      </c>
      <c r="N1278" t="n">
        <v>0</v>
      </c>
      <c r="O1278" t="n">
        <v>0</v>
      </c>
      <c r="P1278" t="n">
        <v>0</v>
      </c>
      <c r="Q1278" t="n">
        <v>0</v>
      </c>
      <c r="R1278" s="2" t="inlineStr"/>
    </row>
    <row r="1279" ht="15" customHeight="1">
      <c r="A1279" t="inlineStr">
        <is>
          <t>A 30062-2024</t>
        </is>
      </c>
      <c r="B1279" s="1" t="n">
        <v>45488.94832175926</v>
      </c>
      <c r="C1279" s="1" t="n">
        <v>46048</v>
      </c>
      <c r="D1279" t="inlineStr">
        <is>
          <t>JÄMTLANDS LÄN</t>
        </is>
      </c>
      <c r="E1279" t="inlineStr">
        <is>
          <t>STRÖMSUND</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51941-2024</t>
        </is>
      </c>
      <c r="B1280" s="1" t="n">
        <v>45607.63574074074</v>
      </c>
      <c r="C1280" s="1" t="n">
        <v>46048</v>
      </c>
      <c r="D1280" t="inlineStr">
        <is>
          <t>JÄMTLANDS LÄN</t>
        </is>
      </c>
      <c r="E1280" t="inlineStr">
        <is>
          <t>STRÖMSUND</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51946-2024</t>
        </is>
      </c>
      <c r="B1281" s="1" t="n">
        <v>45607</v>
      </c>
      <c r="C1281" s="1" t="n">
        <v>46048</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35308-2022</t>
        </is>
      </c>
      <c r="B1282" s="1" t="n">
        <v>44798</v>
      </c>
      <c r="C1282" s="1" t="n">
        <v>46048</v>
      </c>
      <c r="D1282" t="inlineStr">
        <is>
          <t>JÄMTLANDS LÄN</t>
        </is>
      </c>
      <c r="E1282" t="inlineStr">
        <is>
          <t>STRÖMSUND</t>
        </is>
      </c>
      <c r="F1282" t="inlineStr">
        <is>
          <t>Kommuner</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28806-2025</t>
        </is>
      </c>
      <c r="B1283" s="1" t="n">
        <v>45820.5107175926</v>
      </c>
      <c r="C1283" s="1" t="n">
        <v>46048</v>
      </c>
      <c r="D1283" t="inlineStr">
        <is>
          <t>JÄMTLANDS LÄN</t>
        </is>
      </c>
      <c r="E1283" t="inlineStr">
        <is>
          <t>STRÖMSUND</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40451-2024</t>
        </is>
      </c>
      <c r="B1284" s="1" t="n">
        <v>45555</v>
      </c>
      <c r="C1284" s="1" t="n">
        <v>46048</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55197-2024</t>
        </is>
      </c>
      <c r="B1285" s="1" t="n">
        <v>45621.55234953704</v>
      </c>
      <c r="C1285" s="1" t="n">
        <v>46048</v>
      </c>
      <c r="D1285" t="inlineStr">
        <is>
          <t>JÄMTLANDS LÄN</t>
        </is>
      </c>
      <c r="E1285" t="inlineStr">
        <is>
          <t>STRÖMSUND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28974-2025</t>
        </is>
      </c>
      <c r="B1286" s="1" t="n">
        <v>45821.34523148148</v>
      </c>
      <c r="C1286" s="1" t="n">
        <v>46048</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59476-2023</t>
        </is>
      </c>
      <c r="B1287" s="1" t="n">
        <v>45254</v>
      </c>
      <c r="C1287" s="1" t="n">
        <v>46048</v>
      </c>
      <c r="D1287" t="inlineStr">
        <is>
          <t>JÄMTLANDS LÄN</t>
        </is>
      </c>
      <c r="E1287" t="inlineStr">
        <is>
          <t>STRÖMSUND</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49287-2022</t>
        </is>
      </c>
      <c r="B1288" s="1" t="n">
        <v>44858</v>
      </c>
      <c r="C1288" s="1" t="n">
        <v>46048</v>
      </c>
      <c r="D1288" t="inlineStr">
        <is>
          <t>JÄMTLANDS LÄN</t>
        </is>
      </c>
      <c r="E1288" t="inlineStr">
        <is>
          <t>STRÖMSUND</t>
        </is>
      </c>
      <c r="G1288" t="n">
        <v>200</v>
      </c>
      <c r="H1288" t="n">
        <v>0</v>
      </c>
      <c r="I1288" t="n">
        <v>0</v>
      </c>
      <c r="J1288" t="n">
        <v>0</v>
      </c>
      <c r="K1288" t="n">
        <v>0</v>
      </c>
      <c r="L1288" t="n">
        <v>0</v>
      </c>
      <c r="M1288" t="n">
        <v>0</v>
      </c>
      <c r="N1288" t="n">
        <v>0</v>
      </c>
      <c r="O1288" t="n">
        <v>0</v>
      </c>
      <c r="P1288" t="n">
        <v>0</v>
      </c>
      <c r="Q1288" t="n">
        <v>0</v>
      </c>
      <c r="R1288" s="2" t="inlineStr"/>
    </row>
    <row r="1289" ht="15" customHeight="1">
      <c r="A1289" t="inlineStr">
        <is>
          <t>A 28971-2025</t>
        </is>
      </c>
      <c r="B1289" s="1" t="n">
        <v>45821.34490740741</v>
      </c>
      <c r="C1289" s="1" t="n">
        <v>46048</v>
      </c>
      <c r="D1289" t="inlineStr">
        <is>
          <t>JÄMTLANDS LÄN</t>
        </is>
      </c>
      <c r="E1289" t="inlineStr">
        <is>
          <t>STRÖMSUND</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32906-2023</t>
        </is>
      </c>
      <c r="B1290" s="1" t="n">
        <v>45124.95137731481</v>
      </c>
      <c r="C1290" s="1" t="n">
        <v>46048</v>
      </c>
      <c r="D1290" t="inlineStr">
        <is>
          <t>JÄMTLANDS LÄN</t>
        </is>
      </c>
      <c r="E1290" t="inlineStr">
        <is>
          <t>STRÖMSUND</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46048</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6371-2021</t>
        </is>
      </c>
      <c r="B1292" s="1" t="n">
        <v>44232</v>
      </c>
      <c r="C1292" s="1" t="n">
        <v>46048</v>
      </c>
      <c r="D1292" t="inlineStr">
        <is>
          <t>JÄMTLANDS LÄN</t>
        </is>
      </c>
      <c r="E1292" t="inlineStr">
        <is>
          <t>STRÖMSUND</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53556-2024</t>
        </is>
      </c>
      <c r="B1293" s="1" t="n">
        <v>45608</v>
      </c>
      <c r="C1293" s="1" t="n">
        <v>46048</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29798-2025</t>
        </is>
      </c>
      <c r="B1294" s="1" t="n">
        <v>45825.67758101852</v>
      </c>
      <c r="C1294" s="1" t="n">
        <v>46048</v>
      </c>
      <c r="D1294" t="inlineStr">
        <is>
          <t>JÄMTLANDS LÄN</t>
        </is>
      </c>
      <c r="E1294" t="inlineStr">
        <is>
          <t>STRÖMSUND</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29806-2025</t>
        </is>
      </c>
      <c r="B1295" s="1" t="n">
        <v>45825.73248842593</v>
      </c>
      <c r="C1295" s="1" t="n">
        <v>46048</v>
      </c>
      <c r="D1295" t="inlineStr">
        <is>
          <t>JÄMTLANDS LÄN</t>
        </is>
      </c>
      <c r="E1295" t="inlineStr">
        <is>
          <t>STRÖMSUND</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29787-2025</t>
        </is>
      </c>
      <c r="B1296" s="1" t="n">
        <v>45825.65677083333</v>
      </c>
      <c r="C1296" s="1" t="n">
        <v>46048</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32672-2024</t>
        </is>
      </c>
      <c r="B1297" s="1" t="n">
        <v>45514.60695601852</v>
      </c>
      <c r="C1297" s="1" t="n">
        <v>46048</v>
      </c>
      <c r="D1297" t="inlineStr">
        <is>
          <t>JÄMTLANDS LÄN</t>
        </is>
      </c>
      <c r="E1297" t="inlineStr">
        <is>
          <t>STRÖMSUND</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32674-2024</t>
        </is>
      </c>
      <c r="B1298" s="1" t="n">
        <v>45514.61648148148</v>
      </c>
      <c r="C1298" s="1" t="n">
        <v>46048</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8808-2025</t>
        </is>
      </c>
      <c r="B1299" s="1" t="n">
        <v>45712.67740740741</v>
      </c>
      <c r="C1299" s="1" t="n">
        <v>46048</v>
      </c>
      <c r="D1299" t="inlineStr">
        <is>
          <t>JÄMTLANDS LÄN</t>
        </is>
      </c>
      <c r="E1299" t="inlineStr">
        <is>
          <t>STRÖMSUND</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10951-2025</t>
        </is>
      </c>
      <c r="B1300" s="1" t="n">
        <v>45723</v>
      </c>
      <c r="C1300" s="1" t="n">
        <v>46048</v>
      </c>
      <c r="D1300" t="inlineStr">
        <is>
          <t>JÄMTLANDS LÄN</t>
        </is>
      </c>
      <c r="E1300" t="inlineStr">
        <is>
          <t>STRÖMSUND</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29539-2025</t>
        </is>
      </c>
      <c r="B1301" s="1" t="n">
        <v>45825.34530092592</v>
      </c>
      <c r="C1301" s="1" t="n">
        <v>46048</v>
      </c>
      <c r="D1301" t="inlineStr">
        <is>
          <t>JÄMTLANDS LÄN</t>
        </is>
      </c>
      <c r="E1301" t="inlineStr">
        <is>
          <t>STRÖMSUND</t>
        </is>
      </c>
      <c r="F1301" t="inlineStr">
        <is>
          <t>SCA</t>
        </is>
      </c>
      <c r="G1301" t="n">
        <v>17.3</v>
      </c>
      <c r="H1301" t="n">
        <v>0</v>
      </c>
      <c r="I1301" t="n">
        <v>0</v>
      </c>
      <c r="J1301" t="n">
        <v>0</v>
      </c>
      <c r="K1301" t="n">
        <v>0</v>
      </c>
      <c r="L1301" t="n">
        <v>0</v>
      </c>
      <c r="M1301" t="n">
        <v>0</v>
      </c>
      <c r="N1301" t="n">
        <v>0</v>
      </c>
      <c r="O1301" t="n">
        <v>0</v>
      </c>
      <c r="P1301" t="n">
        <v>0</v>
      </c>
      <c r="Q1301" t="n">
        <v>0</v>
      </c>
      <c r="R1301" s="2" t="inlineStr"/>
    </row>
    <row r="1302" ht="15" customHeight="1">
      <c r="A1302" t="inlineStr">
        <is>
          <t>A 10428-2025</t>
        </is>
      </c>
      <c r="B1302" s="1" t="n">
        <v>45720.65660879629</v>
      </c>
      <c r="C1302" s="1" t="n">
        <v>46048</v>
      </c>
      <c r="D1302" t="inlineStr">
        <is>
          <t>JÄMTLANDS LÄN</t>
        </is>
      </c>
      <c r="E1302" t="inlineStr">
        <is>
          <t>STRÖMSUND</t>
        </is>
      </c>
      <c r="F1302" t="inlineStr">
        <is>
          <t>SCA</t>
        </is>
      </c>
      <c r="G1302" t="n">
        <v>14.2</v>
      </c>
      <c r="H1302" t="n">
        <v>0</v>
      </c>
      <c r="I1302" t="n">
        <v>0</v>
      </c>
      <c r="J1302" t="n">
        <v>0</v>
      </c>
      <c r="K1302" t="n">
        <v>0</v>
      </c>
      <c r="L1302" t="n">
        <v>0</v>
      </c>
      <c r="M1302" t="n">
        <v>0</v>
      </c>
      <c r="N1302" t="n">
        <v>0</v>
      </c>
      <c r="O1302" t="n">
        <v>0</v>
      </c>
      <c r="P1302" t="n">
        <v>0</v>
      </c>
      <c r="Q1302" t="n">
        <v>0</v>
      </c>
      <c r="R1302" s="2" t="inlineStr"/>
    </row>
    <row r="1303" ht="15" customHeight="1">
      <c r="A1303" t="inlineStr">
        <is>
          <t>A 22452-2024</t>
        </is>
      </c>
      <c r="B1303" s="1" t="n">
        <v>45446.94908564815</v>
      </c>
      <c r="C1303" s="1" t="n">
        <v>46048</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15273-2022</t>
        </is>
      </c>
      <c r="B1304" s="1" t="n">
        <v>44659</v>
      </c>
      <c r="C1304" s="1" t="n">
        <v>46048</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8325-2025</t>
        </is>
      </c>
      <c r="B1305" s="1" t="n">
        <v>45708.63638888889</v>
      </c>
      <c r="C1305" s="1" t="n">
        <v>46048</v>
      </c>
      <c r="D1305" t="inlineStr">
        <is>
          <t>JÄMTLANDS LÄN</t>
        </is>
      </c>
      <c r="E1305" t="inlineStr">
        <is>
          <t>STRÖMSUND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10504-2025</t>
        </is>
      </c>
      <c r="B1306" s="1" t="n">
        <v>45721.3862037037</v>
      </c>
      <c r="C1306" s="1" t="n">
        <v>46048</v>
      </c>
      <c r="D1306" t="inlineStr">
        <is>
          <t>JÄMTLANDS LÄN</t>
        </is>
      </c>
      <c r="E1306" t="inlineStr">
        <is>
          <t>STRÖMSUND</t>
        </is>
      </c>
      <c r="F1306" t="inlineStr">
        <is>
          <t>SCA</t>
        </is>
      </c>
      <c r="G1306" t="n">
        <v>13.2</v>
      </c>
      <c r="H1306" t="n">
        <v>0</v>
      </c>
      <c r="I1306" t="n">
        <v>0</v>
      </c>
      <c r="J1306" t="n">
        <v>0</v>
      </c>
      <c r="K1306" t="n">
        <v>0</v>
      </c>
      <c r="L1306" t="n">
        <v>0</v>
      </c>
      <c r="M1306" t="n">
        <v>0</v>
      </c>
      <c r="N1306" t="n">
        <v>0</v>
      </c>
      <c r="O1306" t="n">
        <v>0</v>
      </c>
      <c r="P1306" t="n">
        <v>0</v>
      </c>
      <c r="Q1306" t="n">
        <v>0</v>
      </c>
      <c r="R1306" s="2" t="inlineStr"/>
    </row>
    <row r="1307" ht="15" customHeight="1">
      <c r="A1307" t="inlineStr">
        <is>
          <t>A 28602-2024</t>
        </is>
      </c>
      <c r="B1307" s="1" t="n">
        <v>45478.42809027778</v>
      </c>
      <c r="C1307" s="1" t="n">
        <v>46048</v>
      </c>
      <c r="D1307" t="inlineStr">
        <is>
          <t>JÄMTLANDS LÄN</t>
        </is>
      </c>
      <c r="E1307" t="inlineStr">
        <is>
          <t>STRÖMSUND</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17191-2025</t>
        </is>
      </c>
      <c r="B1308" s="1" t="n">
        <v>45756.39342592593</v>
      </c>
      <c r="C1308" s="1" t="n">
        <v>46048</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17213-2025</t>
        </is>
      </c>
      <c r="B1309" s="1" t="n">
        <v>45756.44826388889</v>
      </c>
      <c r="C1309" s="1" t="n">
        <v>46048</v>
      </c>
      <c r="D1309" t="inlineStr">
        <is>
          <t>JÄMTLANDS LÄN</t>
        </is>
      </c>
      <c r="E1309" t="inlineStr">
        <is>
          <t>STRÖMSUND</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46048</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17256-2025</t>
        </is>
      </c>
      <c r="B1311" s="1" t="n">
        <v>45756.5315162037</v>
      </c>
      <c r="C1311" s="1" t="n">
        <v>46048</v>
      </c>
      <c r="D1311" t="inlineStr">
        <is>
          <t>JÄMTLANDS LÄN</t>
        </is>
      </c>
      <c r="E1311" t="inlineStr">
        <is>
          <t>STRÖMSUND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27160-2021</t>
        </is>
      </c>
      <c r="B1312" s="1" t="n">
        <v>44350</v>
      </c>
      <c r="C1312" s="1" t="n">
        <v>46048</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28878-2024</t>
        </is>
      </c>
      <c r="B1313" s="1" t="n">
        <v>45478.94827546296</v>
      </c>
      <c r="C1313" s="1" t="n">
        <v>46048</v>
      </c>
      <c r="D1313" t="inlineStr">
        <is>
          <t>JÄMTLANDS LÄN</t>
        </is>
      </c>
      <c r="E1313" t="inlineStr">
        <is>
          <t>STRÖMSUND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29754-2025</t>
        </is>
      </c>
      <c r="B1314" s="1" t="n">
        <v>45825.61229166666</v>
      </c>
      <c r="C1314" s="1" t="n">
        <v>46048</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29536-2025</t>
        </is>
      </c>
      <c r="B1315" s="1" t="n">
        <v>45825.34496527778</v>
      </c>
      <c r="C1315" s="1" t="n">
        <v>46048</v>
      </c>
      <c r="D1315" t="inlineStr">
        <is>
          <t>JÄMTLANDS LÄN</t>
        </is>
      </c>
      <c r="E1315" t="inlineStr">
        <is>
          <t>STRÖMSUND</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1271-2024</t>
        </is>
      </c>
      <c r="B1316" s="1" t="n">
        <v>45302.93324074074</v>
      </c>
      <c r="C1316" s="1" t="n">
        <v>46048</v>
      </c>
      <c r="D1316" t="inlineStr">
        <is>
          <t>JÄMTLANDS LÄN</t>
        </is>
      </c>
      <c r="E1316" t="inlineStr">
        <is>
          <t>STRÖMSUND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42992-2024</t>
        </is>
      </c>
      <c r="B1317" s="1" t="n">
        <v>45567.37559027778</v>
      </c>
      <c r="C1317" s="1" t="n">
        <v>46048</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15134-2025</t>
        </is>
      </c>
      <c r="B1318" s="1" t="n">
        <v>45744.38596064815</v>
      </c>
      <c r="C1318" s="1" t="n">
        <v>46048</v>
      </c>
      <c r="D1318" t="inlineStr">
        <is>
          <t>JÄMTLANDS LÄN</t>
        </is>
      </c>
      <c r="E1318" t="inlineStr">
        <is>
          <t>STRÖMSUND</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26665-2023</t>
        </is>
      </c>
      <c r="B1319" s="1" t="n">
        <v>45092.94055555556</v>
      </c>
      <c r="C1319" s="1" t="n">
        <v>46048</v>
      </c>
      <c r="D1319" t="inlineStr">
        <is>
          <t>JÄMTLANDS LÄN</t>
        </is>
      </c>
      <c r="E1319" t="inlineStr">
        <is>
          <t>STRÖMSUND</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26666-2023</t>
        </is>
      </c>
      <c r="B1320" s="1" t="n">
        <v>45092.940625</v>
      </c>
      <c r="C1320" s="1" t="n">
        <v>46048</v>
      </c>
      <c r="D1320" t="inlineStr">
        <is>
          <t>JÄMTLANDS LÄN</t>
        </is>
      </c>
      <c r="E1320" t="inlineStr">
        <is>
          <t>STRÖMSUND</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29764-2025</t>
        </is>
      </c>
      <c r="B1321" s="1" t="n">
        <v>45825.61850694445</v>
      </c>
      <c r="C1321" s="1" t="n">
        <v>46048</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9799-2025</t>
        </is>
      </c>
      <c r="B1322" s="1" t="n">
        <v>45716.55253472222</v>
      </c>
      <c r="C1322" s="1" t="n">
        <v>46048</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52139-2023</t>
        </is>
      </c>
      <c r="B1323" s="1" t="n">
        <v>45223</v>
      </c>
      <c r="C1323" s="1" t="n">
        <v>46048</v>
      </c>
      <c r="D1323" t="inlineStr">
        <is>
          <t>JÄMTLANDS LÄN</t>
        </is>
      </c>
      <c r="E1323" t="inlineStr">
        <is>
          <t>STRÖMSUND</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35904-2024</t>
        </is>
      </c>
      <c r="B1324" s="1" t="n">
        <v>45533.40658564815</v>
      </c>
      <c r="C1324" s="1" t="n">
        <v>46048</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57549-2023</t>
        </is>
      </c>
      <c r="B1325" s="1" t="n">
        <v>45246.48318287037</v>
      </c>
      <c r="C1325" s="1" t="n">
        <v>46048</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5808-2025</t>
        </is>
      </c>
      <c r="B1326" s="1" t="n">
        <v>45694.6985300926</v>
      </c>
      <c r="C1326" s="1" t="n">
        <v>46048</v>
      </c>
      <c r="D1326" t="inlineStr">
        <is>
          <t>JÄMTLANDS LÄN</t>
        </is>
      </c>
      <c r="E1326" t="inlineStr">
        <is>
          <t>STRÖMSUND</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30407-2025</t>
        </is>
      </c>
      <c r="B1327" s="1" t="n">
        <v>45827.59425925926</v>
      </c>
      <c r="C1327" s="1" t="n">
        <v>46048</v>
      </c>
      <c r="D1327" t="inlineStr">
        <is>
          <t>JÄMTLANDS LÄN</t>
        </is>
      </c>
      <c r="E1327" t="inlineStr">
        <is>
          <t>STRÖMSUND</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30094-2025</t>
        </is>
      </c>
      <c r="B1328" s="1" t="n">
        <v>45826.6634837963</v>
      </c>
      <c r="C1328" s="1" t="n">
        <v>46048</v>
      </c>
      <c r="D1328" t="inlineStr">
        <is>
          <t>JÄMTLANDS LÄN</t>
        </is>
      </c>
      <c r="E1328" t="inlineStr">
        <is>
          <t>STRÖMSUND</t>
        </is>
      </c>
      <c r="F1328" t="inlineStr">
        <is>
          <t>Sveaskog</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18253-2025</t>
        </is>
      </c>
      <c r="B1329" s="1" t="n">
        <v>45762.34449074074</v>
      </c>
      <c r="C1329" s="1" t="n">
        <v>46048</v>
      </c>
      <c r="D1329" t="inlineStr">
        <is>
          <t>JÄMTLANDS LÄN</t>
        </is>
      </c>
      <c r="E1329" t="inlineStr">
        <is>
          <t>STRÖMSUND</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30332-2025</t>
        </is>
      </c>
      <c r="B1330" s="1" t="n">
        <v>45827.5084375</v>
      </c>
      <c r="C1330" s="1" t="n">
        <v>46048</v>
      </c>
      <c r="D1330" t="inlineStr">
        <is>
          <t>JÄMTLANDS LÄN</t>
        </is>
      </c>
      <c r="E1330" t="inlineStr">
        <is>
          <t>STRÖMSUND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30209-2025</t>
        </is>
      </c>
      <c r="B1331" s="1" t="n">
        <v>45827.365625</v>
      </c>
      <c r="C1331" s="1" t="n">
        <v>46048</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30325-2025</t>
        </is>
      </c>
      <c r="B1332" s="1" t="n">
        <v>45827.50361111111</v>
      </c>
      <c r="C1332" s="1" t="n">
        <v>46048</v>
      </c>
      <c r="D1332" t="inlineStr">
        <is>
          <t>JÄMTLANDS LÄN</t>
        </is>
      </c>
      <c r="E1332" t="inlineStr">
        <is>
          <t>STRÖMSUND</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30208-2025</t>
        </is>
      </c>
      <c r="B1333" s="1" t="n">
        <v>45827.36526620371</v>
      </c>
      <c r="C1333" s="1" t="n">
        <v>46048</v>
      </c>
      <c r="D1333" t="inlineStr">
        <is>
          <t>JÄMTLANDS LÄN</t>
        </is>
      </c>
      <c r="E1333" t="inlineStr">
        <is>
          <t>STRÖMSUND</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10093-2025</t>
        </is>
      </c>
      <c r="B1334" s="1" t="n">
        <v>45719.57422453703</v>
      </c>
      <c r="C1334" s="1" t="n">
        <v>46048</v>
      </c>
      <c r="D1334" t="inlineStr">
        <is>
          <t>JÄMTLANDS LÄN</t>
        </is>
      </c>
      <c r="E1334" t="inlineStr">
        <is>
          <t>STRÖMSUND</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32731-2023</t>
        </is>
      </c>
      <c r="B1335" s="1" t="n">
        <v>45121.93989583333</v>
      </c>
      <c r="C1335" s="1" t="n">
        <v>46048</v>
      </c>
      <c r="D1335" t="inlineStr">
        <is>
          <t>JÄMTLANDS LÄN</t>
        </is>
      </c>
      <c r="E1335" t="inlineStr">
        <is>
          <t>STRÖMSUND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30395-2025</t>
        </is>
      </c>
      <c r="B1336" s="1" t="n">
        <v>45827.57462962963</v>
      </c>
      <c r="C1336" s="1" t="n">
        <v>46048</v>
      </c>
      <c r="D1336" t="inlineStr">
        <is>
          <t>JÄMTLANDS LÄN</t>
        </is>
      </c>
      <c r="E1336" t="inlineStr">
        <is>
          <t>STRÖMSUND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30051-2025</t>
        </is>
      </c>
      <c r="B1337" s="1" t="n">
        <v>45826.59434027778</v>
      </c>
      <c r="C1337" s="1" t="n">
        <v>46048</v>
      </c>
      <c r="D1337" t="inlineStr">
        <is>
          <t>JÄMTLANDS LÄN</t>
        </is>
      </c>
      <c r="E1337" t="inlineStr">
        <is>
          <t>STRÖMSUND</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30062-2025</t>
        </is>
      </c>
      <c r="B1338" s="1" t="n">
        <v>45826.61506944444</v>
      </c>
      <c r="C1338" s="1" t="n">
        <v>46048</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29953-2025</t>
        </is>
      </c>
      <c r="B1339" s="1" t="n">
        <v>45826.46978009259</v>
      </c>
      <c r="C1339" s="1" t="n">
        <v>46048</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19412-2025</t>
        </is>
      </c>
      <c r="B1340" s="1" t="n">
        <v>45769.69847222222</v>
      </c>
      <c r="C1340" s="1" t="n">
        <v>46048</v>
      </c>
      <c r="D1340" t="inlineStr">
        <is>
          <t>JÄMTLANDS LÄN</t>
        </is>
      </c>
      <c r="E1340" t="inlineStr">
        <is>
          <t>STRÖMSUND</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46342-2022</t>
        </is>
      </c>
      <c r="B1341" s="1" t="n">
        <v>44847.9502199074</v>
      </c>
      <c r="C1341" s="1" t="n">
        <v>46048</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30060-2025</t>
        </is>
      </c>
      <c r="B1342" s="1" t="n">
        <v>45826.61493055556</v>
      </c>
      <c r="C1342" s="1" t="n">
        <v>46048</v>
      </c>
      <c r="D1342" t="inlineStr">
        <is>
          <t>JÄMTLANDS LÄN</t>
        </is>
      </c>
      <c r="E1342" t="inlineStr">
        <is>
          <t>STRÖMSUND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2304-2025</t>
        </is>
      </c>
      <c r="B1343" s="1" t="n">
        <v>45673.5986574074</v>
      </c>
      <c r="C1343" s="1" t="n">
        <v>46048</v>
      </c>
      <c r="D1343" t="inlineStr">
        <is>
          <t>JÄMTLANDS LÄN</t>
        </is>
      </c>
      <c r="E1343" t="inlineStr">
        <is>
          <t>STRÖMSUND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28752-2023</t>
        </is>
      </c>
      <c r="B1344" s="1" t="n">
        <v>45103.94172453704</v>
      </c>
      <c r="C1344" s="1" t="n">
        <v>46048</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30138-2025</t>
        </is>
      </c>
      <c r="B1345" s="1" t="n">
        <v>45826.8940162037</v>
      </c>
      <c r="C1345" s="1" t="n">
        <v>46048</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30140-2025</t>
        </is>
      </c>
      <c r="B1346" s="1" t="n">
        <v>45826.90293981481</v>
      </c>
      <c r="C1346" s="1" t="n">
        <v>46048</v>
      </c>
      <c r="D1346" t="inlineStr">
        <is>
          <t>JÄMTLANDS LÄN</t>
        </is>
      </c>
      <c r="E1346" t="inlineStr">
        <is>
          <t>STRÖMSUND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62493-2023</t>
        </is>
      </c>
      <c r="B1347" s="1" t="n">
        <v>45268.59108796297</v>
      </c>
      <c r="C1347" s="1" t="n">
        <v>46048</v>
      </c>
      <c r="D1347" t="inlineStr">
        <is>
          <t>JÄMTLANDS LÄN</t>
        </is>
      </c>
      <c r="E1347" t="inlineStr">
        <is>
          <t>STRÖMSUND</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2619-2024</t>
        </is>
      </c>
      <c r="B1348" s="1" t="n">
        <v>45313</v>
      </c>
      <c r="C1348" s="1" t="n">
        <v>46048</v>
      </c>
      <c r="D1348" t="inlineStr">
        <is>
          <t>JÄMTLANDS LÄN</t>
        </is>
      </c>
      <c r="E1348" t="inlineStr">
        <is>
          <t>STRÖMSUND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30188-2025</t>
        </is>
      </c>
      <c r="B1349" s="1" t="n">
        <v>45827.34741898148</v>
      </c>
      <c r="C1349" s="1" t="n">
        <v>46048</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51077-2023</t>
        </is>
      </c>
      <c r="B1350" s="1" t="n">
        <v>45211</v>
      </c>
      <c r="C1350" s="1" t="n">
        <v>46048</v>
      </c>
      <c r="D1350" t="inlineStr">
        <is>
          <t>JÄMTLANDS LÄN</t>
        </is>
      </c>
      <c r="E1350" t="inlineStr">
        <is>
          <t>STRÖMSUND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29997-2025</t>
        </is>
      </c>
      <c r="B1351" s="1" t="n">
        <v>45826.51113425926</v>
      </c>
      <c r="C1351" s="1" t="n">
        <v>46048</v>
      </c>
      <c r="D1351" t="inlineStr">
        <is>
          <t>JÄMTLANDS LÄN</t>
        </is>
      </c>
      <c r="E1351" t="inlineStr">
        <is>
          <t>STRÖMSUND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30015-2025</t>
        </is>
      </c>
      <c r="B1352" s="1" t="n">
        <v>45826.55267361111</v>
      </c>
      <c r="C1352" s="1" t="n">
        <v>46048</v>
      </c>
      <c r="D1352" t="inlineStr">
        <is>
          <t>JÄMTLANDS LÄN</t>
        </is>
      </c>
      <c r="E1352" t="inlineStr">
        <is>
          <t>STRÖMSUND</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59152-2024</t>
        </is>
      </c>
      <c r="B1353" s="1" t="n">
        <v>45637.46261574074</v>
      </c>
      <c r="C1353" s="1" t="n">
        <v>46048</v>
      </c>
      <c r="D1353" t="inlineStr">
        <is>
          <t>JÄMTLANDS LÄN</t>
        </is>
      </c>
      <c r="E1353" t="inlineStr">
        <is>
          <t>STRÖMSUND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1542-2025</t>
        </is>
      </c>
      <c r="B1354" s="1" t="n">
        <v>45670</v>
      </c>
      <c r="C1354" s="1" t="n">
        <v>46048</v>
      </c>
      <c r="D1354" t="inlineStr">
        <is>
          <t>JÄMTLANDS LÄN</t>
        </is>
      </c>
      <c r="E1354" t="inlineStr">
        <is>
          <t>STRÖMSUND</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1543-2025</t>
        </is>
      </c>
      <c r="B1355" s="1" t="n">
        <v>45670</v>
      </c>
      <c r="C1355" s="1" t="n">
        <v>46048</v>
      </c>
      <c r="D1355" t="inlineStr">
        <is>
          <t>JÄMTLANDS LÄN</t>
        </is>
      </c>
      <c r="E1355" t="inlineStr">
        <is>
          <t>STRÖMSUND</t>
        </is>
      </c>
      <c r="G1355" t="n">
        <v>11.6</v>
      </c>
      <c r="H1355" t="n">
        <v>0</v>
      </c>
      <c r="I1355" t="n">
        <v>0</v>
      </c>
      <c r="J1355" t="n">
        <v>0</v>
      </c>
      <c r="K1355" t="n">
        <v>0</v>
      </c>
      <c r="L1355" t="n">
        <v>0</v>
      </c>
      <c r="M1355" t="n">
        <v>0</v>
      </c>
      <c r="N1355" t="n">
        <v>0</v>
      </c>
      <c r="O1355" t="n">
        <v>0</v>
      </c>
      <c r="P1355" t="n">
        <v>0</v>
      </c>
      <c r="Q1355" t="n">
        <v>0</v>
      </c>
      <c r="R1355" s="2" t="inlineStr"/>
    </row>
    <row r="1356" ht="15" customHeight="1">
      <c r="A1356" t="inlineStr">
        <is>
          <t>A 1544-2025</t>
        </is>
      </c>
      <c r="B1356" s="1" t="n">
        <v>45670</v>
      </c>
      <c r="C1356" s="1" t="n">
        <v>46048</v>
      </c>
      <c r="D1356" t="inlineStr">
        <is>
          <t>JÄMTLANDS LÄN</t>
        </is>
      </c>
      <c r="E1356" t="inlineStr">
        <is>
          <t>STRÖMSUND</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1545-2025</t>
        </is>
      </c>
      <c r="B1357" s="1" t="n">
        <v>45670</v>
      </c>
      <c r="C1357" s="1" t="n">
        <v>46048</v>
      </c>
      <c r="D1357" t="inlineStr">
        <is>
          <t>JÄMTLANDS LÄN</t>
        </is>
      </c>
      <c r="E1357" t="inlineStr">
        <is>
          <t>STRÖMSUND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1547-2025</t>
        </is>
      </c>
      <c r="B1358" s="1" t="n">
        <v>45670</v>
      </c>
      <c r="C1358" s="1" t="n">
        <v>46048</v>
      </c>
      <c r="D1358" t="inlineStr">
        <is>
          <t>JÄMTLANDS LÄN</t>
        </is>
      </c>
      <c r="E1358" t="inlineStr">
        <is>
          <t>STRÖMSUND</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61363-2024</t>
        </is>
      </c>
      <c r="B1359" s="1" t="n">
        <v>45646.38584490741</v>
      </c>
      <c r="C1359" s="1" t="n">
        <v>46048</v>
      </c>
      <c r="D1359" t="inlineStr">
        <is>
          <t>JÄMTLANDS LÄN</t>
        </is>
      </c>
      <c r="E1359" t="inlineStr">
        <is>
          <t>STRÖMSUND</t>
        </is>
      </c>
      <c r="F1359" t="inlineStr">
        <is>
          <t>SCA</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44596-2024</t>
        </is>
      </c>
      <c r="B1360" s="1" t="n">
        <v>45574.5106712963</v>
      </c>
      <c r="C1360" s="1" t="n">
        <v>46048</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29854-2025</t>
        </is>
      </c>
      <c r="B1361" s="1" t="n">
        <v>45826.34461805555</v>
      </c>
      <c r="C1361" s="1" t="n">
        <v>46048</v>
      </c>
      <c r="D1361" t="inlineStr">
        <is>
          <t>JÄMTLANDS LÄN</t>
        </is>
      </c>
      <c r="E1361" t="inlineStr">
        <is>
          <t>STRÖMSUND</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18863-2025</t>
        </is>
      </c>
      <c r="B1362" s="1" t="n">
        <v>45764.42766203704</v>
      </c>
      <c r="C1362" s="1" t="n">
        <v>46048</v>
      </c>
      <c r="D1362" t="inlineStr">
        <is>
          <t>JÄMTLANDS LÄN</t>
        </is>
      </c>
      <c r="E1362" t="inlineStr">
        <is>
          <t>STRÖMSUND</t>
        </is>
      </c>
      <c r="F1362" t="inlineStr">
        <is>
          <t>SCA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30568-2025</t>
        </is>
      </c>
      <c r="B1363" s="1" t="n">
        <v>45831.40677083333</v>
      </c>
      <c r="C1363" s="1" t="n">
        <v>46048</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14294-2022</t>
        </is>
      </c>
      <c r="B1364" s="1" t="n">
        <v>44651.93856481482</v>
      </c>
      <c r="C1364" s="1" t="n">
        <v>46048</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33502-2022</t>
        </is>
      </c>
      <c r="B1365" s="1" t="n">
        <v>44788.92712962963</v>
      </c>
      <c r="C1365" s="1" t="n">
        <v>46048</v>
      </c>
      <c r="D1365" t="inlineStr">
        <is>
          <t>JÄMTLANDS LÄN</t>
        </is>
      </c>
      <c r="E1365" t="inlineStr">
        <is>
          <t>STRÖMSUND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20597-2023</t>
        </is>
      </c>
      <c r="B1366" s="1" t="n">
        <v>45057</v>
      </c>
      <c r="C1366" s="1" t="n">
        <v>46048</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27375-2023</t>
        </is>
      </c>
      <c r="B1367" s="1" t="n">
        <v>45096.93879629629</v>
      </c>
      <c r="C1367" s="1" t="n">
        <v>46048</v>
      </c>
      <c r="D1367" t="inlineStr">
        <is>
          <t>JÄMTLANDS LÄN</t>
        </is>
      </c>
      <c r="E1367" t="inlineStr">
        <is>
          <t>STRÖMSUND</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18768-2023</t>
        </is>
      </c>
      <c r="B1368" s="1" t="n">
        <v>45043</v>
      </c>
      <c r="C1368" s="1" t="n">
        <v>46048</v>
      </c>
      <c r="D1368" t="inlineStr">
        <is>
          <t>JÄMTLANDS LÄN</t>
        </is>
      </c>
      <c r="E1368" t="inlineStr">
        <is>
          <t>STRÖMSUND</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18773-2023</t>
        </is>
      </c>
      <c r="B1369" s="1" t="n">
        <v>45043.94290509259</v>
      </c>
      <c r="C1369" s="1" t="n">
        <v>46048</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30833-2025</t>
        </is>
      </c>
      <c r="B1370" s="1" t="n">
        <v>45831.69828703703</v>
      </c>
      <c r="C1370" s="1" t="n">
        <v>46048</v>
      </c>
      <c r="D1370" t="inlineStr">
        <is>
          <t>JÄMTLANDS LÄN</t>
        </is>
      </c>
      <c r="E1370" t="inlineStr">
        <is>
          <t>STRÖMSUND</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9258-2025</t>
        </is>
      </c>
      <c r="B1371" s="1" t="n">
        <v>45714.59476851852</v>
      </c>
      <c r="C1371" s="1" t="n">
        <v>46048</v>
      </c>
      <c r="D1371" t="inlineStr">
        <is>
          <t>JÄMTLANDS LÄN</t>
        </is>
      </c>
      <c r="E1371" t="inlineStr">
        <is>
          <t>STRÖMSUND</t>
        </is>
      </c>
      <c r="F1371" t="inlineStr">
        <is>
          <t>SCA</t>
        </is>
      </c>
      <c r="G1371" t="n">
        <v>15.4</v>
      </c>
      <c r="H1371" t="n">
        <v>0</v>
      </c>
      <c r="I1371" t="n">
        <v>0</v>
      </c>
      <c r="J1371" t="n">
        <v>0</v>
      </c>
      <c r="K1371" t="n">
        <v>0</v>
      </c>
      <c r="L1371" t="n">
        <v>0</v>
      </c>
      <c r="M1371" t="n">
        <v>0</v>
      </c>
      <c r="N1371" t="n">
        <v>0</v>
      </c>
      <c r="O1371" t="n">
        <v>0</v>
      </c>
      <c r="P1371" t="n">
        <v>0</v>
      </c>
      <c r="Q1371" t="n">
        <v>0</v>
      </c>
      <c r="R1371" s="2" t="inlineStr"/>
    </row>
    <row r="1372" ht="15" customHeight="1">
      <c r="A1372" t="inlineStr">
        <is>
          <t>A 30807-2025</t>
        </is>
      </c>
      <c r="B1372" s="1" t="n">
        <v>45831.65692129629</v>
      </c>
      <c r="C1372" s="1" t="n">
        <v>46048</v>
      </c>
      <c r="D1372" t="inlineStr">
        <is>
          <t>JÄMTLANDS LÄN</t>
        </is>
      </c>
      <c r="E1372" t="inlineStr">
        <is>
          <t>STRÖMSUND</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40439-2023</t>
        </is>
      </c>
      <c r="B1373" s="1" t="n">
        <v>45169</v>
      </c>
      <c r="C1373" s="1" t="n">
        <v>46048</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30755-2025</t>
        </is>
      </c>
      <c r="B1374" s="1" t="n">
        <v>45831.59438657408</v>
      </c>
      <c r="C1374" s="1" t="n">
        <v>46048</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30805-2025</t>
        </is>
      </c>
      <c r="B1375" s="1" t="n">
        <v>45831.65662037037</v>
      </c>
      <c r="C1375" s="1" t="n">
        <v>46048</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30712-2025</t>
        </is>
      </c>
      <c r="B1376" s="1" t="n">
        <v>45831.55253472222</v>
      </c>
      <c r="C1376" s="1" t="n">
        <v>46048</v>
      </c>
      <c r="D1376" t="inlineStr">
        <is>
          <t>JÄMTLANDS LÄN</t>
        </is>
      </c>
      <c r="E1376" t="inlineStr">
        <is>
          <t>STRÖMSUND</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51757-2024</t>
        </is>
      </c>
      <c r="B1377" s="1" t="n">
        <v>45607.43525462963</v>
      </c>
      <c r="C1377" s="1" t="n">
        <v>46048</v>
      </c>
      <c r="D1377" t="inlineStr">
        <is>
          <t>JÄMTLANDS LÄN</t>
        </is>
      </c>
      <c r="E1377" t="inlineStr">
        <is>
          <t>STRÖMSUND</t>
        </is>
      </c>
      <c r="F1377" t="inlineStr">
        <is>
          <t>Kommuner</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15027-2025</t>
        </is>
      </c>
      <c r="B1378" s="1" t="n">
        <v>45743.65709490741</v>
      </c>
      <c r="C1378" s="1" t="n">
        <v>46048</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31141-2025</t>
        </is>
      </c>
      <c r="B1379" s="1" t="n">
        <v>45832.63659722222</v>
      </c>
      <c r="C1379" s="1" t="n">
        <v>46048</v>
      </c>
      <c r="D1379" t="inlineStr">
        <is>
          <t>JÄMTLANDS LÄN</t>
        </is>
      </c>
      <c r="E1379" t="inlineStr">
        <is>
          <t>STRÖMSUND</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56997-2024</t>
        </is>
      </c>
      <c r="B1380" s="1" t="n">
        <v>45628.71888888889</v>
      </c>
      <c r="C1380" s="1" t="n">
        <v>46048</v>
      </c>
      <c r="D1380" t="inlineStr">
        <is>
          <t>JÄMTLANDS LÄN</t>
        </is>
      </c>
      <c r="E1380" t="inlineStr">
        <is>
          <t>STRÖMSUND</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19045-2025</t>
        </is>
      </c>
      <c r="B1381" s="1" t="n">
        <v>45764.71907407408</v>
      </c>
      <c r="C1381" s="1" t="n">
        <v>46048</v>
      </c>
      <c r="D1381" t="inlineStr">
        <is>
          <t>JÄMTLANDS LÄN</t>
        </is>
      </c>
      <c r="E1381" t="inlineStr">
        <is>
          <t>STRÖMSUND</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31441-2025</t>
        </is>
      </c>
      <c r="B1382" s="1" t="n">
        <v>45833.51097222222</v>
      </c>
      <c r="C1382" s="1" t="n">
        <v>46048</v>
      </c>
      <c r="D1382" t="inlineStr">
        <is>
          <t>JÄMTLANDS LÄN</t>
        </is>
      </c>
      <c r="E1382" t="inlineStr">
        <is>
          <t>STRÖMSUND</t>
        </is>
      </c>
      <c r="F1382" t="inlineStr">
        <is>
          <t>SCA</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41902-2023</t>
        </is>
      </c>
      <c r="B1383" s="1" t="n">
        <v>45176.87350694444</v>
      </c>
      <c r="C1383" s="1" t="n">
        <v>46048</v>
      </c>
      <c r="D1383" t="inlineStr">
        <is>
          <t>JÄMTLANDS LÄN</t>
        </is>
      </c>
      <c r="E1383" t="inlineStr">
        <is>
          <t>STRÖMSUND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41917-2023</t>
        </is>
      </c>
      <c r="B1384" s="1" t="n">
        <v>45176.9441087963</v>
      </c>
      <c r="C1384" s="1" t="n">
        <v>46048</v>
      </c>
      <c r="D1384" t="inlineStr">
        <is>
          <t>JÄMTLANDS LÄN</t>
        </is>
      </c>
      <c r="E1384" t="inlineStr">
        <is>
          <t>STRÖMSUND</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31187-2025</t>
        </is>
      </c>
      <c r="B1385" s="1" t="n">
        <v>45832.67828703704</v>
      </c>
      <c r="C1385" s="1" t="n">
        <v>46048</v>
      </c>
      <c r="D1385" t="inlineStr">
        <is>
          <t>JÄMTLANDS LÄN</t>
        </is>
      </c>
      <c r="E1385" t="inlineStr">
        <is>
          <t>STRÖMSUND</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17514-2025</t>
        </is>
      </c>
      <c r="B1386" s="1" t="n">
        <v>45757.57347222222</v>
      </c>
      <c r="C1386" s="1" t="n">
        <v>46048</v>
      </c>
      <c r="D1386" t="inlineStr">
        <is>
          <t>JÄMTLANDS LÄN</t>
        </is>
      </c>
      <c r="E1386" t="inlineStr">
        <is>
          <t>STRÖMSUND</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1113-2024</t>
        </is>
      </c>
      <c r="B1387" s="1" t="n">
        <v>45302.42872685185</v>
      </c>
      <c r="C1387" s="1" t="n">
        <v>46048</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41988-2024</t>
        </is>
      </c>
      <c r="B1388" s="1" t="n">
        <v>45561.63615740741</v>
      </c>
      <c r="C1388" s="1" t="n">
        <v>46048</v>
      </c>
      <c r="D1388" t="inlineStr">
        <is>
          <t>JÄMTLANDS LÄN</t>
        </is>
      </c>
      <c r="E1388" t="inlineStr">
        <is>
          <t>STRÖMSUND</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28377-2023</t>
        </is>
      </c>
      <c r="B1389" s="1" t="n">
        <v>45099.95422453704</v>
      </c>
      <c r="C1389" s="1" t="n">
        <v>46048</v>
      </c>
      <c r="D1389" t="inlineStr">
        <is>
          <t>JÄMTLANDS LÄN</t>
        </is>
      </c>
      <c r="E1389" t="inlineStr">
        <is>
          <t>STRÖMSUND</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44402-2023</t>
        </is>
      </c>
      <c r="B1390" s="1" t="n">
        <v>45188</v>
      </c>
      <c r="C1390" s="1" t="n">
        <v>46048</v>
      </c>
      <c r="D1390" t="inlineStr">
        <is>
          <t>JÄMTLANDS LÄN</t>
        </is>
      </c>
      <c r="E1390" t="inlineStr">
        <is>
          <t>STRÖMSUND</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4388-2023</t>
        </is>
      </c>
      <c r="B1391" s="1" t="n">
        <v>44955.77467592592</v>
      </c>
      <c r="C1391" s="1" t="n">
        <v>46048</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10864-2025</t>
        </is>
      </c>
      <c r="B1392" s="1" t="n">
        <v>45722.61508101852</v>
      </c>
      <c r="C1392" s="1" t="n">
        <v>46048</v>
      </c>
      <c r="D1392" t="inlineStr">
        <is>
          <t>JÄMTLANDS LÄN</t>
        </is>
      </c>
      <c r="E1392" t="inlineStr">
        <is>
          <t>STRÖMSUND</t>
        </is>
      </c>
      <c r="F1392" t="inlineStr">
        <is>
          <t>SCA</t>
        </is>
      </c>
      <c r="G1392" t="n">
        <v>21.1</v>
      </c>
      <c r="H1392" t="n">
        <v>0</v>
      </c>
      <c r="I1392" t="n">
        <v>0</v>
      </c>
      <c r="J1392" t="n">
        <v>0</v>
      </c>
      <c r="K1392" t="n">
        <v>0</v>
      </c>
      <c r="L1392" t="n">
        <v>0</v>
      </c>
      <c r="M1392" t="n">
        <v>0</v>
      </c>
      <c r="N1392" t="n">
        <v>0</v>
      </c>
      <c r="O1392" t="n">
        <v>0</v>
      </c>
      <c r="P1392" t="n">
        <v>0</v>
      </c>
      <c r="Q1392" t="n">
        <v>0</v>
      </c>
      <c r="R1392" s="2" t="inlineStr"/>
    </row>
    <row r="1393" ht="15" customHeight="1">
      <c r="A1393" t="inlineStr">
        <is>
          <t>A 54389-2024</t>
        </is>
      </c>
      <c r="B1393" s="1" t="n">
        <v>45617.45207175926</v>
      </c>
      <c r="C1393" s="1" t="n">
        <v>46048</v>
      </c>
      <c r="D1393" t="inlineStr">
        <is>
          <t>JÄMTLANDS LÄN</t>
        </is>
      </c>
      <c r="E1393" t="inlineStr">
        <is>
          <t>STRÖMSUND</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25052-2023</t>
        </is>
      </c>
      <c r="B1394" s="1" t="n">
        <v>45085.94605324074</v>
      </c>
      <c r="C1394" s="1" t="n">
        <v>46048</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31142-2025</t>
        </is>
      </c>
      <c r="B1395" s="1" t="n">
        <v>45832.63677083333</v>
      </c>
      <c r="C1395" s="1" t="n">
        <v>46048</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62668-2021</t>
        </is>
      </c>
      <c r="B1396" s="1" t="n">
        <v>44503.94444444445</v>
      </c>
      <c r="C1396" s="1" t="n">
        <v>46048</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42681-2024</t>
        </is>
      </c>
      <c r="B1397" s="1" t="n">
        <v>45566.37802083333</v>
      </c>
      <c r="C1397" s="1" t="n">
        <v>46048</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14978-2024</t>
        </is>
      </c>
      <c r="B1398" s="1" t="n">
        <v>45398.9412962963</v>
      </c>
      <c r="C1398" s="1" t="n">
        <v>46048</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31155-2025</t>
        </is>
      </c>
      <c r="B1399" s="1" t="n">
        <v>45832.65060185185</v>
      </c>
      <c r="C1399" s="1" t="n">
        <v>46048</v>
      </c>
      <c r="D1399" t="inlineStr">
        <is>
          <t>JÄMTLANDS LÄN</t>
        </is>
      </c>
      <c r="E1399" t="inlineStr">
        <is>
          <t>STRÖMSUND</t>
        </is>
      </c>
      <c r="F1399" t="inlineStr">
        <is>
          <t>Holmen skog AB</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44009-2024</t>
        </is>
      </c>
      <c r="B1400" s="1" t="n">
        <v>45572.55314814814</v>
      </c>
      <c r="C1400" s="1" t="n">
        <v>46048</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34023-2022</t>
        </is>
      </c>
      <c r="B1401" s="1" t="n">
        <v>44790</v>
      </c>
      <c r="C1401" s="1" t="n">
        <v>46048</v>
      </c>
      <c r="D1401" t="inlineStr">
        <is>
          <t>JÄMTLANDS LÄN</t>
        </is>
      </c>
      <c r="E1401" t="inlineStr">
        <is>
          <t>STRÖMSUND</t>
        </is>
      </c>
      <c r="G1401" t="n">
        <v>34.5</v>
      </c>
      <c r="H1401" t="n">
        <v>0</v>
      </c>
      <c r="I1401" t="n">
        <v>0</v>
      </c>
      <c r="J1401" t="n">
        <v>0</v>
      </c>
      <c r="K1401" t="n">
        <v>0</v>
      </c>
      <c r="L1401" t="n">
        <v>0</v>
      </c>
      <c r="M1401" t="n">
        <v>0</v>
      </c>
      <c r="N1401" t="n">
        <v>0</v>
      </c>
      <c r="O1401" t="n">
        <v>0</v>
      </c>
      <c r="P1401" t="n">
        <v>0</v>
      </c>
      <c r="Q1401" t="n">
        <v>0</v>
      </c>
      <c r="R1401" s="2" t="inlineStr"/>
    </row>
    <row r="1402" ht="15" customHeight="1">
      <c r="A1402" t="inlineStr">
        <is>
          <t>A 27298-2024</t>
        </is>
      </c>
      <c r="B1402" s="1" t="n">
        <v>45471.94336805555</v>
      </c>
      <c r="C1402" s="1" t="n">
        <v>46048</v>
      </c>
      <c r="D1402" t="inlineStr">
        <is>
          <t>JÄMTLANDS LÄN</t>
        </is>
      </c>
      <c r="E1402" t="inlineStr">
        <is>
          <t>STRÖMSUND</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31160-2025</t>
        </is>
      </c>
      <c r="B1403" s="1" t="n">
        <v>45832.65451388889</v>
      </c>
      <c r="C1403" s="1" t="n">
        <v>46048</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31184-2025</t>
        </is>
      </c>
      <c r="B1404" s="1" t="n">
        <v>45832.67788194444</v>
      </c>
      <c r="C1404" s="1" t="n">
        <v>46048</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26033-2024</t>
        </is>
      </c>
      <c r="B1405" s="1" t="n">
        <v>45467.96340277778</v>
      </c>
      <c r="C1405" s="1" t="n">
        <v>46048</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31091-2025</t>
        </is>
      </c>
      <c r="B1406" s="1" t="n">
        <v>45832.59475694445</v>
      </c>
      <c r="C1406" s="1" t="n">
        <v>46048</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55690-2024</t>
        </is>
      </c>
      <c r="B1407" s="1" t="n">
        <v>45622.67746527777</v>
      </c>
      <c r="C1407" s="1" t="n">
        <v>46048</v>
      </c>
      <c r="D1407" t="inlineStr">
        <is>
          <t>JÄMTLANDS LÄN</t>
        </is>
      </c>
      <c r="E1407" t="inlineStr">
        <is>
          <t>STRÖMSUND</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8660-2025</t>
        </is>
      </c>
      <c r="B1408" s="1" t="n">
        <v>45712.38979166667</v>
      </c>
      <c r="C1408" s="1" t="n">
        <v>46048</v>
      </c>
      <c r="D1408" t="inlineStr">
        <is>
          <t>JÄMTLANDS LÄN</t>
        </is>
      </c>
      <c r="E1408" t="inlineStr">
        <is>
          <t>STRÖMSUND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13898-2025</t>
        </is>
      </c>
      <c r="B1409" s="1" t="n">
        <v>45737</v>
      </c>
      <c r="C1409" s="1" t="n">
        <v>46048</v>
      </c>
      <c r="D1409" t="inlineStr">
        <is>
          <t>JÄMTLANDS LÄN</t>
        </is>
      </c>
      <c r="E1409" t="inlineStr">
        <is>
          <t>STRÖMSUND</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63054-2023</t>
        </is>
      </c>
      <c r="B1410" s="1" t="n">
        <v>45272.92770833334</v>
      </c>
      <c r="C1410" s="1" t="n">
        <v>46048</v>
      </c>
      <c r="D1410" t="inlineStr">
        <is>
          <t>JÄMTLANDS LÄN</t>
        </is>
      </c>
      <c r="E1410" t="inlineStr">
        <is>
          <t>STRÖMSUND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47934-2021</t>
        </is>
      </c>
      <c r="B1411" s="1" t="n">
        <v>44448</v>
      </c>
      <c r="C1411" s="1" t="n">
        <v>46048</v>
      </c>
      <c r="D1411" t="inlineStr">
        <is>
          <t>JÄMTLANDS LÄN</t>
        </is>
      </c>
      <c r="E1411" t="inlineStr">
        <is>
          <t>STRÖMSUND</t>
        </is>
      </c>
      <c r="F1411" t="inlineStr">
        <is>
          <t>SCA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47941-2021</t>
        </is>
      </c>
      <c r="B1412" s="1" t="n">
        <v>44448.94142361111</v>
      </c>
      <c r="C1412" s="1" t="n">
        <v>46048</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44112-2024</t>
        </is>
      </c>
      <c r="B1413" s="1" t="n">
        <v>45572.63590277778</v>
      </c>
      <c r="C1413" s="1" t="n">
        <v>46048</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12731-2023</t>
        </is>
      </c>
      <c r="B1414" s="1" t="n">
        <v>45000.92390046296</v>
      </c>
      <c r="C1414" s="1" t="n">
        <v>46048</v>
      </c>
      <c r="D1414" t="inlineStr">
        <is>
          <t>JÄMTLANDS LÄN</t>
        </is>
      </c>
      <c r="E1414" t="inlineStr">
        <is>
          <t>STRÖMSUND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14347-2023</t>
        </is>
      </c>
      <c r="B1415" s="1" t="n">
        <v>45012</v>
      </c>
      <c r="C1415" s="1" t="n">
        <v>46048</v>
      </c>
      <c r="D1415" t="inlineStr">
        <is>
          <t>JÄMTLANDS LÄN</t>
        </is>
      </c>
      <c r="E1415" t="inlineStr">
        <is>
          <t>STRÖMSUND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40976-2024</t>
        </is>
      </c>
      <c r="B1416" s="1" t="n">
        <v>45558.68231481482</v>
      </c>
      <c r="C1416" s="1" t="n">
        <v>46048</v>
      </c>
      <c r="D1416" t="inlineStr">
        <is>
          <t>JÄMTLANDS LÄN</t>
        </is>
      </c>
      <c r="E1416" t="inlineStr">
        <is>
          <t>STRÖMSUND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53217-2024</t>
        </is>
      </c>
      <c r="B1417" s="1" t="n">
        <v>45612.83778935186</v>
      </c>
      <c r="C1417" s="1" t="n">
        <v>46048</v>
      </c>
      <c r="D1417" t="inlineStr">
        <is>
          <t>JÄMTLANDS LÄN</t>
        </is>
      </c>
      <c r="E1417" t="inlineStr">
        <is>
          <t>STRÖMSUND</t>
        </is>
      </c>
      <c r="G1417" t="n">
        <v>27.9</v>
      </c>
      <c r="H1417" t="n">
        <v>0</v>
      </c>
      <c r="I1417" t="n">
        <v>0</v>
      </c>
      <c r="J1417" t="n">
        <v>0</v>
      </c>
      <c r="K1417" t="n">
        <v>0</v>
      </c>
      <c r="L1417" t="n">
        <v>0</v>
      </c>
      <c r="M1417" t="n">
        <v>0</v>
      </c>
      <c r="N1417" t="n">
        <v>0</v>
      </c>
      <c r="O1417" t="n">
        <v>0</v>
      </c>
      <c r="P1417" t="n">
        <v>0</v>
      </c>
      <c r="Q1417" t="n">
        <v>0</v>
      </c>
      <c r="R1417" s="2" t="inlineStr"/>
    </row>
    <row r="1418" ht="15" customHeight="1">
      <c r="A1418" t="inlineStr">
        <is>
          <t>A 8050-2025</t>
        </is>
      </c>
      <c r="B1418" s="1" t="n">
        <v>45706</v>
      </c>
      <c r="C1418" s="1" t="n">
        <v>46048</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23303-2023</t>
        </is>
      </c>
      <c r="B1419" s="1" t="n">
        <v>45075.94493055555</v>
      </c>
      <c r="C1419" s="1" t="n">
        <v>46048</v>
      </c>
      <c r="D1419" t="inlineStr">
        <is>
          <t>JÄMTLANDS LÄN</t>
        </is>
      </c>
      <c r="E1419" t="inlineStr">
        <is>
          <t>STRÖMSUND</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23311-2023</t>
        </is>
      </c>
      <c r="B1420" s="1" t="n">
        <v>45075</v>
      </c>
      <c r="C1420" s="1" t="n">
        <v>46048</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2533-2025</t>
        </is>
      </c>
      <c r="B1421" s="1" t="n">
        <v>45674.61496527777</v>
      </c>
      <c r="C1421" s="1" t="n">
        <v>46048</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32297-2025</t>
        </is>
      </c>
      <c r="B1422" s="1" t="n">
        <v>45835.71186342592</v>
      </c>
      <c r="C1422" s="1" t="n">
        <v>46048</v>
      </c>
      <c r="D1422" t="inlineStr">
        <is>
          <t>JÄMTLANDS LÄN</t>
        </is>
      </c>
      <c r="E1422" t="inlineStr">
        <is>
          <t>STRÖMSUND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32072-2025</t>
        </is>
      </c>
      <c r="B1423" s="1" t="n">
        <v>45835.44925925926</v>
      </c>
      <c r="C1423" s="1" t="n">
        <v>46048</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32460-2021</t>
        </is>
      </c>
      <c r="B1424" s="1" t="n">
        <v>44371</v>
      </c>
      <c r="C1424" s="1" t="n">
        <v>46048</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31710-2024</t>
        </is>
      </c>
      <c r="B1425" s="1" t="n">
        <v>45508.9509837963</v>
      </c>
      <c r="C1425" s="1" t="n">
        <v>46048</v>
      </c>
      <c r="D1425" t="inlineStr">
        <is>
          <t>JÄMTLANDS LÄN</t>
        </is>
      </c>
      <c r="E1425" t="inlineStr">
        <is>
          <t>STRÖMSUND</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32103-2025</t>
        </is>
      </c>
      <c r="B1426" s="1" t="n">
        <v>45835.46946759259</v>
      </c>
      <c r="C1426" s="1" t="n">
        <v>46048</v>
      </c>
      <c r="D1426" t="inlineStr">
        <is>
          <t>JÄMTLANDS LÄN</t>
        </is>
      </c>
      <c r="E1426" t="inlineStr">
        <is>
          <t>STRÖMSUND</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31694-2025</t>
        </is>
      </c>
      <c r="B1427" s="1" t="n">
        <v>45834.40692129629</v>
      </c>
      <c r="C1427" s="1" t="n">
        <v>46048</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32006-2025</t>
        </is>
      </c>
      <c r="B1428" s="1" t="n">
        <v>45835.38586805556</v>
      </c>
      <c r="C1428" s="1" t="n">
        <v>46048</v>
      </c>
      <c r="D1428" t="inlineStr">
        <is>
          <t>JÄMTLANDS LÄN</t>
        </is>
      </c>
      <c r="E1428" t="inlineStr">
        <is>
          <t>STRÖMSUND</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32023-2025</t>
        </is>
      </c>
      <c r="B1429" s="1" t="n">
        <v>45835.40689814815</v>
      </c>
      <c r="C1429" s="1" t="n">
        <v>46048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32027-2025</t>
        </is>
      </c>
      <c r="B1430" s="1" t="n">
        <v>45835.40758101852</v>
      </c>
      <c r="C1430" s="1" t="n">
        <v>46048</v>
      </c>
      <c r="D1430" t="inlineStr">
        <is>
          <t>JÄMTLANDS LÄN</t>
        </is>
      </c>
      <c r="E1430" t="inlineStr">
        <is>
          <t>STRÖMSUND</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18774-2023</t>
        </is>
      </c>
      <c r="B1431" s="1" t="n">
        <v>45043.94297453704</v>
      </c>
      <c r="C1431" s="1" t="n">
        <v>46048</v>
      </c>
      <c r="D1431" t="inlineStr">
        <is>
          <t>JÄMTLANDS LÄN</t>
        </is>
      </c>
      <c r="E1431" t="inlineStr">
        <is>
          <t>STRÖMSUND</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18777-2023</t>
        </is>
      </c>
      <c r="B1432" s="1" t="n">
        <v>45043.94318287037</v>
      </c>
      <c r="C1432" s="1" t="n">
        <v>46048</v>
      </c>
      <c r="D1432" t="inlineStr">
        <is>
          <t>JÄMTLANDS LÄN</t>
        </is>
      </c>
      <c r="E1432" t="inlineStr">
        <is>
          <t>STRÖMSUND</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19346-2024</t>
        </is>
      </c>
      <c r="B1433" s="1" t="n">
        <v>45428.97195601852</v>
      </c>
      <c r="C1433" s="1" t="n">
        <v>46048</v>
      </c>
      <c r="D1433" t="inlineStr">
        <is>
          <t>JÄMTLANDS LÄN</t>
        </is>
      </c>
      <c r="E1433" t="inlineStr">
        <is>
          <t>STRÖMSUND</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35385-2023</t>
        </is>
      </c>
      <c r="B1434" s="1" t="n">
        <v>45145</v>
      </c>
      <c r="C1434" s="1" t="n">
        <v>46048</v>
      </c>
      <c r="D1434" t="inlineStr">
        <is>
          <t>JÄMTLANDS LÄN</t>
        </is>
      </c>
      <c r="E1434" t="inlineStr">
        <is>
          <t>STRÖMSUND</t>
        </is>
      </c>
      <c r="G1434" t="n">
        <v>29.8</v>
      </c>
      <c r="H1434" t="n">
        <v>0</v>
      </c>
      <c r="I1434" t="n">
        <v>0</v>
      </c>
      <c r="J1434" t="n">
        <v>0</v>
      </c>
      <c r="K1434" t="n">
        <v>0</v>
      </c>
      <c r="L1434" t="n">
        <v>0</v>
      </c>
      <c r="M1434" t="n">
        <v>0</v>
      </c>
      <c r="N1434" t="n">
        <v>0</v>
      </c>
      <c r="O1434" t="n">
        <v>0</v>
      </c>
      <c r="P1434" t="n">
        <v>0</v>
      </c>
      <c r="Q1434" t="n">
        <v>0</v>
      </c>
      <c r="R1434" s="2" t="inlineStr"/>
    </row>
    <row r="1435" ht="15" customHeight="1">
      <c r="A1435" t="inlineStr">
        <is>
          <t>A 32028-2025</t>
        </is>
      </c>
      <c r="B1435" s="1" t="n">
        <v>45835.40774305556</v>
      </c>
      <c r="C1435" s="1" t="n">
        <v>46048</v>
      </c>
      <c r="D1435" t="inlineStr">
        <is>
          <t>JÄMTLANDS LÄN</t>
        </is>
      </c>
      <c r="E1435" t="inlineStr">
        <is>
          <t>STRÖMSUND</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11930-2025</t>
        </is>
      </c>
      <c r="B1436" s="1" t="n">
        <v>45728.5209375</v>
      </c>
      <c r="C1436" s="1" t="n">
        <v>46048</v>
      </c>
      <c r="D1436" t="inlineStr">
        <is>
          <t>JÄMTLANDS LÄN</t>
        </is>
      </c>
      <c r="E1436" t="inlineStr">
        <is>
          <t>STRÖMSUND</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58646-2024</t>
        </is>
      </c>
      <c r="B1437" s="1" t="n">
        <v>45635.59450231482</v>
      </c>
      <c r="C1437" s="1" t="n">
        <v>46048</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32066-2024</t>
        </is>
      </c>
      <c r="B1438" s="1" t="n">
        <v>45510.97181712963</v>
      </c>
      <c r="C1438" s="1" t="n">
        <v>46048</v>
      </c>
      <c r="D1438" t="inlineStr">
        <is>
          <t>JÄMTLANDS LÄN</t>
        </is>
      </c>
      <c r="E1438" t="inlineStr">
        <is>
          <t>STRÖMSUND</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37231-2022</t>
        </is>
      </c>
      <c r="B1439" s="1" t="n">
        <v>44806</v>
      </c>
      <c r="C1439" s="1" t="n">
        <v>46048</v>
      </c>
      <c r="D1439" t="inlineStr">
        <is>
          <t>JÄMTLANDS LÄN</t>
        </is>
      </c>
      <c r="E1439" t="inlineStr">
        <is>
          <t>STRÖMSUND</t>
        </is>
      </c>
      <c r="F1439" t="inlineStr">
        <is>
          <t>SCA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36706-2021</t>
        </is>
      </c>
      <c r="B1440" s="1" t="n">
        <v>44392.53086805555</v>
      </c>
      <c r="C1440" s="1" t="n">
        <v>46048</v>
      </c>
      <c r="D1440" t="inlineStr">
        <is>
          <t>JÄMTLANDS LÄN</t>
        </is>
      </c>
      <c r="E1440" t="inlineStr">
        <is>
          <t>STRÖMSUND</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31722-2025</t>
        </is>
      </c>
      <c r="B1441" s="1" t="n">
        <v>45834.46181712963</v>
      </c>
      <c r="C1441" s="1" t="n">
        <v>46048</v>
      </c>
      <c r="D1441" t="inlineStr">
        <is>
          <t>JÄMTLANDS LÄN</t>
        </is>
      </c>
      <c r="E1441" t="inlineStr">
        <is>
          <t>STRÖMSUND</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31769-2025</t>
        </is>
      </c>
      <c r="B1442" s="1" t="n">
        <v>45834.5025</v>
      </c>
      <c r="C1442" s="1" t="n">
        <v>46048</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53132-2024</t>
        </is>
      </c>
      <c r="B1443" s="1" t="n">
        <v>45611.59440972222</v>
      </c>
      <c r="C1443" s="1" t="n">
        <v>46048</v>
      </c>
      <c r="D1443" t="inlineStr">
        <is>
          <t>JÄMTLANDS LÄN</t>
        </is>
      </c>
      <c r="E1443" t="inlineStr">
        <is>
          <t>STRÖMSUND</t>
        </is>
      </c>
      <c r="F1443" t="inlineStr">
        <is>
          <t>SCA</t>
        </is>
      </c>
      <c r="G1443" t="n">
        <v>29.2</v>
      </c>
      <c r="H1443" t="n">
        <v>0</v>
      </c>
      <c r="I1443" t="n">
        <v>0</v>
      </c>
      <c r="J1443" t="n">
        <v>0</v>
      </c>
      <c r="K1443" t="n">
        <v>0</v>
      </c>
      <c r="L1443" t="n">
        <v>0</v>
      </c>
      <c r="M1443" t="n">
        <v>0</v>
      </c>
      <c r="N1443" t="n">
        <v>0</v>
      </c>
      <c r="O1443" t="n">
        <v>0</v>
      </c>
      <c r="P1443" t="n">
        <v>0</v>
      </c>
      <c r="Q1443" t="n">
        <v>0</v>
      </c>
      <c r="R1443" s="2" t="inlineStr"/>
    </row>
    <row r="1444" ht="15" customHeight="1">
      <c r="A1444" t="inlineStr">
        <is>
          <t>A 31877-2025</t>
        </is>
      </c>
      <c r="B1444" s="1" t="n">
        <v>45834.65267361111</v>
      </c>
      <c r="C1444" s="1" t="n">
        <v>46048</v>
      </c>
      <c r="D1444" t="inlineStr">
        <is>
          <t>JÄMTLANDS LÄN</t>
        </is>
      </c>
      <c r="E1444" t="inlineStr">
        <is>
          <t>STRÖMSUND</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62194-2021</t>
        </is>
      </c>
      <c r="B1445" s="1" t="n">
        <v>44502.92039351852</v>
      </c>
      <c r="C1445" s="1" t="n">
        <v>46048</v>
      </c>
      <c r="D1445" t="inlineStr">
        <is>
          <t>JÄMTLANDS LÄN</t>
        </is>
      </c>
      <c r="E1445" t="inlineStr">
        <is>
          <t>STRÖMSUND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31712-2025</t>
        </is>
      </c>
      <c r="B1446" s="1" t="n">
        <v>45834.44834490741</v>
      </c>
      <c r="C1446" s="1" t="n">
        <v>46048</v>
      </c>
      <c r="D1446" t="inlineStr">
        <is>
          <t>JÄMTLANDS LÄN</t>
        </is>
      </c>
      <c r="E1446" t="inlineStr">
        <is>
          <t>STRÖMSUND</t>
        </is>
      </c>
      <c r="F1446" t="inlineStr">
        <is>
          <t>SCA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56270-2024</t>
        </is>
      </c>
      <c r="B1447" s="1" t="n">
        <v>45624.65971064815</v>
      </c>
      <c r="C1447" s="1" t="n">
        <v>46048</v>
      </c>
      <c r="D1447" t="inlineStr">
        <is>
          <t>JÄMTLANDS LÄN</t>
        </is>
      </c>
      <c r="E1447" t="inlineStr">
        <is>
          <t>STRÖMSUND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32871-2023</t>
        </is>
      </c>
      <c r="B1448" s="1" t="n">
        <v>45112</v>
      </c>
      <c r="C1448" s="1" t="n">
        <v>46048</v>
      </c>
      <c r="D1448" t="inlineStr">
        <is>
          <t>JÄMTLANDS LÄN</t>
        </is>
      </c>
      <c r="E1448" t="inlineStr">
        <is>
          <t>STRÖMSUND</t>
        </is>
      </c>
      <c r="F1448" t="inlineStr">
        <is>
          <t>Kommuner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32895-2025</t>
        </is>
      </c>
      <c r="B1449" s="1" t="n">
        <v>45839.61513888889</v>
      </c>
      <c r="C1449" s="1" t="n">
        <v>46048</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32473-2025</t>
        </is>
      </c>
      <c r="B1450" s="1" t="n">
        <v>45838.42783564814</v>
      </c>
      <c r="C1450" s="1" t="n">
        <v>46048</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32652-2025</t>
        </is>
      </c>
      <c r="B1451" s="1" t="n">
        <v>45838.67770833334</v>
      </c>
      <c r="C1451" s="1" t="n">
        <v>46048</v>
      </c>
      <c r="D1451" t="inlineStr">
        <is>
          <t>JÄMTLANDS LÄN</t>
        </is>
      </c>
      <c r="E1451" t="inlineStr">
        <is>
          <t>STRÖMSUND</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18252-2025</t>
        </is>
      </c>
      <c r="B1452" s="1" t="n">
        <v>45762.34435185185</v>
      </c>
      <c r="C1452" s="1" t="n">
        <v>46048</v>
      </c>
      <c r="D1452" t="inlineStr">
        <is>
          <t>JÄMTLANDS LÄN</t>
        </is>
      </c>
      <c r="E1452" t="inlineStr">
        <is>
          <t>STRÖMSUND</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27374-2023</t>
        </is>
      </c>
      <c r="B1453" s="1" t="n">
        <v>45096.93873842592</v>
      </c>
      <c r="C1453" s="1" t="n">
        <v>46048</v>
      </c>
      <c r="D1453" t="inlineStr">
        <is>
          <t>JÄMTLANDS LÄN</t>
        </is>
      </c>
      <c r="E1453" t="inlineStr">
        <is>
          <t>STRÖMSUND</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28207-2022</t>
        </is>
      </c>
      <c r="B1454" s="1" t="n">
        <v>44746</v>
      </c>
      <c r="C1454" s="1" t="n">
        <v>46048</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32418-2025</t>
        </is>
      </c>
      <c r="B1455" s="1" t="n">
        <v>45838.34474537037</v>
      </c>
      <c r="C1455" s="1" t="n">
        <v>46048</v>
      </c>
      <c r="D1455" t="inlineStr">
        <is>
          <t>JÄMTLANDS LÄN</t>
        </is>
      </c>
      <c r="E1455" t="inlineStr">
        <is>
          <t>STRÖMSUND</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51404-2024</t>
        </is>
      </c>
      <c r="B1456" s="1" t="n">
        <v>45604.42777777778</v>
      </c>
      <c r="C1456" s="1" t="n">
        <v>46048</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32442-2025</t>
        </is>
      </c>
      <c r="B1457" s="1" t="n">
        <v>45838.38597222222</v>
      </c>
      <c r="C1457" s="1" t="n">
        <v>46048</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23525-2023</t>
        </is>
      </c>
      <c r="B1458" s="1" t="n">
        <v>45076</v>
      </c>
      <c r="C1458" s="1" t="n">
        <v>46048</v>
      </c>
      <c r="D1458" t="inlineStr">
        <is>
          <t>JÄMTLANDS LÄN</t>
        </is>
      </c>
      <c r="E1458" t="inlineStr">
        <is>
          <t>STRÖMSUND</t>
        </is>
      </c>
      <c r="F1458" t="inlineStr">
        <is>
          <t>SCA</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32746-2025</t>
        </is>
      </c>
      <c r="B1459" s="1" t="n">
        <v>45839.42783564814</v>
      </c>
      <c r="C1459" s="1" t="n">
        <v>46048</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32471-2025</t>
        </is>
      </c>
      <c r="B1460" s="1" t="n">
        <v>45838.42762731481</v>
      </c>
      <c r="C1460" s="1" t="n">
        <v>46048</v>
      </c>
      <c r="D1460" t="inlineStr">
        <is>
          <t>JÄMTLANDS LÄN</t>
        </is>
      </c>
      <c r="E1460" t="inlineStr">
        <is>
          <t>STRÖMSUND</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32657-2025</t>
        </is>
      </c>
      <c r="B1461" s="1" t="n">
        <v>45838.67841435185</v>
      </c>
      <c r="C1461" s="1" t="n">
        <v>46048</v>
      </c>
      <c r="D1461" t="inlineStr">
        <is>
          <t>JÄMTLANDS LÄN</t>
        </is>
      </c>
      <c r="E1461" t="inlineStr">
        <is>
          <t>STRÖMSUND</t>
        </is>
      </c>
      <c r="G1461" t="n">
        <v>15.4</v>
      </c>
      <c r="H1461" t="n">
        <v>0</v>
      </c>
      <c r="I1461" t="n">
        <v>0</v>
      </c>
      <c r="J1461" t="n">
        <v>0</v>
      </c>
      <c r="K1461" t="n">
        <v>0</v>
      </c>
      <c r="L1461" t="n">
        <v>0</v>
      </c>
      <c r="M1461" t="n">
        <v>0</v>
      </c>
      <c r="N1461" t="n">
        <v>0</v>
      </c>
      <c r="O1461" t="n">
        <v>0</v>
      </c>
      <c r="P1461" t="n">
        <v>0</v>
      </c>
      <c r="Q1461" t="n">
        <v>0</v>
      </c>
      <c r="R1461" s="2" t="inlineStr"/>
    </row>
    <row r="1462" ht="15" customHeight="1">
      <c r="A1462" t="inlineStr">
        <is>
          <t>A 32733-2025</t>
        </is>
      </c>
      <c r="B1462" s="1" t="n">
        <v>45839.40694444445</v>
      </c>
      <c r="C1462" s="1" t="n">
        <v>46048</v>
      </c>
      <c r="D1462" t="inlineStr">
        <is>
          <t>JÄMTLANDS LÄN</t>
        </is>
      </c>
      <c r="E1462" t="inlineStr">
        <is>
          <t>STRÖMSUND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32734-2025</t>
        </is>
      </c>
      <c r="B1463" s="1" t="n">
        <v>45839.40707175926</v>
      </c>
      <c r="C1463" s="1" t="n">
        <v>46048</v>
      </c>
      <c r="D1463" t="inlineStr">
        <is>
          <t>JÄMTLANDS LÄN</t>
        </is>
      </c>
      <c r="E1463" t="inlineStr">
        <is>
          <t>STRÖMSUND</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32699-2025</t>
        </is>
      </c>
      <c r="B1464" s="1" t="n">
        <v>45839.34450231482</v>
      </c>
      <c r="C1464" s="1" t="n">
        <v>46048</v>
      </c>
      <c r="D1464" t="inlineStr">
        <is>
          <t>JÄMTLANDS LÄN</t>
        </is>
      </c>
      <c r="E1464" t="inlineStr">
        <is>
          <t>STRÖMSUND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32706-2025</t>
        </is>
      </c>
      <c r="B1465" s="1" t="n">
        <v>45839.36495370371</v>
      </c>
      <c r="C1465" s="1" t="n">
        <v>46048</v>
      </c>
      <c r="D1465" t="inlineStr">
        <is>
          <t>JÄMTLANDS LÄN</t>
        </is>
      </c>
      <c r="E1465" t="inlineStr">
        <is>
          <t>STRÖMSUND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32595-2025</t>
        </is>
      </c>
      <c r="B1466" s="1" t="n">
        <v>45838.61568287037</v>
      </c>
      <c r="C1466" s="1" t="n">
        <v>46048</v>
      </c>
      <c r="D1466" t="inlineStr">
        <is>
          <t>JÄMTLANDS LÄN</t>
        </is>
      </c>
      <c r="E1466" t="inlineStr">
        <is>
          <t>STRÖMSUND</t>
        </is>
      </c>
      <c r="F1466" t="inlineStr">
        <is>
          <t>SCA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57083-2023</t>
        </is>
      </c>
      <c r="B1467" s="1" t="n">
        <v>45244</v>
      </c>
      <c r="C1467" s="1" t="n">
        <v>46048</v>
      </c>
      <c r="D1467" t="inlineStr">
        <is>
          <t>JÄMTLANDS LÄN</t>
        </is>
      </c>
      <c r="E1467" t="inlineStr">
        <is>
          <t>STRÖMSUND</t>
        </is>
      </c>
      <c r="F1467" t="inlineStr">
        <is>
          <t>SCA</t>
        </is>
      </c>
      <c r="G1467" t="n">
        <v>31.1</v>
      </c>
      <c r="H1467" t="n">
        <v>0</v>
      </c>
      <c r="I1467" t="n">
        <v>0</v>
      </c>
      <c r="J1467" t="n">
        <v>0</v>
      </c>
      <c r="K1467" t="n">
        <v>0</v>
      </c>
      <c r="L1467" t="n">
        <v>0</v>
      </c>
      <c r="M1467" t="n">
        <v>0</v>
      </c>
      <c r="N1467" t="n">
        <v>0</v>
      </c>
      <c r="O1467" t="n">
        <v>0</v>
      </c>
      <c r="P1467" t="n">
        <v>0</v>
      </c>
      <c r="Q1467" t="n">
        <v>0</v>
      </c>
      <c r="R1467" s="2" t="inlineStr"/>
    </row>
    <row r="1468" ht="15" customHeight="1">
      <c r="A1468" t="inlineStr">
        <is>
          <t>A 57476-2023</t>
        </is>
      </c>
      <c r="B1468" s="1" t="n">
        <v>45240</v>
      </c>
      <c r="C1468" s="1" t="n">
        <v>46048</v>
      </c>
      <c r="D1468" t="inlineStr">
        <is>
          <t>JÄMTLANDS LÄN</t>
        </is>
      </c>
      <c r="E1468" t="inlineStr">
        <is>
          <t>STRÖMSUND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32925-2025</t>
        </is>
      </c>
      <c r="B1469" s="1" t="n">
        <v>45839.65662037037</v>
      </c>
      <c r="C1469" s="1" t="n">
        <v>46048</v>
      </c>
      <c r="D1469" t="inlineStr">
        <is>
          <t>JÄMTLANDS LÄN</t>
        </is>
      </c>
      <c r="E1469" t="inlineStr">
        <is>
          <t>STRÖMSUND</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14812-2024</t>
        </is>
      </c>
      <c r="B1470" s="1" t="n">
        <v>45397</v>
      </c>
      <c r="C1470" s="1" t="n">
        <v>46048</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32750-2025</t>
        </is>
      </c>
      <c r="B1471" s="1" t="n">
        <v>45839.42850694444</v>
      </c>
      <c r="C1471" s="1" t="n">
        <v>46048</v>
      </c>
      <c r="D1471" t="inlineStr">
        <is>
          <t>JÄMTLANDS LÄN</t>
        </is>
      </c>
      <c r="E1471" t="inlineStr">
        <is>
          <t>STRÖMSUND</t>
        </is>
      </c>
      <c r="F1471" t="inlineStr">
        <is>
          <t>SCA</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32472-2025</t>
        </is>
      </c>
      <c r="B1472" s="1" t="n">
        <v>45838.42770833334</v>
      </c>
      <c r="C1472" s="1" t="n">
        <v>46048</v>
      </c>
      <c r="D1472" t="inlineStr">
        <is>
          <t>JÄMTLANDS LÄN</t>
        </is>
      </c>
      <c r="E1472" t="inlineStr">
        <is>
          <t>STRÖMSUND</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32732-2025</t>
        </is>
      </c>
      <c r="B1473" s="1" t="n">
        <v>45839.40679398148</v>
      </c>
      <c r="C1473" s="1" t="n">
        <v>46048</v>
      </c>
      <c r="D1473" t="inlineStr">
        <is>
          <t>JÄMTLANDS LÄN</t>
        </is>
      </c>
      <c r="E1473" t="inlineStr">
        <is>
          <t>STRÖMSUND</t>
        </is>
      </c>
      <c r="F1473" t="inlineStr">
        <is>
          <t>SCA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57453-2024</t>
        </is>
      </c>
      <c r="B1474" s="1" t="n">
        <v>45630.29371527778</v>
      </c>
      <c r="C1474" s="1" t="n">
        <v>46048</v>
      </c>
      <c r="D1474" t="inlineStr">
        <is>
          <t>JÄMTLANDS LÄN</t>
        </is>
      </c>
      <c r="E1474" t="inlineStr">
        <is>
          <t>STRÖMSUND</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45366-2023</t>
        </is>
      </c>
      <c r="B1475" s="1" t="n">
        <v>45192</v>
      </c>
      <c r="C1475" s="1" t="n">
        <v>46048</v>
      </c>
      <c r="D1475" t="inlineStr">
        <is>
          <t>JÄMTLANDS LÄN</t>
        </is>
      </c>
      <c r="E1475" t="inlineStr">
        <is>
          <t>STRÖMSUND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32567-2025</t>
        </is>
      </c>
      <c r="B1476" s="1" t="n">
        <v>45838.5737037037</v>
      </c>
      <c r="C1476" s="1" t="n">
        <v>46048</v>
      </c>
      <c r="D1476" t="inlineStr">
        <is>
          <t>JÄMTLANDS LÄN</t>
        </is>
      </c>
      <c r="E1476" t="inlineStr">
        <is>
          <t>STRÖMSUND</t>
        </is>
      </c>
      <c r="F1476" t="inlineStr">
        <is>
          <t>SCA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5333-2024</t>
        </is>
      </c>
      <c r="B1477" s="1" t="n">
        <v>45331.43344907407</v>
      </c>
      <c r="C1477" s="1" t="n">
        <v>46048</v>
      </c>
      <c r="D1477" t="inlineStr">
        <is>
          <t>JÄMTLANDS LÄN</t>
        </is>
      </c>
      <c r="E1477" t="inlineStr">
        <is>
          <t>STRÖMSUND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5350-2024</t>
        </is>
      </c>
      <c r="B1478" s="1" t="n">
        <v>45331</v>
      </c>
      <c r="C1478" s="1" t="n">
        <v>46048</v>
      </c>
      <c r="D1478" t="inlineStr">
        <is>
          <t>JÄMTLANDS LÄN</t>
        </is>
      </c>
      <c r="E1478" t="inlineStr">
        <is>
          <t>STRÖMSUND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32259-2021</t>
        </is>
      </c>
      <c r="B1479" s="1" t="n">
        <v>44371</v>
      </c>
      <c r="C1479" s="1" t="n">
        <v>46048</v>
      </c>
      <c r="D1479" t="inlineStr">
        <is>
          <t>JÄMTLANDS LÄN</t>
        </is>
      </c>
      <c r="E1479" t="inlineStr">
        <is>
          <t>STRÖMSUND</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22453-2024</t>
        </is>
      </c>
      <c r="B1480" s="1" t="n">
        <v>45446.94916666667</v>
      </c>
      <c r="C1480" s="1" t="n">
        <v>46048</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32999-2025</t>
        </is>
      </c>
      <c r="B1481" s="1" t="n">
        <v>45840.34418981482</v>
      </c>
      <c r="C1481" s="1" t="n">
        <v>46048</v>
      </c>
      <c r="D1481" t="inlineStr">
        <is>
          <t>JÄMTLANDS LÄN</t>
        </is>
      </c>
      <c r="E1481" t="inlineStr">
        <is>
          <t>STRÖMSUND</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55657-2023</t>
        </is>
      </c>
      <c r="B1482" s="1" t="n">
        <v>45238</v>
      </c>
      <c r="C1482" s="1" t="n">
        <v>46048</v>
      </c>
      <c r="D1482" t="inlineStr">
        <is>
          <t>JÄMTLANDS LÄN</t>
        </is>
      </c>
      <c r="E1482" t="inlineStr">
        <is>
          <t>STRÖMSUND</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33435-2025</t>
        </is>
      </c>
      <c r="B1483" s="1" t="n">
        <v>45841.4488425926</v>
      </c>
      <c r="C1483" s="1" t="n">
        <v>46048</v>
      </c>
      <c r="D1483" t="inlineStr">
        <is>
          <t>JÄMTLANDS LÄN</t>
        </is>
      </c>
      <c r="E1483" t="inlineStr">
        <is>
          <t>STRÖMSUND</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33326-2025</t>
        </is>
      </c>
      <c r="B1484" s="1" t="n">
        <v>45841.34584490741</v>
      </c>
      <c r="C1484" s="1" t="n">
        <v>46048</v>
      </c>
      <c r="D1484" t="inlineStr">
        <is>
          <t>JÄMTLANDS LÄN</t>
        </is>
      </c>
      <c r="E1484" t="inlineStr">
        <is>
          <t>STRÖMSUND</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33434-2025</t>
        </is>
      </c>
      <c r="B1485" s="1" t="n">
        <v>45841.44868055556</v>
      </c>
      <c r="C1485" s="1" t="n">
        <v>46048</v>
      </c>
      <c r="D1485" t="inlineStr">
        <is>
          <t>JÄMTLANDS LÄN</t>
        </is>
      </c>
      <c r="E1485" t="inlineStr">
        <is>
          <t>STRÖMSUND</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39939-2024</t>
        </is>
      </c>
      <c r="B1486" s="1" t="n">
        <v>45553</v>
      </c>
      <c r="C1486" s="1" t="n">
        <v>46048</v>
      </c>
      <c r="D1486" t="inlineStr">
        <is>
          <t>JÄMTLANDS LÄN</t>
        </is>
      </c>
      <c r="E1486" t="inlineStr">
        <is>
          <t>STRÖMSUND</t>
        </is>
      </c>
      <c r="F1486" t="inlineStr">
        <is>
          <t>Kyrkan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53328-2024</t>
        </is>
      </c>
      <c r="B1487" s="1" t="n">
        <v>45614.41456018519</v>
      </c>
      <c r="C1487" s="1" t="n">
        <v>46048</v>
      </c>
      <c r="D1487" t="inlineStr">
        <is>
          <t>JÄMTLANDS LÄN</t>
        </is>
      </c>
      <c r="E1487" t="inlineStr">
        <is>
          <t>STRÖMSUND</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33014-2025</t>
        </is>
      </c>
      <c r="B1488" s="1" t="n">
        <v>45840.36533564814</v>
      </c>
      <c r="C1488" s="1" t="n">
        <v>46048</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32528-2022</t>
        </is>
      </c>
      <c r="B1489" s="1" t="n">
        <v>44782.94291666667</v>
      </c>
      <c r="C1489" s="1" t="n">
        <v>46048</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33327-2025</t>
        </is>
      </c>
      <c r="B1490" s="1" t="n">
        <v>45841.34599537037</v>
      </c>
      <c r="C1490" s="1" t="n">
        <v>46048</v>
      </c>
      <c r="D1490" t="inlineStr">
        <is>
          <t>JÄMTLANDS LÄN</t>
        </is>
      </c>
      <c r="E1490" t="inlineStr">
        <is>
          <t>STRÖMSUND</t>
        </is>
      </c>
      <c r="F1490" t="inlineStr">
        <is>
          <t>SCA</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59969-2023</t>
        </is>
      </c>
      <c r="B1491" s="1" t="n">
        <v>45254</v>
      </c>
      <c r="C1491" s="1" t="n">
        <v>46048</v>
      </c>
      <c r="D1491" t="inlineStr">
        <is>
          <t>JÄMTLANDS LÄN</t>
        </is>
      </c>
      <c r="E1491" t="inlineStr">
        <is>
          <t>STRÖMSUND</t>
        </is>
      </c>
      <c r="G1491" t="n">
        <v>23.3</v>
      </c>
      <c r="H1491" t="n">
        <v>0</v>
      </c>
      <c r="I1491" t="n">
        <v>0</v>
      </c>
      <c r="J1491" t="n">
        <v>0</v>
      </c>
      <c r="K1491" t="n">
        <v>0</v>
      </c>
      <c r="L1491" t="n">
        <v>0</v>
      </c>
      <c r="M1491" t="n">
        <v>0</v>
      </c>
      <c r="N1491" t="n">
        <v>0</v>
      </c>
      <c r="O1491" t="n">
        <v>0</v>
      </c>
      <c r="P1491" t="n">
        <v>0</v>
      </c>
      <c r="Q1491" t="n">
        <v>0</v>
      </c>
      <c r="R1491" s="2" t="inlineStr"/>
    </row>
    <row r="1492" ht="15" customHeight="1">
      <c r="A1492" t="inlineStr">
        <is>
          <t>A 33212-2025</t>
        </is>
      </c>
      <c r="B1492" s="1" t="n">
        <v>45840.62780092593</v>
      </c>
      <c r="C1492" s="1" t="n">
        <v>46048</v>
      </c>
      <c r="D1492" t="inlineStr">
        <is>
          <t>JÄMTLANDS LÄN</t>
        </is>
      </c>
      <c r="E1492" t="inlineStr">
        <is>
          <t>STRÖMSUND</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40492-2024</t>
        </is>
      </c>
      <c r="B1493" s="1" t="n">
        <v>45555</v>
      </c>
      <c r="C1493" s="1" t="n">
        <v>46048</v>
      </c>
      <c r="D1493" t="inlineStr">
        <is>
          <t>JÄMTLANDS LÄN</t>
        </is>
      </c>
      <c r="E1493" t="inlineStr">
        <is>
          <t>STRÖMSUND</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33055-2025</t>
        </is>
      </c>
      <c r="B1494" s="1" t="n">
        <v>45840.42765046296</v>
      </c>
      <c r="C1494" s="1" t="n">
        <v>46048</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50638-2024</t>
        </is>
      </c>
      <c r="B1495" s="1" t="n">
        <v>45601.6775</v>
      </c>
      <c r="C1495" s="1" t="n">
        <v>46048</v>
      </c>
      <c r="D1495" t="inlineStr">
        <is>
          <t>JÄMTLANDS LÄN</t>
        </is>
      </c>
      <c r="E1495" t="inlineStr">
        <is>
          <t>STRÖMSUND</t>
        </is>
      </c>
      <c r="F1495" t="inlineStr">
        <is>
          <t>SCA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13740-2025</t>
        </is>
      </c>
      <c r="B1496" s="1" t="n">
        <v>45736</v>
      </c>
      <c r="C1496" s="1" t="n">
        <v>46048</v>
      </c>
      <c r="D1496" t="inlineStr">
        <is>
          <t>JÄMTLANDS LÄN</t>
        </is>
      </c>
      <c r="E1496" t="inlineStr">
        <is>
          <t>STRÖMSUND</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13777-2025</t>
        </is>
      </c>
      <c r="B1497" s="1" t="n">
        <v>45736</v>
      </c>
      <c r="C1497" s="1" t="n">
        <v>46048</v>
      </c>
      <c r="D1497" t="inlineStr">
        <is>
          <t>JÄMTLANDS LÄN</t>
        </is>
      </c>
      <c r="E1497" t="inlineStr">
        <is>
          <t>STRÖMSUND</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41283-2024</t>
        </is>
      </c>
      <c r="B1498" s="1" t="n">
        <v>45559.59509259259</v>
      </c>
      <c r="C1498" s="1" t="n">
        <v>46048</v>
      </c>
      <c r="D1498" t="inlineStr">
        <is>
          <t>JÄMTLANDS LÄN</t>
        </is>
      </c>
      <c r="E1498" t="inlineStr">
        <is>
          <t>STRÖMSUND</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33626-2025</t>
        </is>
      </c>
      <c r="B1499" s="1" t="n">
        <v>45841.63570601852</v>
      </c>
      <c r="C1499" s="1" t="n">
        <v>46048</v>
      </c>
      <c r="D1499" t="inlineStr">
        <is>
          <t>JÄMTLANDS LÄN</t>
        </is>
      </c>
      <c r="E1499" t="inlineStr">
        <is>
          <t>STRÖMSUND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33264-2025</t>
        </is>
      </c>
      <c r="B1500" s="1" t="n">
        <v>45840.67819444444</v>
      </c>
      <c r="C1500" s="1" t="n">
        <v>46048</v>
      </c>
      <c r="D1500" t="inlineStr">
        <is>
          <t>JÄMTLANDS LÄN</t>
        </is>
      </c>
      <c r="E1500" t="inlineStr">
        <is>
          <t>STRÖMSUND</t>
        </is>
      </c>
      <c r="F1500" t="inlineStr">
        <is>
          <t>SCA</t>
        </is>
      </c>
      <c r="G1500" t="n">
        <v>13.4</v>
      </c>
      <c r="H1500" t="n">
        <v>0</v>
      </c>
      <c r="I1500" t="n">
        <v>0</v>
      </c>
      <c r="J1500" t="n">
        <v>0</v>
      </c>
      <c r="K1500" t="n">
        <v>0</v>
      </c>
      <c r="L1500" t="n">
        <v>0</v>
      </c>
      <c r="M1500" t="n">
        <v>0</v>
      </c>
      <c r="N1500" t="n">
        <v>0</v>
      </c>
      <c r="O1500" t="n">
        <v>0</v>
      </c>
      <c r="P1500" t="n">
        <v>0</v>
      </c>
      <c r="Q1500" t="n">
        <v>0</v>
      </c>
      <c r="R1500" s="2" t="inlineStr"/>
    </row>
    <row r="1501" ht="15" customHeight="1">
      <c r="A1501" t="inlineStr">
        <is>
          <t>A 54479-2023</t>
        </is>
      </c>
      <c r="B1501" s="1" t="n">
        <v>45233</v>
      </c>
      <c r="C1501" s="1" t="n">
        <v>46048</v>
      </c>
      <c r="D1501" t="inlineStr">
        <is>
          <t>JÄMTLANDS LÄN</t>
        </is>
      </c>
      <c r="E1501" t="inlineStr">
        <is>
          <t>STRÖMSUND</t>
        </is>
      </c>
      <c r="F1501" t="inlineStr">
        <is>
          <t>Holmen skog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49861-2023</t>
        </is>
      </c>
      <c r="B1502" s="1" t="n">
        <v>45212</v>
      </c>
      <c r="C1502" s="1" t="n">
        <v>46048</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5174-2023</t>
        </is>
      </c>
      <c r="B1503" s="1" t="n">
        <v>44958</v>
      </c>
      <c r="C1503" s="1" t="n">
        <v>46048</v>
      </c>
      <c r="D1503" t="inlineStr">
        <is>
          <t>JÄMTLANDS LÄN</t>
        </is>
      </c>
      <c r="E1503" t="inlineStr">
        <is>
          <t>STRÖMSUND</t>
        </is>
      </c>
      <c r="F1503" t="inlineStr">
        <is>
          <t>SCA</t>
        </is>
      </c>
      <c r="G1503" t="n">
        <v>64.5</v>
      </c>
      <c r="H1503" t="n">
        <v>0</v>
      </c>
      <c r="I1503" t="n">
        <v>0</v>
      </c>
      <c r="J1503" t="n">
        <v>0</v>
      </c>
      <c r="K1503" t="n">
        <v>0</v>
      </c>
      <c r="L1503" t="n">
        <v>0</v>
      </c>
      <c r="M1503" t="n">
        <v>0</v>
      </c>
      <c r="N1503" t="n">
        <v>0</v>
      </c>
      <c r="O1503" t="n">
        <v>0</v>
      </c>
      <c r="P1503" t="n">
        <v>0</v>
      </c>
      <c r="Q1503" t="n">
        <v>0</v>
      </c>
      <c r="R1503" s="2" t="inlineStr"/>
    </row>
    <row r="1504" ht="15" customHeight="1">
      <c r="A1504" t="inlineStr">
        <is>
          <t>A 33843-2025</t>
        </is>
      </c>
      <c r="B1504" s="1" t="n">
        <v>45842.48445601852</v>
      </c>
      <c r="C1504" s="1" t="n">
        <v>46048</v>
      </c>
      <c r="D1504" t="inlineStr">
        <is>
          <t>JÄMTLANDS LÄN</t>
        </is>
      </c>
      <c r="E1504" t="inlineStr">
        <is>
          <t>STRÖMSUND</t>
        </is>
      </c>
      <c r="F1504" t="inlineStr">
        <is>
          <t>Holmen skog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33889-2025</t>
        </is>
      </c>
      <c r="B1505" s="1" t="n">
        <v>45842.57365740741</v>
      </c>
      <c r="C1505" s="1" t="n">
        <v>46048</v>
      </c>
      <c r="D1505" t="inlineStr">
        <is>
          <t>JÄMTLANDS LÄN</t>
        </is>
      </c>
      <c r="E1505" t="inlineStr">
        <is>
          <t>STRÖMSUND</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33223-2021</t>
        </is>
      </c>
      <c r="B1506" s="1" t="n">
        <v>44376.93822916667</v>
      </c>
      <c r="C1506" s="1" t="n">
        <v>46048</v>
      </c>
      <c r="D1506" t="inlineStr">
        <is>
          <t>JÄMTLANDS LÄN</t>
        </is>
      </c>
      <c r="E1506" t="inlineStr">
        <is>
          <t>STRÖMSUND</t>
        </is>
      </c>
      <c r="F1506" t="inlineStr">
        <is>
          <t>SCA</t>
        </is>
      </c>
      <c r="G1506" t="n">
        <v>17.8</v>
      </c>
      <c r="H1506" t="n">
        <v>0</v>
      </c>
      <c r="I1506" t="n">
        <v>0</v>
      </c>
      <c r="J1506" t="n">
        <v>0</v>
      </c>
      <c r="K1506" t="n">
        <v>0</v>
      </c>
      <c r="L1506" t="n">
        <v>0</v>
      </c>
      <c r="M1506" t="n">
        <v>0</v>
      </c>
      <c r="N1506" t="n">
        <v>0</v>
      </c>
      <c r="O1506" t="n">
        <v>0</v>
      </c>
      <c r="P1506" t="n">
        <v>0</v>
      </c>
      <c r="Q1506" t="n">
        <v>0</v>
      </c>
      <c r="R1506" s="2" t="inlineStr"/>
    </row>
    <row r="1507" ht="15" customHeight="1">
      <c r="A1507" t="inlineStr">
        <is>
          <t>A 34186-2025</t>
        </is>
      </c>
      <c r="B1507" s="1" t="n">
        <v>45845.61497685185</v>
      </c>
      <c r="C1507" s="1" t="n">
        <v>46048</v>
      </c>
      <c r="D1507" t="inlineStr">
        <is>
          <t>JÄMTLANDS LÄN</t>
        </is>
      </c>
      <c r="E1507" t="inlineStr">
        <is>
          <t>STRÖMSUND</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33756-2025</t>
        </is>
      </c>
      <c r="B1508" s="1" t="n">
        <v>45842.37733796296</v>
      </c>
      <c r="C1508" s="1" t="n">
        <v>46048</v>
      </c>
      <c r="D1508" t="inlineStr">
        <is>
          <t>JÄMTLANDS LÄN</t>
        </is>
      </c>
      <c r="E1508" t="inlineStr">
        <is>
          <t>STRÖMSUND</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56484-2023</t>
        </is>
      </c>
      <c r="B1509" s="1" t="n">
        <v>45237</v>
      </c>
      <c r="C1509" s="1" t="n">
        <v>46048</v>
      </c>
      <c r="D1509" t="inlineStr">
        <is>
          <t>JÄMTLANDS LÄN</t>
        </is>
      </c>
      <c r="E1509" t="inlineStr">
        <is>
          <t>STRÖMSUND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45230-2021</t>
        </is>
      </c>
      <c r="B1510" s="1" t="n">
        <v>44439.58334490741</v>
      </c>
      <c r="C1510" s="1" t="n">
        <v>46048</v>
      </c>
      <c r="D1510" t="inlineStr">
        <is>
          <t>JÄMTLANDS LÄN</t>
        </is>
      </c>
      <c r="E1510" t="inlineStr">
        <is>
          <t>STRÖMSUND</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30836-2023</t>
        </is>
      </c>
      <c r="B1511" s="1" t="n">
        <v>45112.94390046296</v>
      </c>
      <c r="C1511" s="1" t="n">
        <v>46048</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8895-2024</t>
        </is>
      </c>
      <c r="B1512" s="1" t="n">
        <v>45357.31908564815</v>
      </c>
      <c r="C1512" s="1" t="n">
        <v>46048</v>
      </c>
      <c r="D1512" t="inlineStr">
        <is>
          <t>JÄMTLANDS LÄN</t>
        </is>
      </c>
      <c r="E1512" t="inlineStr">
        <is>
          <t>STRÖMSUND</t>
        </is>
      </c>
      <c r="F1512" t="inlineStr">
        <is>
          <t>Holmen skog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34207-2025</t>
        </is>
      </c>
      <c r="B1513" s="1" t="n">
        <v>45845.63596064815</v>
      </c>
      <c r="C1513" s="1" t="n">
        <v>46048</v>
      </c>
      <c r="D1513" t="inlineStr">
        <is>
          <t>JÄMTLANDS LÄN</t>
        </is>
      </c>
      <c r="E1513" t="inlineStr">
        <is>
          <t>STRÖMSUND</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34222-2025</t>
        </is>
      </c>
      <c r="B1514" s="1" t="n">
        <v>45845.65076388889</v>
      </c>
      <c r="C1514" s="1" t="n">
        <v>46048</v>
      </c>
      <c r="D1514" t="inlineStr">
        <is>
          <t>JÄMTLANDS LÄN</t>
        </is>
      </c>
      <c r="E1514" t="inlineStr">
        <is>
          <t>STRÖMSUND</t>
        </is>
      </c>
      <c r="F1514" t="inlineStr">
        <is>
          <t>Holmen skog AB</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55161-2024</t>
        </is>
      </c>
      <c r="B1515" s="1" t="n">
        <v>45621.51085648148</v>
      </c>
      <c r="C1515" s="1" t="n">
        <v>46048</v>
      </c>
      <c r="D1515" t="inlineStr">
        <is>
          <t>JÄMTLANDS LÄN</t>
        </is>
      </c>
      <c r="E1515" t="inlineStr">
        <is>
          <t>STRÖMSUND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34187-2025</t>
        </is>
      </c>
      <c r="B1516" s="1" t="n">
        <v>45845.61516203704</v>
      </c>
      <c r="C1516" s="1" t="n">
        <v>46048</v>
      </c>
      <c r="D1516" t="inlineStr">
        <is>
          <t>JÄMTLANDS LÄN</t>
        </is>
      </c>
      <c r="E1516" t="inlineStr">
        <is>
          <t>STRÖMSUND</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66488-2021</t>
        </is>
      </c>
      <c r="B1517" s="1" t="n">
        <v>44518.94496527778</v>
      </c>
      <c r="C1517" s="1" t="n">
        <v>46048</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34206-2025</t>
        </is>
      </c>
      <c r="B1518" s="1" t="n">
        <v>45845.6358912037</v>
      </c>
      <c r="C1518" s="1" t="n">
        <v>46048</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20592-2023</t>
        </is>
      </c>
      <c r="B1519" s="1" t="n">
        <v>45057</v>
      </c>
      <c r="C1519" s="1" t="n">
        <v>46048</v>
      </c>
      <c r="D1519" t="inlineStr">
        <is>
          <t>JÄMTLANDS LÄN</t>
        </is>
      </c>
      <c r="E1519" t="inlineStr">
        <is>
          <t>STRÖMSUND</t>
        </is>
      </c>
      <c r="F1519" t="inlineStr">
        <is>
          <t>SCA</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15650-2021</t>
        </is>
      </c>
      <c r="B1520" s="1" t="n">
        <v>44285</v>
      </c>
      <c r="C1520" s="1" t="n">
        <v>46048</v>
      </c>
      <c r="D1520" t="inlineStr">
        <is>
          <t>JÄMTLANDS LÄN</t>
        </is>
      </c>
      <c r="E1520" t="inlineStr">
        <is>
          <t>STRÖMSUND</t>
        </is>
      </c>
      <c r="F1520" t="inlineStr">
        <is>
          <t>SCA</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49384-2024</t>
        </is>
      </c>
      <c r="B1521" s="1" t="n">
        <v>45595.65655092592</v>
      </c>
      <c r="C1521" s="1" t="n">
        <v>46048</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33888-2025</t>
        </is>
      </c>
      <c r="B1522" s="1" t="n">
        <v>45842.57351851852</v>
      </c>
      <c r="C1522" s="1" t="n">
        <v>46048</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14886-2025</t>
        </is>
      </c>
      <c r="B1523" s="1" t="n">
        <v>45743.46734953704</v>
      </c>
      <c r="C1523" s="1" t="n">
        <v>46048</v>
      </c>
      <c r="D1523" t="inlineStr">
        <is>
          <t>JÄMTLANDS LÄN</t>
        </is>
      </c>
      <c r="E1523" t="inlineStr">
        <is>
          <t>STRÖMSUND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33898-2025</t>
        </is>
      </c>
      <c r="B1524" s="1" t="n">
        <v>45842.59422453704</v>
      </c>
      <c r="C1524" s="1" t="n">
        <v>46048</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19063-2025</t>
        </is>
      </c>
      <c r="B1525" s="1" t="n">
        <v>45765.34429398148</v>
      </c>
      <c r="C1525" s="1" t="n">
        <v>46048</v>
      </c>
      <c r="D1525" t="inlineStr">
        <is>
          <t>JÄMTLANDS LÄN</t>
        </is>
      </c>
      <c r="E1525" t="inlineStr">
        <is>
          <t>STRÖMSUND</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34156-2025</t>
        </is>
      </c>
      <c r="B1526" s="1" t="n">
        <v>45845.57354166666</v>
      </c>
      <c r="C1526" s="1" t="n">
        <v>46048</v>
      </c>
      <c r="D1526" t="inlineStr">
        <is>
          <t>JÄMTLANDS LÄN</t>
        </is>
      </c>
      <c r="E1526" t="inlineStr">
        <is>
          <t>STRÖMSUND</t>
        </is>
      </c>
      <c r="F1526" t="inlineStr">
        <is>
          <t>SCA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34188-2025</t>
        </is>
      </c>
      <c r="B1527" s="1" t="n">
        <v>45845.61542824074</v>
      </c>
      <c r="C1527" s="1" t="n">
        <v>46048</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8812-2025</t>
        </is>
      </c>
      <c r="B1528" s="1" t="n">
        <v>45712.68813657408</v>
      </c>
      <c r="C1528" s="1" t="n">
        <v>46048</v>
      </c>
      <c r="D1528" t="inlineStr">
        <is>
          <t>JÄMTLANDS LÄN</t>
        </is>
      </c>
      <c r="E1528" t="inlineStr">
        <is>
          <t>STRÖMSUND</t>
        </is>
      </c>
      <c r="F1528" t="inlineStr">
        <is>
          <t>Kyrkan</t>
        </is>
      </c>
      <c r="G1528" t="n">
        <v>38.1</v>
      </c>
      <c r="H1528" t="n">
        <v>0</v>
      </c>
      <c r="I1528" t="n">
        <v>0</v>
      </c>
      <c r="J1528" t="n">
        <v>0</v>
      </c>
      <c r="K1528" t="n">
        <v>0</v>
      </c>
      <c r="L1528" t="n">
        <v>0</v>
      </c>
      <c r="M1528" t="n">
        <v>0</v>
      </c>
      <c r="N1528" t="n">
        <v>0</v>
      </c>
      <c r="O1528" t="n">
        <v>0</v>
      </c>
      <c r="P1528" t="n">
        <v>0</v>
      </c>
      <c r="Q1528" t="n">
        <v>0</v>
      </c>
      <c r="R1528" s="2" t="inlineStr"/>
    </row>
    <row r="1529" ht="15" customHeight="1">
      <c r="A1529" t="inlineStr">
        <is>
          <t>A 33797-2025</t>
        </is>
      </c>
      <c r="B1529" s="1" t="n">
        <v>45842.436875</v>
      </c>
      <c r="C1529" s="1" t="n">
        <v>46048</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53025-2023</t>
        </is>
      </c>
      <c r="B1530" s="1" t="n">
        <v>45222</v>
      </c>
      <c r="C1530" s="1" t="n">
        <v>46048</v>
      </c>
      <c r="D1530" t="inlineStr">
        <is>
          <t>JÄMTLANDS LÄN</t>
        </is>
      </c>
      <c r="E1530" t="inlineStr">
        <is>
          <t>STRÖMSUND</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45249-2024</t>
        </is>
      </c>
      <c r="B1531" s="1" t="n">
        <v>45576.32144675926</v>
      </c>
      <c r="C1531" s="1" t="n">
        <v>46048</v>
      </c>
      <c r="D1531" t="inlineStr">
        <is>
          <t>JÄMTLANDS LÄN</t>
        </is>
      </c>
      <c r="E1531" t="inlineStr">
        <is>
          <t>STRÖMSUND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24509-2022</t>
        </is>
      </c>
      <c r="B1532" s="1" t="n">
        <v>44726</v>
      </c>
      <c r="C1532" s="1" t="n">
        <v>46048</v>
      </c>
      <c r="D1532" t="inlineStr">
        <is>
          <t>JÄMTLANDS LÄN</t>
        </is>
      </c>
      <c r="E1532" t="inlineStr">
        <is>
          <t>STRÖMSUND</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34491-2025</t>
        </is>
      </c>
      <c r="B1533" s="1" t="n">
        <v>45847.40736111111</v>
      </c>
      <c r="C1533" s="1" t="n">
        <v>46048</v>
      </c>
      <c r="D1533" t="inlineStr">
        <is>
          <t>JÄMTLANDS LÄN</t>
        </is>
      </c>
      <c r="E1533" t="inlineStr">
        <is>
          <t>STRÖMSUND</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19026-2023</t>
        </is>
      </c>
      <c r="B1534" s="1" t="n">
        <v>45047</v>
      </c>
      <c r="C1534" s="1" t="n">
        <v>46048</v>
      </c>
      <c r="D1534" t="inlineStr">
        <is>
          <t>JÄMTLANDS LÄN</t>
        </is>
      </c>
      <c r="E1534" t="inlineStr">
        <is>
          <t>STRÖMSUND</t>
        </is>
      </c>
      <c r="G1534" t="n">
        <v>15.1</v>
      </c>
      <c r="H1534" t="n">
        <v>0</v>
      </c>
      <c r="I1534" t="n">
        <v>0</v>
      </c>
      <c r="J1534" t="n">
        <v>0</v>
      </c>
      <c r="K1534" t="n">
        <v>0</v>
      </c>
      <c r="L1534" t="n">
        <v>0</v>
      </c>
      <c r="M1534" t="n">
        <v>0</v>
      </c>
      <c r="N1534" t="n">
        <v>0</v>
      </c>
      <c r="O1534" t="n">
        <v>0</v>
      </c>
      <c r="P1534" t="n">
        <v>0</v>
      </c>
      <c r="Q1534" t="n">
        <v>0</v>
      </c>
      <c r="R1534" s="2" t="inlineStr"/>
    </row>
    <row r="1535" ht="15" customHeight="1">
      <c r="A1535" t="inlineStr">
        <is>
          <t>A 19029-2023</t>
        </is>
      </c>
      <c r="B1535" s="1" t="n">
        <v>45047</v>
      </c>
      <c r="C1535" s="1" t="n">
        <v>46048</v>
      </c>
      <c r="D1535" t="inlineStr">
        <is>
          <t>JÄMTLANDS LÄN</t>
        </is>
      </c>
      <c r="E1535" t="inlineStr">
        <is>
          <t>STRÖMSUND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45720-2022</t>
        </is>
      </c>
      <c r="B1536" s="1" t="n">
        <v>44845.95539351852</v>
      </c>
      <c r="C1536" s="1" t="n">
        <v>46048</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57445-2023</t>
        </is>
      </c>
      <c r="B1537" s="1" t="n">
        <v>45246.34328703704</v>
      </c>
      <c r="C1537" s="1" t="n">
        <v>46048</v>
      </c>
      <c r="D1537" t="inlineStr">
        <is>
          <t>JÄMTLANDS LÄN</t>
        </is>
      </c>
      <c r="E1537" t="inlineStr">
        <is>
          <t>STRÖMSUND</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5261-2024</t>
        </is>
      </c>
      <c r="B1538" s="1" t="n">
        <v>45330.96133101852</v>
      </c>
      <c r="C1538" s="1" t="n">
        <v>46048</v>
      </c>
      <c r="D1538" t="inlineStr">
        <is>
          <t>JÄMTLANDS LÄN</t>
        </is>
      </c>
      <c r="E1538" t="inlineStr">
        <is>
          <t>STRÖMSUND</t>
        </is>
      </c>
      <c r="F1538" t="inlineStr">
        <is>
          <t>SCA</t>
        </is>
      </c>
      <c r="G1538" t="n">
        <v>29.7</v>
      </c>
      <c r="H1538" t="n">
        <v>0</v>
      </c>
      <c r="I1538" t="n">
        <v>0</v>
      </c>
      <c r="J1538" t="n">
        <v>0</v>
      </c>
      <c r="K1538" t="n">
        <v>0</v>
      </c>
      <c r="L1538" t="n">
        <v>0</v>
      </c>
      <c r="M1538" t="n">
        <v>0</v>
      </c>
      <c r="N1538" t="n">
        <v>0</v>
      </c>
      <c r="O1538" t="n">
        <v>0</v>
      </c>
      <c r="P1538" t="n">
        <v>0</v>
      </c>
      <c r="Q1538" t="n">
        <v>0</v>
      </c>
      <c r="R1538" s="2" t="inlineStr"/>
    </row>
    <row r="1539" ht="15" customHeight="1">
      <c r="A1539" t="inlineStr">
        <is>
          <t>A 51585-2024</t>
        </is>
      </c>
      <c r="B1539" s="1" t="n">
        <v>45604.64290509259</v>
      </c>
      <c r="C1539" s="1" t="n">
        <v>46048</v>
      </c>
      <c r="D1539" t="inlineStr">
        <is>
          <t>JÄMTLANDS LÄN</t>
        </is>
      </c>
      <c r="E1539" t="inlineStr">
        <is>
          <t>STRÖMSUND</t>
        </is>
      </c>
      <c r="F1539" t="inlineStr">
        <is>
          <t>Kommuner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34467-2025</t>
        </is>
      </c>
      <c r="B1540" s="1" t="n">
        <v>45847.34582175926</v>
      </c>
      <c r="C1540" s="1" t="n">
        <v>46048</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32396-2024</t>
        </is>
      </c>
      <c r="B1541" s="1" t="n">
        <v>45512.64496527778</v>
      </c>
      <c r="C1541" s="1" t="n">
        <v>46048</v>
      </c>
      <c r="D1541" t="inlineStr">
        <is>
          <t>JÄMTLANDS LÄN</t>
        </is>
      </c>
      <c r="E1541" t="inlineStr">
        <is>
          <t>STRÖMSUND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10089-2025</t>
        </is>
      </c>
      <c r="B1542" s="1" t="n">
        <v>45719.57336805556</v>
      </c>
      <c r="C1542" s="1" t="n">
        <v>46048</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43565-2023</t>
        </is>
      </c>
      <c r="B1543" s="1" t="n">
        <v>45181</v>
      </c>
      <c r="C1543" s="1" t="n">
        <v>46048</v>
      </c>
      <c r="D1543" t="inlineStr">
        <is>
          <t>JÄMTLANDS LÄN</t>
        </is>
      </c>
      <c r="E1543" t="inlineStr">
        <is>
          <t>STRÖMSUND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33216-2021</t>
        </is>
      </c>
      <c r="B1544" s="1" t="n">
        <v>44376</v>
      </c>
      <c r="C1544" s="1" t="n">
        <v>46048</v>
      </c>
      <c r="D1544" t="inlineStr">
        <is>
          <t>JÄMTLANDS LÄN</t>
        </is>
      </c>
      <c r="E1544" t="inlineStr">
        <is>
          <t>STRÖMSUND</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19146-2025</t>
        </is>
      </c>
      <c r="B1545" s="1" t="n">
        <v>45769.34462962963</v>
      </c>
      <c r="C1545" s="1" t="n">
        <v>46048</v>
      </c>
      <c r="D1545" t="inlineStr">
        <is>
          <t>JÄMTLANDS LÄN</t>
        </is>
      </c>
      <c r="E1545" t="inlineStr">
        <is>
          <t>STRÖMSUND</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34683-2025</t>
        </is>
      </c>
      <c r="B1546" s="1" t="n">
        <v>45848.42895833333</v>
      </c>
      <c r="C1546" s="1" t="n">
        <v>46048</v>
      </c>
      <c r="D1546" t="inlineStr">
        <is>
          <t>JÄMTLANDS LÄN</t>
        </is>
      </c>
      <c r="E1546" t="inlineStr">
        <is>
          <t>STRÖMSUND</t>
        </is>
      </c>
      <c r="F1546" t="inlineStr">
        <is>
          <t>SCA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43453-2022</t>
        </is>
      </c>
      <c r="B1547" s="1" t="n">
        <v>44835</v>
      </c>
      <c r="C1547" s="1" t="n">
        <v>46048</v>
      </c>
      <c r="D1547" t="inlineStr">
        <is>
          <t>JÄMTLANDS LÄN</t>
        </is>
      </c>
      <c r="E1547" t="inlineStr">
        <is>
          <t>STRÖMSUND</t>
        </is>
      </c>
      <c r="F1547" t="inlineStr">
        <is>
          <t>SCA</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34684-2025</t>
        </is>
      </c>
      <c r="B1548" s="1" t="n">
        <v>45848.42901620371</v>
      </c>
      <c r="C1548" s="1" t="n">
        <v>46048</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52113-2023</t>
        </is>
      </c>
      <c r="B1549" s="1" t="n">
        <v>45223.9275462963</v>
      </c>
      <c r="C1549" s="1" t="n">
        <v>46048</v>
      </c>
      <c r="D1549" t="inlineStr">
        <is>
          <t>JÄMTLANDS LÄN</t>
        </is>
      </c>
      <c r="E1549" t="inlineStr">
        <is>
          <t>STRÖMSUND</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34833-2025</t>
        </is>
      </c>
      <c r="B1550" s="1" t="n">
        <v>45849.38658564815</v>
      </c>
      <c r="C1550" s="1" t="n">
        <v>46048</v>
      </c>
      <c r="D1550" t="inlineStr">
        <is>
          <t>JÄMTLANDS LÄN</t>
        </is>
      </c>
      <c r="E1550" t="inlineStr">
        <is>
          <t>STRÖMSUND</t>
        </is>
      </c>
      <c r="F1550" t="inlineStr">
        <is>
          <t>Sveaskog</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43846-2021</t>
        </is>
      </c>
      <c r="B1551" s="1" t="n">
        <v>44433.94219907407</v>
      </c>
      <c r="C1551" s="1" t="n">
        <v>46048</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34838-2025</t>
        </is>
      </c>
      <c r="B1552" s="1" t="n">
        <v>45849.39423611111</v>
      </c>
      <c r="C1552" s="1" t="n">
        <v>46048</v>
      </c>
      <c r="D1552" t="inlineStr">
        <is>
          <t>JÄMTLANDS LÄN</t>
        </is>
      </c>
      <c r="E1552" t="inlineStr">
        <is>
          <t>STRÖMSUND</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34841-2025</t>
        </is>
      </c>
      <c r="B1553" s="1" t="n">
        <v>45849.3993287037</v>
      </c>
      <c r="C1553" s="1" t="n">
        <v>46048</v>
      </c>
      <c r="D1553" t="inlineStr">
        <is>
          <t>JÄMTLANDS LÄN</t>
        </is>
      </c>
      <c r="E1553" t="inlineStr">
        <is>
          <t>STRÖMSUND</t>
        </is>
      </c>
      <c r="F1553" t="inlineStr">
        <is>
          <t>Sveaskog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34750-2025</t>
        </is>
      </c>
      <c r="B1554" s="1" t="n">
        <v>45848.61577546296</v>
      </c>
      <c r="C1554" s="1" t="n">
        <v>46048</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34685-2025</t>
        </is>
      </c>
      <c r="B1555" s="1" t="n">
        <v>45848.42905092592</v>
      </c>
      <c r="C1555" s="1" t="n">
        <v>46048</v>
      </c>
      <c r="D1555" t="inlineStr">
        <is>
          <t>JÄMTLANDS LÄN</t>
        </is>
      </c>
      <c r="E1555" t="inlineStr">
        <is>
          <t>STRÖMSUND</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14460-2022</t>
        </is>
      </c>
      <c r="B1556" s="1" t="n">
        <v>44654.61942129629</v>
      </c>
      <c r="C1556" s="1" t="n">
        <v>46048</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24397-2023</t>
        </is>
      </c>
      <c r="B1557" s="1" t="n">
        <v>45082</v>
      </c>
      <c r="C1557" s="1" t="n">
        <v>46048</v>
      </c>
      <c r="D1557" t="inlineStr">
        <is>
          <t>JÄMTLANDS LÄN</t>
        </is>
      </c>
      <c r="E1557" t="inlineStr">
        <is>
          <t>STRÖMSUND</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34891-2025</t>
        </is>
      </c>
      <c r="B1558" s="1" t="n">
        <v>45849.49033564814</v>
      </c>
      <c r="C1558" s="1" t="n">
        <v>46048</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34815-2025</t>
        </is>
      </c>
      <c r="B1559" s="1" t="n">
        <v>45849.35287037037</v>
      </c>
      <c r="C1559" s="1" t="n">
        <v>46048</v>
      </c>
      <c r="D1559" t="inlineStr">
        <is>
          <t>JÄMTLANDS LÄN</t>
        </is>
      </c>
      <c r="E1559" t="inlineStr">
        <is>
          <t>STRÖMSUND</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34882-2025</t>
        </is>
      </c>
      <c r="B1560" s="1" t="n">
        <v>45849.46928240741</v>
      </c>
      <c r="C1560" s="1" t="n">
        <v>46048</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1798-2024</t>
        </is>
      </c>
      <c r="B1561" s="1" t="n">
        <v>45307</v>
      </c>
      <c r="C1561" s="1" t="n">
        <v>46048</v>
      </c>
      <c r="D1561" t="inlineStr">
        <is>
          <t>JÄMTLANDS LÄN</t>
        </is>
      </c>
      <c r="E1561" t="inlineStr">
        <is>
          <t>STRÖMSUND</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22096-2022</t>
        </is>
      </c>
      <c r="B1562" s="1" t="n">
        <v>44711.94118055556</v>
      </c>
      <c r="C1562" s="1" t="n">
        <v>46048</v>
      </c>
      <c r="D1562" t="inlineStr">
        <is>
          <t>JÄMTLANDS LÄN</t>
        </is>
      </c>
      <c r="E1562" t="inlineStr">
        <is>
          <t>STRÖMSUND</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59478-2023</t>
        </is>
      </c>
      <c r="B1563" s="1" t="n">
        <v>45254</v>
      </c>
      <c r="C1563" s="1" t="n">
        <v>46048</v>
      </c>
      <c r="D1563" t="inlineStr">
        <is>
          <t>JÄMTLANDS LÄN</t>
        </is>
      </c>
      <c r="E1563" t="inlineStr">
        <is>
          <t>STRÖMSUND</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34884-2025</t>
        </is>
      </c>
      <c r="B1564" s="1" t="n">
        <v>45849.46958333333</v>
      </c>
      <c r="C1564" s="1" t="n">
        <v>46048</v>
      </c>
      <c r="D1564" t="inlineStr">
        <is>
          <t>JÄMTLANDS LÄN</t>
        </is>
      </c>
      <c r="E1564" t="inlineStr">
        <is>
          <t>STRÖMSUND</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292-2025</t>
        </is>
      </c>
      <c r="B1565" s="1" t="n">
        <v>45660.53174768519</v>
      </c>
      <c r="C1565" s="1" t="n">
        <v>46048</v>
      </c>
      <c r="D1565" t="inlineStr">
        <is>
          <t>JÄMTLANDS LÄN</t>
        </is>
      </c>
      <c r="E1565" t="inlineStr">
        <is>
          <t>STRÖMSUND</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34811-2025</t>
        </is>
      </c>
      <c r="B1566" s="1" t="n">
        <v>45849.34430555555</v>
      </c>
      <c r="C1566" s="1" t="n">
        <v>46048</v>
      </c>
      <c r="D1566" t="inlineStr">
        <is>
          <t>JÄMTLANDS LÄN</t>
        </is>
      </c>
      <c r="E1566" t="inlineStr">
        <is>
          <t>STRÖMSUND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34812-2025</t>
        </is>
      </c>
      <c r="B1567" s="1" t="n">
        <v>45849.34442129629</v>
      </c>
      <c r="C1567" s="1" t="n">
        <v>46048</v>
      </c>
      <c r="D1567" t="inlineStr">
        <is>
          <t>JÄMTLANDS LÄN</t>
        </is>
      </c>
      <c r="E1567" t="inlineStr">
        <is>
          <t>STRÖMSUND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59469-2023</t>
        </is>
      </c>
      <c r="B1568" s="1" t="n">
        <v>45254</v>
      </c>
      <c r="C1568" s="1" t="n">
        <v>46048</v>
      </c>
      <c r="D1568" t="inlineStr">
        <is>
          <t>JÄMTLANDS LÄN</t>
        </is>
      </c>
      <c r="E1568" t="inlineStr">
        <is>
          <t>STRÖMSUND</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18298-2024</t>
        </is>
      </c>
      <c r="B1569" s="1" t="n">
        <v>45421</v>
      </c>
      <c r="C1569" s="1" t="n">
        <v>46048</v>
      </c>
      <c r="D1569" t="inlineStr">
        <is>
          <t>JÄMTLANDS LÄN</t>
        </is>
      </c>
      <c r="E1569" t="inlineStr">
        <is>
          <t>STRÖMSUND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14671-2025</t>
        </is>
      </c>
      <c r="B1570" s="1" t="n">
        <v>45742</v>
      </c>
      <c r="C1570" s="1" t="n">
        <v>46048</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6685-2025</t>
        </is>
      </c>
      <c r="B1571" s="1" t="n">
        <v>45700.48990740741</v>
      </c>
      <c r="C1571" s="1" t="n">
        <v>46048</v>
      </c>
      <c r="D1571" t="inlineStr">
        <is>
          <t>JÄMTLANDS LÄN</t>
        </is>
      </c>
      <c r="E1571" t="inlineStr">
        <is>
          <t>STRÖMSUND</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32673-2024</t>
        </is>
      </c>
      <c r="B1572" s="1" t="n">
        <v>45514.61270833333</v>
      </c>
      <c r="C1572" s="1" t="n">
        <v>46048</v>
      </c>
      <c r="D1572" t="inlineStr">
        <is>
          <t>JÄMTLANDS LÄN</t>
        </is>
      </c>
      <c r="E1572" t="inlineStr">
        <is>
          <t>STRÖMSUND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35070-2025</t>
        </is>
      </c>
      <c r="B1573" s="1" t="n">
        <v>45852.46909722222</v>
      </c>
      <c r="C1573" s="1" t="n">
        <v>46048</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35081-2025</t>
        </is>
      </c>
      <c r="B1574" s="1" t="n">
        <v>45852.48996527777</v>
      </c>
      <c r="C1574" s="1" t="n">
        <v>46048</v>
      </c>
      <c r="D1574" t="inlineStr">
        <is>
          <t>JÄMTLANDS LÄN</t>
        </is>
      </c>
      <c r="E1574" t="inlineStr">
        <is>
          <t>STRÖMSUND</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35407-2024</t>
        </is>
      </c>
      <c r="B1575" s="1" t="n">
        <v>45531.40631944445</v>
      </c>
      <c r="C1575" s="1" t="n">
        <v>46048</v>
      </c>
      <c r="D1575" t="inlineStr">
        <is>
          <t>JÄMTLANDS LÄN</t>
        </is>
      </c>
      <c r="E1575" t="inlineStr">
        <is>
          <t>STRÖMSUND</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9257-2025</t>
        </is>
      </c>
      <c r="B1576" s="1" t="n">
        <v>45714.59465277778</v>
      </c>
      <c r="C1576" s="1" t="n">
        <v>46048</v>
      </c>
      <c r="D1576" t="inlineStr">
        <is>
          <t>JÄMTLANDS LÄN</t>
        </is>
      </c>
      <c r="E1576" t="inlineStr">
        <is>
          <t>STRÖMSUND</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40412-2025</t>
        </is>
      </c>
      <c r="B1577" s="1" t="n">
        <v>45895</v>
      </c>
      <c r="C1577" s="1" t="n">
        <v>46048</v>
      </c>
      <c r="D1577" t="inlineStr">
        <is>
          <t>JÄMTLANDS LÄN</t>
        </is>
      </c>
      <c r="E1577" t="inlineStr">
        <is>
          <t>STRÖMSUND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12870-2025</t>
        </is>
      </c>
      <c r="B1578" s="1" t="n">
        <v>45733.67751157407</v>
      </c>
      <c r="C1578" s="1" t="n">
        <v>46048</v>
      </c>
      <c r="D1578" t="inlineStr">
        <is>
          <t>JÄMTLANDS LÄN</t>
        </is>
      </c>
      <c r="E1578" t="inlineStr">
        <is>
          <t>STRÖMSUND</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57002-2022</t>
        </is>
      </c>
      <c r="B1579" s="1" t="n">
        <v>44894</v>
      </c>
      <c r="C1579" s="1" t="n">
        <v>46048</v>
      </c>
      <c r="D1579" t="inlineStr">
        <is>
          <t>JÄMTLANDS LÄN</t>
        </is>
      </c>
      <c r="E1579" t="inlineStr">
        <is>
          <t>STRÖMSUND</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35219-2025</t>
        </is>
      </c>
      <c r="B1580" s="1" t="n">
        <v>45853.51078703703</v>
      </c>
      <c r="C1580" s="1" t="n">
        <v>46048</v>
      </c>
      <c r="D1580" t="inlineStr">
        <is>
          <t>JÄMTLANDS LÄN</t>
        </is>
      </c>
      <c r="E1580" t="inlineStr">
        <is>
          <t>STRÖMSUND</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57280-2022</t>
        </is>
      </c>
      <c r="B1581" s="1" t="n">
        <v>44895.94929398148</v>
      </c>
      <c r="C1581" s="1" t="n">
        <v>46048</v>
      </c>
      <c r="D1581" t="inlineStr">
        <is>
          <t>JÄMTLANDS LÄN</t>
        </is>
      </c>
      <c r="E1581" t="inlineStr">
        <is>
          <t>STRÖMSUND</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33104-2021</t>
        </is>
      </c>
      <c r="B1582" s="1" t="n">
        <v>44376</v>
      </c>
      <c r="C1582" s="1" t="n">
        <v>46048</v>
      </c>
      <c r="D1582" t="inlineStr">
        <is>
          <t>JÄMTLANDS LÄN</t>
        </is>
      </c>
      <c r="E1582" t="inlineStr">
        <is>
          <t>STRÖMSUND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13924-2024</t>
        </is>
      </c>
      <c r="B1583" s="1" t="n">
        <v>45391.9315162037</v>
      </c>
      <c r="C1583" s="1" t="n">
        <v>46048</v>
      </c>
      <c r="D1583" t="inlineStr">
        <is>
          <t>JÄMTLANDS LÄN</t>
        </is>
      </c>
      <c r="E1583" t="inlineStr">
        <is>
          <t>STRÖMSUND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43146-2022</t>
        </is>
      </c>
      <c r="B1584" s="1" t="n">
        <v>44833</v>
      </c>
      <c r="C1584" s="1" t="n">
        <v>46048</v>
      </c>
      <c r="D1584" t="inlineStr">
        <is>
          <t>JÄMTLANDS LÄN</t>
        </is>
      </c>
      <c r="E1584" t="inlineStr">
        <is>
          <t>STRÖMSUND</t>
        </is>
      </c>
      <c r="F1584" t="inlineStr">
        <is>
          <t>SCA</t>
        </is>
      </c>
      <c r="G1584" t="n">
        <v>33.3</v>
      </c>
      <c r="H1584" t="n">
        <v>0</v>
      </c>
      <c r="I1584" t="n">
        <v>0</v>
      </c>
      <c r="J1584" t="n">
        <v>0</v>
      </c>
      <c r="K1584" t="n">
        <v>0</v>
      </c>
      <c r="L1584" t="n">
        <v>0</v>
      </c>
      <c r="M1584" t="n">
        <v>0</v>
      </c>
      <c r="N1584" t="n">
        <v>0</v>
      </c>
      <c r="O1584" t="n">
        <v>0</v>
      </c>
      <c r="P1584" t="n">
        <v>0</v>
      </c>
      <c r="Q1584" t="n">
        <v>0</v>
      </c>
      <c r="R1584" s="2" t="inlineStr"/>
    </row>
    <row r="1585" ht="15" customHeight="1">
      <c r="A1585" t="inlineStr">
        <is>
          <t>A 54965-2024</t>
        </is>
      </c>
      <c r="B1585" s="1" t="n">
        <v>45620</v>
      </c>
      <c r="C1585" s="1" t="n">
        <v>46048</v>
      </c>
      <c r="D1585" t="inlineStr">
        <is>
          <t>JÄMTLANDS LÄN</t>
        </is>
      </c>
      <c r="E1585" t="inlineStr">
        <is>
          <t>STRÖMSUND</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37302-2024</t>
        </is>
      </c>
      <c r="B1586" s="1" t="n">
        <v>45540.46631944444</v>
      </c>
      <c r="C1586" s="1" t="n">
        <v>46048</v>
      </c>
      <c r="D1586" t="inlineStr">
        <is>
          <t>JÄMTLANDS LÄN</t>
        </is>
      </c>
      <c r="E1586" t="inlineStr">
        <is>
          <t>STRÖMSUND</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46980-2024</t>
        </is>
      </c>
      <c r="B1587" s="1" t="n">
        <v>45586.35054398148</v>
      </c>
      <c r="C1587" s="1" t="n">
        <v>46048</v>
      </c>
      <c r="D1587" t="inlineStr">
        <is>
          <t>JÄMTLANDS LÄN</t>
        </is>
      </c>
      <c r="E1587" t="inlineStr">
        <is>
          <t>STRÖMSUND</t>
        </is>
      </c>
      <c r="F1587" t="inlineStr">
        <is>
          <t>Holmen skog AB</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34002-2023</t>
        </is>
      </c>
      <c r="B1588" s="1" t="n">
        <v>45134.95104166667</v>
      </c>
      <c r="C1588" s="1" t="n">
        <v>46048</v>
      </c>
      <c r="D1588" t="inlineStr">
        <is>
          <t>JÄMTLANDS LÄN</t>
        </is>
      </c>
      <c r="E1588" t="inlineStr">
        <is>
          <t>STRÖMSUND</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32172-2025</t>
        </is>
      </c>
      <c r="B1589" s="1" t="n">
        <v>45835</v>
      </c>
      <c r="C1589" s="1" t="n">
        <v>46048</v>
      </c>
      <c r="D1589" t="inlineStr">
        <is>
          <t>JÄMTLANDS LÄN</t>
        </is>
      </c>
      <c r="E1589" t="inlineStr">
        <is>
          <t>STRÖMSUND</t>
        </is>
      </c>
      <c r="F1589" t="inlineStr">
        <is>
          <t>Övriga statliga verk och myndigheter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35308-2025</t>
        </is>
      </c>
      <c r="B1590" s="1" t="n">
        <v>45854.44831018519</v>
      </c>
      <c r="C1590" s="1" t="n">
        <v>46048</v>
      </c>
      <c r="D1590" t="inlineStr">
        <is>
          <t>JÄMTLANDS LÄN</t>
        </is>
      </c>
      <c r="E1590" t="inlineStr">
        <is>
          <t>STRÖMSUND</t>
        </is>
      </c>
      <c r="F1590" t="inlineStr">
        <is>
          <t>SCA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30818-2023</t>
        </is>
      </c>
      <c r="B1591" s="1" t="n">
        <v>45112</v>
      </c>
      <c r="C1591" s="1" t="n">
        <v>46048</v>
      </c>
      <c r="D1591" t="inlineStr">
        <is>
          <t>JÄMTLANDS LÄN</t>
        </is>
      </c>
      <c r="E1591" t="inlineStr">
        <is>
          <t>STRÖMSUND</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34512-2022</t>
        </is>
      </c>
      <c r="B1592" s="1" t="n">
        <v>44792.92616898148</v>
      </c>
      <c r="C1592" s="1" t="n">
        <v>46048</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35340-2025</t>
        </is>
      </c>
      <c r="B1593" s="1" t="n">
        <v>45854.59417824074</v>
      </c>
      <c r="C1593" s="1" t="n">
        <v>46048</v>
      </c>
      <c r="D1593" t="inlineStr">
        <is>
          <t>JÄMTLANDS LÄN</t>
        </is>
      </c>
      <c r="E1593" t="inlineStr">
        <is>
          <t>STRÖMSUND</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7964-2025</t>
        </is>
      </c>
      <c r="B1594" s="1" t="n">
        <v>45707.44858796296</v>
      </c>
      <c r="C1594" s="1" t="n">
        <v>46048</v>
      </c>
      <c r="D1594" t="inlineStr">
        <is>
          <t>JÄMTLANDS LÄN</t>
        </is>
      </c>
      <c r="E1594" t="inlineStr">
        <is>
          <t>STRÖMSUND</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27223-2025</t>
        </is>
      </c>
      <c r="B1595" s="1" t="n">
        <v>45812.42733796296</v>
      </c>
      <c r="C1595" s="1" t="n">
        <v>46048</v>
      </c>
      <c r="D1595" t="inlineStr">
        <is>
          <t>JÄMTLANDS LÄN</t>
        </is>
      </c>
      <c r="E1595" t="inlineStr">
        <is>
          <t>STRÖMSUND</t>
        </is>
      </c>
      <c r="G1595" t="n">
        <v>30.5</v>
      </c>
      <c r="H1595" t="n">
        <v>0</v>
      </c>
      <c r="I1595" t="n">
        <v>0</v>
      </c>
      <c r="J1595" t="n">
        <v>0</v>
      </c>
      <c r="K1595" t="n">
        <v>0</v>
      </c>
      <c r="L1595" t="n">
        <v>0</v>
      </c>
      <c r="M1595" t="n">
        <v>0</v>
      </c>
      <c r="N1595" t="n">
        <v>0</v>
      </c>
      <c r="O1595" t="n">
        <v>0</v>
      </c>
      <c r="P1595" t="n">
        <v>0</v>
      </c>
      <c r="Q1595" t="n">
        <v>0</v>
      </c>
      <c r="R1595" s="2" t="inlineStr"/>
    </row>
    <row r="1596" ht="15" customHeight="1">
      <c r="A1596" t="inlineStr">
        <is>
          <t>A 35512-2025</t>
        </is>
      </c>
      <c r="B1596" s="1" t="n">
        <v>45856.36510416667</v>
      </c>
      <c r="C1596" s="1" t="n">
        <v>46048</v>
      </c>
      <c r="D1596" t="inlineStr">
        <is>
          <t>JÄMTLANDS LÄN</t>
        </is>
      </c>
      <c r="E1596" t="inlineStr">
        <is>
          <t>STRÖMSUND</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60334-2023</t>
        </is>
      </c>
      <c r="B1597" s="1" t="n">
        <v>45258.95184027778</v>
      </c>
      <c r="C1597" s="1" t="n">
        <v>46048</v>
      </c>
      <c r="D1597" t="inlineStr">
        <is>
          <t>JÄMTLANDS LÄN</t>
        </is>
      </c>
      <c r="E1597" t="inlineStr">
        <is>
          <t>STRÖMSUND</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57005-2022</t>
        </is>
      </c>
      <c r="B1598" s="1" t="n">
        <v>44894.95766203704</v>
      </c>
      <c r="C1598" s="1" t="n">
        <v>46048</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30064-2024</t>
        </is>
      </c>
      <c r="B1599" s="1" t="n">
        <v>45488.94849537037</v>
      </c>
      <c r="C1599" s="1" t="n">
        <v>46048</v>
      </c>
      <c r="D1599" t="inlineStr">
        <is>
          <t>JÄMTLANDS LÄN</t>
        </is>
      </c>
      <c r="E1599" t="inlineStr">
        <is>
          <t>STRÖMSUND</t>
        </is>
      </c>
      <c r="F1599" t="inlineStr">
        <is>
          <t>SCA</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35507-2025</t>
        </is>
      </c>
      <c r="B1600" s="1" t="n">
        <v>45856.34442129629</v>
      </c>
      <c r="C1600" s="1" t="n">
        <v>46048</v>
      </c>
      <c r="D1600" t="inlineStr">
        <is>
          <t>JÄMTLANDS LÄN</t>
        </is>
      </c>
      <c r="E1600" t="inlineStr">
        <is>
          <t>STRÖMSUND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35663-2025</t>
        </is>
      </c>
      <c r="B1601" s="1" t="n">
        <v>45859.61510416667</v>
      </c>
      <c r="C1601" s="1" t="n">
        <v>46048</v>
      </c>
      <c r="D1601" t="inlineStr">
        <is>
          <t>JÄMTLANDS LÄN</t>
        </is>
      </c>
      <c r="E1601" t="inlineStr">
        <is>
          <t>STRÖMSUND</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36344-2024</t>
        </is>
      </c>
      <c r="B1602" s="1" t="n">
        <v>45534.64349537037</v>
      </c>
      <c r="C1602" s="1" t="n">
        <v>46048</v>
      </c>
      <c r="D1602" t="inlineStr">
        <is>
          <t>JÄMTLANDS LÄN</t>
        </is>
      </c>
      <c r="E1602" t="inlineStr">
        <is>
          <t>STRÖMSUND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36347-2024</t>
        </is>
      </c>
      <c r="B1603" s="1" t="n">
        <v>45534.64393518519</v>
      </c>
      <c r="C1603" s="1" t="n">
        <v>46048</v>
      </c>
      <c r="D1603" t="inlineStr">
        <is>
          <t>JÄMTLANDS LÄN</t>
        </is>
      </c>
      <c r="E1603" t="inlineStr">
        <is>
          <t>STRÖMSUND</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34723-2024</t>
        </is>
      </c>
      <c r="B1604" s="1" t="n">
        <v>45526.56865740741</v>
      </c>
      <c r="C1604" s="1" t="n">
        <v>46048</v>
      </c>
      <c r="D1604" t="inlineStr">
        <is>
          <t>JÄMTLANDS LÄN</t>
        </is>
      </c>
      <c r="E1604" t="inlineStr">
        <is>
          <t>STRÖMSUND</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8756-2025</t>
        </is>
      </c>
      <c r="B1605" s="1" t="n">
        <v>45712.57337962963</v>
      </c>
      <c r="C1605" s="1" t="n">
        <v>46048</v>
      </c>
      <c r="D1605" t="inlineStr">
        <is>
          <t>JÄMTLANDS LÄN</t>
        </is>
      </c>
      <c r="E1605" t="inlineStr">
        <is>
          <t>STRÖMSUND</t>
        </is>
      </c>
      <c r="F1605" t="inlineStr">
        <is>
          <t>SCA</t>
        </is>
      </c>
      <c r="G1605" t="n">
        <v>27.9</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46048</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13563-2021</t>
        </is>
      </c>
      <c r="B1607" s="1" t="n">
        <v>44273</v>
      </c>
      <c r="C1607" s="1" t="n">
        <v>46048</v>
      </c>
      <c r="D1607" t="inlineStr">
        <is>
          <t>JÄMTLANDS LÄN</t>
        </is>
      </c>
      <c r="E1607" t="inlineStr">
        <is>
          <t>STRÖMSUND</t>
        </is>
      </c>
      <c r="G1607" t="n">
        <v>27.1</v>
      </c>
      <c r="H1607" t="n">
        <v>0</v>
      </c>
      <c r="I1607" t="n">
        <v>0</v>
      </c>
      <c r="J1607" t="n">
        <v>0</v>
      </c>
      <c r="K1607" t="n">
        <v>0</v>
      </c>
      <c r="L1607" t="n">
        <v>0</v>
      </c>
      <c r="M1607" t="n">
        <v>0</v>
      </c>
      <c r="N1607" t="n">
        <v>0</v>
      </c>
      <c r="O1607" t="n">
        <v>0</v>
      </c>
      <c r="P1607" t="n">
        <v>0</v>
      </c>
      <c r="Q1607" t="n">
        <v>0</v>
      </c>
      <c r="R1607" s="2" t="inlineStr"/>
    </row>
    <row r="1608" ht="15" customHeight="1">
      <c r="A1608" t="inlineStr">
        <is>
          <t>A 35661-2025</t>
        </is>
      </c>
      <c r="B1608" s="1" t="n">
        <v>45859.61494212963</v>
      </c>
      <c r="C1608" s="1" t="n">
        <v>46048</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22966-2022</t>
        </is>
      </c>
      <c r="B1609" s="1" t="n">
        <v>44715.94222222222</v>
      </c>
      <c r="C1609" s="1" t="n">
        <v>46048</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18915-2024</t>
        </is>
      </c>
      <c r="B1610" s="1" t="n">
        <v>45426</v>
      </c>
      <c r="C1610" s="1" t="n">
        <v>46048</v>
      </c>
      <c r="D1610" t="inlineStr">
        <is>
          <t>JÄMTLANDS LÄN</t>
        </is>
      </c>
      <c r="E1610" t="inlineStr">
        <is>
          <t>STRÖMSUND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38093-2024</t>
        </is>
      </c>
      <c r="B1611" s="1" t="n">
        <v>45545.34461805555</v>
      </c>
      <c r="C1611" s="1" t="n">
        <v>46048</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44618-2024</t>
        </is>
      </c>
      <c r="B1612" s="1" t="n">
        <v>45574.51304398148</v>
      </c>
      <c r="C1612" s="1" t="n">
        <v>46048</v>
      </c>
      <c r="D1612" t="inlineStr">
        <is>
          <t>JÄMTLANDS LÄN</t>
        </is>
      </c>
      <c r="E1612" t="inlineStr">
        <is>
          <t>STRÖMSUND</t>
        </is>
      </c>
      <c r="F1612" t="inlineStr">
        <is>
          <t>SCA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26048-2024</t>
        </is>
      </c>
      <c r="B1613" s="1" t="n">
        <v>45468.32363425926</v>
      </c>
      <c r="C1613" s="1" t="n">
        <v>46048</v>
      </c>
      <c r="D1613" t="inlineStr">
        <is>
          <t>JÄMTLANDS LÄN</t>
        </is>
      </c>
      <c r="E1613" t="inlineStr">
        <is>
          <t>STRÖMSUND</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35657-2025</t>
        </is>
      </c>
      <c r="B1614" s="1" t="n">
        <v>45859.59420138889</v>
      </c>
      <c r="C1614" s="1" t="n">
        <v>46048</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26348-2023</t>
        </is>
      </c>
      <c r="B1615" s="1" t="n">
        <v>45091.94203703704</v>
      </c>
      <c r="C1615" s="1" t="n">
        <v>46048</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40-2025</t>
        </is>
      </c>
      <c r="B1616" s="1" t="n">
        <v>45659.34428240741</v>
      </c>
      <c r="C1616" s="1" t="n">
        <v>46048</v>
      </c>
      <c r="D1616" t="inlineStr">
        <is>
          <t>JÄMTLANDS LÄN</t>
        </is>
      </c>
      <c r="E1616" t="inlineStr">
        <is>
          <t>STRÖMSUND</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31675-2024</t>
        </is>
      </c>
      <c r="B1617" s="1" t="n">
        <v>45506.94854166666</v>
      </c>
      <c r="C1617" s="1" t="n">
        <v>46048</v>
      </c>
      <c r="D1617" t="inlineStr">
        <is>
          <t>JÄMTLANDS LÄN</t>
        </is>
      </c>
      <c r="E1617" t="inlineStr">
        <is>
          <t>STRÖMSUND</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7112-2024</t>
        </is>
      </c>
      <c r="B1618" s="1" t="n">
        <v>45343.95170138889</v>
      </c>
      <c r="C1618" s="1" t="n">
        <v>46048</v>
      </c>
      <c r="D1618" t="inlineStr">
        <is>
          <t>JÄMTLANDS LÄN</t>
        </is>
      </c>
      <c r="E1618" t="inlineStr">
        <is>
          <t>STRÖMSUND</t>
        </is>
      </c>
      <c r="F1618" t="inlineStr">
        <is>
          <t>SCA</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29841-2021</t>
        </is>
      </c>
      <c r="B1619" s="1" t="n">
        <v>44362</v>
      </c>
      <c r="C1619" s="1" t="n">
        <v>46048</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35874-2025</t>
        </is>
      </c>
      <c r="B1620" s="1" t="n">
        <v>45862.34422453704</v>
      </c>
      <c r="C1620" s="1" t="n">
        <v>46048</v>
      </c>
      <c r="D1620" t="inlineStr">
        <is>
          <t>JÄMTLANDS LÄN</t>
        </is>
      </c>
      <c r="E1620" t="inlineStr">
        <is>
          <t>STRÖMSUND</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36247-2025</t>
        </is>
      </c>
      <c r="B1621" s="1" t="n">
        <v>45867.56798611111</v>
      </c>
      <c r="C1621" s="1" t="n">
        <v>46048</v>
      </c>
      <c r="D1621" t="inlineStr">
        <is>
          <t>JÄMTLANDS LÄN</t>
        </is>
      </c>
      <c r="E1621" t="inlineStr">
        <is>
          <t>STRÖMSUND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37100-2022</t>
        </is>
      </c>
      <c r="B1622" s="1" t="n">
        <v>44806</v>
      </c>
      <c r="C1622" s="1" t="n">
        <v>46048</v>
      </c>
      <c r="D1622" t="inlineStr">
        <is>
          <t>JÄMTLANDS LÄN</t>
        </is>
      </c>
      <c r="E1622" t="inlineStr">
        <is>
          <t>STRÖMSUND</t>
        </is>
      </c>
      <c r="F1622" t="inlineStr">
        <is>
          <t>Kommuner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2686-2025</t>
        </is>
      </c>
      <c r="B1623" s="1" t="n">
        <v>45677.36503472222</v>
      </c>
      <c r="C1623" s="1" t="n">
        <v>46048</v>
      </c>
      <c r="D1623" t="inlineStr">
        <is>
          <t>JÄMTLANDS LÄN</t>
        </is>
      </c>
      <c r="E1623" t="inlineStr">
        <is>
          <t>STRÖMSUND</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42005-2024</t>
        </is>
      </c>
      <c r="B1624" s="1" t="n">
        <v>45561.67761574074</v>
      </c>
      <c r="C1624" s="1" t="n">
        <v>46048</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60850-2023</t>
        </is>
      </c>
      <c r="B1625" s="1" t="n">
        <v>45260</v>
      </c>
      <c r="C1625" s="1" t="n">
        <v>46048</v>
      </c>
      <c r="D1625" t="inlineStr">
        <is>
          <t>JÄMTLANDS LÄN</t>
        </is>
      </c>
      <c r="E1625" t="inlineStr">
        <is>
          <t>STRÖMSUND</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6394-2021</t>
        </is>
      </c>
      <c r="B1626" s="1" t="n">
        <v>44232</v>
      </c>
      <c r="C1626" s="1" t="n">
        <v>46048</v>
      </c>
      <c r="D1626" t="inlineStr">
        <is>
          <t>JÄMTLANDS LÄN</t>
        </is>
      </c>
      <c r="E1626" t="inlineStr">
        <is>
          <t>STRÖMSUND</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30352-2024</t>
        </is>
      </c>
      <c r="B1627" s="1" t="n">
        <v>45490.95556712963</v>
      </c>
      <c r="C1627" s="1" t="n">
        <v>46048</v>
      </c>
      <c r="D1627" t="inlineStr">
        <is>
          <t>JÄMTLANDS LÄN</t>
        </is>
      </c>
      <c r="E1627" t="inlineStr">
        <is>
          <t>STRÖMSUND</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24833-2023</t>
        </is>
      </c>
      <c r="B1628" s="1" t="n">
        <v>45084</v>
      </c>
      <c r="C1628" s="1" t="n">
        <v>46048</v>
      </c>
      <c r="D1628" t="inlineStr">
        <is>
          <t>JÄMTLANDS LÄN</t>
        </is>
      </c>
      <c r="E1628" t="inlineStr">
        <is>
          <t>STRÖMSUND</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52818-2023</t>
        </is>
      </c>
      <c r="B1629" s="1" t="n">
        <v>45226.38400462963</v>
      </c>
      <c r="C1629" s="1" t="n">
        <v>46048</v>
      </c>
      <c r="D1629" t="inlineStr">
        <is>
          <t>JÄMTLANDS LÄN</t>
        </is>
      </c>
      <c r="E1629" t="inlineStr">
        <is>
          <t>STRÖMSUND</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52826-2023</t>
        </is>
      </c>
      <c r="B1630" s="1" t="n">
        <v>45226.40184027778</v>
      </c>
      <c r="C1630" s="1" t="n">
        <v>46048</v>
      </c>
      <c r="D1630" t="inlineStr">
        <is>
          <t>JÄMTLANDS LÄN</t>
        </is>
      </c>
      <c r="E1630" t="inlineStr">
        <is>
          <t>STRÖMSUND</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36025-2025</t>
        </is>
      </c>
      <c r="B1631" s="1" t="n">
        <v>45864.40675925926</v>
      </c>
      <c r="C1631" s="1" t="n">
        <v>46048</v>
      </c>
      <c r="D1631" t="inlineStr">
        <is>
          <t>JÄMTLANDS LÄN</t>
        </is>
      </c>
      <c r="E1631" t="inlineStr">
        <is>
          <t>STRÖMSUND</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7545-2025</t>
        </is>
      </c>
      <c r="B1632" s="1" t="n">
        <v>45705.57388888889</v>
      </c>
      <c r="C1632" s="1" t="n">
        <v>46048</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31491-2023</t>
        </is>
      </c>
      <c r="B1633" s="1" t="n">
        <v>45114</v>
      </c>
      <c r="C1633" s="1" t="n">
        <v>46048</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40351-2024</t>
        </is>
      </c>
      <c r="B1634" s="1" t="n">
        <v>45555.36487268518</v>
      </c>
      <c r="C1634" s="1" t="n">
        <v>46048</v>
      </c>
      <c r="D1634" t="inlineStr">
        <is>
          <t>JÄMTLANDS LÄN</t>
        </is>
      </c>
      <c r="E1634" t="inlineStr">
        <is>
          <t>STRÖMSUND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21546-2024</t>
        </is>
      </c>
      <c r="B1635" s="1" t="n">
        <v>45441.62353009259</v>
      </c>
      <c r="C1635" s="1" t="n">
        <v>46048</v>
      </c>
      <c r="D1635" t="inlineStr">
        <is>
          <t>JÄMTLANDS LÄN</t>
        </is>
      </c>
      <c r="E1635" t="inlineStr">
        <is>
          <t>STRÖMSUND</t>
        </is>
      </c>
      <c r="F1635" t="inlineStr">
        <is>
          <t>Holmen skog AB</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41916-2023</t>
        </is>
      </c>
      <c r="B1636" s="1" t="n">
        <v>45176.94403935185</v>
      </c>
      <c r="C1636" s="1" t="n">
        <v>46048</v>
      </c>
      <c r="D1636" t="inlineStr">
        <is>
          <t>JÄMTLANDS LÄN</t>
        </is>
      </c>
      <c r="E1636" t="inlineStr">
        <is>
          <t>STRÖMSUND</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36110-2025</t>
        </is>
      </c>
      <c r="B1637" s="1" t="n">
        <v>45866.57337962963</v>
      </c>
      <c r="C1637" s="1" t="n">
        <v>46048</v>
      </c>
      <c r="D1637" t="inlineStr">
        <is>
          <t>JÄMTLANDS LÄN</t>
        </is>
      </c>
      <c r="E1637" t="inlineStr">
        <is>
          <t>STRÖMSUND</t>
        </is>
      </c>
      <c r="F1637" t="inlineStr">
        <is>
          <t>SCA</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21551-2024</t>
        </is>
      </c>
      <c r="B1638" s="1" t="n">
        <v>45441.63265046296</v>
      </c>
      <c r="C1638" s="1" t="n">
        <v>46048</v>
      </c>
      <c r="D1638" t="inlineStr">
        <is>
          <t>JÄMTLANDS LÄN</t>
        </is>
      </c>
      <c r="E1638" t="inlineStr">
        <is>
          <t>STRÖMSUND</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40936-2022</t>
        </is>
      </c>
      <c r="B1639" s="1" t="n">
        <v>44823</v>
      </c>
      <c r="C1639" s="1" t="n">
        <v>46048</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36238-2025</t>
        </is>
      </c>
      <c r="B1640" s="1" t="n">
        <v>45867.55275462963</v>
      </c>
      <c r="C1640" s="1" t="n">
        <v>46048</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36239-2025</t>
        </is>
      </c>
      <c r="B1641" s="1" t="n">
        <v>45867.55287037037</v>
      </c>
      <c r="C1641" s="1" t="n">
        <v>46048</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53884-2024</t>
        </is>
      </c>
      <c r="B1642" s="1" t="n">
        <v>45615.67789351852</v>
      </c>
      <c r="C1642" s="1" t="n">
        <v>46048</v>
      </c>
      <c r="D1642" t="inlineStr">
        <is>
          <t>JÄMTLANDS LÄN</t>
        </is>
      </c>
      <c r="E1642" t="inlineStr">
        <is>
          <t>STRÖMSUND</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36430-2025</t>
        </is>
      </c>
      <c r="B1643" s="1" t="n">
        <v>45869.34453703704</v>
      </c>
      <c r="C1643" s="1" t="n">
        <v>46048</v>
      </c>
      <c r="D1643" t="inlineStr">
        <is>
          <t>JÄMTLANDS LÄN</t>
        </is>
      </c>
      <c r="E1643" t="inlineStr">
        <is>
          <t>STRÖMSUND</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36444-2025</t>
        </is>
      </c>
      <c r="B1644" s="1" t="n">
        <v>45869.40662037037</v>
      </c>
      <c r="C1644" s="1" t="n">
        <v>46048</v>
      </c>
      <c r="D1644" t="inlineStr">
        <is>
          <t>JÄMTLANDS LÄN</t>
        </is>
      </c>
      <c r="E1644" t="inlineStr">
        <is>
          <t>STRÖMSUND</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26734-2022</t>
        </is>
      </c>
      <c r="B1645" s="1" t="n">
        <v>44739.94028935185</v>
      </c>
      <c r="C1645" s="1" t="n">
        <v>46048</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36428-2025</t>
        </is>
      </c>
      <c r="B1646" s="1" t="n">
        <v>45869.34424768519</v>
      </c>
      <c r="C1646" s="1" t="n">
        <v>46048</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28510-2024</t>
        </is>
      </c>
      <c r="B1647" s="1" t="n">
        <v>45477.94780092593</v>
      </c>
      <c r="C1647" s="1" t="n">
        <v>46048</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28511-2024</t>
        </is>
      </c>
      <c r="B1648" s="1" t="n">
        <v>45477.94787037037</v>
      </c>
      <c r="C1648" s="1" t="n">
        <v>46048</v>
      </c>
      <c r="D1648" t="inlineStr">
        <is>
          <t>JÄMTLANDS LÄN</t>
        </is>
      </c>
      <c r="E1648" t="inlineStr">
        <is>
          <t>STRÖMSUND</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51075-2023</t>
        </is>
      </c>
      <c r="B1649" s="1" t="n">
        <v>45211</v>
      </c>
      <c r="C1649" s="1" t="n">
        <v>46048</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36378-2025</t>
        </is>
      </c>
      <c r="B1650" s="1" t="n">
        <v>45868.57364583333</v>
      </c>
      <c r="C1650" s="1" t="n">
        <v>46048</v>
      </c>
      <c r="D1650" t="inlineStr">
        <is>
          <t>JÄMTLANDS LÄN</t>
        </is>
      </c>
      <c r="E1650" t="inlineStr">
        <is>
          <t>STRÖMSUND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36379-2025</t>
        </is>
      </c>
      <c r="B1651" s="1" t="n">
        <v>45868.57386574074</v>
      </c>
      <c r="C1651" s="1" t="n">
        <v>46048</v>
      </c>
      <c r="D1651" t="inlineStr">
        <is>
          <t>JÄMTLANDS LÄN</t>
        </is>
      </c>
      <c r="E1651" t="inlineStr">
        <is>
          <t>STRÖMSUND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36380-2025</t>
        </is>
      </c>
      <c r="B1652" s="1" t="n">
        <v>45868.57390046296</v>
      </c>
      <c r="C1652" s="1" t="n">
        <v>46048</v>
      </c>
      <c r="D1652" t="inlineStr">
        <is>
          <t>JÄMTLANDS LÄN</t>
        </is>
      </c>
      <c r="E1652" t="inlineStr">
        <is>
          <t>STRÖMSUND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27638-2024</t>
        </is>
      </c>
      <c r="B1653" s="1" t="n">
        <v>45474.94664351852</v>
      </c>
      <c r="C1653" s="1" t="n">
        <v>46048</v>
      </c>
      <c r="D1653" t="inlineStr">
        <is>
          <t>JÄMTLANDS LÄN</t>
        </is>
      </c>
      <c r="E1653" t="inlineStr">
        <is>
          <t>STRÖMSUND</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27649-2024</t>
        </is>
      </c>
      <c r="B1654" s="1" t="n">
        <v>45474.94787037037</v>
      </c>
      <c r="C1654" s="1" t="n">
        <v>46048</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46048</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54482-2023</t>
        </is>
      </c>
      <c r="B1656" s="1" t="n">
        <v>45233</v>
      </c>
      <c r="C1656" s="1" t="n">
        <v>46048</v>
      </c>
      <c r="D1656" t="inlineStr">
        <is>
          <t>JÄMTLANDS LÄN</t>
        </is>
      </c>
      <c r="E1656" t="inlineStr">
        <is>
          <t>STRÖMSUND</t>
        </is>
      </c>
      <c r="F1656" t="inlineStr">
        <is>
          <t>Holmen skog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25378-2024</t>
        </is>
      </c>
      <c r="B1657" s="1" t="n">
        <v>45462.96231481482</v>
      </c>
      <c r="C1657" s="1" t="n">
        <v>46048</v>
      </c>
      <c r="D1657" t="inlineStr">
        <is>
          <t>JÄMTLANDS LÄN</t>
        </is>
      </c>
      <c r="E1657" t="inlineStr">
        <is>
          <t>STRÖMSUND</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30285-2023</t>
        </is>
      </c>
      <c r="B1658" s="1" t="n">
        <v>45110</v>
      </c>
      <c r="C1658" s="1" t="n">
        <v>46048</v>
      </c>
      <c r="D1658" t="inlineStr">
        <is>
          <t>JÄMTLANDS LÄN</t>
        </is>
      </c>
      <c r="E1658" t="inlineStr">
        <is>
          <t>STRÖMSUND</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26960-2024</t>
        </is>
      </c>
      <c r="B1659" s="1" t="n">
        <v>45470.97107638889</v>
      </c>
      <c r="C1659" s="1" t="n">
        <v>46048</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40408-2023</t>
        </is>
      </c>
      <c r="B1660" s="1" t="n">
        <v>45169.93861111111</v>
      </c>
      <c r="C1660" s="1" t="n">
        <v>46048</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27036-2022</t>
        </is>
      </c>
      <c r="B1661" s="1" t="n">
        <v>44740.94358796296</v>
      </c>
      <c r="C1661" s="1" t="n">
        <v>46048</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61539-2024</t>
        </is>
      </c>
      <c r="B1662" s="1" t="n">
        <v>45646.59420138889</v>
      </c>
      <c r="C1662" s="1" t="n">
        <v>46048</v>
      </c>
      <c r="D1662" t="inlineStr">
        <is>
          <t>JÄMTLANDS LÄN</t>
        </is>
      </c>
      <c r="E1662" t="inlineStr">
        <is>
          <t>STRÖMSUND</t>
        </is>
      </c>
      <c r="F1662" t="inlineStr">
        <is>
          <t>SCA</t>
        </is>
      </c>
      <c r="G1662" t="n">
        <v>25.5</v>
      </c>
      <c r="H1662" t="n">
        <v>0</v>
      </c>
      <c r="I1662" t="n">
        <v>0</v>
      </c>
      <c r="J1662" t="n">
        <v>0</v>
      </c>
      <c r="K1662" t="n">
        <v>0</v>
      </c>
      <c r="L1662" t="n">
        <v>0</v>
      </c>
      <c r="M1662" t="n">
        <v>0</v>
      </c>
      <c r="N1662" t="n">
        <v>0</v>
      </c>
      <c r="O1662" t="n">
        <v>0</v>
      </c>
      <c r="P1662" t="n">
        <v>0</v>
      </c>
      <c r="Q1662" t="n">
        <v>0</v>
      </c>
      <c r="R1662" s="2" t="inlineStr"/>
    </row>
    <row r="1663" ht="15" customHeight="1">
      <c r="A1663" t="inlineStr">
        <is>
          <t>A 12188-2025</t>
        </is>
      </c>
      <c r="B1663" s="1" t="n">
        <v>45729.46936342592</v>
      </c>
      <c r="C1663" s="1" t="n">
        <v>46048</v>
      </c>
      <c r="D1663" t="inlineStr">
        <is>
          <t>JÄMTLANDS LÄN</t>
        </is>
      </c>
      <c r="E1663" t="inlineStr">
        <is>
          <t>STRÖMSUND</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56412-2022</t>
        </is>
      </c>
      <c r="B1664" s="1" t="n">
        <v>44890</v>
      </c>
      <c r="C1664" s="1" t="n">
        <v>46048</v>
      </c>
      <c r="D1664" t="inlineStr">
        <is>
          <t>JÄMTLANDS LÄN</t>
        </is>
      </c>
      <c r="E1664" t="inlineStr">
        <is>
          <t>STRÖMSUND</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35011-2023</t>
        </is>
      </c>
      <c r="B1665" s="1" t="n">
        <v>45142.95155092593</v>
      </c>
      <c r="C1665" s="1" t="n">
        <v>46048</v>
      </c>
      <c r="D1665" t="inlineStr">
        <is>
          <t>JÄMTLANDS LÄN</t>
        </is>
      </c>
      <c r="E1665" t="inlineStr">
        <is>
          <t>STRÖMSUND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25960-2021</t>
        </is>
      </c>
      <c r="B1666" s="1" t="n">
        <v>44344.52144675926</v>
      </c>
      <c r="C1666" s="1" t="n">
        <v>46048</v>
      </c>
      <c r="D1666" t="inlineStr">
        <is>
          <t>JÄMTLANDS LÄN</t>
        </is>
      </c>
      <c r="E1666" t="inlineStr">
        <is>
          <t>STRÖMSUND</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41317-2024</t>
        </is>
      </c>
      <c r="B1667" s="1" t="n">
        <v>45559.63664351852</v>
      </c>
      <c r="C1667" s="1" t="n">
        <v>46048</v>
      </c>
      <c r="D1667" t="inlineStr">
        <is>
          <t>JÄMTLANDS LÄN</t>
        </is>
      </c>
      <c r="E1667" t="inlineStr">
        <is>
          <t>STRÖMSUND</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1824-2025</t>
        </is>
      </c>
      <c r="B1668" s="1" t="n">
        <v>45671.53179398148</v>
      </c>
      <c r="C1668" s="1" t="n">
        <v>46048</v>
      </c>
      <c r="D1668" t="inlineStr">
        <is>
          <t>JÄMTLANDS LÄN</t>
        </is>
      </c>
      <c r="E1668" t="inlineStr">
        <is>
          <t>STRÖMSUND</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1878-2025</t>
        </is>
      </c>
      <c r="B1669" s="1" t="n">
        <v>45671.62234953704</v>
      </c>
      <c r="C1669" s="1" t="n">
        <v>46048</v>
      </c>
      <c r="D1669" t="inlineStr">
        <is>
          <t>JÄMTLANDS LÄN</t>
        </is>
      </c>
      <c r="E1669" t="inlineStr">
        <is>
          <t>STRÖMSUND</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5327-2024</t>
        </is>
      </c>
      <c r="B1670" s="1" t="n">
        <v>45331.41613425926</v>
      </c>
      <c r="C1670" s="1" t="n">
        <v>46048</v>
      </c>
      <c r="D1670" t="inlineStr">
        <is>
          <t>JÄMTLANDS LÄN</t>
        </is>
      </c>
      <c r="E1670" t="inlineStr">
        <is>
          <t>STRÖMSUND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36653-2025</t>
        </is>
      </c>
      <c r="B1671" s="1" t="n">
        <v>45872.90528935185</v>
      </c>
      <c r="C1671" s="1" t="n">
        <v>46048</v>
      </c>
      <c r="D1671" t="inlineStr">
        <is>
          <t>JÄMTLANDS LÄN</t>
        </is>
      </c>
      <c r="E1671" t="inlineStr">
        <is>
          <t>STRÖMSUND</t>
        </is>
      </c>
      <c r="F1671" t="inlineStr">
        <is>
          <t>Holmen skog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39864-2024</t>
        </is>
      </c>
      <c r="B1672" s="1" t="n">
        <v>45553.4584375</v>
      </c>
      <c r="C1672" s="1" t="n">
        <v>46048</v>
      </c>
      <c r="D1672" t="inlineStr">
        <is>
          <t>JÄMTLANDS LÄN</t>
        </is>
      </c>
      <c r="E1672" t="inlineStr">
        <is>
          <t>STRÖMSUND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16848-2022</t>
        </is>
      </c>
      <c r="B1673" s="1" t="n">
        <v>44673.94145833333</v>
      </c>
      <c r="C1673" s="1" t="n">
        <v>46048</v>
      </c>
      <c r="D1673" t="inlineStr">
        <is>
          <t>JÄMTLANDS LÄN</t>
        </is>
      </c>
      <c r="E1673" t="inlineStr">
        <is>
          <t>STRÖMSUND</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2624-2024</t>
        </is>
      </c>
      <c r="B1674" s="1" t="n">
        <v>45313</v>
      </c>
      <c r="C1674" s="1" t="n">
        <v>46048</v>
      </c>
      <c r="D1674" t="inlineStr">
        <is>
          <t>JÄMTLANDS LÄN</t>
        </is>
      </c>
      <c r="E1674" t="inlineStr">
        <is>
          <t>STRÖMSUND</t>
        </is>
      </c>
      <c r="F1674" t="inlineStr">
        <is>
          <t>SCA</t>
        </is>
      </c>
      <c r="G1674" t="n">
        <v>41.4</v>
      </c>
      <c r="H1674" t="n">
        <v>0</v>
      </c>
      <c r="I1674" t="n">
        <v>0</v>
      </c>
      <c r="J1674" t="n">
        <v>0</v>
      </c>
      <c r="K1674" t="n">
        <v>0</v>
      </c>
      <c r="L1674" t="n">
        <v>0</v>
      </c>
      <c r="M1674" t="n">
        <v>0</v>
      </c>
      <c r="N1674" t="n">
        <v>0</v>
      </c>
      <c r="O1674" t="n">
        <v>0</v>
      </c>
      <c r="P1674" t="n">
        <v>0</v>
      </c>
      <c r="Q1674" t="n">
        <v>0</v>
      </c>
      <c r="R1674" s="2" t="inlineStr"/>
    </row>
    <row r="1675" ht="15" customHeight="1">
      <c r="A1675" t="inlineStr">
        <is>
          <t>A 47391-2022</t>
        </is>
      </c>
      <c r="B1675" s="1" t="n">
        <v>44853</v>
      </c>
      <c r="C1675" s="1" t="n">
        <v>46048</v>
      </c>
      <c r="D1675" t="inlineStr">
        <is>
          <t>JÄMTLANDS LÄN</t>
        </is>
      </c>
      <c r="E1675" t="inlineStr">
        <is>
          <t>STRÖMSUND</t>
        </is>
      </c>
      <c r="F1675" t="inlineStr">
        <is>
          <t>Holmen skog AB</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45411-2024</t>
        </is>
      </c>
      <c r="B1676" s="1" t="n">
        <v>45576.59405092592</v>
      </c>
      <c r="C1676" s="1" t="n">
        <v>46048</v>
      </c>
      <c r="D1676" t="inlineStr">
        <is>
          <t>JÄMTLANDS LÄN</t>
        </is>
      </c>
      <c r="E1676" t="inlineStr">
        <is>
          <t>STRÖMSUND</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58968-2024</t>
        </is>
      </c>
      <c r="B1677" s="1" t="n">
        <v>45636.59418981482</v>
      </c>
      <c r="C1677" s="1" t="n">
        <v>46048</v>
      </c>
      <c r="D1677" t="inlineStr">
        <is>
          <t>JÄMTLANDS LÄN</t>
        </is>
      </c>
      <c r="E1677" t="inlineStr">
        <is>
          <t>STRÖMSUND</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58446-2023</t>
        </is>
      </c>
      <c r="B1678" s="1" t="n">
        <v>45250</v>
      </c>
      <c r="C1678" s="1" t="n">
        <v>46048</v>
      </c>
      <c r="D1678" t="inlineStr">
        <is>
          <t>JÄMTLANDS LÄN</t>
        </is>
      </c>
      <c r="E1678" t="inlineStr">
        <is>
          <t>STRÖMSUND</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40354-2021</t>
        </is>
      </c>
      <c r="B1679" s="1" t="n">
        <v>44419</v>
      </c>
      <c r="C1679" s="1" t="n">
        <v>46048</v>
      </c>
      <c r="D1679" t="inlineStr">
        <is>
          <t>JÄMTLANDS LÄN</t>
        </is>
      </c>
      <c r="E1679" t="inlineStr">
        <is>
          <t>STRÖMSUND</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63754-2023</t>
        </is>
      </c>
      <c r="B1680" s="1" t="n">
        <v>45278.29936342593</v>
      </c>
      <c r="C1680" s="1" t="n">
        <v>46048</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25371-2024</t>
        </is>
      </c>
      <c r="B1681" s="1" t="n">
        <v>45462.96038194445</v>
      </c>
      <c r="C1681" s="1" t="n">
        <v>46048</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36891-2025</t>
        </is>
      </c>
      <c r="B1682" s="1" t="n">
        <v>45874.46962962963</v>
      </c>
      <c r="C1682" s="1" t="n">
        <v>46048</v>
      </c>
      <c r="D1682" t="inlineStr">
        <is>
          <t>JÄMTLANDS LÄN</t>
        </is>
      </c>
      <c r="E1682" t="inlineStr">
        <is>
          <t>STRÖMSUND</t>
        </is>
      </c>
      <c r="F1682" t="inlineStr">
        <is>
          <t>SCA</t>
        </is>
      </c>
      <c r="G1682" t="n">
        <v>1.6</v>
      </c>
      <c r="H1682" t="n">
        <v>0</v>
      </c>
      <c r="I1682" t="n">
        <v>0</v>
      </c>
      <c r="J1682" t="n">
        <v>0</v>
      </c>
      <c r="K1682" t="n">
        <v>0</v>
      </c>
      <c r="L1682" t="n">
        <v>0</v>
      </c>
      <c r="M1682" t="n">
        <v>0</v>
      </c>
      <c r="N1682" t="n">
        <v>0</v>
      </c>
      <c r="O1682" t="n">
        <v>0</v>
      </c>
      <c r="P1682" t="n">
        <v>0</v>
      </c>
      <c r="Q1682" t="n">
        <v>0</v>
      </c>
      <c r="R1682" s="2" t="inlineStr"/>
      <c r="U1682">
        <f>HYPERLINK("https://klasma.github.io/Logging_2313/knärot/A 36891-2025 karta knärot.png", "A 36891-2025")</f>
        <v/>
      </c>
      <c r="V1682">
        <f>HYPERLINK("https://klasma.github.io/Logging_2313/klagomål/A 36891-2025 FSC-klagomål.docx", "A 36891-2025")</f>
        <v/>
      </c>
      <c r="W1682">
        <f>HYPERLINK("https://klasma.github.io/Logging_2313/klagomålsmail/A 36891-2025 FSC-klagomål mail.docx", "A 36891-2025")</f>
        <v/>
      </c>
      <c r="X1682">
        <f>HYPERLINK("https://klasma.github.io/Logging_2313/tillsyn/A 36891-2025 tillsynsbegäran.docx", "A 36891-2025")</f>
        <v/>
      </c>
      <c r="Y1682">
        <f>HYPERLINK("https://klasma.github.io/Logging_2313/tillsynsmail/A 36891-2025 tillsynsbegäran mail.docx", "A 36891-2025")</f>
        <v/>
      </c>
    </row>
    <row r="1683" ht="15" customHeight="1">
      <c r="A1683" t="inlineStr">
        <is>
          <t>A 28754-2023</t>
        </is>
      </c>
      <c r="B1683" s="1" t="n">
        <v>45103.94185185185</v>
      </c>
      <c r="C1683" s="1" t="n">
        <v>46048</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1823-2025</t>
        </is>
      </c>
      <c r="B1684" s="1" t="n">
        <v>45671.53167824074</v>
      </c>
      <c r="C1684" s="1" t="n">
        <v>46048</v>
      </c>
      <c r="D1684" t="inlineStr">
        <is>
          <t>JÄMTLANDS LÄN</t>
        </is>
      </c>
      <c r="E1684" t="inlineStr">
        <is>
          <t>STRÖMSUND</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40500-2024</t>
        </is>
      </c>
      <c r="B1685" s="1" t="n">
        <v>45555</v>
      </c>
      <c r="C1685" s="1" t="n">
        <v>46048</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37202-2025</t>
        </is>
      </c>
      <c r="B1686" s="1" t="n">
        <v>45875.67811342593</v>
      </c>
      <c r="C1686" s="1" t="n">
        <v>46048</v>
      </c>
      <c r="D1686" t="inlineStr">
        <is>
          <t>JÄMTLANDS LÄN</t>
        </is>
      </c>
      <c r="E1686" t="inlineStr">
        <is>
          <t>STRÖMSUND</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37123-2025</t>
        </is>
      </c>
      <c r="B1687" s="1" t="n">
        <v>45875.5259375</v>
      </c>
      <c r="C1687" s="1" t="n">
        <v>46048</v>
      </c>
      <c r="D1687" t="inlineStr">
        <is>
          <t>JÄMTLANDS LÄN</t>
        </is>
      </c>
      <c r="E1687" t="inlineStr">
        <is>
          <t>STRÖMSUND</t>
        </is>
      </c>
      <c r="F1687" t="inlineStr">
        <is>
          <t>Kyrkan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37127-2025</t>
        </is>
      </c>
      <c r="B1688" s="1" t="n">
        <v>45875.53715277778</v>
      </c>
      <c r="C1688" s="1" t="n">
        <v>46048</v>
      </c>
      <c r="D1688" t="inlineStr">
        <is>
          <t>JÄMTLANDS LÄN</t>
        </is>
      </c>
      <c r="E1688" t="inlineStr">
        <is>
          <t>STRÖMSUND</t>
        </is>
      </c>
      <c r="F1688" t="inlineStr">
        <is>
          <t>Kyrkan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36892-2025</t>
        </is>
      </c>
      <c r="B1689" s="1" t="n">
        <v>45874.46975694445</v>
      </c>
      <c r="C1689" s="1" t="n">
        <v>46048</v>
      </c>
      <c r="D1689" t="inlineStr">
        <is>
          <t>JÄMTLANDS LÄN</t>
        </is>
      </c>
      <c r="E1689" t="inlineStr">
        <is>
          <t>STRÖMSUND</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46259-2023</t>
        </is>
      </c>
      <c r="B1690" s="1" t="n">
        <v>45196.93831018519</v>
      </c>
      <c r="C1690" s="1" t="n">
        <v>46048</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36965-2025</t>
        </is>
      </c>
      <c r="B1691" s="1" t="n">
        <v>45874.6358912037</v>
      </c>
      <c r="C1691" s="1" t="n">
        <v>46048</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50305-2022</t>
        </is>
      </c>
      <c r="B1692" s="1" t="n">
        <v>44865.92909722222</v>
      </c>
      <c r="C1692" s="1" t="n">
        <v>46048</v>
      </c>
      <c r="D1692" t="inlineStr">
        <is>
          <t>JÄMTLANDS LÄN</t>
        </is>
      </c>
      <c r="E1692" t="inlineStr">
        <is>
          <t>STRÖMSUND</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36870-2025</t>
        </is>
      </c>
      <c r="B1693" s="1" t="n">
        <v>45874.42859953704</v>
      </c>
      <c r="C1693" s="1" t="n">
        <v>46048</v>
      </c>
      <c r="D1693" t="inlineStr">
        <is>
          <t>JÄMTLANDS LÄN</t>
        </is>
      </c>
      <c r="E1693" t="inlineStr">
        <is>
          <t>STRÖMSUND</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37097-2025</t>
        </is>
      </c>
      <c r="B1694" s="1" t="n">
        <v>45875.46953703704</v>
      </c>
      <c r="C1694" s="1" t="n">
        <v>46048</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51786-2023</t>
        </is>
      </c>
      <c r="B1695" s="1" t="n">
        <v>45222.83377314815</v>
      </c>
      <c r="C1695" s="1" t="n">
        <v>46048</v>
      </c>
      <c r="D1695" t="inlineStr">
        <is>
          <t>JÄMTLANDS LÄN</t>
        </is>
      </c>
      <c r="E1695" t="inlineStr">
        <is>
          <t>STRÖMSUND</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51795-2023</t>
        </is>
      </c>
      <c r="B1696" s="1" t="n">
        <v>45222</v>
      </c>
      <c r="C1696" s="1" t="n">
        <v>46048</v>
      </c>
      <c r="D1696" t="inlineStr">
        <is>
          <t>JÄMTLANDS LÄN</t>
        </is>
      </c>
      <c r="E1696" t="inlineStr">
        <is>
          <t>STRÖMSUND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25328-2023</t>
        </is>
      </c>
      <c r="B1697" s="1" t="n">
        <v>45086.93983796296</v>
      </c>
      <c r="C1697" s="1" t="n">
        <v>46048</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1187-2023</t>
        </is>
      </c>
      <c r="B1698" s="1" t="n">
        <v>44930</v>
      </c>
      <c r="C1698" s="1" t="n">
        <v>46048</v>
      </c>
      <c r="D1698" t="inlineStr">
        <is>
          <t>JÄMTLANDS LÄN</t>
        </is>
      </c>
      <c r="E1698" t="inlineStr">
        <is>
          <t>STRÖMSUND</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37096-2025</t>
        </is>
      </c>
      <c r="B1699" s="1" t="n">
        <v>45875.46940972222</v>
      </c>
      <c r="C1699" s="1" t="n">
        <v>46048</v>
      </c>
      <c r="D1699" t="inlineStr">
        <is>
          <t>JÄMTLANDS LÄN</t>
        </is>
      </c>
      <c r="E1699" t="inlineStr">
        <is>
          <t>STRÖMSUND</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12666-2025</t>
        </is>
      </c>
      <c r="B1700" s="1" t="n">
        <v>45733.42768518518</v>
      </c>
      <c r="C1700" s="1" t="n">
        <v>46048</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38529-2025</t>
        </is>
      </c>
      <c r="B1701" s="1" t="n">
        <v>45884.40726851852</v>
      </c>
      <c r="C1701" s="1" t="n">
        <v>46048</v>
      </c>
      <c r="D1701" t="inlineStr">
        <is>
          <t>JÄMTLANDS LÄN</t>
        </is>
      </c>
      <c r="E1701" t="inlineStr">
        <is>
          <t>STRÖMSUND</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44642-2023</t>
        </is>
      </c>
      <c r="B1702" s="1" t="n">
        <v>45184</v>
      </c>
      <c r="C1702" s="1" t="n">
        <v>46048</v>
      </c>
      <c r="D1702" t="inlineStr">
        <is>
          <t>JÄMTLANDS LÄN</t>
        </is>
      </c>
      <c r="E1702" t="inlineStr">
        <is>
          <t>STRÖMSUND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6836-2025</t>
        </is>
      </c>
      <c r="B1703" s="1" t="n">
        <v>45700.79859953704</v>
      </c>
      <c r="C1703" s="1" t="n">
        <v>46048</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56507-2024</t>
        </is>
      </c>
      <c r="B1704" s="1" t="n">
        <v>45625.51142361111</v>
      </c>
      <c r="C1704" s="1" t="n">
        <v>46048</v>
      </c>
      <c r="D1704" t="inlineStr">
        <is>
          <t>JÄMTLANDS LÄN</t>
        </is>
      </c>
      <c r="E1704" t="inlineStr">
        <is>
          <t>STRÖMSUND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56514-2024</t>
        </is>
      </c>
      <c r="B1705" s="1" t="n">
        <v>45625.53173611111</v>
      </c>
      <c r="C1705" s="1" t="n">
        <v>46048</v>
      </c>
      <c r="D1705" t="inlineStr">
        <is>
          <t>JÄMTLANDS LÄN</t>
        </is>
      </c>
      <c r="E1705" t="inlineStr">
        <is>
          <t>STRÖMSUND</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536-2023</t>
        </is>
      </c>
      <c r="B1706" s="1" t="n">
        <v>44930</v>
      </c>
      <c r="C1706" s="1" t="n">
        <v>46048</v>
      </c>
      <c r="D1706" t="inlineStr">
        <is>
          <t>JÄMTLANDS LÄN</t>
        </is>
      </c>
      <c r="E1706" t="inlineStr">
        <is>
          <t>STRÖMSUND</t>
        </is>
      </c>
      <c r="G1706" t="n">
        <v>35.4</v>
      </c>
      <c r="H1706" t="n">
        <v>0</v>
      </c>
      <c r="I1706" t="n">
        <v>0</v>
      </c>
      <c r="J1706" t="n">
        <v>0</v>
      </c>
      <c r="K1706" t="n">
        <v>0</v>
      </c>
      <c r="L1706" t="n">
        <v>0</v>
      </c>
      <c r="M1706" t="n">
        <v>0</v>
      </c>
      <c r="N1706" t="n">
        <v>0</v>
      </c>
      <c r="O1706" t="n">
        <v>0</v>
      </c>
      <c r="P1706" t="n">
        <v>0</v>
      </c>
      <c r="Q1706" t="n">
        <v>0</v>
      </c>
      <c r="R1706" s="2" t="inlineStr"/>
    </row>
    <row r="1707" ht="15" customHeight="1">
      <c r="A1707" t="inlineStr">
        <is>
          <t>A 17804-2025</t>
        </is>
      </c>
      <c r="B1707" s="1" t="n">
        <v>45758.55240740741</v>
      </c>
      <c r="C1707" s="1" t="n">
        <v>46048</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35185-2024</t>
        </is>
      </c>
      <c r="B1708" s="1" t="n">
        <v>45530.45151620371</v>
      </c>
      <c r="C1708" s="1" t="n">
        <v>46048</v>
      </c>
      <c r="D1708" t="inlineStr">
        <is>
          <t>JÄMTLANDS LÄN</t>
        </is>
      </c>
      <c r="E1708" t="inlineStr">
        <is>
          <t>STRÖMSUND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37291-2025</t>
        </is>
      </c>
      <c r="B1709" s="1" t="n">
        <v>45876.53166666667</v>
      </c>
      <c r="C1709" s="1" t="n">
        <v>46048</v>
      </c>
      <c r="D1709" t="inlineStr">
        <is>
          <t>JÄMTLANDS LÄN</t>
        </is>
      </c>
      <c r="E1709" t="inlineStr">
        <is>
          <t>STRÖMSUND</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43432-2022</t>
        </is>
      </c>
      <c r="B1710" s="1" t="n">
        <v>44834</v>
      </c>
      <c r="C1710" s="1" t="n">
        <v>46048</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52736-2023</t>
        </is>
      </c>
      <c r="B1711" s="1" t="n">
        <v>45225.96627314815</v>
      </c>
      <c r="C1711" s="1" t="n">
        <v>46048</v>
      </c>
      <c r="D1711" t="inlineStr">
        <is>
          <t>JÄMTLANDS LÄN</t>
        </is>
      </c>
      <c r="E1711" t="inlineStr">
        <is>
          <t>STRÖMSUND</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57383-2023</t>
        </is>
      </c>
      <c r="B1712" s="1" t="n">
        <v>45245.92938657408</v>
      </c>
      <c r="C1712" s="1" t="n">
        <v>46048</v>
      </c>
      <c r="D1712" t="inlineStr">
        <is>
          <t>JÄMTLANDS LÄN</t>
        </is>
      </c>
      <c r="E1712" t="inlineStr">
        <is>
          <t>STRÖMSUND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60905-2024</t>
        </is>
      </c>
      <c r="B1713" s="1" t="n">
        <v>45644</v>
      </c>
      <c r="C1713" s="1" t="n">
        <v>46048</v>
      </c>
      <c r="D1713" t="inlineStr">
        <is>
          <t>JÄMTLANDS LÄN</t>
        </is>
      </c>
      <c r="E1713" t="inlineStr">
        <is>
          <t>STRÖMSUND</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37451-2025</t>
        </is>
      </c>
      <c r="B1714" s="1" t="n">
        <v>45877.55271990741</v>
      </c>
      <c r="C1714" s="1" t="n">
        <v>46048</v>
      </c>
      <c r="D1714" t="inlineStr">
        <is>
          <t>JÄMTLANDS LÄN</t>
        </is>
      </c>
      <c r="E1714" t="inlineStr">
        <is>
          <t>STRÖMSUND</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37452-2025</t>
        </is>
      </c>
      <c r="B1715" s="1" t="n">
        <v>45877.5578125</v>
      </c>
      <c r="C1715" s="1" t="n">
        <v>46048</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37274-2025</t>
        </is>
      </c>
      <c r="B1716" s="1" t="n">
        <v>45876.48733796296</v>
      </c>
      <c r="C1716" s="1" t="n">
        <v>46048</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37272-2025</t>
        </is>
      </c>
      <c r="B1717" s="1" t="n">
        <v>45876.47997685185</v>
      </c>
      <c r="C1717" s="1" t="n">
        <v>46048</v>
      </c>
      <c r="D1717" t="inlineStr">
        <is>
          <t>JÄMTLANDS LÄN</t>
        </is>
      </c>
      <c r="E1717" t="inlineStr">
        <is>
          <t>STRÖMSUND</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4045-2023</t>
        </is>
      </c>
      <c r="B1718" s="1" t="n">
        <v>44952.60439814815</v>
      </c>
      <c r="C1718" s="1" t="n">
        <v>46048</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37430-2025</t>
        </is>
      </c>
      <c r="B1719" s="1" t="n">
        <v>45877.50881944445</v>
      </c>
      <c r="C1719" s="1" t="n">
        <v>46048</v>
      </c>
      <c r="D1719" t="inlineStr">
        <is>
          <t>JÄMTLANDS LÄN</t>
        </is>
      </c>
      <c r="E1719" t="inlineStr">
        <is>
          <t>STRÖMSUND</t>
        </is>
      </c>
      <c r="F1719" t="inlineStr">
        <is>
          <t>Holmen skog AB</t>
        </is>
      </c>
      <c r="G1719" t="n">
        <v>15.1</v>
      </c>
      <c r="H1719" t="n">
        <v>0</v>
      </c>
      <c r="I1719" t="n">
        <v>0</v>
      </c>
      <c r="J1719" t="n">
        <v>0</v>
      </c>
      <c r="K1719" t="n">
        <v>0</v>
      </c>
      <c r="L1719" t="n">
        <v>0</v>
      </c>
      <c r="M1719" t="n">
        <v>0</v>
      </c>
      <c r="N1719" t="n">
        <v>0</v>
      </c>
      <c r="O1719" t="n">
        <v>0</v>
      </c>
      <c r="P1719" t="n">
        <v>0</v>
      </c>
      <c r="Q1719" t="n">
        <v>0</v>
      </c>
      <c r="R1719" s="2" t="inlineStr"/>
    </row>
    <row r="1720" ht="15" customHeight="1">
      <c r="A1720" t="inlineStr">
        <is>
          <t>A 37462-2025</t>
        </is>
      </c>
      <c r="B1720" s="1" t="n">
        <v>45877.57369212963</v>
      </c>
      <c r="C1720" s="1" t="n">
        <v>46048</v>
      </c>
      <c r="D1720" t="inlineStr">
        <is>
          <t>JÄMTLANDS LÄN</t>
        </is>
      </c>
      <c r="E1720" t="inlineStr">
        <is>
          <t>STRÖMSUND</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37330-2025</t>
        </is>
      </c>
      <c r="B1721" s="1" t="n">
        <v>45876.65702546296</v>
      </c>
      <c r="C1721" s="1" t="n">
        <v>46048</v>
      </c>
      <c r="D1721" t="inlineStr">
        <is>
          <t>JÄMTLANDS LÄN</t>
        </is>
      </c>
      <c r="E1721" t="inlineStr">
        <is>
          <t>STRÖMSUND</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37370-2025</t>
        </is>
      </c>
      <c r="B1722" s="1" t="n">
        <v>45877.34458333333</v>
      </c>
      <c r="C1722" s="1" t="n">
        <v>46048</v>
      </c>
      <c r="D1722" t="inlineStr">
        <is>
          <t>JÄMTLANDS LÄN</t>
        </is>
      </c>
      <c r="E1722" t="inlineStr">
        <is>
          <t>STRÖMSUND</t>
        </is>
      </c>
      <c r="F1722" t="inlineStr">
        <is>
          <t>SCA</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37395-2025</t>
        </is>
      </c>
      <c r="B1723" s="1" t="n">
        <v>45877.42790509259</v>
      </c>
      <c r="C1723" s="1" t="n">
        <v>46048</v>
      </c>
      <c r="D1723" t="inlineStr">
        <is>
          <t>JÄMTLANDS LÄN</t>
        </is>
      </c>
      <c r="E1723" t="inlineStr">
        <is>
          <t>STRÖMSUND</t>
        </is>
      </c>
      <c r="F1723" t="inlineStr">
        <is>
          <t>SCA</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37262-2025</t>
        </is>
      </c>
      <c r="B1724" s="1" t="n">
        <v>45876.45689814815</v>
      </c>
      <c r="C1724" s="1" t="n">
        <v>46048</v>
      </c>
      <c r="D1724" t="inlineStr">
        <is>
          <t>JÄMTLANDS LÄN</t>
        </is>
      </c>
      <c r="E1724" t="inlineStr">
        <is>
          <t>STRÖMSUND</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44601-2024</t>
        </is>
      </c>
      <c r="B1725" s="1" t="n">
        <v>45574.51127314815</v>
      </c>
      <c r="C1725" s="1" t="n">
        <v>46048</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44615-2024</t>
        </is>
      </c>
      <c r="B1726" s="1" t="n">
        <v>45574.51277777777</v>
      </c>
      <c r="C1726" s="1" t="n">
        <v>46048</v>
      </c>
      <c r="D1726" t="inlineStr">
        <is>
          <t>JÄMTLANDS LÄN</t>
        </is>
      </c>
      <c r="E1726" t="inlineStr">
        <is>
          <t>STRÖMSUND</t>
        </is>
      </c>
      <c r="F1726" t="inlineStr">
        <is>
          <t>SCA</t>
        </is>
      </c>
      <c r="G1726" t="n">
        <v>2.7</v>
      </c>
      <c r="H1726" t="n">
        <v>0</v>
      </c>
      <c r="I1726" t="n">
        <v>0</v>
      </c>
      <c r="J1726" t="n">
        <v>0</v>
      </c>
      <c r="K1726" t="n">
        <v>0</v>
      </c>
      <c r="L1726" t="n">
        <v>0</v>
      </c>
      <c r="M1726" t="n">
        <v>0</v>
      </c>
      <c r="N1726" t="n">
        <v>0</v>
      </c>
      <c r="O1726" t="n">
        <v>0</v>
      </c>
      <c r="P1726" t="n">
        <v>0</v>
      </c>
      <c r="Q1726" t="n">
        <v>0</v>
      </c>
      <c r="R1726" s="2" t="inlineStr"/>
      <c r="U1726">
        <f>HYPERLINK("https://klasma.github.io/Logging_2313/knärot/A 44615-2024 karta knärot.png", "A 44615-2024")</f>
        <v/>
      </c>
      <c r="V1726">
        <f>HYPERLINK("https://klasma.github.io/Logging_2313/klagomål/A 44615-2024 FSC-klagomål.docx", "A 44615-2024")</f>
        <v/>
      </c>
      <c r="W1726">
        <f>HYPERLINK("https://klasma.github.io/Logging_2313/klagomålsmail/A 44615-2024 FSC-klagomål mail.docx", "A 44615-2024")</f>
        <v/>
      </c>
      <c r="X1726">
        <f>HYPERLINK("https://klasma.github.io/Logging_2313/tillsyn/A 44615-2024 tillsynsbegäran.docx", "A 44615-2024")</f>
        <v/>
      </c>
      <c r="Y1726">
        <f>HYPERLINK("https://klasma.github.io/Logging_2313/tillsynsmail/A 44615-2024 tillsynsbegäran mail.docx", "A 44615-2024")</f>
        <v/>
      </c>
    </row>
    <row r="1727" ht="15" customHeight="1">
      <c r="A1727" t="inlineStr">
        <is>
          <t>A 44623-2024</t>
        </is>
      </c>
      <c r="B1727" s="1" t="n">
        <v>45574.51356481481</v>
      </c>
      <c r="C1727" s="1" t="n">
        <v>46048</v>
      </c>
      <c r="D1727" t="inlineStr">
        <is>
          <t>JÄMTLANDS LÄN</t>
        </is>
      </c>
      <c r="E1727" t="inlineStr">
        <is>
          <t>STRÖMSUND</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38908-2025</t>
        </is>
      </c>
      <c r="B1728" s="1" t="n">
        <v>45887.61349537037</v>
      </c>
      <c r="C1728" s="1" t="n">
        <v>46048</v>
      </c>
      <c r="D1728" t="inlineStr">
        <is>
          <t>JÄMTLANDS LÄN</t>
        </is>
      </c>
      <c r="E1728" t="inlineStr">
        <is>
          <t>STRÖMSUND</t>
        </is>
      </c>
      <c r="G1728" t="n">
        <v>26.4</v>
      </c>
      <c r="H1728" t="n">
        <v>0</v>
      </c>
      <c r="I1728" t="n">
        <v>0</v>
      </c>
      <c r="J1728" t="n">
        <v>0</v>
      </c>
      <c r="K1728" t="n">
        <v>0</v>
      </c>
      <c r="L1728" t="n">
        <v>0</v>
      </c>
      <c r="M1728" t="n">
        <v>0</v>
      </c>
      <c r="N1728" t="n">
        <v>0</v>
      </c>
      <c r="O1728" t="n">
        <v>0</v>
      </c>
      <c r="P1728" t="n">
        <v>0</v>
      </c>
      <c r="Q1728" t="n">
        <v>0</v>
      </c>
      <c r="R1728" s="2" t="inlineStr"/>
    </row>
    <row r="1729" ht="15" customHeight="1">
      <c r="A1729" t="inlineStr">
        <is>
          <t>A 20074-2025</t>
        </is>
      </c>
      <c r="B1729" s="1" t="n">
        <v>45772.44841435185</v>
      </c>
      <c r="C1729" s="1" t="n">
        <v>46048</v>
      </c>
      <c r="D1729" t="inlineStr">
        <is>
          <t>JÄMTLANDS LÄN</t>
        </is>
      </c>
      <c r="E1729" t="inlineStr">
        <is>
          <t>STRÖMSUND</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38806-2025</t>
        </is>
      </c>
      <c r="B1730" s="1" t="n">
        <v>45887.46930555555</v>
      </c>
      <c r="C1730" s="1" t="n">
        <v>46048</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48564-2022</t>
        </is>
      </c>
      <c r="B1731" s="1" t="n">
        <v>44854</v>
      </c>
      <c r="C1731" s="1" t="n">
        <v>46048</v>
      </c>
      <c r="D1731" t="inlineStr">
        <is>
          <t>JÄMTLANDS LÄN</t>
        </is>
      </c>
      <c r="E1731" t="inlineStr">
        <is>
          <t>STRÖMSUND</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37258-2025</t>
        </is>
      </c>
      <c r="B1732" s="1" t="n">
        <v>45876.44306712963</v>
      </c>
      <c r="C1732" s="1" t="n">
        <v>46048</v>
      </c>
      <c r="D1732" t="inlineStr">
        <is>
          <t>JÄMTLANDS LÄN</t>
        </is>
      </c>
      <c r="E1732" t="inlineStr">
        <is>
          <t>STRÖMSUND</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37305-2025</t>
        </is>
      </c>
      <c r="B1733" s="1" t="n">
        <v>45876.59471064815</v>
      </c>
      <c r="C1733" s="1" t="n">
        <v>46048</v>
      </c>
      <c r="D1733" t="inlineStr">
        <is>
          <t>JÄMTLANDS LÄN</t>
        </is>
      </c>
      <c r="E1733" t="inlineStr">
        <is>
          <t>STRÖMSUND</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37235-2025</t>
        </is>
      </c>
      <c r="B1734" s="1" t="n">
        <v>45876.35336805556</v>
      </c>
      <c r="C1734" s="1" t="n">
        <v>46048</v>
      </c>
      <c r="D1734" t="inlineStr">
        <is>
          <t>JÄMTLANDS LÄN</t>
        </is>
      </c>
      <c r="E1734" t="inlineStr">
        <is>
          <t>STRÖMSUND</t>
        </is>
      </c>
      <c r="G1734" t="n">
        <v>39.2</v>
      </c>
      <c r="H1734" t="n">
        <v>0</v>
      </c>
      <c r="I1734" t="n">
        <v>0</v>
      </c>
      <c r="J1734" t="n">
        <v>0</v>
      </c>
      <c r="K1734" t="n">
        <v>0</v>
      </c>
      <c r="L1734" t="n">
        <v>0</v>
      </c>
      <c r="M1734" t="n">
        <v>0</v>
      </c>
      <c r="N1734" t="n">
        <v>0</v>
      </c>
      <c r="O1734" t="n">
        <v>0</v>
      </c>
      <c r="P1734" t="n">
        <v>0</v>
      </c>
      <c r="Q1734" t="n">
        <v>0</v>
      </c>
      <c r="R1734" s="2" t="inlineStr"/>
    </row>
    <row r="1735" ht="15" customHeight="1">
      <c r="A1735" t="inlineStr">
        <is>
          <t>A 38785-2025</t>
        </is>
      </c>
      <c r="B1735" s="1" t="n">
        <v>45887.44844907407</v>
      </c>
      <c r="C1735" s="1" t="n">
        <v>46048</v>
      </c>
      <c r="D1735" t="inlineStr">
        <is>
          <t>JÄMTLANDS LÄN</t>
        </is>
      </c>
      <c r="E1735" t="inlineStr">
        <is>
          <t>STRÖMSUND</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38541-2025</t>
        </is>
      </c>
      <c r="B1736" s="1" t="n">
        <v>45884.42788194444</v>
      </c>
      <c r="C1736" s="1" t="n">
        <v>46048</v>
      </c>
      <c r="D1736" t="inlineStr">
        <is>
          <t>JÄMTLANDS LÄN</t>
        </is>
      </c>
      <c r="E1736" t="inlineStr">
        <is>
          <t>STRÖMSUND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24965-2022</t>
        </is>
      </c>
      <c r="B1737" s="1" t="n">
        <v>44728</v>
      </c>
      <c r="C1737" s="1" t="n">
        <v>46048</v>
      </c>
      <c r="D1737" t="inlineStr">
        <is>
          <t>JÄMTLANDS LÄN</t>
        </is>
      </c>
      <c r="E1737" t="inlineStr">
        <is>
          <t>STRÖMSUND</t>
        </is>
      </c>
      <c r="G1737" t="n">
        <v>20.5</v>
      </c>
      <c r="H1737" t="n">
        <v>0</v>
      </c>
      <c r="I1737" t="n">
        <v>0</v>
      </c>
      <c r="J1737" t="n">
        <v>0</v>
      </c>
      <c r="K1737" t="n">
        <v>0</v>
      </c>
      <c r="L1737" t="n">
        <v>0</v>
      </c>
      <c r="M1737" t="n">
        <v>0</v>
      </c>
      <c r="N1737" t="n">
        <v>0</v>
      </c>
      <c r="O1737" t="n">
        <v>0</v>
      </c>
      <c r="P1737" t="n">
        <v>0</v>
      </c>
      <c r="Q1737" t="n">
        <v>0</v>
      </c>
      <c r="R1737" s="2" t="inlineStr"/>
    </row>
    <row r="1738" ht="15" customHeight="1">
      <c r="A1738" t="inlineStr">
        <is>
          <t>A 10144-2022</t>
        </is>
      </c>
      <c r="B1738" s="1" t="n">
        <v>44621</v>
      </c>
      <c r="C1738" s="1" t="n">
        <v>46048</v>
      </c>
      <c r="D1738" t="inlineStr">
        <is>
          <t>JÄMTLANDS LÄN</t>
        </is>
      </c>
      <c r="E1738" t="inlineStr">
        <is>
          <t>STRÖMSUND</t>
        </is>
      </c>
      <c r="F1738" t="inlineStr">
        <is>
          <t>SCA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35010-2025</t>
        </is>
      </c>
      <c r="B1739" s="1" t="n">
        <v>45851</v>
      </c>
      <c r="C1739" s="1" t="n">
        <v>46048</v>
      </c>
      <c r="D1739" t="inlineStr">
        <is>
          <t>JÄMTLANDS LÄN</t>
        </is>
      </c>
      <c r="E1739" t="inlineStr">
        <is>
          <t>STRÖMSUND</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37619-2025</t>
        </is>
      </c>
      <c r="B1740" s="1" t="n">
        <v>45880.44827546296</v>
      </c>
      <c r="C1740" s="1" t="n">
        <v>46048</v>
      </c>
      <c r="D1740" t="inlineStr">
        <is>
          <t>JÄMTLANDS LÄN</t>
        </is>
      </c>
      <c r="E1740" t="inlineStr">
        <is>
          <t>STRÖMSUND</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21146-2023</t>
        </is>
      </c>
      <c r="B1741" s="1" t="n">
        <v>45057</v>
      </c>
      <c r="C1741" s="1" t="n">
        <v>46048</v>
      </c>
      <c r="D1741" t="inlineStr">
        <is>
          <t>JÄMTLANDS LÄN</t>
        </is>
      </c>
      <c r="E1741" t="inlineStr">
        <is>
          <t>STRÖMSUND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37708-2025</t>
        </is>
      </c>
      <c r="B1742" s="1" t="n">
        <v>45880.59440972222</v>
      </c>
      <c r="C1742" s="1" t="n">
        <v>46048</v>
      </c>
      <c r="D1742" t="inlineStr">
        <is>
          <t>JÄMTLANDS LÄN</t>
        </is>
      </c>
      <c r="E1742" t="inlineStr">
        <is>
          <t>STRÖMSUND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58025-2022</t>
        </is>
      </c>
      <c r="B1743" s="1" t="n">
        <v>44893</v>
      </c>
      <c r="C1743" s="1" t="n">
        <v>46048</v>
      </c>
      <c r="D1743" t="inlineStr">
        <is>
          <t>JÄMTLANDS LÄN</t>
        </is>
      </c>
      <c r="E1743" t="inlineStr">
        <is>
          <t>STRÖMSUND</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38453-2025</t>
        </is>
      </c>
      <c r="B1744" s="1" t="n">
        <v>45883.67828703704</v>
      </c>
      <c r="C1744" s="1" t="n">
        <v>46048</v>
      </c>
      <c r="D1744" t="inlineStr">
        <is>
          <t>JÄMTLANDS LÄN</t>
        </is>
      </c>
      <c r="E1744" t="inlineStr">
        <is>
          <t>STRÖMSUND</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38021-2025</t>
        </is>
      </c>
      <c r="B1745" s="1" t="n">
        <v>45882.34454861111</v>
      </c>
      <c r="C1745" s="1" t="n">
        <v>46048</v>
      </c>
      <c r="D1745" t="inlineStr">
        <is>
          <t>JÄMTLANDS LÄN</t>
        </is>
      </c>
      <c r="E1745" t="inlineStr">
        <is>
          <t>STRÖMSUND</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38149-2025</t>
        </is>
      </c>
      <c r="B1746" s="1" t="n">
        <v>45882.59427083333</v>
      </c>
      <c r="C1746" s="1" t="n">
        <v>46048</v>
      </c>
      <c r="D1746" t="inlineStr">
        <is>
          <t>JÄMTLANDS LÄN</t>
        </is>
      </c>
      <c r="E1746" t="inlineStr">
        <is>
          <t>STRÖMSUND</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38323-2025</t>
        </is>
      </c>
      <c r="B1747" s="1" t="n">
        <v>45883.49018518518</v>
      </c>
      <c r="C1747" s="1" t="n">
        <v>46048</v>
      </c>
      <c r="D1747" t="inlineStr">
        <is>
          <t>JÄMTLANDS LÄN</t>
        </is>
      </c>
      <c r="E1747" t="inlineStr">
        <is>
          <t>STRÖMSUND</t>
        </is>
      </c>
      <c r="F1747" t="inlineStr">
        <is>
          <t>SCA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38331-2025</t>
        </is>
      </c>
      <c r="B1748" s="1" t="n">
        <v>45883.49135416667</v>
      </c>
      <c r="C1748" s="1" t="n">
        <v>46048</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60319-2021</t>
        </is>
      </c>
      <c r="B1749" s="1" t="n">
        <v>44495</v>
      </c>
      <c r="C1749" s="1" t="n">
        <v>46048</v>
      </c>
      <c r="D1749" t="inlineStr">
        <is>
          <t>JÄMTLANDS LÄN</t>
        </is>
      </c>
      <c r="E1749" t="inlineStr">
        <is>
          <t>STRÖMSUND</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38050-2025</t>
        </is>
      </c>
      <c r="B1750" s="1" t="n">
        <v>45882.40732638889</v>
      </c>
      <c r="C1750" s="1" t="n">
        <v>46048</v>
      </c>
      <c r="D1750" t="inlineStr">
        <is>
          <t>JÄMTLANDS LÄN</t>
        </is>
      </c>
      <c r="E1750" t="inlineStr">
        <is>
          <t>STRÖMSUND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37947-2025</t>
        </is>
      </c>
      <c r="B1751" s="1" t="n">
        <v>45881.6153587963</v>
      </c>
      <c r="C1751" s="1" t="n">
        <v>46048</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38020-2025</t>
        </is>
      </c>
      <c r="B1752" s="1" t="n">
        <v>45882.3443287037</v>
      </c>
      <c r="C1752" s="1" t="n">
        <v>46048</v>
      </c>
      <c r="D1752" t="inlineStr">
        <is>
          <t>JÄMTLANDS LÄN</t>
        </is>
      </c>
      <c r="E1752" t="inlineStr">
        <is>
          <t>STRÖMSUND</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38048-2025</t>
        </is>
      </c>
      <c r="B1753" s="1" t="n">
        <v>45882.40670138889</v>
      </c>
      <c r="C1753" s="1" t="n">
        <v>46048</v>
      </c>
      <c r="D1753" t="inlineStr">
        <is>
          <t>JÄMTLANDS LÄN</t>
        </is>
      </c>
      <c r="E1753" t="inlineStr">
        <is>
          <t>STRÖMSUND</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38061-2025</t>
        </is>
      </c>
      <c r="B1754" s="1" t="n">
        <v>45882.42813657408</v>
      </c>
      <c r="C1754" s="1" t="n">
        <v>46048</v>
      </c>
      <c r="D1754" t="inlineStr">
        <is>
          <t>JÄMTLANDS LÄN</t>
        </is>
      </c>
      <c r="E1754" t="inlineStr">
        <is>
          <t>STRÖMSUND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38310-2025</t>
        </is>
      </c>
      <c r="B1755" s="1" t="n">
        <v>45883</v>
      </c>
      <c r="C1755" s="1" t="n">
        <v>46048</v>
      </c>
      <c r="D1755" t="inlineStr">
        <is>
          <t>JÄMTLANDS LÄN</t>
        </is>
      </c>
      <c r="E1755" t="inlineStr">
        <is>
          <t>STRÖMSUND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38051-2025</t>
        </is>
      </c>
      <c r="B1756" s="1" t="n">
        <v>45882.40740740741</v>
      </c>
      <c r="C1756" s="1" t="n">
        <v>46048</v>
      </c>
      <c r="D1756" t="inlineStr">
        <is>
          <t>JÄMTLANDS LÄN</t>
        </is>
      </c>
      <c r="E1756" t="inlineStr">
        <is>
          <t>STRÖMSUND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38139-2025</t>
        </is>
      </c>
      <c r="B1757" s="1" t="n">
        <v>45882.57331018519</v>
      </c>
      <c r="C1757" s="1" t="n">
        <v>46048</v>
      </c>
      <c r="D1757" t="inlineStr">
        <is>
          <t>JÄMTLANDS LÄN</t>
        </is>
      </c>
      <c r="E1757" t="inlineStr">
        <is>
          <t>STRÖMSUND</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38787-2025</t>
        </is>
      </c>
      <c r="B1758" s="1" t="n">
        <v>45887.44873842593</v>
      </c>
      <c r="C1758" s="1" t="n">
        <v>46048</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9318-2025</t>
        </is>
      </c>
      <c r="B1759" s="1" t="n">
        <v>45714.71163194445</v>
      </c>
      <c r="C1759" s="1" t="n">
        <v>46048</v>
      </c>
      <c r="D1759" t="inlineStr">
        <is>
          <t>JÄMTLANDS LÄN</t>
        </is>
      </c>
      <c r="E1759" t="inlineStr">
        <is>
          <t>STRÖMSUND</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55156-2023</t>
        </is>
      </c>
      <c r="B1760" s="1" t="n">
        <v>45237</v>
      </c>
      <c r="C1760" s="1" t="n">
        <v>46048</v>
      </c>
      <c r="D1760" t="inlineStr">
        <is>
          <t>JÄMTLANDS LÄN</t>
        </is>
      </c>
      <c r="E1760" t="inlineStr">
        <is>
          <t>STRÖMSUND</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38221-2025</t>
        </is>
      </c>
      <c r="B1761" s="1" t="n">
        <v>45883.34436342592</v>
      </c>
      <c r="C1761" s="1" t="n">
        <v>46048</v>
      </c>
      <c r="D1761" t="inlineStr">
        <is>
          <t>JÄMTLANDS LÄN</t>
        </is>
      </c>
      <c r="E1761" t="inlineStr">
        <is>
          <t>STRÖMSUND</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38786-2025</t>
        </is>
      </c>
      <c r="B1762" s="1" t="n">
        <v>45887.44864583333</v>
      </c>
      <c r="C1762" s="1" t="n">
        <v>46048</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38115-2025</t>
        </is>
      </c>
      <c r="B1763" s="1" t="n">
        <v>45882.53181712963</v>
      </c>
      <c r="C1763" s="1" t="n">
        <v>46048</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37946-2025</t>
        </is>
      </c>
      <c r="B1764" s="1" t="n">
        <v>45881.61520833334</v>
      </c>
      <c r="C1764" s="1" t="n">
        <v>46048</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66088-2021</t>
        </is>
      </c>
      <c r="B1765" s="1" t="n">
        <v>44517.67090277778</v>
      </c>
      <c r="C1765" s="1" t="n">
        <v>46048</v>
      </c>
      <c r="D1765" t="inlineStr">
        <is>
          <t>JÄMTLANDS LÄN</t>
        </is>
      </c>
      <c r="E1765" t="inlineStr">
        <is>
          <t>STRÖMSUND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38939-2025</t>
        </is>
      </c>
      <c r="B1766" s="1" t="n">
        <v>45885</v>
      </c>
      <c r="C1766" s="1" t="n">
        <v>46048</v>
      </c>
      <c r="D1766" t="inlineStr">
        <is>
          <t>JÄMTLANDS LÄN</t>
        </is>
      </c>
      <c r="E1766" t="inlineStr">
        <is>
          <t>STRÖMSUND</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39058-2025</t>
        </is>
      </c>
      <c r="B1767" s="1" t="n">
        <v>45887</v>
      </c>
      <c r="C1767" s="1" t="n">
        <v>46048</v>
      </c>
      <c r="D1767" t="inlineStr">
        <is>
          <t>JÄMTLANDS LÄN</t>
        </is>
      </c>
      <c r="E1767" t="inlineStr">
        <is>
          <t>STRÖMSUND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32153-2022</t>
        </is>
      </c>
      <c r="B1768" s="1" t="n">
        <v>44781</v>
      </c>
      <c r="C1768" s="1" t="n">
        <v>46048</v>
      </c>
      <c r="D1768" t="inlineStr">
        <is>
          <t>JÄMTLANDS LÄN</t>
        </is>
      </c>
      <c r="E1768" t="inlineStr">
        <is>
          <t>STRÖMSUND</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40090-2024</t>
        </is>
      </c>
      <c r="B1769" s="1" t="n">
        <v>45554</v>
      </c>
      <c r="C1769" s="1" t="n">
        <v>46048</v>
      </c>
      <c r="D1769" t="inlineStr">
        <is>
          <t>JÄMTLANDS LÄN</t>
        </is>
      </c>
      <c r="E1769" t="inlineStr">
        <is>
          <t>STRÖMSUND</t>
        </is>
      </c>
      <c r="F1769" t="inlineStr">
        <is>
          <t>Kyrkan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34907-2023</t>
        </is>
      </c>
      <c r="B1770" s="1" t="n">
        <v>45141</v>
      </c>
      <c r="C1770" s="1" t="n">
        <v>46048</v>
      </c>
      <c r="D1770" t="inlineStr">
        <is>
          <t>JÄMTLANDS LÄN</t>
        </is>
      </c>
      <c r="E1770" t="inlineStr">
        <is>
          <t>STRÖMSUND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35397-2024</t>
        </is>
      </c>
      <c r="B1771" s="1" t="n">
        <v>45531.40402777777</v>
      </c>
      <c r="C1771" s="1" t="n">
        <v>46048</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35410-2024</t>
        </is>
      </c>
      <c r="B1772" s="1" t="n">
        <v>45531.40701388889</v>
      </c>
      <c r="C1772" s="1" t="n">
        <v>46048</v>
      </c>
      <c r="D1772" t="inlineStr">
        <is>
          <t>JÄMTLANDS LÄN</t>
        </is>
      </c>
      <c r="E1772" t="inlineStr">
        <is>
          <t>STRÖMSUND</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38622-2025</t>
        </is>
      </c>
      <c r="B1773" s="1" t="n">
        <v>45884.55321759259</v>
      </c>
      <c r="C1773" s="1" t="n">
        <v>46048</v>
      </c>
      <c r="D1773" t="inlineStr">
        <is>
          <t>JÄMTLANDS LÄN</t>
        </is>
      </c>
      <c r="E1773" t="inlineStr">
        <is>
          <t>STRÖMSUND</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48042-2023</t>
        </is>
      </c>
      <c r="B1774" s="1" t="n">
        <v>45204.82206018519</v>
      </c>
      <c r="C1774" s="1" t="n">
        <v>46048</v>
      </c>
      <c r="D1774" t="inlineStr">
        <is>
          <t>JÄMTLANDS LÄN</t>
        </is>
      </c>
      <c r="E1774" t="inlineStr">
        <is>
          <t>STRÖMSUND</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58584-2023</t>
        </is>
      </c>
      <c r="B1775" s="1" t="n">
        <v>45246</v>
      </c>
      <c r="C1775" s="1" t="n">
        <v>46048</v>
      </c>
      <c r="D1775" t="inlineStr">
        <is>
          <t>JÄMTLANDS LÄN</t>
        </is>
      </c>
      <c r="E1775" t="inlineStr">
        <is>
          <t>STRÖMSUND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30809-2024</t>
        </is>
      </c>
      <c r="B1776" s="1" t="n">
        <v>45497</v>
      </c>
      <c r="C1776" s="1" t="n">
        <v>46048</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63362-2023</t>
        </is>
      </c>
      <c r="B1777" s="1" t="n">
        <v>45273</v>
      </c>
      <c r="C1777" s="1" t="n">
        <v>46048</v>
      </c>
      <c r="D1777" t="inlineStr">
        <is>
          <t>JÄMTLANDS LÄN</t>
        </is>
      </c>
      <c r="E1777" t="inlineStr">
        <is>
          <t>STRÖMSUND</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12097-2025</t>
        </is>
      </c>
      <c r="B1778" s="1" t="n">
        <v>45729.32767361111</v>
      </c>
      <c r="C1778" s="1" t="n">
        <v>46048</v>
      </c>
      <c r="D1778" t="inlineStr">
        <is>
          <t>JÄMTLANDS LÄN</t>
        </is>
      </c>
      <c r="E1778" t="inlineStr">
        <is>
          <t>STRÖMSUND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12099-2025</t>
        </is>
      </c>
      <c r="B1779" s="1" t="n">
        <v>45729.32976851852</v>
      </c>
      <c r="C1779" s="1" t="n">
        <v>46048</v>
      </c>
      <c r="D1779" t="inlineStr">
        <is>
          <t>JÄMTLANDS LÄN</t>
        </is>
      </c>
      <c r="E1779" t="inlineStr">
        <is>
          <t>STRÖMSUND</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13494-2024</t>
        </is>
      </c>
      <c r="B1780" s="1" t="n">
        <v>45387</v>
      </c>
      <c r="C1780" s="1" t="n">
        <v>46048</v>
      </c>
      <c r="D1780" t="inlineStr">
        <is>
          <t>JÄMTLANDS LÄN</t>
        </is>
      </c>
      <c r="E1780" t="inlineStr">
        <is>
          <t>STRÖMSUND</t>
        </is>
      </c>
      <c r="F1780" t="inlineStr">
        <is>
          <t>Kommuner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1126-2025</t>
        </is>
      </c>
      <c r="B1781" s="1" t="n">
        <v>45666.67743055556</v>
      </c>
      <c r="C1781" s="1" t="n">
        <v>46048</v>
      </c>
      <c r="D1781" t="inlineStr">
        <is>
          <t>JÄMTLANDS LÄN</t>
        </is>
      </c>
      <c r="E1781" t="inlineStr">
        <is>
          <t>STRÖMSUND</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41633-2024</t>
        </is>
      </c>
      <c r="B1782" s="1" t="n">
        <v>45560.61454861111</v>
      </c>
      <c r="C1782" s="1" t="n">
        <v>46048</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16236-2024</t>
        </is>
      </c>
      <c r="B1783" s="1" t="n">
        <v>45407.05668981482</v>
      </c>
      <c r="C1783" s="1" t="n">
        <v>46048</v>
      </c>
      <c r="D1783" t="inlineStr">
        <is>
          <t>JÄMTLANDS LÄN</t>
        </is>
      </c>
      <c r="E1783" t="inlineStr">
        <is>
          <t>STRÖMSUND</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54066-2023</t>
        </is>
      </c>
      <c r="B1784" s="1" t="n">
        <v>45231</v>
      </c>
      <c r="C1784" s="1" t="n">
        <v>46048</v>
      </c>
      <c r="D1784" t="inlineStr">
        <is>
          <t>JÄMTLANDS LÄN</t>
        </is>
      </c>
      <c r="E1784" t="inlineStr">
        <is>
          <t>STRÖMSUND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33584-2024</t>
        </is>
      </c>
      <c r="B1785" s="1" t="n">
        <v>45520.34630787037</v>
      </c>
      <c r="C1785" s="1" t="n">
        <v>46048</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4514-2024</t>
        </is>
      </c>
      <c r="B1786" s="1" t="n">
        <v>45327</v>
      </c>
      <c r="C1786" s="1" t="n">
        <v>46048</v>
      </c>
      <c r="D1786" t="inlineStr">
        <is>
          <t>JÄMTLANDS LÄN</t>
        </is>
      </c>
      <c r="E1786" t="inlineStr">
        <is>
          <t>STRÖMSUND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8364-2021</t>
        </is>
      </c>
      <c r="B1787" s="1" t="n">
        <v>44244</v>
      </c>
      <c r="C1787" s="1" t="n">
        <v>46048</v>
      </c>
      <c r="D1787" t="inlineStr">
        <is>
          <t>JÄMTLANDS LÄN</t>
        </is>
      </c>
      <c r="E1787" t="inlineStr">
        <is>
          <t>STRÖMSUND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64599-2023</t>
        </is>
      </c>
      <c r="B1788" s="1" t="n">
        <v>45281</v>
      </c>
      <c r="C1788" s="1" t="n">
        <v>46048</v>
      </c>
      <c r="D1788" t="inlineStr">
        <is>
          <t>JÄMTLANDS LÄN</t>
        </is>
      </c>
      <c r="E1788" t="inlineStr">
        <is>
          <t>STRÖMSUND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56490-2023</t>
        </is>
      </c>
      <c r="B1789" s="1" t="n">
        <v>45237</v>
      </c>
      <c r="C1789" s="1" t="n">
        <v>46048</v>
      </c>
      <c r="D1789" t="inlineStr">
        <is>
          <t>JÄMTLANDS LÄN</t>
        </is>
      </c>
      <c r="E1789" t="inlineStr">
        <is>
          <t>STRÖMSUND</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39285-2025</t>
        </is>
      </c>
      <c r="B1790" s="1" t="n">
        <v>45889.40671296296</v>
      </c>
      <c r="C1790" s="1" t="n">
        <v>46048</v>
      </c>
      <c r="D1790" t="inlineStr">
        <is>
          <t>JÄMTLANDS LÄN</t>
        </is>
      </c>
      <c r="E1790" t="inlineStr">
        <is>
          <t>STRÖMSUND</t>
        </is>
      </c>
      <c r="F1790" t="inlineStr">
        <is>
          <t>SCA</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57894-2023</t>
        </is>
      </c>
      <c r="B1791" s="1" t="n">
        <v>45247.48508101852</v>
      </c>
      <c r="C1791" s="1" t="n">
        <v>46048</v>
      </c>
      <c r="D1791" t="inlineStr">
        <is>
          <t>JÄMTLANDS LÄN</t>
        </is>
      </c>
      <c r="E1791" t="inlineStr">
        <is>
          <t>STRÖMSUND</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48420-2023</t>
        </is>
      </c>
      <c r="B1792" s="1" t="n">
        <v>45205</v>
      </c>
      <c r="C1792" s="1" t="n">
        <v>46048</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55459-2022</t>
        </is>
      </c>
      <c r="B1793" s="1" t="n">
        <v>44882</v>
      </c>
      <c r="C1793" s="1" t="n">
        <v>46048</v>
      </c>
      <c r="D1793" t="inlineStr">
        <is>
          <t>JÄMTLANDS LÄN</t>
        </is>
      </c>
      <c r="E1793" t="inlineStr">
        <is>
          <t>STRÖMSUND</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57431-2023</t>
        </is>
      </c>
      <c r="B1794" s="1" t="n">
        <v>45240</v>
      </c>
      <c r="C1794" s="1" t="n">
        <v>46048</v>
      </c>
      <c r="D1794" t="inlineStr">
        <is>
          <t>JÄMTLANDS LÄN</t>
        </is>
      </c>
      <c r="E1794" t="inlineStr">
        <is>
          <t>STRÖMSUND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34009-2023</t>
        </is>
      </c>
      <c r="B1795" s="1" t="n">
        <v>45134.95157407408</v>
      </c>
      <c r="C1795" s="1" t="n">
        <v>46048</v>
      </c>
      <c r="D1795" t="inlineStr">
        <is>
          <t>JÄMTLANDS LÄN</t>
        </is>
      </c>
      <c r="E1795" t="inlineStr">
        <is>
          <t>STRÖMSUND</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34010-2023</t>
        </is>
      </c>
      <c r="B1796" s="1" t="n">
        <v>45134</v>
      </c>
      <c r="C1796" s="1" t="n">
        <v>46048</v>
      </c>
      <c r="D1796" t="inlineStr">
        <is>
          <t>JÄMTLANDS LÄN</t>
        </is>
      </c>
      <c r="E1796" t="inlineStr">
        <is>
          <t>STRÖMSUND</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39040-2025</t>
        </is>
      </c>
      <c r="B1797" s="1" t="n">
        <v>45888.42753472222</v>
      </c>
      <c r="C1797" s="1" t="n">
        <v>46048</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1421-2025</t>
        </is>
      </c>
      <c r="B1798" s="1" t="n">
        <v>45668.59413194445</v>
      </c>
      <c r="C1798" s="1" t="n">
        <v>46048</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21552-2025</t>
        </is>
      </c>
      <c r="B1799" s="1" t="n">
        <v>45782.67795138889</v>
      </c>
      <c r="C1799" s="1" t="n">
        <v>46048</v>
      </c>
      <c r="D1799" t="inlineStr">
        <is>
          <t>JÄMTLANDS LÄN</t>
        </is>
      </c>
      <c r="E1799" t="inlineStr">
        <is>
          <t>STRÖMSUND</t>
        </is>
      </c>
      <c r="F1799" t="inlineStr">
        <is>
          <t>SCA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23310-2023</t>
        </is>
      </c>
      <c r="B1800" s="1" t="n">
        <v>45075</v>
      </c>
      <c r="C1800" s="1" t="n">
        <v>46048</v>
      </c>
      <c r="D1800" t="inlineStr">
        <is>
          <t>JÄMTLANDS LÄN</t>
        </is>
      </c>
      <c r="E1800" t="inlineStr">
        <is>
          <t>STRÖMSUND</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39357-2025</t>
        </is>
      </c>
      <c r="B1801" s="1" t="n">
        <v>45889.55276620371</v>
      </c>
      <c r="C1801" s="1" t="n">
        <v>46048</v>
      </c>
      <c r="D1801" t="inlineStr">
        <is>
          <t>JÄMTLANDS LÄN</t>
        </is>
      </c>
      <c r="E1801" t="inlineStr">
        <is>
          <t>STRÖMSUND</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13522-2025</t>
        </is>
      </c>
      <c r="B1802" s="1" t="n">
        <v>45736.48995370371</v>
      </c>
      <c r="C1802" s="1" t="n">
        <v>46048</v>
      </c>
      <c r="D1802" t="inlineStr">
        <is>
          <t>JÄMTLANDS LÄN</t>
        </is>
      </c>
      <c r="E1802" t="inlineStr">
        <is>
          <t>STRÖMSUND</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59568-2024</t>
        </is>
      </c>
      <c r="B1803" s="1" t="n">
        <v>45638.63901620371</v>
      </c>
      <c r="C1803" s="1" t="n">
        <v>46048</v>
      </c>
      <c r="D1803" t="inlineStr">
        <is>
          <t>JÄMTLANDS LÄN</t>
        </is>
      </c>
      <c r="E1803" t="inlineStr">
        <is>
          <t>STRÖMSUND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39005-2025</t>
        </is>
      </c>
      <c r="B1804" s="1" t="n">
        <v>45888.34487268519</v>
      </c>
      <c r="C1804" s="1" t="n">
        <v>46048</v>
      </c>
      <c r="D1804" t="inlineStr">
        <is>
          <t>JÄMTLANDS LÄN</t>
        </is>
      </c>
      <c r="E1804" t="inlineStr">
        <is>
          <t>STRÖMSUND</t>
        </is>
      </c>
      <c r="F1804" t="inlineStr">
        <is>
          <t>SCA</t>
        </is>
      </c>
      <c r="G1804" t="n">
        <v>30.9</v>
      </c>
      <c r="H1804" t="n">
        <v>0</v>
      </c>
      <c r="I1804" t="n">
        <v>0</v>
      </c>
      <c r="J1804" t="n">
        <v>0</v>
      </c>
      <c r="K1804" t="n">
        <v>0</v>
      </c>
      <c r="L1804" t="n">
        <v>0</v>
      </c>
      <c r="M1804" t="n">
        <v>0</v>
      </c>
      <c r="N1804" t="n">
        <v>0</v>
      </c>
      <c r="O1804" t="n">
        <v>0</v>
      </c>
      <c r="P1804" t="n">
        <v>0</v>
      </c>
      <c r="Q1804" t="n">
        <v>0</v>
      </c>
      <c r="R1804" s="2" t="inlineStr"/>
    </row>
    <row r="1805" ht="15" customHeight="1">
      <c r="A1805" t="inlineStr">
        <is>
          <t>A 58183-2022</t>
        </is>
      </c>
      <c r="B1805" s="1" t="n">
        <v>44900.95614583333</v>
      </c>
      <c r="C1805" s="1" t="n">
        <v>46048</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52181-2022</t>
        </is>
      </c>
      <c r="B1806" s="1" t="n">
        <v>44868</v>
      </c>
      <c r="C1806" s="1" t="n">
        <v>46048</v>
      </c>
      <c r="D1806" t="inlineStr">
        <is>
          <t>JÄMTLANDS LÄN</t>
        </is>
      </c>
      <c r="E1806" t="inlineStr">
        <is>
          <t>STRÖMSUND</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51763-2024</t>
        </is>
      </c>
      <c r="B1807" s="1" t="n">
        <v>45607.44210648148</v>
      </c>
      <c r="C1807" s="1" t="n">
        <v>46048</v>
      </c>
      <c r="D1807" t="inlineStr">
        <is>
          <t>JÄMTLANDS LÄN</t>
        </is>
      </c>
      <c r="E1807" t="inlineStr">
        <is>
          <t>STRÖMSUND</t>
        </is>
      </c>
      <c r="F1807" t="inlineStr">
        <is>
          <t>Kommuner</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51803-2024</t>
        </is>
      </c>
      <c r="B1808" s="1" t="n">
        <v>45607.47505787037</v>
      </c>
      <c r="C1808" s="1" t="n">
        <v>46048</v>
      </c>
      <c r="D1808" t="inlineStr">
        <is>
          <t>JÄMTLANDS LÄN</t>
        </is>
      </c>
      <c r="E1808" t="inlineStr">
        <is>
          <t>STRÖMSUND</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63875-2021</t>
        </is>
      </c>
      <c r="B1809" s="1" t="n">
        <v>44509</v>
      </c>
      <c r="C1809" s="1" t="n">
        <v>46048</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39314-2025</t>
        </is>
      </c>
      <c r="B1810" s="1" t="n">
        <v>45889</v>
      </c>
      <c r="C1810" s="1" t="n">
        <v>46048</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22477-2023</t>
        </is>
      </c>
      <c r="B1811" s="1" t="n">
        <v>45070</v>
      </c>
      <c r="C1811" s="1" t="n">
        <v>46048</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39860-2025</t>
        </is>
      </c>
      <c r="B1812" s="1" t="n">
        <v>45891.59409722222</v>
      </c>
      <c r="C1812" s="1" t="n">
        <v>46048</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42974-2024</t>
        </is>
      </c>
      <c r="B1813" s="1" t="n">
        <v>45567.37365740741</v>
      </c>
      <c r="C1813" s="1" t="n">
        <v>46048</v>
      </c>
      <c r="D1813" t="inlineStr">
        <is>
          <t>JÄMTLANDS LÄN</t>
        </is>
      </c>
      <c r="E1813" t="inlineStr">
        <is>
          <t>STRÖMSUND</t>
        </is>
      </c>
      <c r="F1813" t="inlineStr">
        <is>
          <t>SCA</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29299-2025</t>
        </is>
      </c>
      <c r="B1814" s="1" t="n">
        <v>45824.4528125</v>
      </c>
      <c r="C1814" s="1" t="n">
        <v>46048</v>
      </c>
      <c r="D1814" t="inlineStr">
        <is>
          <t>JÄMTLANDS LÄN</t>
        </is>
      </c>
      <c r="E1814" t="inlineStr">
        <is>
          <t>STRÖMSUND</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39559-2025</t>
        </is>
      </c>
      <c r="B1815" s="1" t="n">
        <v>45890.46996527778</v>
      </c>
      <c r="C1815" s="1" t="n">
        <v>46048</v>
      </c>
      <c r="D1815" t="inlineStr">
        <is>
          <t>JÄMTLANDS LÄN</t>
        </is>
      </c>
      <c r="E1815" t="inlineStr">
        <is>
          <t>STRÖMSUND</t>
        </is>
      </c>
      <c r="F1815" t="inlineStr">
        <is>
          <t>SCA</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39560-2025</t>
        </is>
      </c>
      <c r="B1816" s="1" t="n">
        <v>45890.47173611111</v>
      </c>
      <c r="C1816" s="1" t="n">
        <v>46048</v>
      </c>
      <c r="D1816" t="inlineStr">
        <is>
          <t>JÄMTLANDS LÄN</t>
        </is>
      </c>
      <c r="E1816" t="inlineStr">
        <is>
          <t>STRÖMSUND</t>
        </is>
      </c>
      <c r="F1816" t="inlineStr">
        <is>
          <t>Holmen skog AB</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18192-2025</t>
        </is>
      </c>
      <c r="B1817" s="1" t="n">
        <v>45761</v>
      </c>
      <c r="C1817" s="1" t="n">
        <v>46048</v>
      </c>
      <c r="D1817" t="inlineStr">
        <is>
          <t>JÄMTLANDS LÄN</t>
        </is>
      </c>
      <c r="E1817" t="inlineStr">
        <is>
          <t>STRÖMSUND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29040-2023</t>
        </is>
      </c>
      <c r="B1818" s="1" t="n">
        <v>45104.77545138889</v>
      </c>
      <c r="C1818" s="1" t="n">
        <v>46048</v>
      </c>
      <c r="D1818" t="inlineStr">
        <is>
          <t>JÄMTLANDS LÄN</t>
        </is>
      </c>
      <c r="E1818" t="inlineStr">
        <is>
          <t>STRÖMSUND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39507-2025</t>
        </is>
      </c>
      <c r="B1819" s="1" t="n">
        <v>45890.40724537037</v>
      </c>
      <c r="C1819" s="1" t="n">
        <v>46048</v>
      </c>
      <c r="D1819" t="inlineStr">
        <is>
          <t>JÄMTLANDS LÄN</t>
        </is>
      </c>
      <c r="E1819" t="inlineStr">
        <is>
          <t>STRÖMSUND</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39508-2025</t>
        </is>
      </c>
      <c r="B1820" s="1" t="n">
        <v>45890.40730324074</v>
      </c>
      <c r="C1820" s="1" t="n">
        <v>46048</v>
      </c>
      <c r="D1820" t="inlineStr">
        <is>
          <t>JÄMTLANDS LÄN</t>
        </is>
      </c>
      <c r="E1820" t="inlineStr">
        <is>
          <t>STRÖMSUND</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39726-2025</t>
        </is>
      </c>
      <c r="B1821" s="1" t="n">
        <v>45891.34461805555</v>
      </c>
      <c r="C1821" s="1" t="n">
        <v>46048</v>
      </c>
      <c r="D1821" t="inlineStr">
        <is>
          <t>JÄMTLANDS LÄN</t>
        </is>
      </c>
      <c r="E1821" t="inlineStr">
        <is>
          <t>STRÖMSUND</t>
        </is>
      </c>
      <c r="F1821" t="inlineStr">
        <is>
          <t>SCA</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39628-2025</t>
        </is>
      </c>
      <c r="B1822" s="1" t="n">
        <v>45890.5827199074</v>
      </c>
      <c r="C1822" s="1" t="n">
        <v>46048</v>
      </c>
      <c r="D1822" t="inlineStr">
        <is>
          <t>JÄMTLANDS LÄN</t>
        </is>
      </c>
      <c r="E1822" t="inlineStr">
        <is>
          <t>STRÖMSUND</t>
        </is>
      </c>
      <c r="F1822" t="inlineStr">
        <is>
          <t>Holmen skog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12201-2025</t>
        </is>
      </c>
      <c r="B1823" s="1" t="n">
        <v>45729</v>
      </c>
      <c r="C1823" s="1" t="n">
        <v>46048</v>
      </c>
      <c r="D1823" t="inlineStr">
        <is>
          <t>JÄMTLANDS LÄN</t>
        </is>
      </c>
      <c r="E1823" t="inlineStr">
        <is>
          <t>STRÖMSUND</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39727-2025</t>
        </is>
      </c>
      <c r="B1824" s="1" t="n">
        <v>45891.34480324074</v>
      </c>
      <c r="C1824" s="1" t="n">
        <v>46048</v>
      </c>
      <c r="D1824" t="inlineStr">
        <is>
          <t>JÄMTLANDS LÄN</t>
        </is>
      </c>
      <c r="E1824" t="inlineStr">
        <is>
          <t>STRÖMSUND</t>
        </is>
      </c>
      <c r="F1824" t="inlineStr">
        <is>
          <t>SCA</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30832-2023</t>
        </is>
      </c>
      <c r="B1825" s="1" t="n">
        <v>45112</v>
      </c>
      <c r="C1825" s="1" t="n">
        <v>46048</v>
      </c>
      <c r="D1825" t="inlineStr">
        <is>
          <t>JÄMTLANDS LÄN</t>
        </is>
      </c>
      <c r="E1825" t="inlineStr">
        <is>
          <t>STRÖMSUND</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56513-2024</t>
        </is>
      </c>
      <c r="B1826" s="1" t="n">
        <v>45625.5315625</v>
      </c>
      <c r="C1826" s="1" t="n">
        <v>46048</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32358-2024</t>
        </is>
      </c>
      <c r="B1827" s="1" t="n">
        <v>45512.56609953703</v>
      </c>
      <c r="C1827" s="1" t="n">
        <v>46048</v>
      </c>
      <c r="D1827" t="inlineStr">
        <is>
          <t>JÄMTLANDS LÄN</t>
        </is>
      </c>
      <c r="E1827" t="inlineStr">
        <is>
          <t>STRÖMSUND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38283-2024</t>
        </is>
      </c>
      <c r="B1828" s="1" t="n">
        <v>45545.61560185185</v>
      </c>
      <c r="C1828" s="1" t="n">
        <v>46048</v>
      </c>
      <c r="D1828" t="inlineStr">
        <is>
          <t>JÄMTLANDS LÄN</t>
        </is>
      </c>
      <c r="E1828" t="inlineStr">
        <is>
          <t>STRÖMSUND</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15259-2022</t>
        </is>
      </c>
      <c r="B1829" s="1" t="n">
        <v>44659</v>
      </c>
      <c r="C1829" s="1" t="n">
        <v>46048</v>
      </c>
      <c r="D1829" t="inlineStr">
        <is>
          <t>JÄMTLANDS LÄN</t>
        </is>
      </c>
      <c r="E1829" t="inlineStr">
        <is>
          <t>STRÖMSUND</t>
        </is>
      </c>
      <c r="G1829" t="n">
        <v>52.4</v>
      </c>
      <c r="H1829" t="n">
        <v>0</v>
      </c>
      <c r="I1829" t="n">
        <v>0</v>
      </c>
      <c r="J1829" t="n">
        <v>0</v>
      </c>
      <c r="K1829" t="n">
        <v>0</v>
      </c>
      <c r="L1829" t="n">
        <v>0</v>
      </c>
      <c r="M1829" t="n">
        <v>0</v>
      </c>
      <c r="N1829" t="n">
        <v>0</v>
      </c>
      <c r="O1829" t="n">
        <v>0</v>
      </c>
      <c r="P1829" t="n">
        <v>0</v>
      </c>
      <c r="Q1829" t="n">
        <v>0</v>
      </c>
      <c r="R1829" s="2" t="inlineStr"/>
    </row>
    <row r="1830" ht="15" customHeight="1">
      <c r="A1830" t="inlineStr">
        <is>
          <t>A 40389-2025</t>
        </is>
      </c>
      <c r="B1830" s="1" t="n">
        <v>45895.55298611111</v>
      </c>
      <c r="C1830" s="1" t="n">
        <v>46048</v>
      </c>
      <c r="D1830" t="inlineStr">
        <is>
          <t>JÄMTLANDS LÄN</t>
        </is>
      </c>
      <c r="E1830" t="inlineStr">
        <is>
          <t>STRÖMSUND</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40428-2025</t>
        </is>
      </c>
      <c r="B1831" s="1" t="n">
        <v>45895.59442129629</v>
      </c>
      <c r="C1831" s="1" t="n">
        <v>46048</v>
      </c>
      <c r="D1831" t="inlineStr">
        <is>
          <t>JÄMTLANDS LÄN</t>
        </is>
      </c>
      <c r="E1831" t="inlineStr">
        <is>
          <t>STRÖMSUND</t>
        </is>
      </c>
      <c r="F1831" t="inlineStr">
        <is>
          <t>SCA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40176-2025</t>
        </is>
      </c>
      <c r="B1832" s="1" t="n">
        <v>45894.63623842593</v>
      </c>
      <c r="C1832" s="1" t="n">
        <v>46048</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39967-2025</t>
        </is>
      </c>
      <c r="B1833" s="1" t="n">
        <v>45892.61511574074</v>
      </c>
      <c r="C1833" s="1" t="n">
        <v>46048</v>
      </c>
      <c r="D1833" t="inlineStr">
        <is>
          <t>JÄMTLANDS LÄN</t>
        </is>
      </c>
      <c r="E1833" t="inlineStr">
        <is>
          <t>STRÖMSUND</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23941-2024</t>
        </is>
      </c>
      <c r="B1834" s="1" t="n">
        <v>45455.9633912037</v>
      </c>
      <c r="C1834" s="1" t="n">
        <v>46048</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51074-2023</t>
        </is>
      </c>
      <c r="B1835" s="1" t="n">
        <v>45211</v>
      </c>
      <c r="C1835" s="1" t="n">
        <v>46048</v>
      </c>
      <c r="D1835" t="inlineStr">
        <is>
          <t>JÄMTLANDS LÄN</t>
        </is>
      </c>
      <c r="E1835" t="inlineStr">
        <is>
          <t>STRÖMSUND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18236-2024</t>
        </is>
      </c>
      <c r="B1836" s="1" t="n">
        <v>45420</v>
      </c>
      <c r="C1836" s="1" t="n">
        <v>46048</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30842-2023</t>
        </is>
      </c>
      <c r="B1837" s="1" t="n">
        <v>45112.94435185185</v>
      </c>
      <c r="C1837" s="1" t="n">
        <v>46048</v>
      </c>
      <c r="D1837" t="inlineStr">
        <is>
          <t>JÄMTLANDS LÄN</t>
        </is>
      </c>
      <c r="E1837" t="inlineStr">
        <is>
          <t>STRÖMSUND</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40426-2025</t>
        </is>
      </c>
      <c r="B1838" s="1" t="n">
        <v>45895</v>
      </c>
      <c r="C1838" s="1" t="n">
        <v>46048</v>
      </c>
      <c r="D1838" t="inlineStr">
        <is>
          <t>JÄMTLANDS LÄN</t>
        </is>
      </c>
      <c r="E1838" t="inlineStr">
        <is>
          <t>STRÖMSUND</t>
        </is>
      </c>
      <c r="G1838" t="n">
        <v>28.4</v>
      </c>
      <c r="H1838" t="n">
        <v>0</v>
      </c>
      <c r="I1838" t="n">
        <v>0</v>
      </c>
      <c r="J1838" t="n">
        <v>0</v>
      </c>
      <c r="K1838" t="n">
        <v>0</v>
      </c>
      <c r="L1838" t="n">
        <v>0</v>
      </c>
      <c r="M1838" t="n">
        <v>0</v>
      </c>
      <c r="N1838" t="n">
        <v>0</v>
      </c>
      <c r="O1838" t="n">
        <v>0</v>
      </c>
      <c r="P1838" t="n">
        <v>0</v>
      </c>
      <c r="Q1838" t="n">
        <v>0</v>
      </c>
      <c r="R1838" s="2" t="inlineStr"/>
    </row>
    <row r="1839" ht="15" customHeight="1">
      <c r="A1839" t="inlineStr">
        <is>
          <t>A 40452-2025</t>
        </is>
      </c>
      <c r="B1839" s="1" t="n">
        <v>45895.63626157407</v>
      </c>
      <c r="C1839" s="1" t="n">
        <v>46048</v>
      </c>
      <c r="D1839" t="inlineStr">
        <is>
          <t>JÄMTLANDS LÄN</t>
        </is>
      </c>
      <c r="E1839" t="inlineStr">
        <is>
          <t>STRÖMSUND</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40177-2025</t>
        </is>
      </c>
      <c r="B1840" s="1" t="n">
        <v>45894.63638888889</v>
      </c>
      <c r="C1840" s="1" t="n">
        <v>46048</v>
      </c>
      <c r="D1840" t="inlineStr">
        <is>
          <t>JÄMTLANDS LÄN</t>
        </is>
      </c>
      <c r="E1840" t="inlineStr">
        <is>
          <t>STRÖMSUND</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40011-2025</t>
        </is>
      </c>
      <c r="B1841" s="1" t="n">
        <v>45894.34478009259</v>
      </c>
      <c r="C1841" s="1" t="n">
        <v>46048</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40012-2025</t>
        </is>
      </c>
      <c r="B1842" s="1" t="n">
        <v>45894.34487268519</v>
      </c>
      <c r="C1842" s="1" t="n">
        <v>46048</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40015-2025</t>
        </is>
      </c>
      <c r="B1843" s="1" t="n">
        <v>45894.34521990741</v>
      </c>
      <c r="C1843" s="1" t="n">
        <v>46048</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40453-2025</t>
        </is>
      </c>
      <c r="B1844" s="1" t="n">
        <v>45895.63631944444</v>
      </c>
      <c r="C1844" s="1" t="n">
        <v>46048</v>
      </c>
      <c r="D1844" t="inlineStr">
        <is>
          <t>JÄMTLANDS LÄN</t>
        </is>
      </c>
      <c r="E1844" t="inlineStr">
        <is>
          <t>STRÖMSUND</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52478-2023</t>
        </is>
      </c>
      <c r="B1845" s="1" t="n">
        <v>45225</v>
      </c>
      <c r="C1845" s="1" t="n">
        <v>46048</v>
      </c>
      <c r="D1845" t="inlineStr">
        <is>
          <t>JÄMTLANDS LÄN</t>
        </is>
      </c>
      <c r="E1845" t="inlineStr">
        <is>
          <t>STRÖMSUND</t>
        </is>
      </c>
      <c r="F1845" t="inlineStr">
        <is>
          <t>Holmen skog AB</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40126-2025</t>
        </is>
      </c>
      <c r="B1846" s="1" t="n">
        <v>45894.53192129629</v>
      </c>
      <c r="C1846" s="1" t="n">
        <v>46048</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39966-2025</t>
        </is>
      </c>
      <c r="B1847" s="1" t="n">
        <v>45892.61496527777</v>
      </c>
      <c r="C1847" s="1" t="n">
        <v>46048</v>
      </c>
      <c r="D1847" t="inlineStr">
        <is>
          <t>JÄMTLANDS LÄN</t>
        </is>
      </c>
      <c r="E1847" t="inlineStr">
        <is>
          <t>STRÖMSUND</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40224-2025</t>
        </is>
      </c>
      <c r="B1848" s="1" t="n">
        <v>45894.69850694444</v>
      </c>
      <c r="C1848" s="1" t="n">
        <v>46048</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40398-2023</t>
        </is>
      </c>
      <c r="B1849" s="1" t="n">
        <v>45169.93782407408</v>
      </c>
      <c r="C1849" s="1" t="n">
        <v>46048</v>
      </c>
      <c r="D1849" t="inlineStr">
        <is>
          <t>JÄMTLANDS LÄN</t>
        </is>
      </c>
      <c r="E1849" t="inlineStr">
        <is>
          <t>STRÖMSUND</t>
        </is>
      </c>
      <c r="F1849" t="inlineStr">
        <is>
          <t>SCA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40153-2025</t>
        </is>
      </c>
      <c r="B1850" s="1" t="n">
        <v>45894.59427083333</v>
      </c>
      <c r="C1850" s="1" t="n">
        <v>46048</v>
      </c>
      <c r="D1850" t="inlineStr">
        <is>
          <t>JÄMTLANDS LÄN</t>
        </is>
      </c>
      <c r="E1850" t="inlineStr">
        <is>
          <t>STRÖMSUND</t>
        </is>
      </c>
      <c r="F1850" t="inlineStr">
        <is>
          <t>SCA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58813-2024</t>
        </is>
      </c>
      <c r="B1851" s="1" t="n">
        <v>45636.34748842593</v>
      </c>
      <c r="C1851" s="1" t="n">
        <v>46048</v>
      </c>
      <c r="D1851" t="inlineStr">
        <is>
          <t>JÄMTLANDS LÄN</t>
        </is>
      </c>
      <c r="E1851" t="inlineStr">
        <is>
          <t>STRÖMSUND</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40427-2025</t>
        </is>
      </c>
      <c r="B1852" s="1" t="n">
        <v>45895.59434027778</v>
      </c>
      <c r="C1852" s="1" t="n">
        <v>46048</v>
      </c>
      <c r="D1852" t="inlineStr">
        <is>
          <t>JÄMTLANDS LÄN</t>
        </is>
      </c>
      <c r="E1852" t="inlineStr">
        <is>
          <t>STRÖMSUND</t>
        </is>
      </c>
      <c r="F1852" t="inlineStr">
        <is>
          <t>SCA</t>
        </is>
      </c>
      <c r="G1852" t="n">
        <v>17.1</v>
      </c>
      <c r="H1852" t="n">
        <v>0</v>
      </c>
      <c r="I1852" t="n">
        <v>0</v>
      </c>
      <c r="J1852" t="n">
        <v>0</v>
      </c>
      <c r="K1852" t="n">
        <v>0</v>
      </c>
      <c r="L1852" t="n">
        <v>0</v>
      </c>
      <c r="M1852" t="n">
        <v>0</v>
      </c>
      <c r="N1852" t="n">
        <v>0</v>
      </c>
      <c r="O1852" t="n">
        <v>0</v>
      </c>
      <c r="P1852" t="n">
        <v>0</v>
      </c>
      <c r="Q1852" t="n">
        <v>0</v>
      </c>
      <c r="R1852" s="2" t="inlineStr"/>
    </row>
    <row r="1853" ht="15" customHeight="1">
      <c r="A1853" t="inlineStr">
        <is>
          <t>A 9798-2025</t>
        </is>
      </c>
      <c r="B1853" s="1" t="n">
        <v>45716.55252314815</v>
      </c>
      <c r="C1853" s="1" t="n">
        <v>46048</v>
      </c>
      <c r="D1853" t="inlineStr">
        <is>
          <t>JÄMTLANDS LÄN</t>
        </is>
      </c>
      <c r="E1853" t="inlineStr">
        <is>
          <t>STRÖMSUND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40418-2025</t>
        </is>
      </c>
      <c r="B1854" s="1" t="n">
        <v>45895.57792824074</v>
      </c>
      <c r="C1854" s="1" t="n">
        <v>46048</v>
      </c>
      <c r="D1854" t="inlineStr">
        <is>
          <t>JÄMTLANDS LÄN</t>
        </is>
      </c>
      <c r="E1854" t="inlineStr">
        <is>
          <t>STRÖMSUND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40905-2025</t>
        </is>
      </c>
      <c r="B1855" s="1" t="n">
        <v>45897.61626157408</v>
      </c>
      <c r="C1855" s="1" t="n">
        <v>46048</v>
      </c>
      <c r="D1855" t="inlineStr">
        <is>
          <t>JÄMTLANDS LÄN</t>
        </is>
      </c>
      <c r="E1855" t="inlineStr">
        <is>
          <t>STRÖMSUND</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40714-2025</t>
        </is>
      </c>
      <c r="B1856" s="1" t="n">
        <v>45897.34424768519</v>
      </c>
      <c r="C1856" s="1" t="n">
        <v>46048</v>
      </c>
      <c r="D1856" t="inlineStr">
        <is>
          <t>JÄMTLANDS LÄN</t>
        </is>
      </c>
      <c r="E1856" t="inlineStr">
        <is>
          <t>STRÖMSUND</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22346-2023</t>
        </is>
      </c>
      <c r="B1857" s="1" t="n">
        <v>45070.57097222222</v>
      </c>
      <c r="C1857" s="1" t="n">
        <v>46048</v>
      </c>
      <c r="D1857" t="inlineStr">
        <is>
          <t>JÄMTLANDS LÄN</t>
        </is>
      </c>
      <c r="E1857" t="inlineStr">
        <is>
          <t>STRÖMSUND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40867-2025</t>
        </is>
      </c>
      <c r="B1858" s="1" t="n">
        <v>45897.57342592593</v>
      </c>
      <c r="C1858" s="1" t="n">
        <v>46048</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51696-2024</t>
        </is>
      </c>
      <c r="B1859" s="1" t="n">
        <v>45607.34748842593</v>
      </c>
      <c r="C1859" s="1" t="n">
        <v>46048</v>
      </c>
      <c r="D1859" t="inlineStr">
        <is>
          <t>JÄMTLANDS LÄN</t>
        </is>
      </c>
      <c r="E1859" t="inlineStr">
        <is>
          <t>STRÖMSUND</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40768-2025</t>
        </is>
      </c>
      <c r="B1860" s="1" t="n">
        <v>45897.40685185185</v>
      </c>
      <c r="C1860" s="1" t="n">
        <v>46048</v>
      </c>
      <c r="D1860" t="inlineStr">
        <is>
          <t>JÄMTLANDS LÄN</t>
        </is>
      </c>
      <c r="E1860" t="inlineStr">
        <is>
          <t>STRÖMSUND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19411-2025</t>
        </is>
      </c>
      <c r="B1861" s="1" t="n">
        <v>45769.69825231482</v>
      </c>
      <c r="C1861" s="1" t="n">
        <v>46048</v>
      </c>
      <c r="D1861" t="inlineStr">
        <is>
          <t>JÄMTLANDS LÄN</t>
        </is>
      </c>
      <c r="E1861" t="inlineStr">
        <is>
          <t>STRÖMSUND</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40732-2025</t>
        </is>
      </c>
      <c r="B1862" s="1" t="n">
        <v>45897</v>
      </c>
      <c r="C1862" s="1" t="n">
        <v>46048</v>
      </c>
      <c r="D1862" t="inlineStr">
        <is>
          <t>JÄMTLANDS LÄN</t>
        </is>
      </c>
      <c r="E1862" t="inlineStr">
        <is>
          <t>STRÖMSUND</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40840-2025</t>
        </is>
      </c>
      <c r="B1863" s="1" t="n">
        <v>45897.53171296296</v>
      </c>
      <c r="C1863" s="1" t="n">
        <v>46048</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40846-2025</t>
        </is>
      </c>
      <c r="B1864" s="1" t="n">
        <v>45897</v>
      </c>
      <c r="C1864" s="1" t="n">
        <v>46048</v>
      </c>
      <c r="D1864" t="inlineStr">
        <is>
          <t>JÄMTLANDS LÄN</t>
        </is>
      </c>
      <c r="E1864" t="inlineStr">
        <is>
          <t>STRÖMSUND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40901-2025</t>
        </is>
      </c>
      <c r="B1865" s="1" t="n">
        <v>45897.615625</v>
      </c>
      <c r="C1865" s="1" t="n">
        <v>46048</v>
      </c>
      <c r="D1865" t="inlineStr">
        <is>
          <t>JÄMTLANDS LÄN</t>
        </is>
      </c>
      <c r="E1865" t="inlineStr">
        <is>
          <t>STRÖMSUND</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40906-2025</t>
        </is>
      </c>
      <c r="B1866" s="1" t="n">
        <v>45897.61641203704</v>
      </c>
      <c r="C1866" s="1" t="n">
        <v>46048</v>
      </c>
      <c r="D1866" t="inlineStr">
        <is>
          <t>JÄMTLANDS LÄN</t>
        </is>
      </c>
      <c r="E1866" t="inlineStr">
        <is>
          <t>STRÖMSUND</t>
        </is>
      </c>
      <c r="F1866" t="inlineStr">
        <is>
          <t>SCA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40770-2025</t>
        </is>
      </c>
      <c r="B1867" s="1" t="n">
        <v>45897.40724537037</v>
      </c>
      <c r="C1867" s="1" t="n">
        <v>46048</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4523-2023</t>
        </is>
      </c>
      <c r="B1868" s="1" t="n">
        <v>44952</v>
      </c>
      <c r="C1868" s="1" t="n">
        <v>46048</v>
      </c>
      <c r="D1868" t="inlineStr">
        <is>
          <t>JÄMTLANDS LÄN</t>
        </is>
      </c>
      <c r="E1868" t="inlineStr">
        <is>
          <t>STRÖMSUND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4537-2023</t>
        </is>
      </c>
      <c r="B1869" s="1" t="n">
        <v>44952</v>
      </c>
      <c r="C1869" s="1" t="n">
        <v>46048</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4621-2023</t>
        </is>
      </c>
      <c r="B1870" s="1" t="n">
        <v>44956.9399537037</v>
      </c>
      <c r="C1870" s="1" t="n">
        <v>46048</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40902-2025</t>
        </is>
      </c>
      <c r="B1871" s="1" t="n">
        <v>45897.61581018518</v>
      </c>
      <c r="C1871" s="1" t="n">
        <v>46048</v>
      </c>
      <c r="D1871" t="inlineStr">
        <is>
          <t>JÄMTLANDS LÄN</t>
        </is>
      </c>
      <c r="E1871" t="inlineStr">
        <is>
          <t>STRÖMSUND</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40891-2025</t>
        </is>
      </c>
      <c r="B1872" s="1" t="n">
        <v>45897.60731481481</v>
      </c>
      <c r="C1872" s="1" t="n">
        <v>46048</v>
      </c>
      <c r="D1872" t="inlineStr">
        <is>
          <t>JÄMTLANDS LÄN</t>
        </is>
      </c>
      <c r="E1872" t="inlineStr">
        <is>
          <t>STRÖMSUND</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5943-2025</t>
        </is>
      </c>
      <c r="B1873" s="1" t="n">
        <v>45695.46907407408</v>
      </c>
      <c r="C1873" s="1" t="n">
        <v>46048</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40960-2025</t>
        </is>
      </c>
      <c r="B1874" s="1" t="n">
        <v>45897.67907407408</v>
      </c>
      <c r="C1874" s="1" t="n">
        <v>46048</v>
      </c>
      <c r="D1874" t="inlineStr">
        <is>
          <t>JÄMTLANDS LÄN</t>
        </is>
      </c>
      <c r="E1874" t="inlineStr">
        <is>
          <t>STRÖMSUND</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32882-2023</t>
        </is>
      </c>
      <c r="B1875" s="1" t="n">
        <v>45112</v>
      </c>
      <c r="C1875" s="1" t="n">
        <v>46048</v>
      </c>
      <c r="D1875" t="inlineStr">
        <is>
          <t>JÄMTLANDS LÄN</t>
        </is>
      </c>
      <c r="E1875" t="inlineStr">
        <is>
          <t>STRÖMSUND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32883-2023</t>
        </is>
      </c>
      <c r="B1876" s="1" t="n">
        <v>45112</v>
      </c>
      <c r="C1876" s="1" t="n">
        <v>46048</v>
      </c>
      <c r="D1876" t="inlineStr">
        <is>
          <t>JÄMTLANDS LÄN</t>
        </is>
      </c>
      <c r="E1876" t="inlineStr">
        <is>
          <t>STRÖMSUND</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32884-2023</t>
        </is>
      </c>
      <c r="B1877" s="1" t="n">
        <v>45112</v>
      </c>
      <c r="C1877" s="1" t="n">
        <v>46048</v>
      </c>
      <c r="D1877" t="inlineStr">
        <is>
          <t>JÄMTLANDS LÄN</t>
        </is>
      </c>
      <c r="E1877" t="inlineStr">
        <is>
          <t>STRÖMSUND</t>
        </is>
      </c>
      <c r="F1877" t="inlineStr">
        <is>
          <t>Kommuner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40870-2025</t>
        </is>
      </c>
      <c r="B1878" s="1" t="n">
        <v>45897.57402777778</v>
      </c>
      <c r="C1878" s="1" t="n">
        <v>46048</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41448-2025</t>
        </is>
      </c>
      <c r="B1879" s="1" t="n">
        <v>45901.42773148148</v>
      </c>
      <c r="C1879" s="1" t="n">
        <v>46048</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40966-2025</t>
        </is>
      </c>
      <c r="B1880" s="1" t="n">
        <v>45897.77532407407</v>
      </c>
      <c r="C1880" s="1" t="n">
        <v>46048</v>
      </c>
      <c r="D1880" t="inlineStr">
        <is>
          <t>JÄMTLANDS LÄN</t>
        </is>
      </c>
      <c r="E1880" t="inlineStr">
        <is>
          <t>STRÖMSUND</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46048</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41181-2025</t>
        </is>
      </c>
      <c r="B1882" s="1" t="n">
        <v>45898.55309027778</v>
      </c>
      <c r="C1882" s="1" t="n">
        <v>46048</v>
      </c>
      <c r="D1882" t="inlineStr">
        <is>
          <t>JÄMTLANDS LÄN</t>
        </is>
      </c>
      <c r="E1882" t="inlineStr">
        <is>
          <t>STRÖMSUND</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41182-2025</t>
        </is>
      </c>
      <c r="B1883" s="1" t="n">
        <v>45898.55322916667</v>
      </c>
      <c r="C1883" s="1" t="n">
        <v>46048</v>
      </c>
      <c r="D1883" t="inlineStr">
        <is>
          <t>JÄMTLANDS LÄN</t>
        </is>
      </c>
      <c r="E1883" t="inlineStr">
        <is>
          <t>STRÖMSUND</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41304-2025</t>
        </is>
      </c>
      <c r="B1884" s="1" t="n">
        <v>45898.69829861111</v>
      </c>
      <c r="C1884" s="1" t="n">
        <v>46048</v>
      </c>
      <c r="D1884" t="inlineStr">
        <is>
          <t>JÄMTLANDS LÄN</t>
        </is>
      </c>
      <c r="E1884" t="inlineStr">
        <is>
          <t>STRÖMSUND</t>
        </is>
      </c>
      <c r="F1884" t="inlineStr">
        <is>
          <t>SCA</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10323-2022</t>
        </is>
      </c>
      <c r="B1885" s="1" t="n">
        <v>44622.94203703704</v>
      </c>
      <c r="C1885" s="1" t="n">
        <v>46048</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c r="U1885">
        <f>HYPERLINK("https://klasma.github.io/Logging_2313/knärot/A 10323-2022 karta knärot.png", "A 10323-2022")</f>
        <v/>
      </c>
      <c r="V1885">
        <f>HYPERLINK("https://klasma.github.io/Logging_2313/klagomål/A 10323-2022 FSC-klagomål.docx", "A 10323-2022")</f>
        <v/>
      </c>
      <c r="W1885">
        <f>HYPERLINK("https://klasma.github.io/Logging_2313/klagomålsmail/A 10323-2022 FSC-klagomål mail.docx", "A 10323-2022")</f>
        <v/>
      </c>
      <c r="X1885">
        <f>HYPERLINK("https://klasma.github.io/Logging_2313/tillsyn/A 10323-2022 tillsynsbegäran.docx", "A 10323-2022")</f>
        <v/>
      </c>
      <c r="Y1885">
        <f>HYPERLINK("https://klasma.github.io/Logging_2313/tillsynsmail/A 10323-2022 tillsynsbegäran mail.docx", "A 10323-2022")</f>
        <v/>
      </c>
    </row>
    <row r="1886" ht="15" customHeight="1">
      <c r="A1886" t="inlineStr">
        <is>
          <t>A 13684-2023</t>
        </is>
      </c>
      <c r="B1886" s="1" t="n">
        <v>45006</v>
      </c>
      <c r="C1886" s="1" t="n">
        <v>46048</v>
      </c>
      <c r="D1886" t="inlineStr">
        <is>
          <t>JÄMTLANDS LÄN</t>
        </is>
      </c>
      <c r="E1886" t="inlineStr">
        <is>
          <t>STRÖMSUND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28405-2023</t>
        </is>
      </c>
      <c r="B1887" s="1" t="n">
        <v>45100.93861111111</v>
      </c>
      <c r="C1887" s="1" t="n">
        <v>46048</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41197-2025</t>
        </is>
      </c>
      <c r="B1888" s="1" t="n">
        <v>45898.5734837963</v>
      </c>
      <c r="C1888" s="1" t="n">
        <v>46048</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41404-2025</t>
        </is>
      </c>
      <c r="B1889" s="1" t="n">
        <v>45901.3446412037</v>
      </c>
      <c r="C1889" s="1" t="n">
        <v>46048</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41048-2025</t>
        </is>
      </c>
      <c r="B1890" s="1" t="n">
        <v>45898</v>
      </c>
      <c r="C1890" s="1" t="n">
        <v>46048</v>
      </c>
      <c r="D1890" t="inlineStr">
        <is>
          <t>JÄMTLANDS LÄN</t>
        </is>
      </c>
      <c r="E1890" t="inlineStr">
        <is>
          <t>STRÖMSUND</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41000-2025</t>
        </is>
      </c>
      <c r="B1891" s="1" t="n">
        <v>45898.34496527778</v>
      </c>
      <c r="C1891" s="1" t="n">
        <v>46048</v>
      </c>
      <c r="D1891" t="inlineStr">
        <is>
          <t>JÄMTLANDS LÄN</t>
        </is>
      </c>
      <c r="E1891" t="inlineStr">
        <is>
          <t>STRÖMSUND</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41020-2025</t>
        </is>
      </c>
      <c r="B1892" s="1" t="n">
        <v>45898.36521990741</v>
      </c>
      <c r="C1892" s="1" t="n">
        <v>46048</v>
      </c>
      <c r="D1892" t="inlineStr">
        <is>
          <t>JÄMTLANDS LÄN</t>
        </is>
      </c>
      <c r="E1892" t="inlineStr">
        <is>
          <t>STRÖMSUND</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40998-2025</t>
        </is>
      </c>
      <c r="B1893" s="1" t="n">
        <v>45898.3446875</v>
      </c>
      <c r="C1893" s="1" t="n">
        <v>46048</v>
      </c>
      <c r="D1893" t="inlineStr">
        <is>
          <t>JÄMTLANDS LÄN</t>
        </is>
      </c>
      <c r="E1893" t="inlineStr">
        <is>
          <t>STRÖMSUND</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9195-2025</t>
        </is>
      </c>
      <c r="B1894" s="1" t="n">
        <v>45714.46916666667</v>
      </c>
      <c r="C1894" s="1" t="n">
        <v>46048</v>
      </c>
      <c r="D1894" t="inlineStr">
        <is>
          <t>JÄMTLANDS LÄN</t>
        </is>
      </c>
      <c r="E1894" t="inlineStr">
        <is>
          <t>STRÖMSUND</t>
        </is>
      </c>
      <c r="F1894" t="inlineStr">
        <is>
          <t>SCA</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41019-2025</t>
        </is>
      </c>
      <c r="B1895" s="1" t="n">
        <v>45898.36513888889</v>
      </c>
      <c r="C1895" s="1" t="n">
        <v>46048</v>
      </c>
      <c r="D1895" t="inlineStr">
        <is>
          <t>JÄMTLANDS LÄN</t>
        </is>
      </c>
      <c r="E1895" t="inlineStr">
        <is>
          <t>STRÖMSUND</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41602-2025</t>
        </is>
      </c>
      <c r="B1896" s="1" t="n">
        <v>45901.65706018519</v>
      </c>
      <c r="C1896" s="1" t="n">
        <v>46048</v>
      </c>
      <c r="D1896" t="inlineStr">
        <is>
          <t>JÄMTLANDS LÄN</t>
        </is>
      </c>
      <c r="E1896" t="inlineStr">
        <is>
          <t>STRÖMSUND</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55219-2024</t>
        </is>
      </c>
      <c r="B1897" s="1" t="n">
        <v>45621.57325231482</v>
      </c>
      <c r="C1897" s="1" t="n">
        <v>46048</v>
      </c>
      <c r="D1897" t="inlineStr">
        <is>
          <t>JÄMTLANDS LÄN</t>
        </is>
      </c>
      <c r="E1897" t="inlineStr">
        <is>
          <t>STRÖMSUND</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13654-2025</t>
        </is>
      </c>
      <c r="B1898" s="1" t="n">
        <v>45736.71942129629</v>
      </c>
      <c r="C1898" s="1" t="n">
        <v>46048</v>
      </c>
      <c r="D1898" t="inlineStr">
        <is>
          <t>JÄMTLANDS LÄN</t>
        </is>
      </c>
      <c r="E1898" t="inlineStr">
        <is>
          <t>STRÖMSUND</t>
        </is>
      </c>
      <c r="F1898" t="inlineStr">
        <is>
          <t>SCA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41869-2025</t>
        </is>
      </c>
      <c r="B1899" s="1" t="n">
        <v>45903.34443287037</v>
      </c>
      <c r="C1899" s="1" t="n">
        <v>46048</v>
      </c>
      <c r="D1899" t="inlineStr">
        <is>
          <t>JÄMTLANDS LÄN</t>
        </is>
      </c>
      <c r="E1899" t="inlineStr">
        <is>
          <t>STRÖMSUND</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3027-2023</t>
        </is>
      </c>
      <c r="B1900" s="1" t="n">
        <v>44945</v>
      </c>
      <c r="C1900" s="1" t="n">
        <v>46048</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54478-2023</t>
        </is>
      </c>
      <c r="B1901" s="1" t="n">
        <v>45233</v>
      </c>
      <c r="C1901" s="1" t="n">
        <v>46048</v>
      </c>
      <c r="D1901" t="inlineStr">
        <is>
          <t>JÄMTLANDS LÄN</t>
        </is>
      </c>
      <c r="E1901" t="inlineStr">
        <is>
          <t>STRÖMSUND</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41873-2025</t>
        </is>
      </c>
      <c r="B1902" s="1" t="n">
        <v>45903.34513888889</v>
      </c>
      <c r="C1902" s="1" t="n">
        <v>46048</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13146-2025</t>
        </is>
      </c>
      <c r="B1903" s="1" t="n">
        <v>45734</v>
      </c>
      <c r="C1903" s="1" t="n">
        <v>46048</v>
      </c>
      <c r="D1903" t="inlineStr">
        <is>
          <t>JÄMTLANDS LÄN</t>
        </is>
      </c>
      <c r="E1903" t="inlineStr">
        <is>
          <t>STRÖMSUND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41659-2025</t>
        </is>
      </c>
      <c r="B1904" s="1" t="n">
        <v>45902.3446412037</v>
      </c>
      <c r="C1904" s="1" t="n">
        <v>46048</v>
      </c>
      <c r="D1904" t="inlineStr">
        <is>
          <t>JÄMTLANDS LÄN</t>
        </is>
      </c>
      <c r="E1904" t="inlineStr">
        <is>
          <t>STRÖMSUND</t>
        </is>
      </c>
      <c r="F1904" t="inlineStr">
        <is>
          <t>SCA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42291-2025</t>
        </is>
      </c>
      <c r="B1905" s="1" t="n">
        <v>45903</v>
      </c>
      <c r="C1905" s="1" t="n">
        <v>46048</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41804-2025</t>
        </is>
      </c>
      <c r="B1906" s="1" t="n">
        <v>45902.63591435185</v>
      </c>
      <c r="C1906" s="1" t="n">
        <v>46048</v>
      </c>
      <c r="D1906" t="inlineStr">
        <is>
          <t>JÄMTLANDS LÄN</t>
        </is>
      </c>
      <c r="E1906" t="inlineStr">
        <is>
          <t>STRÖMSUND</t>
        </is>
      </c>
      <c r="F1906" t="inlineStr">
        <is>
          <t>SCA</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41875-2025</t>
        </is>
      </c>
      <c r="B1907" s="1" t="n">
        <v>45903.34546296296</v>
      </c>
      <c r="C1907" s="1" t="n">
        <v>46048</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41816-2025</t>
        </is>
      </c>
      <c r="B1908" s="1" t="n">
        <v>45902.65679398148</v>
      </c>
      <c r="C1908" s="1" t="n">
        <v>46048</v>
      </c>
      <c r="D1908" t="inlineStr">
        <is>
          <t>JÄMTLANDS LÄN</t>
        </is>
      </c>
      <c r="E1908" t="inlineStr">
        <is>
          <t>STRÖMSUND</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38373-2025</t>
        </is>
      </c>
      <c r="B1909" s="1" t="n">
        <v>45883</v>
      </c>
      <c r="C1909" s="1" t="n">
        <v>46048</v>
      </c>
      <c r="D1909" t="inlineStr">
        <is>
          <t>JÄMTLANDS LÄN</t>
        </is>
      </c>
      <c r="E1909" t="inlineStr">
        <is>
          <t>STRÖMSUND</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42547-2025</t>
        </is>
      </c>
      <c r="B1910" s="1" t="n">
        <v>45905.58885416666</v>
      </c>
      <c r="C1910" s="1" t="n">
        <v>46048</v>
      </c>
      <c r="D1910" t="inlineStr">
        <is>
          <t>JÄMTLANDS LÄN</t>
        </is>
      </c>
      <c r="E1910" t="inlineStr">
        <is>
          <t>STRÖMSUND</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55177-2023</t>
        </is>
      </c>
      <c r="B1911" s="1" t="n">
        <v>45237</v>
      </c>
      <c r="C1911" s="1" t="n">
        <v>46048</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42485-2025</t>
        </is>
      </c>
      <c r="B1912" s="1" t="n">
        <v>45905.49106481481</v>
      </c>
      <c r="C1912" s="1" t="n">
        <v>46048</v>
      </c>
      <c r="D1912" t="inlineStr">
        <is>
          <t>JÄMTLANDS LÄN</t>
        </is>
      </c>
      <c r="E1912" t="inlineStr">
        <is>
          <t>STRÖMSUND</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42487-2025</t>
        </is>
      </c>
      <c r="B1913" s="1" t="n">
        <v>45905.49262731482</v>
      </c>
      <c r="C1913" s="1" t="n">
        <v>46048</v>
      </c>
      <c r="D1913" t="inlineStr">
        <is>
          <t>JÄMTLANDS LÄN</t>
        </is>
      </c>
      <c r="E1913" t="inlineStr">
        <is>
          <t>STRÖMSUND</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36914-2024</t>
        </is>
      </c>
      <c r="B1914" s="1" t="n">
        <v>45538.63628472222</v>
      </c>
      <c r="C1914" s="1" t="n">
        <v>46048</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42493-2025</t>
        </is>
      </c>
      <c r="B1915" s="1" t="n">
        <v>45905.50447916667</v>
      </c>
      <c r="C1915" s="1" t="n">
        <v>46048</v>
      </c>
      <c r="D1915" t="inlineStr">
        <is>
          <t>JÄMTLANDS LÄN</t>
        </is>
      </c>
      <c r="E1915" t="inlineStr">
        <is>
          <t>STRÖMSUND</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12042-2023</t>
        </is>
      </c>
      <c r="B1916" s="1" t="n">
        <v>44995.98364583333</v>
      </c>
      <c r="C1916" s="1" t="n">
        <v>46048</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22003-2025</t>
        </is>
      </c>
      <c r="B1917" s="1" t="n">
        <v>45784</v>
      </c>
      <c r="C1917" s="1" t="n">
        <v>46048</v>
      </c>
      <c r="D1917" t="inlineStr">
        <is>
          <t>JÄMTLANDS LÄN</t>
        </is>
      </c>
      <c r="E1917" t="inlineStr">
        <is>
          <t>STRÖMSUND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42523-2025</t>
        </is>
      </c>
      <c r="B1918" s="1" t="n">
        <v>45905.55248842593</v>
      </c>
      <c r="C1918" s="1" t="n">
        <v>46048</v>
      </c>
      <c r="D1918" t="inlineStr">
        <is>
          <t>JÄMTLANDS LÄN</t>
        </is>
      </c>
      <c r="E1918" t="inlineStr">
        <is>
          <t>STRÖMSUND</t>
        </is>
      </c>
      <c r="F1918" t="inlineStr">
        <is>
          <t>SCA</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42154-2025</t>
        </is>
      </c>
      <c r="B1919" s="1" t="n">
        <v>45904.39456018519</v>
      </c>
      <c r="C1919" s="1" t="n">
        <v>46048</v>
      </c>
      <c r="D1919" t="inlineStr">
        <is>
          <t>JÄMTLANDS LÄN</t>
        </is>
      </c>
      <c r="E1919" t="inlineStr">
        <is>
          <t>STRÖMSUND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8326-2025</t>
        </is>
      </c>
      <c r="B1920" s="1" t="n">
        <v>45708.6365162037</v>
      </c>
      <c r="C1920" s="1" t="n">
        <v>46048</v>
      </c>
      <c r="D1920" t="inlineStr">
        <is>
          <t>JÄMTLANDS LÄN</t>
        </is>
      </c>
      <c r="E1920" t="inlineStr">
        <is>
          <t>STRÖMSUND</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50856-2025</t>
        </is>
      </c>
      <c r="B1921" s="1" t="n">
        <v>45946.5902662037</v>
      </c>
      <c r="C1921" s="1" t="n">
        <v>46048</v>
      </c>
      <c r="D1921" t="inlineStr">
        <is>
          <t>JÄMTLANDS LÄN</t>
        </is>
      </c>
      <c r="E1921" t="inlineStr">
        <is>
          <t>STRÖMSUND</t>
        </is>
      </c>
      <c r="F1921" t="inlineStr">
        <is>
          <t>Holmen skog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42169-2025</t>
        </is>
      </c>
      <c r="B1922" s="1" t="n">
        <v>45904.42746527777</v>
      </c>
      <c r="C1922" s="1" t="n">
        <v>46048</v>
      </c>
      <c r="D1922" t="inlineStr">
        <is>
          <t>JÄMTLANDS LÄN</t>
        </is>
      </c>
      <c r="E1922" t="inlineStr">
        <is>
          <t>STRÖMSUND</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15207-2023</t>
        </is>
      </c>
      <c r="B1923" s="1" t="n">
        <v>45018</v>
      </c>
      <c r="C1923" s="1" t="n">
        <v>46048</v>
      </c>
      <c r="D1923" t="inlineStr">
        <is>
          <t>JÄMTLANDS LÄN</t>
        </is>
      </c>
      <c r="E1923" t="inlineStr">
        <is>
          <t>STRÖMSUND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16310-2025</t>
        </is>
      </c>
      <c r="B1924" s="1" t="n">
        <v>45751.34716435185</v>
      </c>
      <c r="C1924" s="1" t="n">
        <v>46048</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43166-2025</t>
        </is>
      </c>
      <c r="B1925" s="1" t="n">
        <v>45909</v>
      </c>
      <c r="C1925" s="1" t="n">
        <v>46048</v>
      </c>
      <c r="D1925" t="inlineStr">
        <is>
          <t>JÄMTLANDS LÄN</t>
        </is>
      </c>
      <c r="E1925" t="inlineStr">
        <is>
          <t>STRÖMSUND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5451-2024</t>
        </is>
      </c>
      <c r="B1926" s="1" t="n">
        <v>45331.95231481481</v>
      </c>
      <c r="C1926" s="1" t="n">
        <v>46048</v>
      </c>
      <c r="D1926" t="inlineStr">
        <is>
          <t>JÄMTLANDS LÄN</t>
        </is>
      </c>
      <c r="E1926" t="inlineStr">
        <is>
          <t>STRÖMSUND</t>
        </is>
      </c>
      <c r="F1926" t="inlineStr">
        <is>
          <t>SCA</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42662-2025</t>
        </is>
      </c>
      <c r="B1927" s="1" t="n">
        <v>45907.61496527777</v>
      </c>
      <c r="C1927" s="1" t="n">
        <v>46048</v>
      </c>
      <c r="D1927" t="inlineStr">
        <is>
          <t>JÄMTLANDS LÄN</t>
        </is>
      </c>
      <c r="E1927" t="inlineStr">
        <is>
          <t>STRÖMSUND</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51540-2025</t>
        </is>
      </c>
      <c r="B1928" s="1" t="n">
        <v>45950.69952546297</v>
      </c>
      <c r="C1928" s="1" t="n">
        <v>46048</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42709-2025</t>
        </is>
      </c>
      <c r="B1929" s="1" t="n">
        <v>45908</v>
      </c>
      <c r="C1929" s="1" t="n">
        <v>46048</v>
      </c>
      <c r="D1929" t="inlineStr">
        <is>
          <t>JÄMTLANDS LÄN</t>
        </is>
      </c>
      <c r="E1929" t="inlineStr">
        <is>
          <t>STRÖMSUND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43164-2025</t>
        </is>
      </c>
      <c r="B1930" s="1" t="n">
        <v>45909</v>
      </c>
      <c r="C1930" s="1" t="n">
        <v>46048</v>
      </c>
      <c r="D1930" t="inlineStr">
        <is>
          <t>JÄMTLANDS LÄN</t>
        </is>
      </c>
      <c r="E1930" t="inlineStr">
        <is>
          <t>STRÖMSUND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43168-2025</t>
        </is>
      </c>
      <c r="B1931" s="1" t="n">
        <v>45909</v>
      </c>
      <c r="C1931" s="1" t="n">
        <v>46048</v>
      </c>
      <c r="D1931" t="inlineStr">
        <is>
          <t>JÄMTLANDS LÄN</t>
        </is>
      </c>
      <c r="E1931" t="inlineStr">
        <is>
          <t>STRÖMSUND</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37441-2024</t>
        </is>
      </c>
      <c r="B1932" s="1" t="n">
        <v>45540</v>
      </c>
      <c r="C1932" s="1" t="n">
        <v>46048</v>
      </c>
      <c r="D1932" t="inlineStr">
        <is>
          <t>JÄMTLANDS LÄN</t>
        </is>
      </c>
      <c r="E1932" t="inlineStr">
        <is>
          <t>STRÖMSUND</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42721-2025</t>
        </is>
      </c>
      <c r="B1933" s="1" t="n">
        <v>45908</v>
      </c>
      <c r="C1933" s="1" t="n">
        <v>46048</v>
      </c>
      <c r="D1933" t="inlineStr">
        <is>
          <t>JÄMTLANDS LÄN</t>
        </is>
      </c>
      <c r="E1933" t="inlineStr">
        <is>
          <t>STRÖMSUND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42949-2025</t>
        </is>
      </c>
      <c r="B1934" s="1" t="n">
        <v>45908</v>
      </c>
      <c r="C1934" s="1" t="n">
        <v>46048</v>
      </c>
      <c r="D1934" t="inlineStr">
        <is>
          <t>JÄMTLANDS LÄN</t>
        </is>
      </c>
      <c r="E1934" t="inlineStr">
        <is>
          <t>STRÖMSUND</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43481-2025</t>
        </is>
      </c>
      <c r="B1935" s="1" t="n">
        <v>45911.50042824074</v>
      </c>
      <c r="C1935" s="1" t="n">
        <v>46048</v>
      </c>
      <c r="D1935" t="inlineStr">
        <is>
          <t>JÄMTLANDS LÄN</t>
        </is>
      </c>
      <c r="E1935" t="inlineStr">
        <is>
          <t>STRÖMSUND</t>
        </is>
      </c>
      <c r="F1935" t="inlineStr">
        <is>
          <t>Holmen skog AB</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28705-2022</t>
        </is>
      </c>
      <c r="B1936" s="1" t="n">
        <v>44748.90450231481</v>
      </c>
      <c r="C1936" s="1" t="n">
        <v>46048</v>
      </c>
      <c r="D1936" t="inlineStr">
        <is>
          <t>JÄMTLANDS LÄN</t>
        </is>
      </c>
      <c r="E1936" t="inlineStr">
        <is>
          <t>STRÖMSUND</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43521-2025</t>
        </is>
      </c>
      <c r="B1937" s="1" t="n">
        <v>45911.57503472222</v>
      </c>
      <c r="C1937" s="1" t="n">
        <v>46048</v>
      </c>
      <c r="D1937" t="inlineStr">
        <is>
          <t>JÄMTLANDS LÄN</t>
        </is>
      </c>
      <c r="E1937" t="inlineStr">
        <is>
          <t>STRÖMSUND</t>
        </is>
      </c>
      <c r="F1937" t="inlineStr">
        <is>
          <t>Holmen skog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6566-2024</t>
        </is>
      </c>
      <c r="B1938" s="1" t="n">
        <v>45341.46119212963</v>
      </c>
      <c r="C1938" s="1" t="n">
        <v>46048</v>
      </c>
      <c r="D1938" t="inlineStr">
        <is>
          <t>JÄMTLANDS LÄN</t>
        </is>
      </c>
      <c r="E1938" t="inlineStr">
        <is>
          <t>STRÖMSUND</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43242-2025</t>
        </is>
      </c>
      <c r="B1939" s="1" t="n">
        <v>45910.53799768518</v>
      </c>
      <c r="C1939" s="1" t="n">
        <v>46048</v>
      </c>
      <c r="D1939" t="inlineStr">
        <is>
          <t>JÄMTLANDS LÄN</t>
        </is>
      </c>
      <c r="E1939" t="inlineStr">
        <is>
          <t>STRÖMSUND</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43247-2025</t>
        </is>
      </c>
      <c r="B1940" s="1" t="n">
        <v>45910.54983796296</v>
      </c>
      <c r="C1940" s="1" t="n">
        <v>46048</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6961-2024</t>
        </is>
      </c>
      <c r="B1941" s="1" t="n">
        <v>45343</v>
      </c>
      <c r="C1941" s="1" t="n">
        <v>46048</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43563-2025</t>
        </is>
      </c>
      <c r="B1942" s="1" t="n">
        <v>45911.63133101852</v>
      </c>
      <c r="C1942" s="1" t="n">
        <v>46048</v>
      </c>
      <c r="D1942" t="inlineStr">
        <is>
          <t>JÄMTLANDS LÄN</t>
        </is>
      </c>
      <c r="E1942" t="inlineStr">
        <is>
          <t>STRÖMSUND</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43320-2025</t>
        </is>
      </c>
      <c r="B1943" s="1" t="n">
        <v>45910.65835648148</v>
      </c>
      <c r="C1943" s="1" t="n">
        <v>46048</v>
      </c>
      <c r="D1943" t="inlineStr">
        <is>
          <t>JÄMTLANDS LÄN</t>
        </is>
      </c>
      <c r="E1943" t="inlineStr">
        <is>
          <t>STRÖMSUND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43613-2025</t>
        </is>
      </c>
      <c r="B1944" s="1" t="n">
        <v>45911.67755787037</v>
      </c>
      <c r="C1944" s="1" t="n">
        <v>46048</v>
      </c>
      <c r="D1944" t="inlineStr">
        <is>
          <t>JÄMTLANDS LÄN</t>
        </is>
      </c>
      <c r="E1944" t="inlineStr">
        <is>
          <t>STRÖMSUND</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5642-2022</t>
        </is>
      </c>
      <c r="B1945" s="1" t="n">
        <v>44595.92322916666</v>
      </c>
      <c r="C1945" s="1" t="n">
        <v>46048</v>
      </c>
      <c r="D1945" t="inlineStr">
        <is>
          <t>JÄMTLANDS LÄN</t>
        </is>
      </c>
      <c r="E1945" t="inlineStr">
        <is>
          <t>STRÖMSUND</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43388-2025</t>
        </is>
      </c>
      <c r="B1946" s="1" t="n">
        <v>45911.36547453704</v>
      </c>
      <c r="C1946" s="1" t="n">
        <v>46048</v>
      </c>
      <c r="D1946" t="inlineStr">
        <is>
          <t>JÄMTLANDS LÄN</t>
        </is>
      </c>
      <c r="E1946" t="inlineStr">
        <is>
          <t>STRÖMSUND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43357-2025</t>
        </is>
      </c>
      <c r="B1947" s="1" t="n">
        <v>45910</v>
      </c>
      <c r="C1947" s="1" t="n">
        <v>46048</v>
      </c>
      <c r="D1947" t="inlineStr">
        <is>
          <t>JÄMTLANDS LÄN</t>
        </is>
      </c>
      <c r="E1947" t="inlineStr">
        <is>
          <t>STRÖMSUND</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43301-2025</t>
        </is>
      </c>
      <c r="B1948" s="1" t="n">
        <v>45910.63481481482</v>
      </c>
      <c r="C1948" s="1" t="n">
        <v>46048</v>
      </c>
      <c r="D1948" t="inlineStr">
        <is>
          <t>JÄMTLANDS LÄN</t>
        </is>
      </c>
      <c r="E1948" t="inlineStr">
        <is>
          <t>STRÖMSUND</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43288-2025</t>
        </is>
      </c>
      <c r="B1949" s="1" t="n">
        <v>45910.61513888889</v>
      </c>
      <c r="C1949" s="1" t="n">
        <v>46048</v>
      </c>
      <c r="D1949" t="inlineStr">
        <is>
          <t>JÄMTLANDS LÄN</t>
        </is>
      </c>
      <c r="E1949" t="inlineStr">
        <is>
          <t>STRÖMSUND</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43290-2025</t>
        </is>
      </c>
      <c r="B1950" s="1" t="n">
        <v>45910.61677083333</v>
      </c>
      <c r="C1950" s="1" t="n">
        <v>46048</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43500-2025</t>
        </is>
      </c>
      <c r="B1951" s="1" t="n">
        <v>45911.53392361111</v>
      </c>
      <c r="C1951" s="1" t="n">
        <v>46048</v>
      </c>
      <c r="D1951" t="inlineStr">
        <is>
          <t>JÄMTLANDS LÄN</t>
        </is>
      </c>
      <c r="E1951" t="inlineStr">
        <is>
          <t>STRÖMSUND</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53218-2024</t>
        </is>
      </c>
      <c r="B1952" s="1" t="n">
        <v>45612.84146990741</v>
      </c>
      <c r="C1952" s="1" t="n">
        <v>46048</v>
      </c>
      <c r="D1952" t="inlineStr">
        <is>
          <t>JÄMTLANDS LÄN</t>
        </is>
      </c>
      <c r="E1952" t="inlineStr">
        <is>
          <t>STRÖMSUND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43239-2025</t>
        </is>
      </c>
      <c r="B1953" s="1" t="n">
        <v>45910.52289351852</v>
      </c>
      <c r="C1953" s="1" t="n">
        <v>46048</v>
      </c>
      <c r="D1953" t="inlineStr">
        <is>
          <t>JÄMTLANDS LÄN</t>
        </is>
      </c>
      <c r="E1953" t="inlineStr">
        <is>
          <t>STRÖMSUND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43296-2025</t>
        </is>
      </c>
      <c r="B1954" s="1" t="n">
        <v>45910.62386574074</v>
      </c>
      <c r="C1954" s="1" t="n">
        <v>46048</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43363-2025</t>
        </is>
      </c>
      <c r="B1955" s="1" t="n">
        <v>45911.34452546296</v>
      </c>
      <c r="C1955" s="1" t="n">
        <v>46048</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43534-2025</t>
        </is>
      </c>
      <c r="B1956" s="1" t="n">
        <v>45911.59768518519</v>
      </c>
      <c r="C1956" s="1" t="n">
        <v>46048</v>
      </c>
      <c r="D1956" t="inlineStr">
        <is>
          <t>JÄMTLANDS LÄN</t>
        </is>
      </c>
      <c r="E1956" t="inlineStr">
        <is>
          <t>STRÖMSUND</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20274-2024</t>
        </is>
      </c>
      <c r="B1957" s="1" t="n">
        <v>45434.949375</v>
      </c>
      <c r="C1957" s="1" t="n">
        <v>46048</v>
      </c>
      <c r="D1957" t="inlineStr">
        <is>
          <t>JÄMTLANDS LÄN</t>
        </is>
      </c>
      <c r="E1957" t="inlineStr">
        <is>
          <t>STRÖMSUND</t>
        </is>
      </c>
      <c r="F1957" t="inlineStr">
        <is>
          <t>SCA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44037-2025</t>
        </is>
      </c>
      <c r="B1958" s="1" t="n">
        <v>45915.49099537037</v>
      </c>
      <c r="C1958" s="1" t="n">
        <v>46048</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43777-2025</t>
        </is>
      </c>
      <c r="B1959" s="1" t="n">
        <v>45912.51105324074</v>
      </c>
      <c r="C1959" s="1" t="n">
        <v>46048</v>
      </c>
      <c r="D1959" t="inlineStr">
        <is>
          <t>JÄMTLANDS LÄN</t>
        </is>
      </c>
      <c r="E1959" t="inlineStr">
        <is>
          <t>STRÖMSUND</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8720-2025</t>
        </is>
      </c>
      <c r="B1960" s="1" t="n">
        <v>45712.50850694445</v>
      </c>
      <c r="C1960" s="1" t="n">
        <v>46048</v>
      </c>
      <c r="D1960" t="inlineStr">
        <is>
          <t>JÄMTLANDS LÄN</t>
        </is>
      </c>
      <c r="E1960" t="inlineStr">
        <is>
          <t>STRÖMSUND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44191-2025</t>
        </is>
      </c>
      <c r="B1961" s="1" t="n">
        <v>45915.61539351852</v>
      </c>
      <c r="C1961" s="1" t="n">
        <v>46048</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44193-2025</t>
        </is>
      </c>
      <c r="B1962" s="1" t="n">
        <v>45915.61585648148</v>
      </c>
      <c r="C1962" s="1" t="n">
        <v>46048</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13899-2025</t>
        </is>
      </c>
      <c r="B1963" s="1" t="n">
        <v>45737</v>
      </c>
      <c r="C1963" s="1" t="n">
        <v>46048</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1952-2023</t>
        </is>
      </c>
      <c r="B1964" s="1" t="n">
        <v>44938</v>
      </c>
      <c r="C1964" s="1" t="n">
        <v>46048</v>
      </c>
      <c r="D1964" t="inlineStr">
        <is>
          <t>JÄMTLANDS LÄN</t>
        </is>
      </c>
      <c r="E1964" t="inlineStr">
        <is>
          <t>STRÖMSUND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24301-2023</t>
        </is>
      </c>
      <c r="B1965" s="1" t="n">
        <v>45079.94189814815</v>
      </c>
      <c r="C1965" s="1" t="n">
        <v>46048</v>
      </c>
      <c r="D1965" t="inlineStr">
        <is>
          <t>JÄMTLANDS LÄN</t>
        </is>
      </c>
      <c r="E1965" t="inlineStr">
        <is>
          <t>STRÖMSUND</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32231-2023</t>
        </is>
      </c>
      <c r="B1966" s="1" t="n">
        <v>45119.94349537037</v>
      </c>
      <c r="C1966" s="1" t="n">
        <v>46048</v>
      </c>
      <c r="D1966" t="inlineStr">
        <is>
          <t>JÄMTLANDS LÄN</t>
        </is>
      </c>
      <c r="E1966" t="inlineStr">
        <is>
          <t>STRÖMSUND</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9514-2024</t>
        </is>
      </c>
      <c r="B1967" s="1" t="n">
        <v>45359</v>
      </c>
      <c r="C1967" s="1" t="n">
        <v>46048</v>
      </c>
      <c r="D1967" t="inlineStr">
        <is>
          <t>JÄMTLANDS LÄN</t>
        </is>
      </c>
      <c r="E1967" t="inlineStr">
        <is>
          <t>STRÖMSUND</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17994-2025</t>
        </is>
      </c>
      <c r="B1968" s="1" t="n">
        <v>45761.40689814815</v>
      </c>
      <c r="C1968" s="1" t="n">
        <v>46048</v>
      </c>
      <c r="D1968" t="inlineStr">
        <is>
          <t>JÄMTLANDS LÄN</t>
        </is>
      </c>
      <c r="E1968" t="inlineStr">
        <is>
          <t>STRÖMSUND</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43722-2025</t>
        </is>
      </c>
      <c r="B1969" s="1" t="n">
        <v>45912.42824074074</v>
      </c>
      <c r="C1969" s="1" t="n">
        <v>46048</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58493-2024</t>
        </is>
      </c>
      <c r="B1970" s="1" t="n">
        <v>45635.40935185185</v>
      </c>
      <c r="C1970" s="1" t="n">
        <v>46048</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17158-2025</t>
        </is>
      </c>
      <c r="B1971" s="1" t="n">
        <v>45756.34439814815</v>
      </c>
      <c r="C1971" s="1" t="n">
        <v>46048</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20263-2025</t>
        </is>
      </c>
      <c r="B1972" s="1" t="n">
        <v>45773.38578703703</v>
      </c>
      <c r="C1972" s="1" t="n">
        <v>46048</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44219-2025</t>
        </is>
      </c>
      <c r="B1973" s="1" t="n">
        <v>45915.63640046296</v>
      </c>
      <c r="C1973" s="1" t="n">
        <v>46048</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44250-2025</t>
        </is>
      </c>
      <c r="B1974" s="1" t="n">
        <v>45915.69828703703</v>
      </c>
      <c r="C1974" s="1" t="n">
        <v>46048</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45091-2023</t>
        </is>
      </c>
      <c r="B1975" s="1" t="n">
        <v>45191</v>
      </c>
      <c r="C1975" s="1" t="n">
        <v>46048</v>
      </c>
      <c r="D1975" t="inlineStr">
        <is>
          <t>JÄMTLANDS LÄN</t>
        </is>
      </c>
      <c r="E1975" t="inlineStr">
        <is>
          <t>STRÖMSUND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44634-2025</t>
        </is>
      </c>
      <c r="B1976" s="1" t="n">
        <v>45917.48998842593</v>
      </c>
      <c r="C1976" s="1" t="n">
        <v>46048</v>
      </c>
      <c r="D1976" t="inlineStr">
        <is>
          <t>JÄMTLANDS LÄN</t>
        </is>
      </c>
      <c r="E1976" t="inlineStr">
        <is>
          <t>STRÖMSUND</t>
        </is>
      </c>
      <c r="F1976" t="inlineStr">
        <is>
          <t>SCA</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19413-2025</t>
        </is>
      </c>
      <c r="B1977" s="1" t="n">
        <v>45769.69850694444</v>
      </c>
      <c r="C1977" s="1" t="n">
        <v>46048</v>
      </c>
      <c r="D1977" t="inlineStr">
        <is>
          <t>JÄMTLANDS LÄN</t>
        </is>
      </c>
      <c r="E1977" t="inlineStr">
        <is>
          <t>STRÖMSUND</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45619-2025</t>
        </is>
      </c>
      <c r="B1978" s="1" t="n">
        <v>45922</v>
      </c>
      <c r="C1978" s="1" t="n">
        <v>46048</v>
      </c>
      <c r="D1978" t="inlineStr">
        <is>
          <t>JÄMTLANDS LÄN</t>
        </is>
      </c>
      <c r="E1978" t="inlineStr">
        <is>
          <t>STRÖMSUND</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44459-2025</t>
        </is>
      </c>
      <c r="B1979" s="1" t="n">
        <v>45916.61518518518</v>
      </c>
      <c r="C1979" s="1" t="n">
        <v>46048</v>
      </c>
      <c r="D1979" t="inlineStr">
        <is>
          <t>JÄMTLANDS LÄN</t>
        </is>
      </c>
      <c r="E1979" t="inlineStr">
        <is>
          <t>STRÖMSUND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6347-2025</t>
        </is>
      </c>
      <c r="B1980" s="1" t="n">
        <v>45699.34438657408</v>
      </c>
      <c r="C1980" s="1" t="n">
        <v>46048</v>
      </c>
      <c r="D1980" t="inlineStr">
        <is>
          <t>JÄMTLANDS LÄN</t>
        </is>
      </c>
      <c r="E1980" t="inlineStr">
        <is>
          <t>STRÖMSUND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44457-2025</t>
        </is>
      </c>
      <c r="B1981" s="1" t="n">
        <v>45916.61498842593</v>
      </c>
      <c r="C1981" s="1" t="n">
        <v>46048</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36346-2024</t>
        </is>
      </c>
      <c r="B1982" s="1" t="n">
        <v>45534.64390046296</v>
      </c>
      <c r="C1982" s="1" t="n">
        <v>46048</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44280-2025</t>
        </is>
      </c>
      <c r="B1983" s="1" t="n">
        <v>45916.34502314815</v>
      </c>
      <c r="C1983" s="1" t="n">
        <v>46048</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44442-2025</t>
        </is>
      </c>
      <c r="B1984" s="1" t="n">
        <v>45916.59424768519</v>
      </c>
      <c r="C1984" s="1" t="n">
        <v>46048</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44514-2025</t>
        </is>
      </c>
      <c r="B1985" s="1" t="n">
        <v>45916.69831018519</v>
      </c>
      <c r="C1985" s="1" t="n">
        <v>46048</v>
      </c>
      <c r="D1985" t="inlineStr">
        <is>
          <t>JÄMTLANDS LÄN</t>
        </is>
      </c>
      <c r="E1985" t="inlineStr">
        <is>
          <t>STRÖMSUND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4910-2025</t>
        </is>
      </c>
      <c r="B1986" s="1" t="n">
        <v>45688.68138888889</v>
      </c>
      <c r="C1986" s="1" t="n">
        <v>46048</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44761-2025</t>
        </is>
      </c>
      <c r="B1987" s="1" t="n">
        <v>45917.71915509259</v>
      </c>
      <c r="C1987" s="1" t="n">
        <v>46048</v>
      </c>
      <c r="D1987" t="inlineStr">
        <is>
          <t>JÄMTLANDS LÄN</t>
        </is>
      </c>
      <c r="E1987" t="inlineStr">
        <is>
          <t>STRÖMSUND</t>
        </is>
      </c>
      <c r="F1987" t="inlineStr">
        <is>
          <t>SCA</t>
        </is>
      </c>
      <c r="G1987" t="n">
        <v>29.7</v>
      </c>
      <c r="H1987" t="n">
        <v>0</v>
      </c>
      <c r="I1987" t="n">
        <v>0</v>
      </c>
      <c r="J1987" t="n">
        <v>0</v>
      </c>
      <c r="K1987" t="n">
        <v>0</v>
      </c>
      <c r="L1987" t="n">
        <v>0</v>
      </c>
      <c r="M1987" t="n">
        <v>0</v>
      </c>
      <c r="N1987" t="n">
        <v>0</v>
      </c>
      <c r="O1987" t="n">
        <v>0</v>
      </c>
      <c r="P1987" t="n">
        <v>0</v>
      </c>
      <c r="Q1987" t="n">
        <v>0</v>
      </c>
      <c r="R1987" s="2" t="inlineStr"/>
    </row>
    <row r="1988" ht="15" customHeight="1">
      <c r="A1988" t="inlineStr">
        <is>
          <t>A 44574-2025</t>
        </is>
      </c>
      <c r="B1988" s="1" t="n">
        <v>45917.39420138889</v>
      </c>
      <c r="C1988" s="1" t="n">
        <v>46048</v>
      </c>
      <c r="D1988" t="inlineStr">
        <is>
          <t>JÄMTLANDS LÄN</t>
        </is>
      </c>
      <c r="E1988" t="inlineStr">
        <is>
          <t>STRÖMSUND</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44356-2025</t>
        </is>
      </c>
      <c r="B1989" s="1" t="n">
        <v>45916.44834490741</v>
      </c>
      <c r="C1989" s="1" t="n">
        <v>46048</v>
      </c>
      <c r="D1989" t="inlineStr">
        <is>
          <t>JÄMTLANDS LÄN</t>
        </is>
      </c>
      <c r="E1989" t="inlineStr">
        <is>
          <t>STRÖMSUND</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20256-2025</t>
        </is>
      </c>
      <c r="B1990" s="1" t="n">
        <v>45772.93064814815</v>
      </c>
      <c r="C1990" s="1" t="n">
        <v>46048</v>
      </c>
      <c r="D1990" t="inlineStr">
        <is>
          <t>JÄMTLANDS LÄN</t>
        </is>
      </c>
      <c r="E1990" t="inlineStr">
        <is>
          <t>STRÖMSUND</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20262-2025</t>
        </is>
      </c>
      <c r="B1991" s="1" t="n">
        <v>45773.38086805555</v>
      </c>
      <c r="C1991" s="1" t="n">
        <v>46048</v>
      </c>
      <c r="D1991" t="inlineStr">
        <is>
          <t>JÄMTLANDS LÄN</t>
        </is>
      </c>
      <c r="E1991" t="inlineStr">
        <is>
          <t>STRÖMSUND</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5262-2024</t>
        </is>
      </c>
      <c r="B1992" s="1" t="n">
        <v>45330</v>
      </c>
      <c r="C1992" s="1" t="n">
        <v>46048</v>
      </c>
      <c r="D1992" t="inlineStr">
        <is>
          <t>JÄMTLANDS LÄN</t>
        </is>
      </c>
      <c r="E1992" t="inlineStr">
        <is>
          <t>STRÖMSUND</t>
        </is>
      </c>
      <c r="F1992" t="inlineStr">
        <is>
          <t>SCA</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5930-2024</t>
        </is>
      </c>
      <c r="B1993" s="1" t="n">
        <v>45336</v>
      </c>
      <c r="C1993" s="1" t="n">
        <v>46048</v>
      </c>
      <c r="D1993" t="inlineStr">
        <is>
          <t>JÄMTLANDS LÄN</t>
        </is>
      </c>
      <c r="E1993" t="inlineStr">
        <is>
          <t>STRÖMSUND</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44928-2025</t>
        </is>
      </c>
      <c r="B1994" s="1" t="n">
        <v>45918.56171296296</v>
      </c>
      <c r="C1994" s="1" t="n">
        <v>46048</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44912-2025</t>
        </is>
      </c>
      <c r="B1995" s="1" t="n">
        <v>45918.53466435185</v>
      </c>
      <c r="C1995" s="1" t="n">
        <v>46048</v>
      </c>
      <c r="D1995" t="inlineStr">
        <is>
          <t>JÄMTLANDS LÄN</t>
        </is>
      </c>
      <c r="E1995" t="inlineStr">
        <is>
          <t>STRÖMSUND</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56480-2023</t>
        </is>
      </c>
      <c r="B1996" s="1" t="n">
        <v>45237</v>
      </c>
      <c r="C1996" s="1" t="n">
        <v>46048</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45235-2025</t>
        </is>
      </c>
      <c r="B1997" s="1" t="n">
        <v>45919.59434027778</v>
      </c>
      <c r="C1997" s="1" t="n">
        <v>46048</v>
      </c>
      <c r="D1997" t="inlineStr">
        <is>
          <t>JÄMTLANDS LÄN</t>
        </is>
      </c>
      <c r="E1997" t="inlineStr">
        <is>
          <t>STRÖMSUND</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45258-2025</t>
        </is>
      </c>
      <c r="B1998" s="1" t="n">
        <v>45919.62483796296</v>
      </c>
      <c r="C1998" s="1" t="n">
        <v>46048</v>
      </c>
      <c r="D1998" t="inlineStr">
        <is>
          <t>JÄMTLANDS LÄN</t>
        </is>
      </c>
      <c r="E1998" t="inlineStr">
        <is>
          <t>STRÖMSUND</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51344-2022</t>
        </is>
      </c>
      <c r="B1999" s="1" t="n">
        <v>44866</v>
      </c>
      <c r="C1999" s="1" t="n">
        <v>46048</v>
      </c>
      <c r="D1999" t="inlineStr">
        <is>
          <t>JÄMTLANDS LÄN</t>
        </is>
      </c>
      <c r="E1999" t="inlineStr">
        <is>
          <t>STRÖMSUND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45270-2025</t>
        </is>
      </c>
      <c r="B2000" s="1" t="n">
        <v>45919.68295138889</v>
      </c>
      <c r="C2000" s="1" t="n">
        <v>46048</v>
      </c>
      <c r="D2000" t="inlineStr">
        <is>
          <t>JÄMTLANDS LÄN</t>
        </is>
      </c>
      <c r="E2000" t="inlineStr">
        <is>
          <t>STRÖMSUND</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18751-2022</t>
        </is>
      </c>
      <c r="B2001" s="1" t="n">
        <v>44687.94190972222</v>
      </c>
      <c r="C2001" s="1" t="n">
        <v>46048</v>
      </c>
      <c r="D2001" t="inlineStr">
        <is>
          <t>JÄMTLANDS LÄN</t>
        </is>
      </c>
      <c r="E2001" t="inlineStr">
        <is>
          <t>STRÖMSUND</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7547-2025</t>
        </is>
      </c>
      <c r="B2002" s="1" t="n">
        <v>45705.57423611111</v>
      </c>
      <c r="C2002" s="1" t="n">
        <v>46048</v>
      </c>
      <c r="D2002" t="inlineStr">
        <is>
          <t>JÄMTLANDS LÄN</t>
        </is>
      </c>
      <c r="E2002" t="inlineStr">
        <is>
          <t>STRÖMSUND</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38280-2024</t>
        </is>
      </c>
      <c r="B2003" s="1" t="n">
        <v>45545.61516203704</v>
      </c>
      <c r="C2003" s="1" t="n">
        <v>46048</v>
      </c>
      <c r="D2003" t="inlineStr">
        <is>
          <t>JÄMTLANDS LÄN</t>
        </is>
      </c>
      <c r="E2003" t="inlineStr">
        <is>
          <t>STRÖMSUND</t>
        </is>
      </c>
      <c r="F2003" t="inlineStr">
        <is>
          <t>SCA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24802-2024</t>
        </is>
      </c>
      <c r="B2004" s="1" t="n">
        <v>45460.95309027778</v>
      </c>
      <c r="C2004" s="1" t="n">
        <v>46048</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24804-2024</t>
        </is>
      </c>
      <c r="B2005" s="1" t="n">
        <v>45460.95325231482</v>
      </c>
      <c r="C2005" s="1" t="n">
        <v>46048</v>
      </c>
      <c r="D2005" t="inlineStr">
        <is>
          <t>JÄMTLANDS LÄN</t>
        </is>
      </c>
      <c r="E2005" t="inlineStr">
        <is>
          <t>STRÖMSUND</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57789-2023</t>
        </is>
      </c>
      <c r="B2006" s="1" t="n">
        <v>45246.96806712963</v>
      </c>
      <c r="C2006" s="1" t="n">
        <v>46048</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44969-2025</t>
        </is>
      </c>
      <c r="B2007" s="1" t="n">
        <v>45918.63583333333</v>
      </c>
      <c r="C2007" s="1" t="n">
        <v>46048</v>
      </c>
      <c r="D2007" t="inlineStr">
        <is>
          <t>JÄMTLANDS LÄN</t>
        </is>
      </c>
      <c r="E2007" t="inlineStr">
        <is>
          <t>STRÖMSUND</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41605-2024</t>
        </is>
      </c>
      <c r="B2008" s="1" t="n">
        <v>45560.58306712963</v>
      </c>
      <c r="C2008" s="1" t="n">
        <v>46048</v>
      </c>
      <c r="D2008" t="inlineStr">
        <is>
          <t>JÄMTLANDS LÄN</t>
        </is>
      </c>
      <c r="E2008" t="inlineStr">
        <is>
          <t>STRÖMSUND</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45089-2025</t>
        </is>
      </c>
      <c r="B2009" s="1" t="n">
        <v>45919.37613425926</v>
      </c>
      <c r="C2009" s="1" t="n">
        <v>46048</v>
      </c>
      <c r="D2009" t="inlineStr">
        <is>
          <t>JÄMTLANDS LÄN</t>
        </is>
      </c>
      <c r="E2009" t="inlineStr">
        <is>
          <t>STRÖMSUND</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29107-2024</t>
        </is>
      </c>
      <c r="B2010" s="1" t="n">
        <v>45481.95253472222</v>
      </c>
      <c r="C2010" s="1" t="n">
        <v>46048</v>
      </c>
      <c r="D2010" t="inlineStr">
        <is>
          <t>JÄMTLANDS LÄN</t>
        </is>
      </c>
      <c r="E2010" t="inlineStr">
        <is>
          <t>STRÖMSUND</t>
        </is>
      </c>
      <c r="F2010" t="inlineStr">
        <is>
          <t>SCA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45522-2025</t>
        </is>
      </c>
      <c r="B2011" s="1" t="n">
        <v>45922.59444444445</v>
      </c>
      <c r="C2011" s="1" t="n">
        <v>46048</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45521-2025</t>
        </is>
      </c>
      <c r="B2012" s="1" t="n">
        <v>45922.59420138889</v>
      </c>
      <c r="C2012" s="1" t="n">
        <v>46048</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19031-2025</t>
        </is>
      </c>
      <c r="B2013" s="1" t="n">
        <v>45764.65657407408</v>
      </c>
      <c r="C2013" s="1" t="n">
        <v>46048</v>
      </c>
      <c r="D2013" t="inlineStr">
        <is>
          <t>JÄMTLANDS LÄN</t>
        </is>
      </c>
      <c r="E2013" t="inlineStr">
        <is>
          <t>STRÖMSUND</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17506-2025</t>
        </is>
      </c>
      <c r="B2014" s="1" t="n">
        <v>45757</v>
      </c>
      <c r="C2014" s="1" t="n">
        <v>46048</v>
      </c>
      <c r="D2014" t="inlineStr">
        <is>
          <t>JÄMTLANDS LÄN</t>
        </is>
      </c>
      <c r="E2014" t="inlineStr">
        <is>
          <t>STRÖMSUND</t>
        </is>
      </c>
      <c r="G2014" t="n">
        <v>17.6</v>
      </c>
      <c r="H2014" t="n">
        <v>0</v>
      </c>
      <c r="I2014" t="n">
        <v>0</v>
      </c>
      <c r="J2014" t="n">
        <v>0</v>
      </c>
      <c r="K2014" t="n">
        <v>0</v>
      </c>
      <c r="L2014" t="n">
        <v>0</v>
      </c>
      <c r="M2014" t="n">
        <v>0</v>
      </c>
      <c r="N2014" t="n">
        <v>0</v>
      </c>
      <c r="O2014" t="n">
        <v>0</v>
      </c>
      <c r="P2014" t="n">
        <v>0</v>
      </c>
      <c r="Q2014" t="n">
        <v>0</v>
      </c>
      <c r="R2014" s="2" t="inlineStr"/>
    </row>
    <row r="2015" ht="15" customHeight="1">
      <c r="A2015" t="inlineStr">
        <is>
          <t>A 18235-2024</t>
        </is>
      </c>
      <c r="B2015" s="1" t="n">
        <v>45420.96576388889</v>
      </c>
      <c r="C2015" s="1" t="n">
        <v>46048</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18240-2024</t>
        </is>
      </c>
      <c r="B2016" s="1" t="n">
        <v>45420.96646990741</v>
      </c>
      <c r="C2016" s="1" t="n">
        <v>46048</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45844-2025</t>
        </is>
      </c>
      <c r="B2017" s="1" t="n">
        <v>45923.61561342593</v>
      </c>
      <c r="C2017" s="1" t="n">
        <v>46048</v>
      </c>
      <c r="D2017" t="inlineStr">
        <is>
          <t>JÄMTLANDS LÄN</t>
        </is>
      </c>
      <c r="E2017" t="inlineStr">
        <is>
          <t>STRÖMSUND</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45335-2025</t>
        </is>
      </c>
      <c r="B2018" s="1" t="n">
        <v>45922.34186342593</v>
      </c>
      <c r="C2018" s="1" t="n">
        <v>46048</v>
      </c>
      <c r="D2018" t="inlineStr">
        <is>
          <t>JÄMTLANDS LÄN</t>
        </is>
      </c>
      <c r="E2018" t="inlineStr">
        <is>
          <t>STRÖMSUND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54216-2025</t>
        </is>
      </c>
      <c r="B2019" s="1" t="n">
        <v>45964.59493055556</v>
      </c>
      <c r="C2019" s="1" t="n">
        <v>46048</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45600-2025</t>
        </is>
      </c>
      <c r="B2020" s="1" t="n">
        <v>45922.68890046296</v>
      </c>
      <c r="C2020" s="1" t="n">
        <v>46048</v>
      </c>
      <c r="D2020" t="inlineStr">
        <is>
          <t>JÄMTLANDS LÄN</t>
        </is>
      </c>
      <c r="E2020" t="inlineStr">
        <is>
          <t>STRÖMSUND</t>
        </is>
      </c>
      <c r="G2020" t="n">
        <v>33.4</v>
      </c>
      <c r="H2020" t="n">
        <v>0</v>
      </c>
      <c r="I2020" t="n">
        <v>0</v>
      </c>
      <c r="J2020" t="n">
        <v>0</v>
      </c>
      <c r="K2020" t="n">
        <v>0</v>
      </c>
      <c r="L2020" t="n">
        <v>0</v>
      </c>
      <c r="M2020" t="n">
        <v>0</v>
      </c>
      <c r="N2020" t="n">
        <v>0</v>
      </c>
      <c r="O2020" t="n">
        <v>0</v>
      </c>
      <c r="P2020" t="n">
        <v>0</v>
      </c>
      <c r="Q2020" t="n">
        <v>0</v>
      </c>
      <c r="R2020" s="2" t="inlineStr"/>
    </row>
    <row r="2021" ht="15" customHeight="1">
      <c r="A2021" t="inlineStr">
        <is>
          <t>A 37566-2024</t>
        </is>
      </c>
      <c r="B2021" s="1" t="n">
        <v>45541.44819444444</v>
      </c>
      <c r="C2021" s="1" t="n">
        <v>46048</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54231-2025</t>
        </is>
      </c>
      <c r="B2022" s="1" t="n">
        <v>45964.61983796296</v>
      </c>
      <c r="C2022" s="1" t="n">
        <v>46048</v>
      </c>
      <c r="D2022" t="inlineStr">
        <is>
          <t>JÄMTLANDS LÄN</t>
        </is>
      </c>
      <c r="E2022" t="inlineStr">
        <is>
          <t>STRÖMSUND</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45663-2025</t>
        </is>
      </c>
      <c r="B2023" s="1" t="n">
        <v>45923.34650462963</v>
      </c>
      <c r="C2023" s="1" t="n">
        <v>46048</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10180-2025</t>
        </is>
      </c>
      <c r="B2024" s="1" t="n">
        <v>45719.68037037037</v>
      </c>
      <c r="C2024" s="1" t="n">
        <v>46048</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54382-2025</t>
        </is>
      </c>
      <c r="B2025" s="1" t="n">
        <v>45965.43498842593</v>
      </c>
      <c r="C2025" s="1" t="n">
        <v>46048</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31846-2022</t>
        </is>
      </c>
      <c r="B2026" s="1" t="n">
        <v>44776.94175925926</v>
      </c>
      <c r="C2026" s="1" t="n">
        <v>46048</v>
      </c>
      <c r="D2026" t="inlineStr">
        <is>
          <t>JÄMTLANDS LÄN</t>
        </is>
      </c>
      <c r="E2026" t="inlineStr">
        <is>
          <t>STRÖMSUND</t>
        </is>
      </c>
      <c r="F2026" t="inlineStr">
        <is>
          <t>SCA</t>
        </is>
      </c>
      <c r="G2026" t="n">
        <v>19.1</v>
      </c>
      <c r="H2026" t="n">
        <v>0</v>
      </c>
      <c r="I2026" t="n">
        <v>0</v>
      </c>
      <c r="J2026" t="n">
        <v>0</v>
      </c>
      <c r="K2026" t="n">
        <v>0</v>
      </c>
      <c r="L2026" t="n">
        <v>0</v>
      </c>
      <c r="M2026" t="n">
        <v>0</v>
      </c>
      <c r="N2026" t="n">
        <v>0</v>
      </c>
      <c r="O2026" t="n">
        <v>0</v>
      </c>
      <c r="P2026" t="n">
        <v>0</v>
      </c>
      <c r="Q2026" t="n">
        <v>0</v>
      </c>
      <c r="R2026" s="2" t="inlineStr"/>
    </row>
    <row r="2027" ht="15" customHeight="1">
      <c r="A2027" t="inlineStr">
        <is>
          <t>A 46001-2025</t>
        </is>
      </c>
      <c r="B2027" s="1" t="n">
        <v>45924.40692129629</v>
      </c>
      <c r="C2027" s="1" t="n">
        <v>46048</v>
      </c>
      <c r="D2027" t="inlineStr">
        <is>
          <t>JÄMTLANDS LÄN</t>
        </is>
      </c>
      <c r="E2027" t="inlineStr">
        <is>
          <t>STRÖMSUND</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46265-2025</t>
        </is>
      </c>
      <c r="B2028" s="1" t="n">
        <v>45925.36509259259</v>
      </c>
      <c r="C2028" s="1" t="n">
        <v>46048</v>
      </c>
      <c r="D2028" t="inlineStr">
        <is>
          <t>JÄMTLANDS LÄN</t>
        </is>
      </c>
      <c r="E2028" t="inlineStr">
        <is>
          <t>STRÖMSUND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46191-2025</t>
        </is>
      </c>
      <c r="B2029" s="1" t="n">
        <v>45924.67771990741</v>
      </c>
      <c r="C2029" s="1" t="n">
        <v>46048</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46479-2025</t>
        </is>
      </c>
      <c r="B2030" s="1" t="n">
        <v>45925.6985300926</v>
      </c>
      <c r="C2030" s="1" t="n">
        <v>46048</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52906-2024</t>
        </is>
      </c>
      <c r="B2031" s="1" t="n">
        <v>45610.69825231482</v>
      </c>
      <c r="C2031" s="1" t="n">
        <v>46048</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46355-2025</t>
        </is>
      </c>
      <c r="B2032" s="1" t="n">
        <v>45925.49006944444</v>
      </c>
      <c r="C2032" s="1" t="n">
        <v>46048</v>
      </c>
      <c r="D2032" t="inlineStr">
        <is>
          <t>JÄMTLANDS LÄN</t>
        </is>
      </c>
      <c r="E2032" t="inlineStr">
        <is>
          <t>STRÖMSUND</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46388-2025</t>
        </is>
      </c>
      <c r="B2033" s="1" t="n">
        <v>45925</v>
      </c>
      <c r="C2033" s="1" t="n">
        <v>46048</v>
      </c>
      <c r="D2033" t="inlineStr">
        <is>
          <t>JÄMTLANDS LÄN</t>
        </is>
      </c>
      <c r="E2033" t="inlineStr">
        <is>
          <t>STRÖMSUND</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55325-2024</t>
        </is>
      </c>
      <c r="B2034" s="1" t="n">
        <v>45621</v>
      </c>
      <c r="C2034" s="1" t="n">
        <v>46048</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18279-2025</t>
        </is>
      </c>
      <c r="B2035" s="1" t="n">
        <v>45762</v>
      </c>
      <c r="C2035" s="1" t="n">
        <v>46048</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23406-2023</t>
        </is>
      </c>
      <c r="B2036" s="1" t="n">
        <v>45076</v>
      </c>
      <c r="C2036" s="1" t="n">
        <v>46048</v>
      </c>
      <c r="D2036" t="inlineStr">
        <is>
          <t>JÄMTLANDS LÄN</t>
        </is>
      </c>
      <c r="E2036" t="inlineStr">
        <is>
          <t>STRÖMSUND</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22481-2024</t>
        </is>
      </c>
      <c r="B2037" s="1" t="n">
        <v>45446.95224537037</v>
      </c>
      <c r="C2037" s="1" t="n">
        <v>46048</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46297-2025</t>
        </is>
      </c>
      <c r="B2038" s="1" t="n">
        <v>45925.40063657407</v>
      </c>
      <c r="C2038" s="1" t="n">
        <v>46048</v>
      </c>
      <c r="D2038" t="inlineStr">
        <is>
          <t>JÄMTLANDS LÄN</t>
        </is>
      </c>
      <c r="E2038" t="inlineStr">
        <is>
          <t>STRÖMSUND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46546-2025</t>
        </is>
      </c>
      <c r="B2039" s="1" t="n">
        <v>45926.34518518519</v>
      </c>
      <c r="C2039" s="1" t="n">
        <v>46048</v>
      </c>
      <c r="D2039" t="inlineStr">
        <is>
          <t>JÄMTLANDS LÄN</t>
        </is>
      </c>
      <c r="E2039" t="inlineStr">
        <is>
          <t>STRÖMSUND</t>
        </is>
      </c>
      <c r="F2039" t="inlineStr">
        <is>
          <t>SCA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41902-2024</t>
        </is>
      </c>
      <c r="B2040" s="1" t="n">
        <v>45561.53158564815</v>
      </c>
      <c r="C2040" s="1" t="n">
        <v>46048</v>
      </c>
      <c r="D2040" t="inlineStr">
        <is>
          <t>JÄMTLANDS LÄN</t>
        </is>
      </c>
      <c r="E2040" t="inlineStr">
        <is>
          <t>STRÖMSUND</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41905-2024</t>
        </is>
      </c>
      <c r="B2041" s="1" t="n">
        <v>45561.53282407407</v>
      </c>
      <c r="C2041" s="1" t="n">
        <v>46048</v>
      </c>
      <c r="D2041" t="inlineStr">
        <is>
          <t>JÄMTLANDS LÄN</t>
        </is>
      </c>
      <c r="E2041" t="inlineStr">
        <is>
          <t>STRÖMSUND</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56691-2023</t>
        </is>
      </c>
      <c r="B2042" s="1" t="n">
        <v>45243.96672453704</v>
      </c>
      <c r="C2042" s="1" t="n">
        <v>46048</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46929-2025</t>
        </is>
      </c>
      <c r="B2043" s="1" t="n">
        <v>45929.44145833333</v>
      </c>
      <c r="C2043" s="1" t="n">
        <v>46048</v>
      </c>
      <c r="D2043" t="inlineStr">
        <is>
          <t>JÄMTLANDS LÄN</t>
        </is>
      </c>
      <c r="E2043" t="inlineStr">
        <is>
          <t>STRÖMSUND</t>
        </is>
      </c>
      <c r="G2043" t="n">
        <v>15.1</v>
      </c>
      <c r="H2043" t="n">
        <v>0</v>
      </c>
      <c r="I2043" t="n">
        <v>0</v>
      </c>
      <c r="J2043" t="n">
        <v>0</v>
      </c>
      <c r="K2043" t="n">
        <v>0</v>
      </c>
      <c r="L2043" t="n">
        <v>0</v>
      </c>
      <c r="M2043" t="n">
        <v>0</v>
      </c>
      <c r="N2043" t="n">
        <v>0</v>
      </c>
      <c r="O2043" t="n">
        <v>0</v>
      </c>
      <c r="P2043" t="n">
        <v>0</v>
      </c>
      <c r="Q2043" t="n">
        <v>0</v>
      </c>
      <c r="R2043" s="2" t="inlineStr"/>
    </row>
    <row r="2044" ht="15" customHeight="1">
      <c r="A2044" t="inlineStr">
        <is>
          <t>A 46687-2025</t>
        </is>
      </c>
      <c r="B2044" s="1" t="n">
        <v>45926.55288194444</v>
      </c>
      <c r="C2044" s="1" t="n">
        <v>46048</v>
      </c>
      <c r="D2044" t="inlineStr">
        <is>
          <t>JÄMTLANDS LÄN</t>
        </is>
      </c>
      <c r="E2044" t="inlineStr">
        <is>
          <t>STRÖMSUND</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46641-2025</t>
        </is>
      </c>
      <c r="B2045" s="1" t="n">
        <v>45926.47011574074</v>
      </c>
      <c r="C2045" s="1" t="n">
        <v>46048</v>
      </c>
      <c r="D2045" t="inlineStr">
        <is>
          <t>JÄMTLANDS LÄN</t>
        </is>
      </c>
      <c r="E2045" t="inlineStr">
        <is>
          <t>STRÖMSUND</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46566-2025</t>
        </is>
      </c>
      <c r="B2046" s="1" t="n">
        <v>45926.365</v>
      </c>
      <c r="C2046" s="1" t="n">
        <v>46048</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46567-2025</t>
        </is>
      </c>
      <c r="B2047" s="1" t="n">
        <v>45926.36528935185</v>
      </c>
      <c r="C2047" s="1" t="n">
        <v>46048</v>
      </c>
      <c r="D2047" t="inlineStr">
        <is>
          <t>JÄMTLANDS LÄN</t>
        </is>
      </c>
      <c r="E2047" t="inlineStr">
        <is>
          <t>STRÖMSUND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46048</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62229-2022</t>
        </is>
      </c>
      <c r="B2049" s="1" t="n">
        <v>44916</v>
      </c>
      <c r="C2049" s="1" t="n">
        <v>46048</v>
      </c>
      <c r="D2049" t="inlineStr">
        <is>
          <t>JÄMTLANDS LÄN</t>
        </is>
      </c>
      <c r="E2049" t="inlineStr">
        <is>
          <t>STRÖMSUND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46688-2025</t>
        </is>
      </c>
      <c r="B2050" s="1" t="n">
        <v>45926.55293981481</v>
      </c>
      <c r="C2050" s="1" t="n">
        <v>46048</v>
      </c>
      <c r="D2050" t="inlineStr">
        <is>
          <t>JÄMTLANDS LÄN</t>
        </is>
      </c>
      <c r="E2050" t="inlineStr">
        <is>
          <t>STRÖMSUND</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46543-2025</t>
        </is>
      </c>
      <c r="B2051" s="1" t="n">
        <v>45926.34476851852</v>
      </c>
      <c r="C2051" s="1" t="n">
        <v>46048</v>
      </c>
      <c r="D2051" t="inlineStr">
        <is>
          <t>JÄMTLANDS LÄN</t>
        </is>
      </c>
      <c r="E2051" t="inlineStr">
        <is>
          <t>STRÖMSUND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41150-2023</t>
        </is>
      </c>
      <c r="B2052" s="1" t="n">
        <v>45173.94302083334</v>
      </c>
      <c r="C2052" s="1" t="n">
        <v>46048</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47121-2025</t>
        </is>
      </c>
      <c r="B2053" s="1" t="n">
        <v>45929.67857638889</v>
      </c>
      <c r="C2053" s="1" t="n">
        <v>46048</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55340-2023</t>
        </is>
      </c>
      <c r="B2054" s="1" t="n">
        <v>45237</v>
      </c>
      <c r="C2054" s="1" t="n">
        <v>46048</v>
      </c>
      <c r="D2054" t="inlineStr">
        <is>
          <t>JÄMTLANDS LÄN</t>
        </is>
      </c>
      <c r="E2054" t="inlineStr">
        <is>
          <t>STRÖMSUND</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46745-2025</t>
        </is>
      </c>
      <c r="B2055" s="1" t="n">
        <v>45926</v>
      </c>
      <c r="C2055" s="1" t="n">
        <v>46048</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49065-2025</t>
        </is>
      </c>
      <c r="B2056" s="1" t="n">
        <v>45937</v>
      </c>
      <c r="C2056" s="1" t="n">
        <v>46048</v>
      </c>
      <c r="D2056" t="inlineStr">
        <is>
          <t>JÄMTLANDS LÄN</t>
        </is>
      </c>
      <c r="E2056" t="inlineStr">
        <is>
          <t>STRÖMSUND</t>
        </is>
      </c>
      <c r="F2056" t="inlineStr">
        <is>
          <t>SCA</t>
        </is>
      </c>
      <c r="G2056" t="n">
        <v>42.6</v>
      </c>
      <c r="H2056" t="n">
        <v>0</v>
      </c>
      <c r="I2056" t="n">
        <v>0</v>
      </c>
      <c r="J2056" t="n">
        <v>0</v>
      </c>
      <c r="K2056" t="n">
        <v>0</v>
      </c>
      <c r="L2056" t="n">
        <v>0</v>
      </c>
      <c r="M2056" t="n">
        <v>0</v>
      </c>
      <c r="N2056" t="n">
        <v>0</v>
      </c>
      <c r="O2056" t="n">
        <v>0</v>
      </c>
      <c r="P2056" t="n">
        <v>0</v>
      </c>
      <c r="Q2056" t="n">
        <v>0</v>
      </c>
      <c r="R2056" s="2" t="inlineStr"/>
    </row>
    <row r="2057" ht="15" customHeight="1">
      <c r="A2057" t="inlineStr">
        <is>
          <t>A 46670-2025</t>
        </is>
      </c>
      <c r="B2057" s="1" t="n">
        <v>45926</v>
      </c>
      <c r="C2057" s="1" t="n">
        <v>46048</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52559-2024</t>
        </is>
      </c>
      <c r="B2058" s="1" t="n">
        <v>45609.65274305556</v>
      </c>
      <c r="C2058" s="1" t="n">
        <v>46048</v>
      </c>
      <c r="D2058" t="inlineStr">
        <is>
          <t>JÄMTLANDS LÄN</t>
        </is>
      </c>
      <c r="E2058" t="inlineStr">
        <is>
          <t>STRÖMSUND</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10422-2024</t>
        </is>
      </c>
      <c r="B2059" s="1" t="n">
        <v>45365</v>
      </c>
      <c r="C2059" s="1" t="n">
        <v>46048</v>
      </c>
      <c r="D2059" t="inlineStr">
        <is>
          <t>JÄMTLANDS LÄN</t>
        </is>
      </c>
      <c r="E2059" t="inlineStr">
        <is>
          <t>STRÖMSUND</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40103-2023</t>
        </is>
      </c>
      <c r="B2060" s="1" t="n">
        <v>45168.93762731482</v>
      </c>
      <c r="C2060" s="1" t="n">
        <v>46048</v>
      </c>
      <c r="D2060" t="inlineStr">
        <is>
          <t>JÄMTLANDS LÄN</t>
        </is>
      </c>
      <c r="E2060" t="inlineStr">
        <is>
          <t>STRÖMSUND</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47526-2025</t>
        </is>
      </c>
      <c r="B2061" s="1" t="n">
        <v>45931.34471064815</v>
      </c>
      <c r="C2061" s="1" t="n">
        <v>46048</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46048</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34817-2024</t>
        </is>
      </c>
      <c r="B2063" s="1" t="n">
        <v>45526.70909722222</v>
      </c>
      <c r="C2063" s="1" t="n">
        <v>46048</v>
      </c>
      <c r="D2063" t="inlineStr">
        <is>
          <t>JÄMTLANDS LÄN</t>
        </is>
      </c>
      <c r="E2063" t="inlineStr">
        <is>
          <t>STRÖMSUND</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19556-2021</t>
        </is>
      </c>
      <c r="B2064" s="1" t="n">
        <v>44312</v>
      </c>
      <c r="C2064" s="1" t="n">
        <v>46048</v>
      </c>
      <c r="D2064" t="inlineStr">
        <is>
          <t>JÄMTLANDS LÄN</t>
        </is>
      </c>
      <c r="E2064" t="inlineStr">
        <is>
          <t>STRÖMSUND</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47194-2025</t>
        </is>
      </c>
      <c r="B2065" s="1" t="n">
        <v>45930.34498842592</v>
      </c>
      <c r="C2065" s="1" t="n">
        <v>46048</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47547-2025</t>
        </is>
      </c>
      <c r="B2066" s="1" t="n">
        <v>45931.36510416667</v>
      </c>
      <c r="C2066" s="1" t="n">
        <v>46048</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40105-2023</t>
        </is>
      </c>
      <c r="B2067" s="1" t="n">
        <v>45168.93778935185</v>
      </c>
      <c r="C2067" s="1" t="n">
        <v>46048</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4507-2024</t>
        </is>
      </c>
      <c r="B2068" s="1" t="n">
        <v>45327</v>
      </c>
      <c r="C2068" s="1" t="n">
        <v>46048</v>
      </c>
      <c r="D2068" t="inlineStr">
        <is>
          <t>JÄMTLANDS LÄN</t>
        </is>
      </c>
      <c r="E2068" t="inlineStr">
        <is>
          <t>STRÖMSUND</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47269-2025</t>
        </is>
      </c>
      <c r="B2069" s="1" t="n">
        <v>45930</v>
      </c>
      <c r="C2069" s="1" t="n">
        <v>46048</v>
      </c>
      <c r="D2069" t="inlineStr">
        <is>
          <t>JÄMTLANDS LÄN</t>
        </is>
      </c>
      <c r="E2069" t="inlineStr">
        <is>
          <t>STRÖMSUND</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47528-2025</t>
        </is>
      </c>
      <c r="B2070" s="1" t="n">
        <v>45931.34568287037</v>
      </c>
      <c r="C2070" s="1" t="n">
        <v>46048</v>
      </c>
      <c r="D2070" t="inlineStr">
        <is>
          <t>JÄMTLANDS LÄN</t>
        </is>
      </c>
      <c r="E2070" t="inlineStr">
        <is>
          <t>STRÖMSUND</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47663-2025</t>
        </is>
      </c>
      <c r="B2071" s="1" t="n">
        <v>45931.56105324074</v>
      </c>
      <c r="C2071" s="1" t="n">
        <v>46048</v>
      </c>
      <c r="D2071" t="inlineStr">
        <is>
          <t>JÄMTLANDS LÄN</t>
        </is>
      </c>
      <c r="E2071" t="inlineStr">
        <is>
          <t>STRÖMSUND</t>
        </is>
      </c>
      <c r="F2071" t="inlineStr">
        <is>
          <t>Holmen skog AB</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47195-2025</t>
        </is>
      </c>
      <c r="B2072" s="1" t="n">
        <v>45930.34503472222</v>
      </c>
      <c r="C2072" s="1" t="n">
        <v>46048</v>
      </c>
      <c r="D2072" t="inlineStr">
        <is>
          <t>JÄMTLANDS LÄN</t>
        </is>
      </c>
      <c r="E2072" t="inlineStr">
        <is>
          <t>STRÖMSUND</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47535-2025</t>
        </is>
      </c>
      <c r="B2073" s="1" t="n">
        <v>45931.34679398148</v>
      </c>
      <c r="C2073" s="1" t="n">
        <v>46048</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42949-2024</t>
        </is>
      </c>
      <c r="B2074" s="1" t="n">
        <v>45567.36642361111</v>
      </c>
      <c r="C2074" s="1" t="n">
        <v>46048</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42960-2024</t>
        </is>
      </c>
      <c r="B2075" s="1" t="n">
        <v>45567.37157407407</v>
      </c>
      <c r="C2075" s="1" t="n">
        <v>46048</v>
      </c>
      <c r="D2075" t="inlineStr">
        <is>
          <t>JÄMTLANDS LÄN</t>
        </is>
      </c>
      <c r="E2075" t="inlineStr">
        <is>
          <t>STRÖMSUND</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43890-2024</t>
        </is>
      </c>
      <c r="B2076" s="1" t="n">
        <v>45572.40928240741</v>
      </c>
      <c r="C2076" s="1" t="n">
        <v>46048</v>
      </c>
      <c r="D2076" t="inlineStr">
        <is>
          <t>JÄMTLANDS LÄN</t>
        </is>
      </c>
      <c r="E2076" t="inlineStr">
        <is>
          <t>STRÖMSUND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55754-2025</t>
        </is>
      </c>
      <c r="B2077" s="1" t="n">
        <v>45972</v>
      </c>
      <c r="C2077" s="1" t="n">
        <v>46048</v>
      </c>
      <c r="D2077" t="inlineStr">
        <is>
          <t>JÄMTLANDS LÄN</t>
        </is>
      </c>
      <c r="E2077" t="inlineStr">
        <is>
          <t>STRÖMSUND</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9035-2024</t>
        </is>
      </c>
      <c r="B2078" s="1" t="n">
        <v>45356</v>
      </c>
      <c r="C2078" s="1" t="n">
        <v>46048</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16780-2023</t>
        </is>
      </c>
      <c r="B2079" s="1" t="n">
        <v>45032.74293981482</v>
      </c>
      <c r="C2079" s="1" t="n">
        <v>46048</v>
      </c>
      <c r="D2079" t="inlineStr">
        <is>
          <t>JÄMTLANDS LÄN</t>
        </is>
      </c>
      <c r="E2079" t="inlineStr">
        <is>
          <t>STRÖMSUND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4419-2025</t>
        </is>
      </c>
      <c r="B2080" s="1" t="n">
        <v>45686</v>
      </c>
      <c r="C2080" s="1" t="n">
        <v>46048</v>
      </c>
      <c r="D2080" t="inlineStr">
        <is>
          <t>JÄMTLANDS LÄN</t>
        </is>
      </c>
      <c r="E2080" t="inlineStr">
        <is>
          <t>STRÖMSUND</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36993-2023</t>
        </is>
      </c>
      <c r="B2081" s="1" t="n">
        <v>45154.95571759259</v>
      </c>
      <c r="C2081" s="1" t="n">
        <v>46048</v>
      </c>
      <c r="D2081" t="inlineStr">
        <is>
          <t>JÄMTLANDS LÄN</t>
        </is>
      </c>
      <c r="E2081" t="inlineStr">
        <is>
          <t>STRÖMSUND</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57748-2023</t>
        </is>
      </c>
      <c r="B2082" s="1" t="n">
        <v>45246</v>
      </c>
      <c r="C2082" s="1" t="n">
        <v>46048</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16317-2022</t>
        </is>
      </c>
      <c r="B2083" s="1" t="n">
        <v>44670</v>
      </c>
      <c r="C2083" s="1" t="n">
        <v>46048</v>
      </c>
      <c r="D2083" t="inlineStr">
        <is>
          <t>JÄMTLANDS LÄN</t>
        </is>
      </c>
      <c r="E2083" t="inlineStr">
        <is>
          <t>STRÖMSUND</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47525-2025</t>
        </is>
      </c>
      <c r="B2084" s="1" t="n">
        <v>45931.34449074074</v>
      </c>
      <c r="C2084" s="1" t="n">
        <v>46048</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61475-2024</t>
        </is>
      </c>
      <c r="B2085" s="1" t="n">
        <v>45645</v>
      </c>
      <c r="C2085" s="1" t="n">
        <v>46048</v>
      </c>
      <c r="D2085" t="inlineStr">
        <is>
          <t>JÄMTLANDS LÄN</t>
        </is>
      </c>
      <c r="E2085" t="inlineStr">
        <is>
          <t>STRÖMSUND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61481-2024</t>
        </is>
      </c>
      <c r="B2086" s="1" t="n">
        <v>45645</v>
      </c>
      <c r="C2086" s="1" t="n">
        <v>46048</v>
      </c>
      <c r="D2086" t="inlineStr">
        <is>
          <t>JÄMTLANDS LÄN</t>
        </is>
      </c>
      <c r="E2086" t="inlineStr">
        <is>
          <t>STRÖMSUND</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13499-2024</t>
        </is>
      </c>
      <c r="B2087" s="1" t="n">
        <v>45387</v>
      </c>
      <c r="C2087" s="1" t="n">
        <v>46048</v>
      </c>
      <c r="D2087" t="inlineStr">
        <is>
          <t>JÄMTLANDS LÄN</t>
        </is>
      </c>
      <c r="E2087" t="inlineStr">
        <is>
          <t>STRÖMSUND</t>
        </is>
      </c>
      <c r="F2087" t="inlineStr">
        <is>
          <t>Kommuner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48288-2025</t>
        </is>
      </c>
      <c r="B2088" s="1" t="n">
        <v>45933.59466435185</v>
      </c>
      <c r="C2088" s="1" t="n">
        <v>46048</v>
      </c>
      <c r="D2088" t="inlineStr">
        <is>
          <t>JÄMTLANDS LÄN</t>
        </is>
      </c>
      <c r="E2088" t="inlineStr">
        <is>
          <t>STRÖMSUND</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43889-2024</t>
        </is>
      </c>
      <c r="B2089" s="1" t="n">
        <v>45572.40922453703</v>
      </c>
      <c r="C2089" s="1" t="n">
        <v>46048</v>
      </c>
      <c r="D2089" t="inlineStr">
        <is>
          <t>JÄMTLANDS LÄN</t>
        </is>
      </c>
      <c r="E2089" t="inlineStr">
        <is>
          <t>STRÖMSUND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41970-2023</t>
        </is>
      </c>
      <c r="B2090" s="1" t="n">
        <v>45174</v>
      </c>
      <c r="C2090" s="1" t="n">
        <v>46048</v>
      </c>
      <c r="D2090" t="inlineStr">
        <is>
          <t>JÄMTLANDS LÄN</t>
        </is>
      </c>
      <c r="E2090" t="inlineStr">
        <is>
          <t>STRÖMSUND</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48116-2025</t>
        </is>
      </c>
      <c r="B2091" s="1" t="n">
        <v>45933.35678240741</v>
      </c>
      <c r="C2091" s="1" t="n">
        <v>46048</v>
      </c>
      <c r="D2091" t="inlineStr">
        <is>
          <t>JÄMTLANDS LÄN</t>
        </is>
      </c>
      <c r="E2091" t="inlineStr">
        <is>
          <t>STRÖMSUND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48133-2025</t>
        </is>
      </c>
      <c r="B2092" s="1" t="n">
        <v>45933.37028935185</v>
      </c>
      <c r="C2092" s="1" t="n">
        <v>46048</v>
      </c>
      <c r="D2092" t="inlineStr">
        <is>
          <t>JÄMTLANDS LÄN</t>
        </is>
      </c>
      <c r="E2092" t="inlineStr">
        <is>
          <t>STRÖMSUND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20275-2024</t>
        </is>
      </c>
      <c r="B2093" s="1" t="n">
        <v>45434.94949074074</v>
      </c>
      <c r="C2093" s="1" t="n">
        <v>46048</v>
      </c>
      <c r="D2093" t="inlineStr">
        <is>
          <t>JÄMTLANDS LÄN</t>
        </is>
      </c>
      <c r="E2093" t="inlineStr">
        <is>
          <t>STRÖMSUND</t>
        </is>
      </c>
      <c r="F2093" t="inlineStr">
        <is>
          <t>SCA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47985-2025</t>
        </is>
      </c>
      <c r="B2094" s="1" t="n">
        <v>45932</v>
      </c>
      <c r="C2094" s="1" t="n">
        <v>46048</v>
      </c>
      <c r="D2094" t="inlineStr">
        <is>
          <t>JÄMTLANDS LÄN</t>
        </is>
      </c>
      <c r="E2094" t="inlineStr">
        <is>
          <t>STRÖMSUND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7135-2025</t>
        </is>
      </c>
      <c r="B2095" s="1" t="n">
        <v>45702.36494212963</v>
      </c>
      <c r="C2095" s="1" t="n">
        <v>46048</v>
      </c>
      <c r="D2095" t="inlineStr">
        <is>
          <t>JÄMTLANDS LÄN</t>
        </is>
      </c>
      <c r="E2095" t="inlineStr">
        <is>
          <t>STRÖMSUND</t>
        </is>
      </c>
      <c r="F2095" t="inlineStr">
        <is>
          <t>SCA</t>
        </is>
      </c>
      <c r="G2095" t="n">
        <v>32.9</v>
      </c>
      <c r="H2095" t="n">
        <v>0</v>
      </c>
      <c r="I2095" t="n">
        <v>0</v>
      </c>
      <c r="J2095" t="n">
        <v>0</v>
      </c>
      <c r="K2095" t="n">
        <v>0</v>
      </c>
      <c r="L2095" t="n">
        <v>0</v>
      </c>
      <c r="M2095" t="n">
        <v>0</v>
      </c>
      <c r="N2095" t="n">
        <v>0</v>
      </c>
      <c r="O2095" t="n">
        <v>0</v>
      </c>
      <c r="P2095" t="n">
        <v>0</v>
      </c>
      <c r="Q2095" t="n">
        <v>0</v>
      </c>
      <c r="R2095" s="2" t="inlineStr"/>
    </row>
    <row r="2096" ht="15" customHeight="1">
      <c r="A2096" t="inlineStr">
        <is>
          <t>A 48071-2025</t>
        </is>
      </c>
      <c r="B2096" s="1" t="n">
        <v>45932.6990625</v>
      </c>
      <c r="C2096" s="1" t="n">
        <v>46048</v>
      </c>
      <c r="D2096" t="inlineStr">
        <is>
          <t>JÄMTLANDS LÄN</t>
        </is>
      </c>
      <c r="E2096" t="inlineStr">
        <is>
          <t>STRÖMSUND</t>
        </is>
      </c>
      <c r="F2096" t="inlineStr">
        <is>
          <t>SCA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8809-2025</t>
        </is>
      </c>
      <c r="B2097" s="1" t="n">
        <v>45712.67755787037</v>
      </c>
      <c r="C2097" s="1" t="n">
        <v>46048</v>
      </c>
      <c r="D2097" t="inlineStr">
        <is>
          <t>JÄMTLANDS LÄN</t>
        </is>
      </c>
      <c r="E2097" t="inlineStr">
        <is>
          <t>STRÖMSUND</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35747-2024</t>
        </is>
      </c>
      <c r="B2098" s="1" t="n">
        <v>45532.55229166667</v>
      </c>
      <c r="C2098" s="1" t="n">
        <v>46048</v>
      </c>
      <c r="D2098" t="inlineStr">
        <is>
          <t>JÄMTLANDS LÄN</t>
        </is>
      </c>
      <c r="E2098" t="inlineStr">
        <is>
          <t>STRÖMSUND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46329-2025</t>
        </is>
      </c>
      <c r="B2099" s="1" t="n">
        <v>45925</v>
      </c>
      <c r="C2099" s="1" t="n">
        <v>46048</v>
      </c>
      <c r="D2099" t="inlineStr">
        <is>
          <t>JÄMTLANDS LÄN</t>
        </is>
      </c>
      <c r="E2099" t="inlineStr">
        <is>
          <t>STRÖMSUND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48113-2025</t>
        </is>
      </c>
      <c r="B2100" s="1" t="n">
        <v>45933.35113425926</v>
      </c>
      <c r="C2100" s="1" t="n">
        <v>46048</v>
      </c>
      <c r="D2100" t="inlineStr">
        <is>
          <t>JÄMTLANDS LÄN</t>
        </is>
      </c>
      <c r="E2100" t="inlineStr">
        <is>
          <t>STRÖMSUND</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48164-2025</t>
        </is>
      </c>
      <c r="B2101" s="1" t="n">
        <v>45933.42774305555</v>
      </c>
      <c r="C2101" s="1" t="n">
        <v>46048</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48060-2025</t>
        </is>
      </c>
      <c r="B2102" s="1" t="n">
        <v>45932.67990740741</v>
      </c>
      <c r="C2102" s="1" t="n">
        <v>46048</v>
      </c>
      <c r="D2102" t="inlineStr">
        <is>
          <t>JÄMTLANDS LÄN</t>
        </is>
      </c>
      <c r="E2102" t="inlineStr">
        <is>
          <t>STRÖMSUND</t>
        </is>
      </c>
      <c r="G2102" t="n">
        <v>23.2</v>
      </c>
      <c r="H2102" t="n">
        <v>0</v>
      </c>
      <c r="I2102" t="n">
        <v>0</v>
      </c>
      <c r="J2102" t="n">
        <v>0</v>
      </c>
      <c r="K2102" t="n">
        <v>0</v>
      </c>
      <c r="L2102" t="n">
        <v>0</v>
      </c>
      <c r="M2102" t="n">
        <v>0</v>
      </c>
      <c r="N2102" t="n">
        <v>0</v>
      </c>
      <c r="O2102" t="n">
        <v>0</v>
      </c>
      <c r="P2102" t="n">
        <v>0</v>
      </c>
      <c r="Q2102" t="n">
        <v>0</v>
      </c>
      <c r="R2102" s="2" t="inlineStr"/>
    </row>
    <row r="2103" ht="15" customHeight="1">
      <c r="A2103" t="inlineStr">
        <is>
          <t>A 48124-2025</t>
        </is>
      </c>
      <c r="B2103" s="1" t="n">
        <v>45933.36506944444</v>
      </c>
      <c r="C2103" s="1" t="n">
        <v>46048</v>
      </c>
      <c r="D2103" t="inlineStr">
        <is>
          <t>JÄMTLANDS LÄN</t>
        </is>
      </c>
      <c r="E2103" t="inlineStr">
        <is>
          <t>STRÖMSUND</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48139-2025</t>
        </is>
      </c>
      <c r="B2104" s="1" t="n">
        <v>45933.38321759259</v>
      </c>
      <c r="C2104" s="1" t="n">
        <v>46048</v>
      </c>
      <c r="D2104" t="inlineStr">
        <is>
          <t>JÄMTLANDS LÄN</t>
        </is>
      </c>
      <c r="E2104" t="inlineStr">
        <is>
          <t>STRÖMSUND</t>
        </is>
      </c>
      <c r="F2104" t="inlineStr">
        <is>
          <t>SCA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48144-2025</t>
        </is>
      </c>
      <c r="B2105" s="1" t="n">
        <v>45933.38697916667</v>
      </c>
      <c r="C2105" s="1" t="n">
        <v>46048</v>
      </c>
      <c r="D2105" t="inlineStr">
        <is>
          <t>JÄMTLANDS LÄN</t>
        </is>
      </c>
      <c r="E2105" t="inlineStr">
        <is>
          <t>STRÖMSUND</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48146-2025</t>
        </is>
      </c>
      <c r="B2106" s="1" t="n">
        <v>45933.39275462963</v>
      </c>
      <c r="C2106" s="1" t="n">
        <v>46048</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47818-2025</t>
        </is>
      </c>
      <c r="B2107" s="1" t="n">
        <v>45932.33578703704</v>
      </c>
      <c r="C2107" s="1" t="n">
        <v>46048</v>
      </c>
      <c r="D2107" t="inlineStr">
        <is>
          <t>JÄMTLANDS LÄN</t>
        </is>
      </c>
      <c r="E2107" t="inlineStr">
        <is>
          <t>STRÖMSUND</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48068-2025</t>
        </is>
      </c>
      <c r="B2108" s="1" t="n">
        <v>45932.6984837963</v>
      </c>
      <c r="C2108" s="1" t="n">
        <v>46048</v>
      </c>
      <c r="D2108" t="inlineStr">
        <is>
          <t>JÄMTLANDS LÄN</t>
        </is>
      </c>
      <c r="E2108" t="inlineStr">
        <is>
          <t>STRÖMSUND</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13022-2025</t>
        </is>
      </c>
      <c r="B2109" s="1" t="n">
        <v>45734.55247685185</v>
      </c>
      <c r="C2109" s="1" t="n">
        <v>46048</v>
      </c>
      <c r="D2109" t="inlineStr">
        <is>
          <t>JÄMTLANDS LÄN</t>
        </is>
      </c>
      <c r="E2109" t="inlineStr">
        <is>
          <t>STRÖMSUND</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31182-2023</t>
        </is>
      </c>
      <c r="B2110" s="1" t="n">
        <v>45113</v>
      </c>
      <c r="C2110" s="1" t="n">
        <v>46048</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19859-2025</t>
        </is>
      </c>
      <c r="B2111" s="1" t="n">
        <v>45771.53158564815</v>
      </c>
      <c r="C2111" s="1" t="n">
        <v>46048</v>
      </c>
      <c r="D2111" t="inlineStr">
        <is>
          <t>JÄMTLANDS LÄN</t>
        </is>
      </c>
      <c r="E2111" t="inlineStr">
        <is>
          <t>STRÖMSUND</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34005-2023</t>
        </is>
      </c>
      <c r="B2112" s="1" t="n">
        <v>45134</v>
      </c>
      <c r="C2112" s="1" t="n">
        <v>46048</v>
      </c>
      <c r="D2112" t="inlineStr">
        <is>
          <t>JÄMTLANDS LÄN</t>
        </is>
      </c>
      <c r="E2112" t="inlineStr">
        <is>
          <t>STRÖMSUND</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8495-2025</t>
        </is>
      </c>
      <c r="B2113" s="1" t="n">
        <v>45709.51079861111</v>
      </c>
      <c r="C2113" s="1" t="n">
        <v>46048</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25999-2024</t>
        </is>
      </c>
      <c r="B2114" s="1" t="n">
        <v>45467.92711805556</v>
      </c>
      <c r="C2114" s="1" t="n">
        <v>46048</v>
      </c>
      <c r="D2114" t="inlineStr">
        <is>
          <t>JÄMTLANDS LÄN</t>
        </is>
      </c>
      <c r="E2114" t="inlineStr">
        <is>
          <t>STRÖMSUND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39517-2024</t>
        </is>
      </c>
      <c r="B2115" s="1" t="n">
        <v>45551.69829861111</v>
      </c>
      <c r="C2115" s="1" t="n">
        <v>46048</v>
      </c>
      <c r="D2115" t="inlineStr">
        <is>
          <t>JÄMTLANDS LÄN</t>
        </is>
      </c>
      <c r="E2115" t="inlineStr">
        <is>
          <t>STRÖMSUND</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48051-2025</t>
        </is>
      </c>
      <c r="B2116" s="1" t="n">
        <v>45932.678125</v>
      </c>
      <c r="C2116" s="1" t="n">
        <v>46048</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48512-2025</t>
        </is>
      </c>
      <c r="B2117" s="1" t="n">
        <v>45936.38666666667</v>
      </c>
      <c r="C2117" s="1" t="n">
        <v>46048</v>
      </c>
      <c r="D2117" t="inlineStr">
        <is>
          <t>JÄMTLANDS LÄN</t>
        </is>
      </c>
      <c r="E2117" t="inlineStr">
        <is>
          <t>STRÖMSUND</t>
        </is>
      </c>
      <c r="F2117" t="inlineStr">
        <is>
          <t>SCA</t>
        </is>
      </c>
      <c r="G2117" t="n">
        <v>23.2</v>
      </c>
      <c r="H2117" t="n">
        <v>0</v>
      </c>
      <c r="I2117" t="n">
        <v>0</v>
      </c>
      <c r="J2117" t="n">
        <v>0</v>
      </c>
      <c r="K2117" t="n">
        <v>0</v>
      </c>
      <c r="L2117" t="n">
        <v>0</v>
      </c>
      <c r="M2117" t="n">
        <v>0</v>
      </c>
      <c r="N2117" t="n">
        <v>0</v>
      </c>
      <c r="O2117" t="n">
        <v>0</v>
      </c>
      <c r="P2117" t="n">
        <v>0</v>
      </c>
      <c r="Q2117" t="n">
        <v>0</v>
      </c>
      <c r="R2117" s="2" t="inlineStr"/>
    </row>
    <row r="2118" ht="15" customHeight="1">
      <c r="A2118" t="inlineStr">
        <is>
          <t>A 48529-2025</t>
        </is>
      </c>
      <c r="B2118" s="1" t="n">
        <v>45936.40775462963</v>
      </c>
      <c r="C2118" s="1" t="n">
        <v>46048</v>
      </c>
      <c r="D2118" t="inlineStr">
        <is>
          <t>JÄMTLANDS LÄN</t>
        </is>
      </c>
      <c r="E2118" t="inlineStr">
        <is>
          <t>STRÖMSUND</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19674-2025</t>
        </is>
      </c>
      <c r="B2119" s="1" t="n">
        <v>45770</v>
      </c>
      <c r="C2119" s="1" t="n">
        <v>46048</v>
      </c>
      <c r="D2119" t="inlineStr">
        <is>
          <t>JÄMTLANDS LÄN</t>
        </is>
      </c>
      <c r="E2119" t="inlineStr">
        <is>
          <t>STRÖMSUND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48474-2025</t>
        </is>
      </c>
      <c r="B2120" s="1" t="n">
        <v>45936.34571759259</v>
      </c>
      <c r="C2120" s="1" t="n">
        <v>46048</v>
      </c>
      <c r="D2120" t="inlineStr">
        <is>
          <t>JÄMTLANDS LÄN</t>
        </is>
      </c>
      <c r="E2120" t="inlineStr">
        <is>
          <t>STRÖMSUND</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48527-2025</t>
        </is>
      </c>
      <c r="B2121" s="1" t="n">
        <v>45936.40741898148</v>
      </c>
      <c r="C2121" s="1" t="n">
        <v>46048</v>
      </c>
      <c r="D2121" t="inlineStr">
        <is>
          <t>JÄMTLANDS LÄN</t>
        </is>
      </c>
      <c r="E2121" t="inlineStr">
        <is>
          <t>STRÖMSUND</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48553-2025</t>
        </is>
      </c>
      <c r="B2122" s="1" t="n">
        <v>45936.42771990741</v>
      </c>
      <c r="C2122" s="1" t="n">
        <v>46048</v>
      </c>
      <c r="D2122" t="inlineStr">
        <is>
          <t>JÄMTLANDS LÄN</t>
        </is>
      </c>
      <c r="E2122" t="inlineStr">
        <is>
          <t>STRÖMSUND</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45618-2025</t>
        </is>
      </c>
      <c r="B2123" s="1" t="n">
        <v>45922</v>
      </c>
      <c r="C2123" s="1" t="n">
        <v>46048</v>
      </c>
      <c r="D2123" t="inlineStr">
        <is>
          <t>JÄMTLANDS LÄN</t>
        </is>
      </c>
      <c r="E2123" t="inlineStr">
        <is>
          <t>STRÖMSUND</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48552-2025</t>
        </is>
      </c>
      <c r="B2124" s="1" t="n">
        <v>45936.42752314815</v>
      </c>
      <c r="C2124" s="1" t="n">
        <v>46048</v>
      </c>
      <c r="D2124" t="inlineStr">
        <is>
          <t>JÄMTLANDS LÄN</t>
        </is>
      </c>
      <c r="E2124" t="inlineStr">
        <is>
          <t>STRÖMSUND</t>
        </is>
      </c>
      <c r="F2124" t="inlineStr">
        <is>
          <t>SCA</t>
        </is>
      </c>
      <c r="G2124" t="n">
        <v>20.4</v>
      </c>
      <c r="H2124" t="n">
        <v>0</v>
      </c>
      <c r="I2124" t="n">
        <v>0</v>
      </c>
      <c r="J2124" t="n">
        <v>0</v>
      </c>
      <c r="K2124" t="n">
        <v>0</v>
      </c>
      <c r="L2124" t="n">
        <v>0</v>
      </c>
      <c r="M2124" t="n">
        <v>0</v>
      </c>
      <c r="N2124" t="n">
        <v>0</v>
      </c>
      <c r="O2124" t="n">
        <v>0</v>
      </c>
      <c r="P2124" t="n">
        <v>0</v>
      </c>
      <c r="Q2124" t="n">
        <v>0</v>
      </c>
      <c r="R2124" s="2" t="inlineStr"/>
    </row>
    <row r="2125" ht="15" customHeight="1">
      <c r="A2125" t="inlineStr">
        <is>
          <t>A 27358-2025</t>
        </is>
      </c>
      <c r="B2125" s="1" t="n">
        <v>45812</v>
      </c>
      <c r="C2125" s="1" t="n">
        <v>46048</v>
      </c>
      <c r="D2125" t="inlineStr">
        <is>
          <t>JÄMTLANDS LÄN</t>
        </is>
      </c>
      <c r="E2125" t="inlineStr">
        <is>
          <t>STRÖMSUND</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53795-2024</t>
        </is>
      </c>
      <c r="B2126" s="1" t="n">
        <v>45615</v>
      </c>
      <c r="C2126" s="1" t="n">
        <v>46048</v>
      </c>
      <c r="D2126" t="inlineStr">
        <is>
          <t>JÄMTLANDS LÄN</t>
        </is>
      </c>
      <c r="E2126" t="inlineStr">
        <is>
          <t>STRÖMSUND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5948-2025</t>
        </is>
      </c>
      <c r="B2127" s="1" t="n">
        <v>45695</v>
      </c>
      <c r="C2127" s="1" t="n">
        <v>46048</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48509-2025</t>
        </is>
      </c>
      <c r="B2128" s="1" t="n">
        <v>45936.38618055556</v>
      </c>
      <c r="C2128" s="1" t="n">
        <v>46048</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48639-2025</t>
        </is>
      </c>
      <c r="B2129" s="1" t="n">
        <v>45936.53175925926</v>
      </c>
      <c r="C2129" s="1" t="n">
        <v>46048</v>
      </c>
      <c r="D2129" t="inlineStr">
        <is>
          <t>JÄMTLANDS LÄN</t>
        </is>
      </c>
      <c r="E2129" t="inlineStr">
        <is>
          <t>STRÖMSUND</t>
        </is>
      </c>
      <c r="F2129" t="inlineStr">
        <is>
          <t>SCA</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48525-2025</t>
        </is>
      </c>
      <c r="B2130" s="1" t="n">
        <v>45936.40680555555</v>
      </c>
      <c r="C2130" s="1" t="n">
        <v>46048</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53873-2024</t>
        </is>
      </c>
      <c r="B2131" s="1" t="n">
        <v>45615.65570601852</v>
      </c>
      <c r="C2131" s="1" t="n">
        <v>46048</v>
      </c>
      <c r="D2131" t="inlineStr">
        <is>
          <t>JÄMTLANDS LÄN</t>
        </is>
      </c>
      <c r="E2131" t="inlineStr">
        <is>
          <t>STRÖMSUND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354-2025</t>
        </is>
      </c>
      <c r="B2132" s="1" t="n">
        <v>45659</v>
      </c>
      <c r="C2132" s="1" t="n">
        <v>46048</v>
      </c>
      <c r="D2132" t="inlineStr">
        <is>
          <t>JÄMTLANDS LÄN</t>
        </is>
      </c>
      <c r="E2132" t="inlineStr">
        <is>
          <t>STRÖMSUND</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355-2025</t>
        </is>
      </c>
      <c r="B2133" s="1" t="n">
        <v>45659</v>
      </c>
      <c r="C2133" s="1" t="n">
        <v>46048</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48513-2025</t>
        </is>
      </c>
      <c r="B2134" s="1" t="n">
        <v>45936.38680555556</v>
      </c>
      <c r="C2134" s="1" t="n">
        <v>46048</v>
      </c>
      <c r="D2134" t="inlineStr">
        <is>
          <t>JÄMTLANDS LÄN</t>
        </is>
      </c>
      <c r="E2134" t="inlineStr">
        <is>
          <t>STRÖMSUND</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48830-2025</t>
        </is>
      </c>
      <c r="B2135" s="1" t="n">
        <v>45937.38608796296</v>
      </c>
      <c r="C2135" s="1" t="n">
        <v>46048</v>
      </c>
      <c r="D2135" t="inlineStr">
        <is>
          <t>JÄMTLANDS LÄN</t>
        </is>
      </c>
      <c r="E2135" t="inlineStr">
        <is>
          <t>STRÖMSUND</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48888-2025</t>
        </is>
      </c>
      <c r="B2136" s="1" t="n">
        <v>45937</v>
      </c>
      <c r="C2136" s="1" t="n">
        <v>46048</v>
      </c>
      <c r="D2136" t="inlineStr">
        <is>
          <t>JÄMTLANDS LÄN</t>
        </is>
      </c>
      <c r="E2136" t="inlineStr">
        <is>
          <t>STRÖMSUND</t>
        </is>
      </c>
      <c r="F2136" t="inlineStr">
        <is>
          <t>SCA</t>
        </is>
      </c>
      <c r="G2136" t="n">
        <v>32.2</v>
      </c>
      <c r="H2136" t="n">
        <v>0</v>
      </c>
      <c r="I2136" t="n">
        <v>0</v>
      </c>
      <c r="J2136" t="n">
        <v>0</v>
      </c>
      <c r="K2136" t="n">
        <v>0</v>
      </c>
      <c r="L2136" t="n">
        <v>0</v>
      </c>
      <c r="M2136" t="n">
        <v>0</v>
      </c>
      <c r="N2136" t="n">
        <v>0</v>
      </c>
      <c r="O2136" t="n">
        <v>0</v>
      </c>
      <c r="P2136" t="n">
        <v>0</v>
      </c>
      <c r="Q2136" t="n">
        <v>0</v>
      </c>
      <c r="R2136" s="2" t="inlineStr"/>
    </row>
    <row r="2137" ht="15" customHeight="1">
      <c r="A2137" t="inlineStr">
        <is>
          <t>A 48902-2025</t>
        </is>
      </c>
      <c r="B2137" s="1" t="n">
        <v>45937.48152777777</v>
      </c>
      <c r="C2137" s="1" t="n">
        <v>46048</v>
      </c>
      <c r="D2137" t="inlineStr">
        <is>
          <t>JÄMTLANDS LÄN</t>
        </is>
      </c>
      <c r="E2137" t="inlineStr">
        <is>
          <t>STRÖMSUND</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49253-2025</t>
        </is>
      </c>
      <c r="B2138" s="1" t="n">
        <v>45938.49127314815</v>
      </c>
      <c r="C2138" s="1" t="n">
        <v>46048</v>
      </c>
      <c r="D2138" t="inlineStr">
        <is>
          <t>JÄMTLANDS LÄN</t>
        </is>
      </c>
      <c r="E2138" t="inlineStr">
        <is>
          <t>STRÖMSUND</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48939-2025</t>
        </is>
      </c>
      <c r="B2139" s="1" t="n">
        <v>45937.53171296296</v>
      </c>
      <c r="C2139" s="1" t="n">
        <v>46048</v>
      </c>
      <c r="D2139" t="inlineStr">
        <is>
          <t>JÄMTLANDS LÄN</t>
        </is>
      </c>
      <c r="E2139" t="inlineStr">
        <is>
          <t>STRÖMSUND</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48847-2025</t>
        </is>
      </c>
      <c r="B2140" s="1" t="n">
        <v>45937.42866898148</v>
      </c>
      <c r="C2140" s="1" t="n">
        <v>46048</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48889-2025</t>
        </is>
      </c>
      <c r="B2141" s="1" t="n">
        <v>45937.46951388889</v>
      </c>
      <c r="C2141" s="1" t="n">
        <v>46048</v>
      </c>
      <c r="D2141" t="inlineStr">
        <is>
          <t>JÄMTLANDS LÄN</t>
        </is>
      </c>
      <c r="E2141" t="inlineStr">
        <is>
          <t>STRÖMSUND</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49407-2025</t>
        </is>
      </c>
      <c r="B2142" s="1" t="n">
        <v>45938.6778587963</v>
      </c>
      <c r="C2142" s="1" t="n">
        <v>46048</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47966-2025</t>
        </is>
      </c>
      <c r="B2143" s="1" t="n">
        <v>45932</v>
      </c>
      <c r="C2143" s="1" t="n">
        <v>46048</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49472-2025</t>
        </is>
      </c>
      <c r="B2144" s="1" t="n">
        <v>45939.34438657408</v>
      </c>
      <c r="C2144" s="1" t="n">
        <v>46048</v>
      </c>
      <c r="D2144" t="inlineStr">
        <is>
          <t>JÄMTLANDS LÄN</t>
        </is>
      </c>
      <c r="E2144" t="inlineStr">
        <is>
          <t>STRÖMSUND</t>
        </is>
      </c>
      <c r="F2144" t="inlineStr">
        <is>
          <t>SCA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49375-2025</t>
        </is>
      </c>
      <c r="B2145" s="1" t="n">
        <v>45938.63584490741</v>
      </c>
      <c r="C2145" s="1" t="n">
        <v>46048</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49618-2025</t>
        </is>
      </c>
      <c r="B2146" s="1" t="n">
        <v>45938</v>
      </c>
      <c r="C2146" s="1" t="n">
        <v>46048</v>
      </c>
      <c r="D2146" t="inlineStr">
        <is>
          <t>JÄMTLANDS LÄN</t>
        </is>
      </c>
      <c r="E2146" t="inlineStr">
        <is>
          <t>STRÖMSUND</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49321-2025</t>
        </is>
      </c>
      <c r="B2147" s="1" t="n">
        <v>45938.57334490741</v>
      </c>
      <c r="C2147" s="1" t="n">
        <v>46048</v>
      </c>
      <c r="D2147" t="inlineStr">
        <is>
          <t>JÄMTLANDS LÄN</t>
        </is>
      </c>
      <c r="E2147" t="inlineStr">
        <is>
          <t>STRÖMSUND</t>
        </is>
      </c>
      <c r="F2147" t="inlineStr">
        <is>
          <t>SCA</t>
        </is>
      </c>
      <c r="G2147" t="n">
        <v>25.5</v>
      </c>
      <c r="H2147" t="n">
        <v>0</v>
      </c>
      <c r="I2147" t="n">
        <v>0</v>
      </c>
      <c r="J2147" t="n">
        <v>0</v>
      </c>
      <c r="K2147" t="n">
        <v>0</v>
      </c>
      <c r="L2147" t="n">
        <v>0</v>
      </c>
      <c r="M2147" t="n">
        <v>0</v>
      </c>
      <c r="N2147" t="n">
        <v>0</v>
      </c>
      <c r="O2147" t="n">
        <v>0</v>
      </c>
      <c r="P2147" t="n">
        <v>0</v>
      </c>
      <c r="Q2147" t="n">
        <v>0</v>
      </c>
      <c r="R2147" s="2" t="inlineStr"/>
    </row>
    <row r="2148" ht="15" customHeight="1">
      <c r="A2148" t="inlineStr">
        <is>
          <t>A 49223-2025</t>
        </is>
      </c>
      <c r="B2148" s="1" t="n">
        <v>45938</v>
      </c>
      <c r="C2148" s="1" t="n">
        <v>46048</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49049-2025</t>
        </is>
      </c>
      <c r="B2149" s="1" t="n">
        <v>45937.63725694444</v>
      </c>
      <c r="C2149" s="1" t="n">
        <v>46048</v>
      </c>
      <c r="D2149" t="inlineStr">
        <is>
          <t>JÄMTLANDS LÄN</t>
        </is>
      </c>
      <c r="E2149" t="inlineStr">
        <is>
          <t>STRÖMSUND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49051-2025</t>
        </is>
      </c>
      <c r="B2150" s="1" t="n">
        <v>45937.63782407407</v>
      </c>
      <c r="C2150" s="1" t="n">
        <v>46048</v>
      </c>
      <c r="D2150" t="inlineStr">
        <is>
          <t>JÄMTLANDS LÄN</t>
        </is>
      </c>
      <c r="E2150" t="inlineStr">
        <is>
          <t>STRÖMSUND</t>
        </is>
      </c>
      <c r="F2150" t="inlineStr">
        <is>
          <t>SCA</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49358-2025</t>
        </is>
      </c>
      <c r="B2151" s="1" t="n">
        <v>45938.61628472222</v>
      </c>
      <c r="C2151" s="1" t="n">
        <v>46048</v>
      </c>
      <c r="D2151" t="inlineStr">
        <is>
          <t>JÄMTLANDS LÄN</t>
        </is>
      </c>
      <c r="E2151" t="inlineStr">
        <is>
          <t>STRÖMSUND</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49581-2025</t>
        </is>
      </c>
      <c r="B2152" s="1" t="n">
        <v>45939.49783564815</v>
      </c>
      <c r="C2152" s="1" t="n">
        <v>46048</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49609-2025</t>
        </is>
      </c>
      <c r="B2153" s="1" t="n">
        <v>45939.57329861111</v>
      </c>
      <c r="C2153" s="1" t="n">
        <v>46048</v>
      </c>
      <c r="D2153" t="inlineStr">
        <is>
          <t>JÄMTLANDS LÄN</t>
        </is>
      </c>
      <c r="E2153" t="inlineStr">
        <is>
          <t>STRÖMSUND</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54063-2023</t>
        </is>
      </c>
      <c r="B2154" s="1" t="n">
        <v>45231</v>
      </c>
      <c r="C2154" s="1" t="n">
        <v>46048</v>
      </c>
      <c r="D2154" t="inlineStr">
        <is>
          <t>JÄMTLANDS LÄN</t>
        </is>
      </c>
      <c r="E2154" t="inlineStr">
        <is>
          <t>STRÖMSUND</t>
        </is>
      </c>
      <c r="F2154" t="inlineStr">
        <is>
          <t>SCA</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49195-2025</t>
        </is>
      </c>
      <c r="B2155" s="1" t="n">
        <v>45938.40972222222</v>
      </c>
      <c r="C2155" s="1" t="n">
        <v>46048</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49252-2025</t>
        </is>
      </c>
      <c r="B2156" s="1" t="n">
        <v>45938.49119212963</v>
      </c>
      <c r="C2156" s="1" t="n">
        <v>46048</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49354-2025</t>
        </is>
      </c>
      <c r="B2157" s="1" t="n">
        <v>45938.61516203704</v>
      </c>
      <c r="C2157" s="1" t="n">
        <v>46048</v>
      </c>
      <c r="D2157" t="inlineStr">
        <is>
          <t>JÄMTLANDS LÄN</t>
        </is>
      </c>
      <c r="E2157" t="inlineStr">
        <is>
          <t>STRÖMSUND</t>
        </is>
      </c>
      <c r="F2157" t="inlineStr">
        <is>
          <t>SCA</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49807-2025</t>
        </is>
      </c>
      <c r="B2158" s="1" t="n">
        <v>45940.41766203703</v>
      </c>
      <c r="C2158" s="1" t="n">
        <v>46048</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49792-2025</t>
        </is>
      </c>
      <c r="B2159" s="1" t="n">
        <v>45940.40760416666</v>
      </c>
      <c r="C2159" s="1" t="n">
        <v>46048</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50121-2025</t>
        </is>
      </c>
      <c r="B2160" s="1" t="n">
        <v>45943.54938657407</v>
      </c>
      <c r="C2160" s="1" t="n">
        <v>46048</v>
      </c>
      <c r="D2160" t="inlineStr">
        <is>
          <t>JÄMTLANDS LÄN</t>
        </is>
      </c>
      <c r="E2160" t="inlineStr">
        <is>
          <t>STRÖMSUND</t>
        </is>
      </c>
      <c r="F2160" t="inlineStr">
        <is>
          <t>Holmen skog AB</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50088-2025</t>
        </is>
      </c>
      <c r="B2161" s="1" t="n">
        <v>45943.47976851852</v>
      </c>
      <c r="C2161" s="1" t="n">
        <v>46048</v>
      </c>
      <c r="D2161" t="inlineStr">
        <is>
          <t>JÄMTLANDS LÄN</t>
        </is>
      </c>
      <c r="E2161" t="inlineStr">
        <is>
          <t>STRÖMSUND</t>
        </is>
      </c>
      <c r="F2161" t="inlineStr">
        <is>
          <t>Holmen skog AB</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49796-2025</t>
        </is>
      </c>
      <c r="B2162" s="1" t="n">
        <v>45940.40790509259</v>
      </c>
      <c r="C2162" s="1" t="n">
        <v>46048</v>
      </c>
      <c r="D2162" t="inlineStr">
        <is>
          <t>JÄMTLANDS LÄN</t>
        </is>
      </c>
      <c r="E2162" t="inlineStr">
        <is>
          <t>STRÖMSUND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49798-2025</t>
        </is>
      </c>
      <c r="B2163" s="1" t="n">
        <v>45940.40819444445</v>
      </c>
      <c r="C2163" s="1" t="n">
        <v>46048</v>
      </c>
      <c r="D2163" t="inlineStr">
        <is>
          <t>JÄMTLANDS LÄN</t>
        </is>
      </c>
      <c r="E2163" t="inlineStr">
        <is>
          <t>STRÖMSUND</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50116-2025</t>
        </is>
      </c>
      <c r="B2164" s="1" t="n">
        <v>45943.54677083333</v>
      </c>
      <c r="C2164" s="1" t="n">
        <v>46048</v>
      </c>
      <c r="D2164" t="inlineStr">
        <is>
          <t>JÄMTLANDS LÄN</t>
        </is>
      </c>
      <c r="E2164" t="inlineStr">
        <is>
          <t>STRÖMSUND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49790-2025</t>
        </is>
      </c>
      <c r="B2165" s="1" t="n">
        <v>45940.40688657408</v>
      </c>
      <c r="C2165" s="1" t="n">
        <v>46048</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50643-2025</t>
        </is>
      </c>
      <c r="B2166" s="1" t="n">
        <v>45945.65666666667</v>
      </c>
      <c r="C2166" s="1" t="n">
        <v>46048</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28970-2025</t>
        </is>
      </c>
      <c r="B2167" s="1" t="n">
        <v>45821.34480324074</v>
      </c>
      <c r="C2167" s="1" t="n">
        <v>46048</v>
      </c>
      <c r="D2167" t="inlineStr">
        <is>
          <t>JÄMTLANDS LÄN</t>
        </is>
      </c>
      <c r="E2167" t="inlineStr">
        <is>
          <t>STRÖMSUND</t>
        </is>
      </c>
      <c r="F2167" t="inlineStr">
        <is>
          <t>SCA</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50274-2025</t>
        </is>
      </c>
      <c r="B2168" s="1" t="n">
        <v>45944.36866898148</v>
      </c>
      <c r="C2168" s="1" t="n">
        <v>46048</v>
      </c>
      <c r="D2168" t="inlineStr">
        <is>
          <t>JÄMTLANDS LÄN</t>
        </is>
      </c>
      <c r="E2168" t="inlineStr">
        <is>
          <t>STRÖMSUND</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50459-2025</t>
        </is>
      </c>
      <c r="B2169" s="1" t="n">
        <v>45945.34473379629</v>
      </c>
      <c r="C2169" s="1" t="n">
        <v>46048</v>
      </c>
      <c r="D2169" t="inlineStr">
        <is>
          <t>JÄMTLANDS LÄN</t>
        </is>
      </c>
      <c r="E2169" t="inlineStr">
        <is>
          <t>STRÖMSUND</t>
        </is>
      </c>
      <c r="F2169" t="inlineStr">
        <is>
          <t>SCA</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50585-2025</t>
        </is>
      </c>
      <c r="B2170" s="1" t="n">
        <v>45945.59418981482</v>
      </c>
      <c r="C2170" s="1" t="n">
        <v>46048</v>
      </c>
      <c r="D2170" t="inlineStr">
        <is>
          <t>JÄMTLANDS LÄN</t>
        </is>
      </c>
      <c r="E2170" t="inlineStr">
        <is>
          <t>STRÖMSUND</t>
        </is>
      </c>
      <c r="F2170" t="inlineStr">
        <is>
          <t>SCA</t>
        </is>
      </c>
      <c r="G2170" t="n">
        <v>31.8</v>
      </c>
      <c r="H2170" t="n">
        <v>0</v>
      </c>
      <c r="I2170" t="n">
        <v>0</v>
      </c>
      <c r="J2170" t="n">
        <v>0</v>
      </c>
      <c r="K2170" t="n">
        <v>0</v>
      </c>
      <c r="L2170" t="n">
        <v>0</v>
      </c>
      <c r="M2170" t="n">
        <v>0</v>
      </c>
      <c r="N2170" t="n">
        <v>0</v>
      </c>
      <c r="O2170" t="n">
        <v>0</v>
      </c>
      <c r="P2170" t="n">
        <v>0</v>
      </c>
      <c r="Q2170" t="n">
        <v>0</v>
      </c>
      <c r="R2170" s="2" t="inlineStr"/>
    </row>
    <row r="2171" ht="15" customHeight="1">
      <c r="A2171" t="inlineStr">
        <is>
          <t>A 50270-2025</t>
        </is>
      </c>
      <c r="B2171" s="1" t="n">
        <v>45944.3533912037</v>
      </c>
      <c r="C2171" s="1" t="n">
        <v>46048</v>
      </c>
      <c r="D2171" t="inlineStr">
        <is>
          <t>JÄMTLANDS LÄN</t>
        </is>
      </c>
      <c r="E2171" t="inlineStr">
        <is>
          <t>STRÖMSUND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50276-2025</t>
        </is>
      </c>
      <c r="B2172" s="1" t="n">
        <v>45944.37359953704</v>
      </c>
      <c r="C2172" s="1" t="n">
        <v>46048</v>
      </c>
      <c r="D2172" t="inlineStr">
        <is>
          <t>JÄMTLANDS LÄN</t>
        </is>
      </c>
      <c r="E2172" t="inlineStr">
        <is>
          <t>STRÖMSUND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28967-2025</t>
        </is>
      </c>
      <c r="B2173" s="1" t="n">
        <v>45821.34440972222</v>
      </c>
      <c r="C2173" s="1" t="n">
        <v>46048</v>
      </c>
      <c r="D2173" t="inlineStr">
        <is>
          <t>JÄMTLANDS LÄN</t>
        </is>
      </c>
      <c r="E2173" t="inlineStr">
        <is>
          <t>STRÖMSUND</t>
        </is>
      </c>
      <c r="F2173" t="inlineStr">
        <is>
          <t>SCA</t>
        </is>
      </c>
      <c r="G2173" t="n">
        <v>24.3</v>
      </c>
      <c r="H2173" t="n">
        <v>0</v>
      </c>
      <c r="I2173" t="n">
        <v>0</v>
      </c>
      <c r="J2173" t="n">
        <v>0</v>
      </c>
      <c r="K2173" t="n">
        <v>0</v>
      </c>
      <c r="L2173" t="n">
        <v>0</v>
      </c>
      <c r="M2173" t="n">
        <v>0</v>
      </c>
      <c r="N2173" t="n">
        <v>0</v>
      </c>
      <c r="O2173" t="n">
        <v>0</v>
      </c>
      <c r="P2173" t="n">
        <v>0</v>
      </c>
      <c r="Q2173" t="n">
        <v>0</v>
      </c>
      <c r="R2173" s="2" t="inlineStr"/>
    </row>
    <row r="2174" ht="15" customHeight="1">
      <c r="A2174" t="inlineStr">
        <is>
          <t>A 28969-2025</t>
        </is>
      </c>
      <c r="B2174" s="1" t="n">
        <v>45821.34475694445</v>
      </c>
      <c r="C2174" s="1" t="n">
        <v>46048</v>
      </c>
      <c r="D2174" t="inlineStr">
        <is>
          <t>JÄMTLANDS LÄN</t>
        </is>
      </c>
      <c r="E2174" t="inlineStr">
        <is>
          <t>STRÖMSUND</t>
        </is>
      </c>
      <c r="F2174" t="inlineStr">
        <is>
          <t>SCA</t>
        </is>
      </c>
      <c r="G2174" t="n">
        <v>24.3</v>
      </c>
      <c r="H2174" t="n">
        <v>0</v>
      </c>
      <c r="I2174" t="n">
        <v>0</v>
      </c>
      <c r="J2174" t="n">
        <v>0</v>
      </c>
      <c r="K2174" t="n">
        <v>0</v>
      </c>
      <c r="L2174" t="n">
        <v>0</v>
      </c>
      <c r="M2174" t="n">
        <v>0</v>
      </c>
      <c r="N2174" t="n">
        <v>0</v>
      </c>
      <c r="O2174" t="n">
        <v>0</v>
      </c>
      <c r="P2174" t="n">
        <v>0</v>
      </c>
      <c r="Q2174" t="n">
        <v>0</v>
      </c>
      <c r="R2174" s="2" t="inlineStr"/>
    </row>
    <row r="2175" ht="15" customHeight="1">
      <c r="A2175" t="inlineStr">
        <is>
          <t>A 50546-2025</t>
        </is>
      </c>
      <c r="B2175" s="1" t="n">
        <v>45945.51087962963</v>
      </c>
      <c r="C2175" s="1" t="n">
        <v>46048</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50287-2025</t>
        </is>
      </c>
      <c r="B2176" s="1" t="n">
        <v>45944.39659722222</v>
      </c>
      <c r="C2176" s="1" t="n">
        <v>46048</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50598-2025</t>
        </is>
      </c>
      <c r="B2177" s="1" t="n">
        <v>45944</v>
      </c>
      <c r="C2177" s="1" t="n">
        <v>46048</v>
      </c>
      <c r="D2177" t="inlineStr">
        <is>
          <t>JÄMTLANDS LÄN</t>
        </is>
      </c>
      <c r="E2177" t="inlineStr">
        <is>
          <t>STRÖMSUND</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50280-2025</t>
        </is>
      </c>
      <c r="B2178" s="1" t="n">
        <v>45944.38351851852</v>
      </c>
      <c r="C2178" s="1" t="n">
        <v>46048</v>
      </c>
      <c r="D2178" t="inlineStr">
        <is>
          <t>JÄMTLANDS LÄN</t>
        </is>
      </c>
      <c r="E2178" t="inlineStr">
        <is>
          <t>STRÖMSUND</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28968-2025</t>
        </is>
      </c>
      <c r="B2179" s="1" t="n">
        <v>45821.34444444445</v>
      </c>
      <c r="C2179" s="1" t="n">
        <v>46048</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58846-2025</t>
        </is>
      </c>
      <c r="B2180" s="1" t="n">
        <v>45987.38628472222</v>
      </c>
      <c r="C2180" s="1" t="n">
        <v>46048</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50887-2025</t>
        </is>
      </c>
      <c r="B2181" s="1" t="n">
        <v>45946.63635416667</v>
      </c>
      <c r="C2181" s="1" t="n">
        <v>46048</v>
      </c>
      <c r="D2181" t="inlineStr">
        <is>
          <t>JÄMTLANDS LÄN</t>
        </is>
      </c>
      <c r="E2181" t="inlineStr">
        <is>
          <t>STRÖMSUND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51346-2025</t>
        </is>
      </c>
      <c r="B2182" s="1" t="n">
        <v>45947</v>
      </c>
      <c r="C2182" s="1" t="n">
        <v>46048</v>
      </c>
      <c r="D2182" t="inlineStr">
        <is>
          <t>JÄMTLANDS LÄN</t>
        </is>
      </c>
      <c r="E2182" t="inlineStr">
        <is>
          <t>STRÖMSUND</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50718-2025</t>
        </is>
      </c>
      <c r="B2183" s="1" t="n">
        <v>45946.34625</v>
      </c>
      <c r="C2183" s="1" t="n">
        <v>46048</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50724-2025</t>
        </is>
      </c>
      <c r="B2184" s="1" t="n">
        <v>45946.34708333333</v>
      </c>
      <c r="C2184" s="1" t="n">
        <v>46048</v>
      </c>
      <c r="D2184" t="inlineStr">
        <is>
          <t>JÄMTLANDS LÄN</t>
        </is>
      </c>
      <c r="E2184" t="inlineStr">
        <is>
          <t>STRÖMSUND</t>
        </is>
      </c>
      <c r="F2184" t="inlineStr">
        <is>
          <t>SCA</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51005-2025</t>
        </is>
      </c>
      <c r="B2185" s="1" t="n">
        <v>45947.36519675926</v>
      </c>
      <c r="C2185" s="1" t="n">
        <v>46048</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50994-2025</t>
        </is>
      </c>
      <c r="B2186" s="1" t="n">
        <v>45947.34699074074</v>
      </c>
      <c r="C2186" s="1" t="n">
        <v>46048</v>
      </c>
      <c r="D2186" t="inlineStr">
        <is>
          <t>JÄMTLANDS LÄN</t>
        </is>
      </c>
      <c r="E2186" t="inlineStr">
        <is>
          <t>STRÖMSUND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48747-2025</t>
        </is>
      </c>
      <c r="B2187" s="1" t="n">
        <v>45936.67894675926</v>
      </c>
      <c r="C2187" s="1" t="n">
        <v>46048</v>
      </c>
      <c r="D2187" t="inlineStr">
        <is>
          <t>JÄMTLANDS LÄN</t>
        </is>
      </c>
      <c r="E2187" t="inlineStr">
        <is>
          <t>STRÖMSUND</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51357-2025</t>
        </is>
      </c>
      <c r="B2188" s="1" t="n">
        <v>45947</v>
      </c>
      <c r="C2188" s="1" t="n">
        <v>46048</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50941-2025</t>
        </is>
      </c>
      <c r="B2189" s="1" t="n">
        <v>45946.71487268519</v>
      </c>
      <c r="C2189" s="1" t="n">
        <v>46048</v>
      </c>
      <c r="D2189" t="inlineStr">
        <is>
          <t>JÄMTLANDS LÄN</t>
        </is>
      </c>
      <c r="E2189" t="inlineStr">
        <is>
          <t>STRÖMSUND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51006-2025</t>
        </is>
      </c>
      <c r="B2190" s="1" t="n">
        <v>45947.36521990741</v>
      </c>
      <c r="C2190" s="1" t="n">
        <v>46048</v>
      </c>
      <c r="D2190" t="inlineStr">
        <is>
          <t>JÄMTLANDS LÄN</t>
        </is>
      </c>
      <c r="E2190" t="inlineStr">
        <is>
          <t>STRÖMSUND</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51498-2024</t>
        </is>
      </c>
      <c r="B2191" s="1" t="n">
        <v>45604</v>
      </c>
      <c r="C2191" s="1" t="n">
        <v>46048</v>
      </c>
      <c r="D2191" t="inlineStr">
        <is>
          <t>JÄMTLANDS LÄN</t>
        </is>
      </c>
      <c r="E2191" t="inlineStr">
        <is>
          <t>STRÖMSUND</t>
        </is>
      </c>
      <c r="F2191" t="inlineStr">
        <is>
          <t>Kommuner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59218-2025</t>
        </is>
      </c>
      <c r="B2192" s="1" t="n">
        <v>45988.6171875</v>
      </c>
      <c r="C2192" s="1" t="n">
        <v>46048</v>
      </c>
      <c r="D2192" t="inlineStr">
        <is>
          <t>JÄMTLANDS LÄN</t>
        </is>
      </c>
      <c r="E2192" t="inlineStr">
        <is>
          <t>STRÖMSUND</t>
        </is>
      </c>
      <c r="F2192" t="inlineStr">
        <is>
          <t>SCA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51338-2025</t>
        </is>
      </c>
      <c r="B2193" s="1" t="n">
        <v>45947</v>
      </c>
      <c r="C2193" s="1" t="n">
        <v>46048</v>
      </c>
      <c r="D2193" t="inlineStr">
        <is>
          <t>JÄMTLANDS LÄN</t>
        </is>
      </c>
      <c r="E2193" t="inlineStr">
        <is>
          <t>STRÖMSUND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50953-2025</t>
        </is>
      </c>
      <c r="B2194" s="1" t="n">
        <v>45946.77162037037</v>
      </c>
      <c r="C2194" s="1" t="n">
        <v>46048</v>
      </c>
      <c r="D2194" t="inlineStr">
        <is>
          <t>JÄMTLANDS LÄN</t>
        </is>
      </c>
      <c r="E2194" t="inlineStr">
        <is>
          <t>STRÖMSUND</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51035-2025</t>
        </is>
      </c>
      <c r="B2195" s="1" t="n">
        <v>45947.40688657408</v>
      </c>
      <c r="C2195" s="1" t="n">
        <v>46048</v>
      </c>
      <c r="D2195" t="inlineStr">
        <is>
          <t>JÄMTLANDS LÄN</t>
        </is>
      </c>
      <c r="E2195" t="inlineStr">
        <is>
          <t>STRÖMSUND</t>
        </is>
      </c>
      <c r="F2195" t="inlineStr">
        <is>
          <t>SCA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51260-2025</t>
        </is>
      </c>
      <c r="B2196" s="1" t="n">
        <v>45949.4590625</v>
      </c>
      <c r="C2196" s="1" t="n">
        <v>46048</v>
      </c>
      <c r="D2196" t="inlineStr">
        <is>
          <t>JÄMTLANDS LÄN</t>
        </is>
      </c>
      <c r="E2196" t="inlineStr">
        <is>
          <t>STRÖMSUND</t>
        </is>
      </c>
      <c r="F2196" t="inlineStr">
        <is>
          <t>Holmen skog AB</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51373-2025</t>
        </is>
      </c>
      <c r="B2197" s="1" t="n">
        <v>45950.44868055556</v>
      </c>
      <c r="C2197" s="1" t="n">
        <v>46048</v>
      </c>
      <c r="D2197" t="inlineStr">
        <is>
          <t>JÄMTLANDS LÄN</t>
        </is>
      </c>
      <c r="E2197" t="inlineStr">
        <is>
          <t>STRÖMSUND</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59987-2025</t>
        </is>
      </c>
      <c r="B2198" s="1" t="n">
        <v>45993.55253472222</v>
      </c>
      <c r="C2198" s="1" t="n">
        <v>46048</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51734-2025</t>
        </is>
      </c>
      <c r="B2199" s="1" t="n">
        <v>45951.59497685185</v>
      </c>
      <c r="C2199" s="1" t="n">
        <v>46048</v>
      </c>
      <c r="D2199" t="inlineStr">
        <is>
          <t>JÄMTLANDS LÄN</t>
        </is>
      </c>
      <c r="E2199" t="inlineStr">
        <is>
          <t>STRÖMSUND</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51732-2025</t>
        </is>
      </c>
      <c r="B2200" s="1" t="n">
        <v>45951.59487268519</v>
      </c>
      <c r="C2200" s="1" t="n">
        <v>46048</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52059-2025</t>
        </is>
      </c>
      <c r="B2201" s="1" t="n">
        <v>45952.6362037037</v>
      </c>
      <c r="C2201" s="1" t="n">
        <v>46048</v>
      </c>
      <c r="D2201" t="inlineStr">
        <is>
          <t>JÄMTLANDS LÄN</t>
        </is>
      </c>
      <c r="E2201" t="inlineStr">
        <is>
          <t>STRÖMSUND</t>
        </is>
      </c>
      <c r="F2201" t="inlineStr">
        <is>
          <t>SCA</t>
        </is>
      </c>
      <c r="G2201" t="n">
        <v>12.4</v>
      </c>
      <c r="H2201" t="n">
        <v>0</v>
      </c>
      <c r="I2201" t="n">
        <v>0</v>
      </c>
      <c r="J2201" t="n">
        <v>0</v>
      </c>
      <c r="K2201" t="n">
        <v>0</v>
      </c>
      <c r="L2201" t="n">
        <v>0</v>
      </c>
      <c r="M2201" t="n">
        <v>0</v>
      </c>
      <c r="N2201" t="n">
        <v>0</v>
      </c>
      <c r="O2201" t="n">
        <v>0</v>
      </c>
      <c r="P2201" t="n">
        <v>0</v>
      </c>
      <c r="Q2201" t="n">
        <v>0</v>
      </c>
      <c r="R2201" s="2" t="inlineStr"/>
    </row>
    <row r="2202" ht="15" customHeight="1">
      <c r="A2202" t="inlineStr">
        <is>
          <t>A 52063-2025</t>
        </is>
      </c>
      <c r="B2202" s="1" t="n">
        <v>45952.6369212963</v>
      </c>
      <c r="C2202" s="1" t="n">
        <v>46048</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2643-2024</t>
        </is>
      </c>
      <c r="B2203" s="1" t="n">
        <v>45314</v>
      </c>
      <c r="C2203" s="1" t="n">
        <v>46048</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52184-2025</t>
        </is>
      </c>
      <c r="B2204" s="1" t="n">
        <v>45953.38594907407</v>
      </c>
      <c r="C2204" s="1" t="n">
        <v>46048</v>
      </c>
      <c r="D2204" t="inlineStr">
        <is>
          <t>JÄMTLANDS LÄN</t>
        </is>
      </c>
      <c r="E2204" t="inlineStr">
        <is>
          <t>STRÖMSUND</t>
        </is>
      </c>
      <c r="F2204" t="inlineStr">
        <is>
          <t>SCA</t>
        </is>
      </c>
      <c r="G2204" t="n">
        <v>18.8</v>
      </c>
      <c r="H2204" t="n">
        <v>0</v>
      </c>
      <c r="I2204" t="n">
        <v>0</v>
      </c>
      <c r="J2204" t="n">
        <v>0</v>
      </c>
      <c r="K2204" t="n">
        <v>0</v>
      </c>
      <c r="L2204" t="n">
        <v>0</v>
      </c>
      <c r="M2204" t="n">
        <v>0</v>
      </c>
      <c r="N2204" t="n">
        <v>0</v>
      </c>
      <c r="O2204" t="n">
        <v>0</v>
      </c>
      <c r="P2204" t="n">
        <v>0</v>
      </c>
      <c r="Q2204" t="n">
        <v>0</v>
      </c>
      <c r="R2204" s="2" t="inlineStr"/>
    </row>
    <row r="2205" ht="15" customHeight="1">
      <c r="A2205" t="inlineStr">
        <is>
          <t>A 51869-2025</t>
        </is>
      </c>
      <c r="B2205" s="1" t="n">
        <v>45952.38428240741</v>
      </c>
      <c r="C2205" s="1" t="n">
        <v>46048</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52455-2025</t>
        </is>
      </c>
      <c r="B2206" s="1" t="n">
        <v>45954.42763888889</v>
      </c>
      <c r="C2206" s="1" t="n">
        <v>46048</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52788-2025</t>
        </is>
      </c>
      <c r="B2207" s="1" t="n">
        <v>45957.42761574074</v>
      </c>
      <c r="C2207" s="1" t="n">
        <v>46048</v>
      </c>
      <c r="D2207" t="inlineStr">
        <is>
          <t>JÄMTLANDS LÄN</t>
        </is>
      </c>
      <c r="E2207" t="inlineStr">
        <is>
          <t>STRÖMSUND</t>
        </is>
      </c>
      <c r="F2207" t="inlineStr">
        <is>
          <t>SCA</t>
        </is>
      </c>
      <c r="G2207" t="n">
        <v>15.5</v>
      </c>
      <c r="H2207" t="n">
        <v>0</v>
      </c>
      <c r="I2207" t="n">
        <v>0</v>
      </c>
      <c r="J2207" t="n">
        <v>0</v>
      </c>
      <c r="K2207" t="n">
        <v>0</v>
      </c>
      <c r="L2207" t="n">
        <v>0</v>
      </c>
      <c r="M2207" t="n">
        <v>0</v>
      </c>
      <c r="N2207" t="n">
        <v>0</v>
      </c>
      <c r="O2207" t="n">
        <v>0</v>
      </c>
      <c r="P2207" t="n">
        <v>0</v>
      </c>
      <c r="Q2207" t="n">
        <v>0</v>
      </c>
      <c r="R2207" s="2" t="inlineStr"/>
    </row>
    <row r="2208" ht="15" customHeight="1">
      <c r="A2208" t="inlineStr">
        <is>
          <t>A 52848-2025</t>
        </is>
      </c>
      <c r="B2208" s="1" t="n">
        <v>45957.49008101852</v>
      </c>
      <c r="C2208" s="1" t="n">
        <v>46048</v>
      </c>
      <c r="D2208" t="inlineStr">
        <is>
          <t>JÄMTLANDS LÄN</t>
        </is>
      </c>
      <c r="E2208" t="inlineStr">
        <is>
          <t>STRÖMSUND</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52921-2025</t>
        </is>
      </c>
      <c r="B2209" s="1" t="n">
        <v>45957.61527777778</v>
      </c>
      <c r="C2209" s="1" t="n">
        <v>46048</v>
      </c>
      <c r="D2209" t="inlineStr">
        <is>
          <t>JÄMTLANDS LÄN</t>
        </is>
      </c>
      <c r="E2209" t="inlineStr">
        <is>
          <t>STRÖMSUND</t>
        </is>
      </c>
      <c r="F2209" t="inlineStr">
        <is>
          <t>SCA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52866-2025</t>
        </is>
      </c>
      <c r="B2210" s="1" t="n">
        <v>45957.51115740741</v>
      </c>
      <c r="C2210" s="1" t="n">
        <v>46048</v>
      </c>
      <c r="D2210" t="inlineStr">
        <is>
          <t>JÄMTLANDS LÄN</t>
        </is>
      </c>
      <c r="E2210" t="inlineStr">
        <is>
          <t>STRÖMSUND</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52874-2025</t>
        </is>
      </c>
      <c r="B2211" s="1" t="n">
        <v>45957.53193287037</v>
      </c>
      <c r="C2211" s="1" t="n">
        <v>46048</v>
      </c>
      <c r="D2211" t="inlineStr">
        <is>
          <t>JÄMTLANDS LÄN</t>
        </is>
      </c>
      <c r="E2211" t="inlineStr">
        <is>
          <t>STRÖMSUND</t>
        </is>
      </c>
      <c r="F2211" t="inlineStr">
        <is>
          <t>SCA</t>
        </is>
      </c>
      <c r="G2211" t="n">
        <v>15.7</v>
      </c>
      <c r="H2211" t="n">
        <v>0</v>
      </c>
      <c r="I2211" t="n">
        <v>0</v>
      </c>
      <c r="J2211" t="n">
        <v>0</v>
      </c>
      <c r="K2211" t="n">
        <v>0</v>
      </c>
      <c r="L2211" t="n">
        <v>0</v>
      </c>
      <c r="M2211" t="n">
        <v>0</v>
      </c>
      <c r="N2211" t="n">
        <v>0</v>
      </c>
      <c r="O2211" t="n">
        <v>0</v>
      </c>
      <c r="P2211" t="n">
        <v>0</v>
      </c>
      <c r="Q2211" t="n">
        <v>0</v>
      </c>
      <c r="R2211" s="2" t="inlineStr"/>
    </row>
    <row r="2212" ht="15" customHeight="1">
      <c r="A2212" t="inlineStr">
        <is>
          <t>A 52547-2025</t>
        </is>
      </c>
      <c r="B2212" s="1" t="n">
        <v>45954.55262731481</v>
      </c>
      <c r="C2212" s="1" t="n">
        <v>46048</v>
      </c>
      <c r="D2212" t="inlineStr">
        <is>
          <t>JÄMTLANDS LÄN</t>
        </is>
      </c>
      <c r="E2212" t="inlineStr">
        <is>
          <t>STRÖMSUND</t>
        </is>
      </c>
      <c r="F2212" t="inlineStr">
        <is>
          <t>SCA</t>
        </is>
      </c>
      <c r="G2212" t="n">
        <v>14.4</v>
      </c>
      <c r="H2212" t="n">
        <v>0</v>
      </c>
      <c r="I2212" t="n">
        <v>0</v>
      </c>
      <c r="J2212" t="n">
        <v>0</v>
      </c>
      <c r="K2212" t="n">
        <v>0</v>
      </c>
      <c r="L2212" t="n">
        <v>0</v>
      </c>
      <c r="M2212" t="n">
        <v>0</v>
      </c>
      <c r="N2212" t="n">
        <v>0</v>
      </c>
      <c r="O2212" t="n">
        <v>0</v>
      </c>
      <c r="P2212" t="n">
        <v>0</v>
      </c>
      <c r="Q2212" t="n">
        <v>0</v>
      </c>
      <c r="R2212" s="2" t="inlineStr"/>
    </row>
    <row r="2213" ht="15" customHeight="1">
      <c r="A2213" t="inlineStr">
        <is>
          <t>A 52614-2025</t>
        </is>
      </c>
      <c r="B2213" s="1" t="n">
        <v>45954.67756944444</v>
      </c>
      <c r="C2213" s="1" t="n">
        <v>46048</v>
      </c>
      <c r="D2213" t="inlineStr">
        <is>
          <t>JÄMTLANDS LÄN</t>
        </is>
      </c>
      <c r="E2213" t="inlineStr">
        <is>
          <t>STRÖMSUND</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52808-2025</t>
        </is>
      </c>
      <c r="B2214" s="1" t="n">
        <v>45957.4485300926</v>
      </c>
      <c r="C2214" s="1" t="n">
        <v>46048</v>
      </c>
      <c r="D2214" t="inlineStr">
        <is>
          <t>JÄMTLANDS LÄN</t>
        </is>
      </c>
      <c r="E2214" t="inlineStr">
        <is>
          <t>STRÖMSUND</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52749-2025</t>
        </is>
      </c>
      <c r="B2215" s="1" t="n">
        <v>45957.38637731481</v>
      </c>
      <c r="C2215" s="1" t="n">
        <v>46048</v>
      </c>
      <c r="D2215" t="inlineStr">
        <is>
          <t>JÄMTLANDS LÄN</t>
        </is>
      </c>
      <c r="E2215" t="inlineStr">
        <is>
          <t>STRÖMSUND</t>
        </is>
      </c>
      <c r="F2215" t="inlineStr">
        <is>
          <t>Övriga statliga verk och myndigheter</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53339-2025</t>
        </is>
      </c>
      <c r="B2216" s="1" t="n">
        <v>45959.40692129629</v>
      </c>
      <c r="C2216" s="1" t="n">
        <v>46048</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53406-2025</t>
        </is>
      </c>
      <c r="B2217" s="1" t="n">
        <v>45959.57344907407</v>
      </c>
      <c r="C2217" s="1" t="n">
        <v>46048</v>
      </c>
      <c r="D2217" t="inlineStr">
        <is>
          <t>JÄMTLANDS LÄN</t>
        </is>
      </c>
      <c r="E2217" t="inlineStr">
        <is>
          <t>STRÖMSUND</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61188-2025</t>
        </is>
      </c>
      <c r="B2218" s="1" t="n">
        <v>46000</v>
      </c>
      <c r="C2218" s="1" t="n">
        <v>46048</v>
      </c>
      <c r="D2218" t="inlineStr">
        <is>
          <t>JÄMTLANDS LÄN</t>
        </is>
      </c>
      <c r="E2218" t="inlineStr">
        <is>
          <t>STRÖMSUND</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53259-2025</t>
        </is>
      </c>
      <c r="B2219" s="1" t="n">
        <v>45958.67768518518</v>
      </c>
      <c r="C2219" s="1" t="n">
        <v>46048</v>
      </c>
      <c r="D2219" t="inlineStr">
        <is>
          <t>JÄMTLANDS LÄN</t>
        </is>
      </c>
      <c r="E2219" t="inlineStr">
        <is>
          <t>STRÖMSUND</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53263-2025</t>
        </is>
      </c>
      <c r="B2220" s="1" t="n">
        <v>45958.67818287037</v>
      </c>
      <c r="C2220" s="1" t="n">
        <v>46048</v>
      </c>
      <c r="D2220" t="inlineStr">
        <is>
          <t>JÄMTLANDS LÄN</t>
        </is>
      </c>
      <c r="E2220" t="inlineStr">
        <is>
          <t>STRÖMSUND</t>
        </is>
      </c>
      <c r="F2220" t="inlineStr">
        <is>
          <t>SCA</t>
        </is>
      </c>
      <c r="G2220" t="n">
        <v>20.6</v>
      </c>
      <c r="H2220" t="n">
        <v>0</v>
      </c>
      <c r="I2220" t="n">
        <v>0</v>
      </c>
      <c r="J2220" t="n">
        <v>0</v>
      </c>
      <c r="K2220" t="n">
        <v>0</v>
      </c>
      <c r="L2220" t="n">
        <v>0</v>
      </c>
      <c r="M2220" t="n">
        <v>0</v>
      </c>
      <c r="N2220" t="n">
        <v>0</v>
      </c>
      <c r="O2220" t="n">
        <v>0</v>
      </c>
      <c r="P2220" t="n">
        <v>0</v>
      </c>
      <c r="Q2220" t="n">
        <v>0</v>
      </c>
      <c r="R2220" s="2" t="inlineStr"/>
    </row>
    <row r="2221" ht="15" customHeight="1">
      <c r="A2221" t="inlineStr">
        <is>
          <t>A 56437-2023</t>
        </is>
      </c>
      <c r="B2221" s="1" t="n">
        <v>45237</v>
      </c>
      <c r="C2221" s="1" t="n">
        <v>46048</v>
      </c>
      <c r="D2221" t="inlineStr">
        <is>
          <t>JÄMTLANDS LÄN</t>
        </is>
      </c>
      <c r="E2221" t="inlineStr">
        <is>
          <t>STRÖMSUND</t>
        </is>
      </c>
      <c r="G2221" t="n">
        <v>35.8</v>
      </c>
      <c r="H2221" t="n">
        <v>0</v>
      </c>
      <c r="I2221" t="n">
        <v>0</v>
      </c>
      <c r="J2221" t="n">
        <v>0</v>
      </c>
      <c r="K2221" t="n">
        <v>0</v>
      </c>
      <c r="L2221" t="n">
        <v>0</v>
      </c>
      <c r="M2221" t="n">
        <v>0</v>
      </c>
      <c r="N2221" t="n">
        <v>0</v>
      </c>
      <c r="O2221" t="n">
        <v>0</v>
      </c>
      <c r="P2221" t="n">
        <v>0</v>
      </c>
      <c r="Q2221" t="n">
        <v>0</v>
      </c>
      <c r="R2221" s="2" t="inlineStr"/>
    </row>
    <row r="2222" ht="15" customHeight="1">
      <c r="A2222" t="inlineStr">
        <is>
          <t>A 53946-2025</t>
        </is>
      </c>
      <c r="B2222" s="1" t="n">
        <v>45961</v>
      </c>
      <c r="C2222" s="1" t="n">
        <v>46048</v>
      </c>
      <c r="D2222" t="inlineStr">
        <is>
          <t>JÄMTLANDS LÄN</t>
        </is>
      </c>
      <c r="E2222" t="inlineStr">
        <is>
          <t>STRÖMSUND</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22479-2025</t>
        </is>
      </c>
      <c r="B2223" s="1" t="n">
        <v>45786.63579861111</v>
      </c>
      <c r="C2223" s="1" t="n">
        <v>46048</v>
      </c>
      <c r="D2223" t="inlineStr">
        <is>
          <t>JÄMTLANDS LÄN</t>
        </is>
      </c>
      <c r="E2223" t="inlineStr">
        <is>
          <t>STRÖMSUND</t>
        </is>
      </c>
      <c r="F2223" t="inlineStr">
        <is>
          <t>SCA</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61864-2025</t>
        </is>
      </c>
      <c r="B2224" s="1" t="n">
        <v>46003.38728009259</v>
      </c>
      <c r="C2224" s="1" t="n">
        <v>46048</v>
      </c>
      <c r="D2224" t="inlineStr">
        <is>
          <t>JÄMTLANDS LÄN</t>
        </is>
      </c>
      <c r="E2224" t="inlineStr">
        <is>
          <t>STRÖMSUND</t>
        </is>
      </c>
      <c r="F2224" t="inlineStr">
        <is>
          <t>SCA</t>
        </is>
      </c>
      <c r="G2224" t="n">
        <v>18.1</v>
      </c>
      <c r="H2224" t="n">
        <v>0</v>
      </c>
      <c r="I2224" t="n">
        <v>0</v>
      </c>
      <c r="J2224" t="n">
        <v>0</v>
      </c>
      <c r="K2224" t="n">
        <v>0</v>
      </c>
      <c r="L2224" t="n">
        <v>0</v>
      </c>
      <c r="M2224" t="n">
        <v>0</v>
      </c>
      <c r="N2224" t="n">
        <v>0</v>
      </c>
      <c r="O2224" t="n">
        <v>0</v>
      </c>
      <c r="P2224" t="n">
        <v>0</v>
      </c>
      <c r="Q2224" t="n">
        <v>0</v>
      </c>
      <c r="R2224" s="2" t="inlineStr"/>
    </row>
    <row r="2225" ht="15" customHeight="1">
      <c r="A2225" t="inlineStr">
        <is>
          <t>A 53671-2025</t>
        </is>
      </c>
      <c r="B2225" s="1" t="n">
        <v>45960.55252314815</v>
      </c>
      <c r="C2225" s="1" t="n">
        <v>46048</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53754-2025</t>
        </is>
      </c>
      <c r="B2226" s="1" t="n">
        <v>45960</v>
      </c>
      <c r="C2226" s="1" t="n">
        <v>46048</v>
      </c>
      <c r="D2226" t="inlineStr">
        <is>
          <t>JÄMTLANDS LÄN</t>
        </is>
      </c>
      <c r="E2226" t="inlineStr">
        <is>
          <t>STRÖMSUND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53834-2025</t>
        </is>
      </c>
      <c r="B2227" s="1" t="n">
        <v>45961.34525462963</v>
      </c>
      <c r="C2227" s="1" t="n">
        <v>46048</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53835-2025</t>
        </is>
      </c>
      <c r="B2228" s="1" t="n">
        <v>45961.3453125</v>
      </c>
      <c r="C2228" s="1" t="n">
        <v>46048</v>
      </c>
      <c r="D2228" t="inlineStr">
        <is>
          <t>JÄMTLANDS LÄN</t>
        </is>
      </c>
      <c r="E2228" t="inlineStr">
        <is>
          <t>STRÖMSUND</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57805-2023</t>
        </is>
      </c>
      <c r="B2229" s="1" t="n">
        <v>45243</v>
      </c>
      <c r="C2229" s="1" t="n">
        <v>46048</v>
      </c>
      <c r="D2229" t="inlineStr">
        <is>
          <t>JÄMTLANDS LÄN</t>
        </is>
      </c>
      <c r="E2229" t="inlineStr">
        <is>
          <t>STRÖMSUND</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61500-2023</t>
        </is>
      </c>
      <c r="B2230" s="1" t="n">
        <v>45264</v>
      </c>
      <c r="C2230" s="1" t="n">
        <v>46048</v>
      </c>
      <c r="D2230" t="inlineStr">
        <is>
          <t>JÄMTLANDS LÄN</t>
        </is>
      </c>
      <c r="E2230" t="inlineStr">
        <is>
          <t>STRÖMSUND</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53563-2025</t>
        </is>
      </c>
      <c r="B2231" s="1" t="n">
        <v>45960.40680555555</v>
      </c>
      <c r="C2231" s="1" t="n">
        <v>46048</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53581-2025</t>
        </is>
      </c>
      <c r="B2232" s="1" t="n">
        <v>45960.42800925926</v>
      </c>
      <c r="C2232" s="1" t="n">
        <v>46048</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61856-2025</t>
        </is>
      </c>
      <c r="B2233" s="1" t="n">
        <v>46003.38597222222</v>
      </c>
      <c r="C2233" s="1" t="n">
        <v>46048</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52151-2024</t>
        </is>
      </c>
      <c r="B2234" s="1" t="n">
        <v>45608</v>
      </c>
      <c r="C2234" s="1" t="n">
        <v>46048</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61858-2025</t>
        </is>
      </c>
      <c r="B2235" s="1" t="n">
        <v>46003.38649305556</v>
      </c>
      <c r="C2235" s="1" t="n">
        <v>46048</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53580-2025</t>
        </is>
      </c>
      <c r="B2236" s="1" t="n">
        <v>45960</v>
      </c>
      <c r="C2236" s="1" t="n">
        <v>46048</v>
      </c>
      <c r="D2236" t="inlineStr">
        <is>
          <t>JÄMTLANDS LÄN</t>
        </is>
      </c>
      <c r="E2236" t="inlineStr">
        <is>
          <t>STRÖMSUND</t>
        </is>
      </c>
      <c r="F2236" t="inlineStr">
        <is>
          <t>SCA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57804-2023</t>
        </is>
      </c>
      <c r="B2237" s="1" t="n">
        <v>45243</v>
      </c>
      <c r="C2237" s="1" t="n">
        <v>46048</v>
      </c>
      <c r="D2237" t="inlineStr">
        <is>
          <t>JÄMTLANDS LÄN</t>
        </is>
      </c>
      <c r="E2237" t="inlineStr">
        <is>
          <t>STRÖMSUND</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53720-2025</t>
        </is>
      </c>
      <c r="B2238" s="1" t="n">
        <v>45960.62061342593</v>
      </c>
      <c r="C2238" s="1" t="n">
        <v>46048</v>
      </c>
      <c r="D2238" t="inlineStr">
        <is>
          <t>JÄMTLANDS LÄN</t>
        </is>
      </c>
      <c r="E2238" t="inlineStr">
        <is>
          <t>STRÖMSUND</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54228-2025</t>
        </is>
      </c>
      <c r="B2239" s="1" t="n">
        <v>45964.61509259259</v>
      </c>
      <c r="C2239" s="1" t="n">
        <v>46048</v>
      </c>
      <c r="D2239" t="inlineStr">
        <is>
          <t>JÄMTLANDS LÄN</t>
        </is>
      </c>
      <c r="E2239" t="inlineStr">
        <is>
          <t>STRÖMSUND</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62121-2025</t>
        </is>
      </c>
      <c r="B2240" s="1" t="n">
        <v>46006.44189814815</v>
      </c>
      <c r="C2240" s="1" t="n">
        <v>46048</v>
      </c>
      <c r="D2240" t="inlineStr">
        <is>
          <t>JÄMTLANDS LÄN</t>
        </is>
      </c>
      <c r="E2240" t="inlineStr">
        <is>
          <t>STRÖMSUND</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54067-2025</t>
        </is>
      </c>
      <c r="B2241" s="1" t="n">
        <v>45964.3443287037</v>
      </c>
      <c r="C2241" s="1" t="n">
        <v>46048</v>
      </c>
      <c r="D2241" t="inlineStr">
        <is>
          <t>JÄMTLANDS LÄN</t>
        </is>
      </c>
      <c r="E2241" t="inlineStr">
        <is>
          <t>STRÖMSUND</t>
        </is>
      </c>
      <c r="F2241" t="inlineStr">
        <is>
          <t>SCA</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54361-2025</t>
        </is>
      </c>
      <c r="B2242" s="1" t="n">
        <v>45965.39175925926</v>
      </c>
      <c r="C2242" s="1" t="n">
        <v>46048</v>
      </c>
      <c r="D2242" t="inlineStr">
        <is>
          <t>JÄMTLANDS LÄN</t>
        </is>
      </c>
      <c r="E2242" t="inlineStr">
        <is>
          <t>STRÖMSUND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62213-2025</t>
        </is>
      </c>
      <c r="B2243" s="1" t="n">
        <v>46006.57347222222</v>
      </c>
      <c r="C2243" s="1" t="n">
        <v>46048</v>
      </c>
      <c r="D2243" t="inlineStr">
        <is>
          <t>JÄMTLANDS LÄN</t>
        </is>
      </c>
      <c r="E2243" t="inlineStr">
        <is>
          <t>STRÖMSUND</t>
        </is>
      </c>
      <c r="F2243" t="inlineStr">
        <is>
          <t>SCA</t>
        </is>
      </c>
      <c r="G2243" t="n">
        <v>1.4</v>
      </c>
      <c r="H2243" t="n">
        <v>0</v>
      </c>
      <c r="I2243" t="n">
        <v>0</v>
      </c>
      <c r="J2243" t="n">
        <v>0</v>
      </c>
      <c r="K2243" t="n">
        <v>0</v>
      </c>
      <c r="L2243" t="n">
        <v>0</v>
      </c>
      <c r="M2243" t="n">
        <v>0</v>
      </c>
      <c r="N2243" t="n">
        <v>0</v>
      </c>
      <c r="O2243" t="n">
        <v>0</v>
      </c>
      <c r="P2243" t="n">
        <v>0</v>
      </c>
      <c r="Q2243" t="n">
        <v>0</v>
      </c>
      <c r="R2243" s="2" t="inlineStr"/>
      <c r="U2243">
        <f>HYPERLINK("https://klasma.github.io/Logging_2313/knärot/A 62213-2025 karta knärot.png", "A 62213-2025")</f>
        <v/>
      </c>
      <c r="V2243">
        <f>HYPERLINK("https://klasma.github.io/Logging_2313/klagomål/A 62213-2025 FSC-klagomål.docx", "A 62213-2025")</f>
        <v/>
      </c>
      <c r="W2243">
        <f>HYPERLINK("https://klasma.github.io/Logging_2313/klagomålsmail/A 62213-2025 FSC-klagomål mail.docx", "A 62213-2025")</f>
        <v/>
      </c>
      <c r="X2243">
        <f>HYPERLINK("https://klasma.github.io/Logging_2313/tillsyn/A 62213-2025 tillsynsbegäran.docx", "A 62213-2025")</f>
        <v/>
      </c>
      <c r="Y2243">
        <f>HYPERLINK("https://klasma.github.io/Logging_2313/tillsynsmail/A 62213-2025 tillsynsbegäran mail.docx", "A 62213-2025")</f>
        <v/>
      </c>
    </row>
    <row r="2244" ht="15" customHeight="1">
      <c r="A2244" t="inlineStr">
        <is>
          <t>A 54034-2025</t>
        </is>
      </c>
      <c r="B2244" s="1" t="n">
        <v>45963.38520833333</v>
      </c>
      <c r="C2244" s="1" t="n">
        <v>46048</v>
      </c>
      <c r="D2244" t="inlineStr">
        <is>
          <t>JÄMTLANDS LÄN</t>
        </is>
      </c>
      <c r="E2244" t="inlineStr">
        <is>
          <t>STRÖMSUND</t>
        </is>
      </c>
      <c r="F2244" t="inlineStr">
        <is>
          <t>Holmen skog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54551-2025</t>
        </is>
      </c>
      <c r="B2245" s="1" t="n">
        <v>45965</v>
      </c>
      <c r="C2245" s="1" t="n">
        <v>46048</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54556-2025</t>
        </is>
      </c>
      <c r="B2246" s="1" t="n">
        <v>45965</v>
      </c>
      <c r="C2246" s="1" t="n">
        <v>46048</v>
      </c>
      <c r="D2246" t="inlineStr">
        <is>
          <t>JÄMTLANDS LÄN</t>
        </is>
      </c>
      <c r="E2246" t="inlineStr">
        <is>
          <t>STRÖMSUND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54554-2025</t>
        </is>
      </c>
      <c r="B2247" s="1" t="n">
        <v>45965</v>
      </c>
      <c r="C2247" s="1" t="n">
        <v>46048</v>
      </c>
      <c r="D2247" t="inlineStr">
        <is>
          <t>JÄMTLANDS LÄN</t>
        </is>
      </c>
      <c r="E2247" t="inlineStr">
        <is>
          <t>STRÖMSUND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62493-2025</t>
        </is>
      </c>
      <c r="B2248" s="1" t="n">
        <v>46007.57336805556</v>
      </c>
      <c r="C2248" s="1" t="n">
        <v>46048</v>
      </c>
      <c r="D2248" t="inlineStr">
        <is>
          <t>JÄMTLANDS LÄN</t>
        </is>
      </c>
      <c r="E2248" t="inlineStr">
        <is>
          <t>STRÖMSUND</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54294-2025</t>
        </is>
      </c>
      <c r="B2249" s="1" t="n">
        <v>45964.87017361111</v>
      </c>
      <c r="C2249" s="1" t="n">
        <v>46048</v>
      </c>
      <c r="D2249" t="inlineStr">
        <is>
          <t>JÄMTLANDS LÄN</t>
        </is>
      </c>
      <c r="E2249" t="inlineStr">
        <is>
          <t>STRÖMSUND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54322-2025</t>
        </is>
      </c>
      <c r="B2250" s="1" t="n">
        <v>45965.34436342592</v>
      </c>
      <c r="C2250" s="1" t="n">
        <v>46048</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62346-2025</t>
        </is>
      </c>
      <c r="B2251" s="1" t="n">
        <v>46006.89364583333</v>
      </c>
      <c r="C2251" s="1" t="n">
        <v>46048</v>
      </c>
      <c r="D2251" t="inlineStr">
        <is>
          <t>JÄMTLANDS LÄN</t>
        </is>
      </c>
      <c r="E2251" t="inlineStr">
        <is>
          <t>STRÖMSUND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54037-2025</t>
        </is>
      </c>
      <c r="B2252" s="1" t="n">
        <v>45963</v>
      </c>
      <c r="C2252" s="1" t="n">
        <v>46048</v>
      </c>
      <c r="D2252" t="inlineStr">
        <is>
          <t>JÄMTLANDS LÄN</t>
        </is>
      </c>
      <c r="E2252" t="inlineStr">
        <is>
          <t>STRÖMSUND</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54038-2025</t>
        </is>
      </c>
      <c r="B2253" s="1" t="n">
        <v>45963.71952546296</v>
      </c>
      <c r="C2253" s="1" t="n">
        <v>46048</v>
      </c>
      <c r="D2253" t="inlineStr">
        <is>
          <t>JÄMTLANDS LÄN</t>
        </is>
      </c>
      <c r="E2253" t="inlineStr">
        <is>
          <t>STRÖMSUND</t>
        </is>
      </c>
      <c r="F2253" t="inlineStr">
        <is>
          <t>SCA</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62347-2025</t>
        </is>
      </c>
      <c r="B2254" s="1" t="n">
        <v>46006.90253472222</v>
      </c>
      <c r="C2254" s="1" t="n">
        <v>46048</v>
      </c>
      <c r="D2254" t="inlineStr">
        <is>
          <t>JÄMTLANDS LÄN</t>
        </is>
      </c>
      <c r="E2254" t="inlineStr">
        <is>
          <t>STRÖMSUND</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54258-2025</t>
        </is>
      </c>
      <c r="B2255" s="1" t="n">
        <v>45964.65748842592</v>
      </c>
      <c r="C2255" s="1" t="n">
        <v>46048</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55066-2025</t>
        </is>
      </c>
      <c r="B2256" s="1" t="n">
        <v>45967.72011574074</v>
      </c>
      <c r="C2256" s="1" t="n">
        <v>46048</v>
      </c>
      <c r="D2256" t="inlineStr">
        <is>
          <t>JÄMTLANDS LÄN</t>
        </is>
      </c>
      <c r="E2256" t="inlineStr">
        <is>
          <t>STRÖMSUND</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62764-2025</t>
        </is>
      </c>
      <c r="B2257" s="1" t="n">
        <v>46008.59451388889</v>
      </c>
      <c r="C2257" s="1" t="n">
        <v>46048</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62634-2025</t>
        </is>
      </c>
      <c r="B2258" s="1" t="n">
        <v>46008.36510416667</v>
      </c>
      <c r="C2258" s="1" t="n">
        <v>46048</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54952-2025</t>
        </is>
      </c>
      <c r="B2259" s="1" t="n">
        <v>45967.44914351852</v>
      </c>
      <c r="C2259" s="1" t="n">
        <v>46048</v>
      </c>
      <c r="D2259" t="inlineStr">
        <is>
          <t>JÄMTLANDS LÄN</t>
        </is>
      </c>
      <c r="E2259" t="inlineStr">
        <is>
          <t>STRÖMSUND</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62635-2025</t>
        </is>
      </c>
      <c r="B2260" s="1" t="n">
        <v>46008.36527777778</v>
      </c>
      <c r="C2260" s="1" t="n">
        <v>46048</v>
      </c>
      <c r="D2260" t="inlineStr">
        <is>
          <t>JÄMTLANDS LÄN</t>
        </is>
      </c>
      <c r="E2260" t="inlineStr">
        <is>
          <t>STRÖMSUND</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62735-2025</t>
        </is>
      </c>
      <c r="B2261" s="1" t="n">
        <v>46008.56932870371</v>
      </c>
      <c r="C2261" s="1" t="n">
        <v>46048</v>
      </c>
      <c r="D2261" t="inlineStr">
        <is>
          <t>JÄMTLANDS LÄN</t>
        </is>
      </c>
      <c r="E2261" t="inlineStr">
        <is>
          <t>STRÖMSUND</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54916-2025</t>
        </is>
      </c>
      <c r="B2262" s="1" t="n">
        <v>45967.38577546296</v>
      </c>
      <c r="C2262" s="1" t="n">
        <v>46048</v>
      </c>
      <c r="D2262" t="inlineStr">
        <is>
          <t>JÄMTLANDS LÄN</t>
        </is>
      </c>
      <c r="E2262" t="inlineStr">
        <is>
          <t>STRÖMSUND</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55027-2025</t>
        </is>
      </c>
      <c r="B2263" s="1" t="n">
        <v>45967.6362962963</v>
      </c>
      <c r="C2263" s="1" t="n">
        <v>46048</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55041-2025</t>
        </is>
      </c>
      <c r="B2264" s="1" t="n">
        <v>45967.65684027778</v>
      </c>
      <c r="C2264" s="1" t="n">
        <v>46048</v>
      </c>
      <c r="D2264" t="inlineStr">
        <is>
          <t>JÄMTLANDS LÄN</t>
        </is>
      </c>
      <c r="E2264" t="inlineStr">
        <is>
          <t>STRÖMSUND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54884-2025</t>
        </is>
      </c>
      <c r="B2265" s="1" t="n">
        <v>45967.34452546296</v>
      </c>
      <c r="C2265" s="1" t="n">
        <v>46048</v>
      </c>
      <c r="D2265" t="inlineStr">
        <is>
          <t>JÄMTLANDS LÄN</t>
        </is>
      </c>
      <c r="E2265" t="inlineStr">
        <is>
          <t>STRÖMSUND</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54948-2025</t>
        </is>
      </c>
      <c r="B2266" s="1" t="n">
        <v>45967.4487037037</v>
      </c>
      <c r="C2266" s="1" t="n">
        <v>46048</v>
      </c>
      <c r="D2266" t="inlineStr">
        <is>
          <t>JÄMTLANDS LÄN</t>
        </is>
      </c>
      <c r="E2266" t="inlineStr">
        <is>
          <t>STRÖMSUND</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54665-2025</t>
        </is>
      </c>
      <c r="B2267" s="1" t="n">
        <v>45966.40744212963</v>
      </c>
      <c r="C2267" s="1" t="n">
        <v>46048</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54618-2025</t>
        </is>
      </c>
      <c r="B2268" s="1" t="n">
        <v>45966.34445601852</v>
      </c>
      <c r="C2268" s="1" t="n">
        <v>46048</v>
      </c>
      <c r="D2268" t="inlineStr">
        <is>
          <t>JÄMTLANDS LÄN</t>
        </is>
      </c>
      <c r="E2268" t="inlineStr">
        <is>
          <t>STRÖMSUND</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54621-2025</t>
        </is>
      </c>
      <c r="B2269" s="1" t="n">
        <v>45966.34498842592</v>
      </c>
      <c r="C2269" s="1" t="n">
        <v>46048</v>
      </c>
      <c r="D2269" t="inlineStr">
        <is>
          <t>JÄMTLANDS LÄN</t>
        </is>
      </c>
      <c r="E2269" t="inlineStr">
        <is>
          <t>STRÖMSUND</t>
        </is>
      </c>
      <c r="F2269" t="inlineStr">
        <is>
          <t>SCA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54640-2025</t>
        </is>
      </c>
      <c r="B2270" s="1" t="n">
        <v>45966.36534722222</v>
      </c>
      <c r="C2270" s="1" t="n">
        <v>46048</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54660-2025</t>
        </is>
      </c>
      <c r="B2271" s="1" t="n">
        <v>45966.40671296296</v>
      </c>
      <c r="C2271" s="1" t="n">
        <v>46048</v>
      </c>
      <c r="D2271" t="inlineStr">
        <is>
          <t>JÄMTLANDS LÄN</t>
        </is>
      </c>
      <c r="E2271" t="inlineStr">
        <is>
          <t>STRÖMSUND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54662-2025</t>
        </is>
      </c>
      <c r="B2272" s="1" t="n">
        <v>45966.4071412037</v>
      </c>
      <c r="C2272" s="1" t="n">
        <v>46048</v>
      </c>
      <c r="D2272" t="inlineStr">
        <is>
          <t>JÄMTLANDS LÄN</t>
        </is>
      </c>
      <c r="E2272" t="inlineStr">
        <is>
          <t>STRÖMSUND</t>
        </is>
      </c>
      <c r="F2272" t="inlineStr">
        <is>
          <t>SCA</t>
        </is>
      </c>
      <c r="G2272" t="n">
        <v>25.8</v>
      </c>
      <c r="H2272" t="n">
        <v>0</v>
      </c>
      <c r="I2272" t="n">
        <v>0</v>
      </c>
      <c r="J2272" t="n">
        <v>0</v>
      </c>
      <c r="K2272" t="n">
        <v>0</v>
      </c>
      <c r="L2272" t="n">
        <v>0</v>
      </c>
      <c r="M2272" t="n">
        <v>0</v>
      </c>
      <c r="N2272" t="n">
        <v>0</v>
      </c>
      <c r="O2272" t="n">
        <v>0</v>
      </c>
      <c r="P2272" t="n">
        <v>0</v>
      </c>
      <c r="Q2272" t="n">
        <v>0</v>
      </c>
      <c r="R2272" s="2" t="inlineStr"/>
    </row>
    <row r="2273" ht="15" customHeight="1">
      <c r="A2273" t="inlineStr">
        <is>
          <t>A 54897-2025</t>
        </is>
      </c>
      <c r="B2273" s="1" t="n">
        <v>45967.36555555555</v>
      </c>
      <c r="C2273" s="1" t="n">
        <v>46048</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55067-2025</t>
        </is>
      </c>
      <c r="B2274" s="1" t="n">
        <v>45967.72121527778</v>
      </c>
      <c r="C2274" s="1" t="n">
        <v>46048</v>
      </c>
      <c r="D2274" t="inlineStr">
        <is>
          <t>JÄMTLANDS LÄN</t>
        </is>
      </c>
      <c r="E2274" t="inlineStr">
        <is>
          <t>STRÖMSUND</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54976-2025</t>
        </is>
      </c>
      <c r="B2275" s="1" t="n">
        <v>45967.5110300926</v>
      </c>
      <c r="C2275" s="1" t="n">
        <v>46048</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55012-2025</t>
        </is>
      </c>
      <c r="B2276" s="1" t="n">
        <v>45967.61560185185</v>
      </c>
      <c r="C2276" s="1" t="n">
        <v>46048</v>
      </c>
      <c r="D2276" t="inlineStr">
        <is>
          <t>JÄMTLANDS LÄN</t>
        </is>
      </c>
      <c r="E2276" t="inlineStr">
        <is>
          <t>STRÖMSUND</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62359-2025</t>
        </is>
      </c>
      <c r="B2277" s="1" t="n">
        <v>46006</v>
      </c>
      <c r="C2277" s="1" t="n">
        <v>46048</v>
      </c>
      <c r="D2277" t="inlineStr">
        <is>
          <t>JÄMTLANDS LÄN</t>
        </is>
      </c>
      <c r="E2277" t="inlineStr">
        <is>
          <t>STRÖMSUND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62780-2025</t>
        </is>
      </c>
      <c r="B2278" s="1" t="n">
        <v>46008.61517361111</v>
      </c>
      <c r="C2278" s="1" t="n">
        <v>46048</v>
      </c>
      <c r="D2278" t="inlineStr">
        <is>
          <t>JÄMTLANDS LÄN</t>
        </is>
      </c>
      <c r="E2278" t="inlineStr">
        <is>
          <t>STRÖMSUND</t>
        </is>
      </c>
      <c r="F2278" t="inlineStr">
        <is>
          <t>SCA</t>
        </is>
      </c>
      <c r="G2278" t="n">
        <v>19.1</v>
      </c>
      <c r="H2278" t="n">
        <v>0</v>
      </c>
      <c r="I2278" t="n">
        <v>0</v>
      </c>
      <c r="J2278" t="n">
        <v>0</v>
      </c>
      <c r="K2278" t="n">
        <v>0</v>
      </c>
      <c r="L2278" t="n">
        <v>0</v>
      </c>
      <c r="M2278" t="n">
        <v>0</v>
      </c>
      <c r="N2278" t="n">
        <v>0</v>
      </c>
      <c r="O2278" t="n">
        <v>0</v>
      </c>
      <c r="P2278" t="n">
        <v>0</v>
      </c>
      <c r="Q2278" t="n">
        <v>0</v>
      </c>
      <c r="R2278" s="2" t="inlineStr"/>
    </row>
    <row r="2279" ht="15" customHeight="1">
      <c r="A2279" t="inlineStr">
        <is>
          <t>A 62784-2025</t>
        </is>
      </c>
      <c r="B2279" s="1" t="n">
        <v>46008.61606481481</v>
      </c>
      <c r="C2279" s="1" t="n">
        <v>46048</v>
      </c>
      <c r="D2279" t="inlineStr">
        <is>
          <t>JÄMTLANDS LÄN</t>
        </is>
      </c>
      <c r="E2279" t="inlineStr">
        <is>
          <t>STRÖMSUND</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62360-2025</t>
        </is>
      </c>
      <c r="B2280" s="1" t="n">
        <v>46006</v>
      </c>
      <c r="C2280" s="1" t="n">
        <v>46048</v>
      </c>
      <c r="D2280" t="inlineStr">
        <is>
          <t>JÄMTLANDS LÄN</t>
        </is>
      </c>
      <c r="E2280" t="inlineStr">
        <is>
          <t>STRÖMSUND</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62117-2025</t>
        </is>
      </c>
      <c r="B2281" s="1" t="n">
        <v>46006.43877314815</v>
      </c>
      <c r="C2281" s="1" t="n">
        <v>46048</v>
      </c>
      <c r="D2281" t="inlineStr">
        <is>
          <t>JÄMTLANDS LÄN</t>
        </is>
      </c>
      <c r="E2281" t="inlineStr">
        <is>
          <t>STRÖMSUND</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54894-2025</t>
        </is>
      </c>
      <c r="B2282" s="1" t="n">
        <v>45967.36505787037</v>
      </c>
      <c r="C2282" s="1" t="n">
        <v>46048</v>
      </c>
      <c r="D2282" t="inlineStr">
        <is>
          <t>JÄMTLANDS LÄN</t>
        </is>
      </c>
      <c r="E2282" t="inlineStr">
        <is>
          <t>STRÖMSUND</t>
        </is>
      </c>
      <c r="F2282" t="inlineStr">
        <is>
          <t>SCA</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62581-2025</t>
        </is>
      </c>
      <c r="B2283" s="1" t="n">
        <v>46007</v>
      </c>
      <c r="C2283" s="1" t="n">
        <v>46048</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54661-2025</t>
        </is>
      </c>
      <c r="B2284" s="1" t="n">
        <v>45966.40692129629</v>
      </c>
      <c r="C2284" s="1" t="n">
        <v>46048</v>
      </c>
      <c r="D2284" t="inlineStr">
        <is>
          <t>JÄMTLANDS LÄN</t>
        </is>
      </c>
      <c r="E2284" t="inlineStr">
        <is>
          <t>STRÖMSUND</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54666-2025</t>
        </is>
      </c>
      <c r="B2285" s="1" t="n">
        <v>45966.40759259259</v>
      </c>
      <c r="C2285" s="1" t="n">
        <v>46048</v>
      </c>
      <c r="D2285" t="inlineStr">
        <is>
          <t>JÄMTLANDS LÄN</t>
        </is>
      </c>
      <c r="E2285" t="inlineStr">
        <is>
          <t>STRÖMSUND</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62580-2025</t>
        </is>
      </c>
      <c r="B2286" s="1" t="n">
        <v>46007</v>
      </c>
      <c r="C2286" s="1" t="n">
        <v>46048</v>
      </c>
      <c r="D2286" t="inlineStr">
        <is>
          <t>JÄMTLANDS LÄN</t>
        </is>
      </c>
      <c r="E2286" t="inlineStr">
        <is>
          <t>STRÖMSUND</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63501-2025</t>
        </is>
      </c>
      <c r="B2287" s="1" t="n">
        <v>46013.49008101852</v>
      </c>
      <c r="C2287" s="1" t="n">
        <v>46048</v>
      </c>
      <c r="D2287" t="inlineStr">
        <is>
          <t>JÄMTLANDS LÄN</t>
        </is>
      </c>
      <c r="E2287" t="inlineStr">
        <is>
          <t>STRÖMSUND</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63503-2025</t>
        </is>
      </c>
      <c r="B2288" s="1" t="n">
        <v>46013.49011574074</v>
      </c>
      <c r="C2288" s="1" t="n">
        <v>46048</v>
      </c>
      <c r="D2288" t="inlineStr">
        <is>
          <t>JÄMTLANDS LÄN</t>
        </is>
      </c>
      <c r="E2288" t="inlineStr">
        <is>
          <t>STRÖMSUND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63502-2025</t>
        </is>
      </c>
      <c r="B2289" s="1" t="n">
        <v>46013.49010416667</v>
      </c>
      <c r="C2289" s="1" t="n">
        <v>46048</v>
      </c>
      <c r="D2289" t="inlineStr">
        <is>
          <t>JÄMTLANDS LÄN</t>
        </is>
      </c>
      <c r="E2289" t="inlineStr">
        <is>
          <t>STRÖMSUND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55407-2025</t>
        </is>
      </c>
      <c r="B2290" s="1" t="n">
        <v>45971</v>
      </c>
      <c r="C2290" s="1" t="n">
        <v>46048</v>
      </c>
      <c r="D2290" t="inlineStr">
        <is>
          <t>JÄMTLANDS LÄN</t>
        </is>
      </c>
      <c r="E2290" t="inlineStr">
        <is>
          <t>STRÖMSUND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55445-2025</t>
        </is>
      </c>
      <c r="B2291" s="1" t="n">
        <v>45971.5002662037</v>
      </c>
      <c r="C2291" s="1" t="n">
        <v>46048</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55461-2025</t>
        </is>
      </c>
      <c r="B2292" s="1" t="n">
        <v>45971.52135416667</v>
      </c>
      <c r="C2292" s="1" t="n">
        <v>46048</v>
      </c>
      <c r="D2292" t="inlineStr">
        <is>
          <t>JÄMTLANDS LÄN</t>
        </is>
      </c>
      <c r="E2292" t="inlineStr">
        <is>
          <t>STRÖMSUND</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63395-2025</t>
        </is>
      </c>
      <c r="B2293" s="1" t="n">
        <v>46012.39570601852</v>
      </c>
      <c r="C2293" s="1" t="n">
        <v>46048</v>
      </c>
      <c r="D2293" t="inlineStr">
        <is>
          <t>JÄMTLANDS LÄN</t>
        </is>
      </c>
      <c r="E2293" t="inlineStr">
        <is>
          <t>STRÖMSUND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55242-2025</t>
        </is>
      </c>
      <c r="B2294" s="1" t="n">
        <v>45968.61890046296</v>
      </c>
      <c r="C2294" s="1" t="n">
        <v>46048</v>
      </c>
      <c r="D2294" t="inlineStr">
        <is>
          <t>JÄMTLANDS LÄN</t>
        </is>
      </c>
      <c r="E2294" t="inlineStr">
        <is>
          <t>STRÖMSUND</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55361-2025</t>
        </is>
      </c>
      <c r="B2295" s="1" t="n">
        <v>45971.38615740741</v>
      </c>
      <c r="C2295" s="1" t="n">
        <v>46048</v>
      </c>
      <c r="D2295" t="inlineStr">
        <is>
          <t>JÄMTLANDS LÄN</t>
        </is>
      </c>
      <c r="E2295" t="inlineStr">
        <is>
          <t>STRÖMSUND</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63394-2025</t>
        </is>
      </c>
      <c r="B2296" s="1" t="n">
        <v>46012.3934837963</v>
      </c>
      <c r="C2296" s="1" t="n">
        <v>46048</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55281-2025</t>
        </is>
      </c>
      <c r="B2297" s="1" t="n">
        <v>45968</v>
      </c>
      <c r="C2297" s="1" t="n">
        <v>46048</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55282-2025</t>
        </is>
      </c>
      <c r="B2298" s="1" t="n">
        <v>45968</v>
      </c>
      <c r="C2298" s="1" t="n">
        <v>46048</v>
      </c>
      <c r="D2298" t="inlineStr">
        <is>
          <t>JÄMTLANDS LÄN</t>
        </is>
      </c>
      <c r="E2298" t="inlineStr">
        <is>
          <t>STRÖMSUND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55297-2025</t>
        </is>
      </c>
      <c r="B2299" s="1" t="n">
        <v>45969</v>
      </c>
      <c r="C2299" s="1" t="n">
        <v>46048</v>
      </c>
      <c r="D2299" t="inlineStr">
        <is>
          <t>JÄMTLANDS LÄN</t>
        </is>
      </c>
      <c r="E2299" t="inlineStr">
        <is>
          <t>STRÖMSUND</t>
        </is>
      </c>
      <c r="F2299" t="inlineStr">
        <is>
          <t>SCA</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55259-2025</t>
        </is>
      </c>
      <c r="B2300" s="1" t="n">
        <v>45968.64603009259</v>
      </c>
      <c r="C2300" s="1" t="n">
        <v>46048</v>
      </c>
      <c r="D2300" t="inlineStr">
        <is>
          <t>JÄMTLANDS LÄN</t>
        </is>
      </c>
      <c r="E2300" t="inlineStr">
        <is>
          <t>STRÖMSUND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63212-2025</t>
        </is>
      </c>
      <c r="B2301" s="1" t="n">
        <v>46010.48246527778</v>
      </c>
      <c r="C2301" s="1" t="n">
        <v>46048</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63422-2025</t>
        </is>
      </c>
      <c r="B2302" s="1" t="n">
        <v>46013.3443287037</v>
      </c>
      <c r="C2302" s="1" t="n">
        <v>46048</v>
      </c>
      <c r="D2302" t="inlineStr">
        <is>
          <t>JÄMTLANDS LÄN</t>
        </is>
      </c>
      <c r="E2302" t="inlineStr">
        <is>
          <t>STRÖMSUND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63421-2025</t>
        </is>
      </c>
      <c r="B2303" s="1" t="n">
        <v>46013.34430555555</v>
      </c>
      <c r="C2303" s="1" t="n">
        <v>46048</v>
      </c>
      <c r="D2303" t="inlineStr">
        <is>
          <t>JÄMTLANDS LÄN</t>
        </is>
      </c>
      <c r="E2303" t="inlineStr">
        <is>
          <t>STRÖMSUND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55441-2025</t>
        </is>
      </c>
      <c r="B2304" s="1" t="n">
        <v>45971</v>
      </c>
      <c r="C2304" s="1" t="n">
        <v>46048</v>
      </c>
      <c r="D2304" t="inlineStr">
        <is>
          <t>JÄMTLANDS LÄN</t>
        </is>
      </c>
      <c r="E2304" t="inlineStr">
        <is>
          <t>STRÖMSUND</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63243-2025</t>
        </is>
      </c>
      <c r="B2305" s="1" t="n">
        <v>46010.53164351852</v>
      </c>
      <c r="C2305" s="1" t="n">
        <v>46048</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55181-2025</t>
        </is>
      </c>
      <c r="B2306" s="1" t="n">
        <v>45968.531875</v>
      </c>
      <c r="C2306" s="1" t="n">
        <v>46048</v>
      </c>
      <c r="D2306" t="inlineStr">
        <is>
          <t>JÄMTLANDS LÄN</t>
        </is>
      </c>
      <c r="E2306" t="inlineStr">
        <is>
          <t>STRÖMSUND</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55452-2025</t>
        </is>
      </c>
      <c r="B2307" s="1" t="n">
        <v>45971.50884259259</v>
      </c>
      <c r="C2307" s="1" t="n">
        <v>46048</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55505-2025</t>
        </is>
      </c>
      <c r="B2308" s="1" t="n">
        <v>45971.59140046296</v>
      </c>
      <c r="C2308" s="1" t="n">
        <v>46048</v>
      </c>
      <c r="D2308" t="inlineStr">
        <is>
          <t>JÄMTLANDS LÄN</t>
        </is>
      </c>
      <c r="E2308" t="inlineStr">
        <is>
          <t>STRÖMSUND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55468-2025</t>
        </is>
      </c>
      <c r="B2309" s="1" t="n">
        <v>45971.52802083334</v>
      </c>
      <c r="C2309" s="1" t="n">
        <v>46048</v>
      </c>
      <c r="D2309" t="inlineStr">
        <is>
          <t>JÄMTLANDS LÄN</t>
        </is>
      </c>
      <c r="E2309" t="inlineStr">
        <is>
          <t>STRÖMSUND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55757-2025</t>
        </is>
      </c>
      <c r="B2310" s="1" t="n">
        <v>45972.59646990741</v>
      </c>
      <c r="C2310" s="1" t="n">
        <v>46048</v>
      </c>
      <c r="D2310" t="inlineStr">
        <is>
          <t>JÄMTLANDS LÄN</t>
        </is>
      </c>
      <c r="E2310" t="inlineStr">
        <is>
          <t>STRÖMSUND</t>
        </is>
      </c>
      <c r="F2310" t="inlineStr">
        <is>
          <t>Kyrkan</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55804-2025</t>
        </is>
      </c>
      <c r="B2311" s="1" t="n">
        <v>45972.67773148148</v>
      </c>
      <c r="C2311" s="1" t="n">
        <v>46048</v>
      </c>
      <c r="D2311" t="inlineStr">
        <is>
          <t>JÄMTLANDS LÄN</t>
        </is>
      </c>
      <c r="E2311" t="inlineStr">
        <is>
          <t>STRÖMSUND</t>
        </is>
      </c>
      <c r="F2311" t="inlineStr">
        <is>
          <t>SCA</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55805-2025</t>
        </is>
      </c>
      <c r="B2312" s="1" t="n">
        <v>45972.67789351852</v>
      </c>
      <c r="C2312" s="1" t="n">
        <v>46048</v>
      </c>
      <c r="D2312" t="inlineStr">
        <is>
          <t>JÄMTLANDS LÄN</t>
        </is>
      </c>
      <c r="E2312" t="inlineStr">
        <is>
          <t>STRÖMSUND</t>
        </is>
      </c>
      <c r="F2312" t="inlineStr">
        <is>
          <t>SCA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55811-2025</t>
        </is>
      </c>
      <c r="B2313" s="1" t="n">
        <v>45972.67873842592</v>
      </c>
      <c r="C2313" s="1" t="n">
        <v>46048</v>
      </c>
      <c r="D2313" t="inlineStr">
        <is>
          <t>JÄMTLANDS LÄN</t>
        </is>
      </c>
      <c r="E2313" t="inlineStr">
        <is>
          <t>STRÖMSUND</t>
        </is>
      </c>
      <c r="F2313" t="inlineStr">
        <is>
          <t>SCA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55827-2025</t>
        </is>
      </c>
      <c r="B2314" s="1" t="n">
        <v>45972.77940972222</v>
      </c>
      <c r="C2314" s="1" t="n">
        <v>46048</v>
      </c>
      <c r="D2314" t="inlineStr">
        <is>
          <t>JÄMTLANDS LÄN</t>
        </is>
      </c>
      <c r="E2314" t="inlineStr">
        <is>
          <t>STRÖMSUND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63696-2025</t>
        </is>
      </c>
      <c r="B2315" s="1" t="n">
        <v>46014.57327546296</v>
      </c>
      <c r="C2315" s="1" t="n">
        <v>46048</v>
      </c>
      <c r="D2315" t="inlineStr">
        <is>
          <t>JÄMTLANDS LÄN</t>
        </is>
      </c>
      <c r="E2315" t="inlineStr">
        <is>
          <t>STRÖMSUND</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55672-2025</t>
        </is>
      </c>
      <c r="B2316" s="1" t="n">
        <v>45972.40719907408</v>
      </c>
      <c r="C2316" s="1" t="n">
        <v>46048</v>
      </c>
      <c r="D2316" t="inlineStr">
        <is>
          <t>JÄMTLANDS LÄN</t>
        </is>
      </c>
      <c r="E2316" t="inlineStr">
        <is>
          <t>STRÖMSUND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55927-2025</t>
        </is>
      </c>
      <c r="B2317" s="1" t="n">
        <v>45973.42837962963</v>
      </c>
      <c r="C2317" s="1" t="n">
        <v>46048</v>
      </c>
      <c r="D2317" t="inlineStr">
        <is>
          <t>JÄMTLANDS LÄN</t>
        </is>
      </c>
      <c r="E2317" t="inlineStr">
        <is>
          <t>STRÖMSUND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55807-2025</t>
        </is>
      </c>
      <c r="B2318" s="1" t="n">
        <v>45972.67822916667</v>
      </c>
      <c r="C2318" s="1" t="n">
        <v>46048</v>
      </c>
      <c r="D2318" t="inlineStr">
        <is>
          <t>JÄMTLANDS LÄN</t>
        </is>
      </c>
      <c r="E2318" t="inlineStr">
        <is>
          <t>STRÖMSUND</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55690-2025</t>
        </is>
      </c>
      <c r="B2319" s="1" t="n">
        <v>45972.43295138889</v>
      </c>
      <c r="C2319" s="1" t="n">
        <v>46048</v>
      </c>
      <c r="D2319" t="inlineStr">
        <is>
          <t>JÄMTLANDS LÄN</t>
        </is>
      </c>
      <c r="E2319" t="inlineStr">
        <is>
          <t>STRÖMSUND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55806-2025</t>
        </is>
      </c>
      <c r="B2320" s="1" t="n">
        <v>45972.67806712963</v>
      </c>
      <c r="C2320" s="1" t="n">
        <v>46048</v>
      </c>
      <c r="D2320" t="inlineStr">
        <is>
          <t>JÄMTLANDS LÄN</t>
        </is>
      </c>
      <c r="E2320" t="inlineStr">
        <is>
          <t>STRÖMSUND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56510-2025</t>
        </is>
      </c>
      <c r="B2321" s="1" t="n">
        <v>45975.44856481482</v>
      </c>
      <c r="C2321" s="1" t="n">
        <v>46048</v>
      </c>
      <c r="D2321" t="inlineStr">
        <is>
          <t>JÄMTLANDS LÄN</t>
        </is>
      </c>
      <c r="E2321" t="inlineStr">
        <is>
          <t>STRÖMSUND</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56540-2025</t>
        </is>
      </c>
      <c r="B2322" s="1" t="n">
        <v>45975</v>
      </c>
      <c r="C2322" s="1" t="n">
        <v>46048</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56483-2025</t>
        </is>
      </c>
      <c r="B2323" s="1" t="n">
        <v>45975.40668981482</v>
      </c>
      <c r="C2323" s="1" t="n">
        <v>46048</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56485-2025</t>
        </is>
      </c>
      <c r="B2324" s="1" t="n">
        <v>45975.40730324074</v>
      </c>
      <c r="C2324" s="1" t="n">
        <v>46048</v>
      </c>
      <c r="D2324" t="inlineStr">
        <is>
          <t>JÄMTLANDS LÄN</t>
        </is>
      </c>
      <c r="E2324" t="inlineStr">
        <is>
          <t>STRÖMSUND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56509-2025</t>
        </is>
      </c>
      <c r="B2325" s="1" t="n">
        <v>45975.44837962963</v>
      </c>
      <c r="C2325" s="1" t="n">
        <v>46048</v>
      </c>
      <c r="D2325" t="inlineStr">
        <is>
          <t>JÄMTLANDS LÄN</t>
        </is>
      </c>
      <c r="E2325" t="inlineStr">
        <is>
          <t>STRÖMSUND</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56626-2025</t>
        </is>
      </c>
      <c r="B2326" s="1" t="n">
        <v>45975.60625</v>
      </c>
      <c r="C2326" s="1" t="n">
        <v>46048</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56145-2025</t>
        </is>
      </c>
      <c r="B2327" s="1" t="n">
        <v>45974.34473379629</v>
      </c>
      <c r="C2327" s="1" t="n">
        <v>46048</v>
      </c>
      <c r="D2327" t="inlineStr">
        <is>
          <t>JÄMTLANDS LÄN</t>
        </is>
      </c>
      <c r="E2327" t="inlineStr">
        <is>
          <t>STRÖMSUND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56486-2025</t>
        </is>
      </c>
      <c r="B2328" s="1" t="n">
        <v>45975.40746527778</v>
      </c>
      <c r="C2328" s="1" t="n">
        <v>46048</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56436-2025</t>
        </is>
      </c>
      <c r="B2329" s="1" t="n">
        <v>45975.34695601852</v>
      </c>
      <c r="C2329" s="1" t="n">
        <v>46048</v>
      </c>
      <c r="D2329" t="inlineStr">
        <is>
          <t>JÄMTLANDS LÄN</t>
        </is>
      </c>
      <c r="E2329" t="inlineStr">
        <is>
          <t>STRÖMSUND</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56144-2025</t>
        </is>
      </c>
      <c r="B2330" s="1" t="n">
        <v>45974.34472222222</v>
      </c>
      <c r="C2330" s="1" t="n">
        <v>46048</v>
      </c>
      <c r="D2330" t="inlineStr">
        <is>
          <t>JÄMTLANDS LÄN</t>
        </is>
      </c>
      <c r="E2330" t="inlineStr">
        <is>
          <t>STRÖMSUND</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56706-2025</t>
        </is>
      </c>
      <c r="B2331" s="1" t="n">
        <v>45977.65686342592</v>
      </c>
      <c r="C2331" s="1" t="n">
        <v>46048</v>
      </c>
      <c r="D2331" t="inlineStr">
        <is>
          <t>JÄMTLANDS LÄN</t>
        </is>
      </c>
      <c r="E2331" t="inlineStr">
        <is>
          <t>STRÖMSUND</t>
        </is>
      </c>
      <c r="F2331" t="inlineStr">
        <is>
          <t>SCA</t>
        </is>
      </c>
      <c r="G2331" t="n">
        <v>19.8</v>
      </c>
      <c r="H2331" t="n">
        <v>0</v>
      </c>
      <c r="I2331" t="n">
        <v>0</v>
      </c>
      <c r="J2331" t="n">
        <v>0</v>
      </c>
      <c r="K2331" t="n">
        <v>0</v>
      </c>
      <c r="L2331" t="n">
        <v>0</v>
      </c>
      <c r="M2331" t="n">
        <v>0</v>
      </c>
      <c r="N2331" t="n">
        <v>0</v>
      </c>
      <c r="O2331" t="n">
        <v>0</v>
      </c>
      <c r="P2331" t="n">
        <v>0</v>
      </c>
      <c r="Q2331" t="n">
        <v>0</v>
      </c>
      <c r="R2331" s="2" t="inlineStr"/>
    </row>
    <row r="2332" ht="15" customHeight="1">
      <c r="A2332" t="inlineStr">
        <is>
          <t>A 56895-2025</t>
        </is>
      </c>
      <c r="B2332" s="1" t="n">
        <v>45978.56818287037</v>
      </c>
      <c r="C2332" s="1" t="n">
        <v>46048</v>
      </c>
      <c r="D2332" t="inlineStr">
        <is>
          <t>JÄMTLANDS LÄN</t>
        </is>
      </c>
      <c r="E2332" t="inlineStr">
        <is>
          <t>STRÖMSUND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57040-2025</t>
        </is>
      </c>
      <c r="B2333" s="1" t="n">
        <v>45979.34563657407</v>
      </c>
      <c r="C2333" s="1" t="n">
        <v>46048</v>
      </c>
      <c r="D2333" t="inlineStr">
        <is>
          <t>JÄMTLANDS LÄN</t>
        </is>
      </c>
      <c r="E2333" t="inlineStr">
        <is>
          <t>STRÖMSUND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57208-2025</t>
        </is>
      </c>
      <c r="B2334" s="1" t="n">
        <v>45979</v>
      </c>
      <c r="C2334" s="1" t="n">
        <v>46048</v>
      </c>
      <c r="D2334" t="inlineStr">
        <is>
          <t>JÄMTLANDS LÄN</t>
        </is>
      </c>
      <c r="E2334" t="inlineStr">
        <is>
          <t>STRÖMSUND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63881-2025</t>
        </is>
      </c>
      <c r="B2335" s="1" t="n">
        <v>46020.57334490741</v>
      </c>
      <c r="C2335" s="1" t="n">
        <v>46048</v>
      </c>
      <c r="D2335" t="inlineStr">
        <is>
          <t>JÄMTLANDS LÄN</t>
        </is>
      </c>
      <c r="E2335" t="inlineStr">
        <is>
          <t>STRÖMSUND</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57557-2025</t>
        </is>
      </c>
      <c r="B2336" s="1" t="n">
        <v>45980.69466435185</v>
      </c>
      <c r="C2336" s="1" t="n">
        <v>46048</v>
      </c>
      <c r="D2336" t="inlineStr">
        <is>
          <t>JÄMTLANDS LÄN</t>
        </is>
      </c>
      <c r="E2336" t="inlineStr">
        <is>
          <t>STRÖMSUND</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57547-2025</t>
        </is>
      </c>
      <c r="B2337" s="1" t="n">
        <v>45980.6568287037</v>
      </c>
      <c r="C2337" s="1" t="n">
        <v>46048</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57549-2025</t>
        </is>
      </c>
      <c r="B2338" s="1" t="n">
        <v>45980.6571875</v>
      </c>
      <c r="C2338" s="1" t="n">
        <v>46048</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57336-2025</t>
        </is>
      </c>
      <c r="B2339" s="1" t="n">
        <v>45980.34543981482</v>
      </c>
      <c r="C2339" s="1" t="n">
        <v>46048</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57335-2025</t>
        </is>
      </c>
      <c r="B2340" s="1" t="n">
        <v>45980.34537037037</v>
      </c>
      <c r="C2340" s="1" t="n">
        <v>46048</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57337-2025</t>
        </is>
      </c>
      <c r="B2341" s="1" t="n">
        <v>45980.34549768519</v>
      </c>
      <c r="C2341" s="1" t="n">
        <v>46048</v>
      </c>
      <c r="D2341" t="inlineStr">
        <is>
          <t>JÄMTLANDS LÄN</t>
        </is>
      </c>
      <c r="E2341" t="inlineStr">
        <is>
          <t>STRÖMSUND</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57704-2025</t>
        </is>
      </c>
      <c r="B2342" s="1" t="n">
        <v>45981.46940972222</v>
      </c>
      <c r="C2342" s="1" t="n">
        <v>46048</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57721-2025</t>
        </is>
      </c>
      <c r="B2343" s="1" t="n">
        <v>45981.4884837963</v>
      </c>
      <c r="C2343" s="1" t="n">
        <v>46048</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57658-2025</t>
        </is>
      </c>
      <c r="B2344" s="1" t="n">
        <v>45981</v>
      </c>
      <c r="C2344" s="1" t="n">
        <v>46048</v>
      </c>
      <c r="D2344" t="inlineStr">
        <is>
          <t>JÄMTLANDS LÄN</t>
        </is>
      </c>
      <c r="E2344" t="inlineStr">
        <is>
          <t>STRÖMSUND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57713-2025</t>
        </is>
      </c>
      <c r="B2345" s="1" t="n">
        <v>45981.4775</v>
      </c>
      <c r="C2345" s="1" t="n">
        <v>46048</v>
      </c>
      <c r="D2345" t="inlineStr">
        <is>
          <t>JÄMTLANDS LÄN</t>
        </is>
      </c>
      <c r="E2345" t="inlineStr">
        <is>
          <t>STRÖMSUND</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57837-2025</t>
        </is>
      </c>
      <c r="B2346" s="1" t="n">
        <v>45981.61864583333</v>
      </c>
      <c r="C2346" s="1" t="n">
        <v>46048</v>
      </c>
      <c r="D2346" t="inlineStr">
        <is>
          <t>JÄMTLANDS LÄN</t>
        </is>
      </c>
      <c r="E2346" t="inlineStr">
        <is>
          <t>STRÖMSUND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57851-2025</t>
        </is>
      </c>
      <c r="B2347" s="1" t="n">
        <v>45981.63633101852</v>
      </c>
      <c r="C2347" s="1" t="n">
        <v>46048</v>
      </c>
      <c r="D2347" t="inlineStr">
        <is>
          <t>JÄMTLANDS LÄN</t>
        </is>
      </c>
      <c r="E2347" t="inlineStr">
        <is>
          <t>STRÖMSUND</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64081-2025</t>
        </is>
      </c>
      <c r="B2348" s="1" t="n">
        <v>46012</v>
      </c>
      <c r="C2348" s="1" t="n">
        <v>46048</v>
      </c>
      <c r="D2348" t="inlineStr">
        <is>
          <t>JÄMTLANDS LÄN</t>
        </is>
      </c>
      <c r="E2348" t="inlineStr">
        <is>
          <t>STRÖMSUND</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57717-2025</t>
        </is>
      </c>
      <c r="B2349" s="1" t="n">
        <v>45981.48142361111</v>
      </c>
      <c r="C2349" s="1" t="n">
        <v>46048</v>
      </c>
      <c r="D2349" t="inlineStr">
        <is>
          <t>JÄMTLANDS LÄN</t>
        </is>
      </c>
      <c r="E2349" t="inlineStr">
        <is>
          <t>STRÖMSUND</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57498-2025</t>
        </is>
      </c>
      <c r="B2350" s="1" t="n">
        <v>45980</v>
      </c>
      <c r="C2350" s="1" t="n">
        <v>46048</v>
      </c>
      <c r="D2350" t="inlineStr">
        <is>
          <t>JÄMTLANDS LÄN</t>
        </is>
      </c>
      <c r="E2350" t="inlineStr">
        <is>
          <t>STRÖMSUND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57853-2025</t>
        </is>
      </c>
      <c r="B2351" s="1" t="n">
        <v>45981.63655092593</v>
      </c>
      <c r="C2351" s="1" t="n">
        <v>46048</v>
      </c>
      <c r="D2351" t="inlineStr">
        <is>
          <t>JÄMTLANDS LÄN</t>
        </is>
      </c>
      <c r="E2351" t="inlineStr">
        <is>
          <t>STRÖMSUND</t>
        </is>
      </c>
      <c r="F2351" t="inlineStr">
        <is>
          <t>SCA</t>
        </is>
      </c>
      <c r="G2351" t="n">
        <v>19.1</v>
      </c>
      <c r="H2351" t="n">
        <v>0</v>
      </c>
      <c r="I2351" t="n">
        <v>0</v>
      </c>
      <c r="J2351" t="n">
        <v>0</v>
      </c>
      <c r="K2351" t="n">
        <v>0</v>
      </c>
      <c r="L2351" t="n">
        <v>0</v>
      </c>
      <c r="M2351" t="n">
        <v>0</v>
      </c>
      <c r="N2351" t="n">
        <v>0</v>
      </c>
      <c r="O2351" t="n">
        <v>0</v>
      </c>
      <c r="P2351" t="n">
        <v>0</v>
      </c>
      <c r="Q2351" t="n">
        <v>0</v>
      </c>
      <c r="R2351" s="2" t="inlineStr"/>
    </row>
    <row r="2352" ht="15" customHeight="1">
      <c r="A2352" t="inlineStr">
        <is>
          <t>A 57714-2025</t>
        </is>
      </c>
      <c r="B2352" s="1" t="n">
        <v>45981.47986111111</v>
      </c>
      <c r="C2352" s="1" t="n">
        <v>46048</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57720-2025</t>
        </is>
      </c>
      <c r="B2353" s="1" t="n">
        <v>45981.48717592593</v>
      </c>
      <c r="C2353" s="1" t="n">
        <v>46048</v>
      </c>
      <c r="D2353" t="inlineStr">
        <is>
          <t>JÄMTLANDS LÄN</t>
        </is>
      </c>
      <c r="E2353" t="inlineStr">
        <is>
          <t>STRÖMSUND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57824-2025</t>
        </is>
      </c>
      <c r="B2354" s="1" t="n">
        <v>45981.60782407408</v>
      </c>
      <c r="C2354" s="1" t="n">
        <v>46048</v>
      </c>
      <c r="D2354" t="inlineStr">
        <is>
          <t>JÄMTLANDS LÄN</t>
        </is>
      </c>
      <c r="E2354" t="inlineStr">
        <is>
          <t>STRÖMSUND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57889-2025</t>
        </is>
      </c>
      <c r="B2355" s="1" t="n">
        <v>45981.67798611111</v>
      </c>
      <c r="C2355" s="1" t="n">
        <v>46048</v>
      </c>
      <c r="D2355" t="inlineStr">
        <is>
          <t>JÄMTLANDS LÄN</t>
        </is>
      </c>
      <c r="E2355" t="inlineStr">
        <is>
          <t>STRÖMSUND</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237-2026</t>
        </is>
      </c>
      <c r="B2356" s="1" t="n">
        <v>46027.36506944444</v>
      </c>
      <c r="C2356" s="1" t="n">
        <v>46048</v>
      </c>
      <c r="D2356" t="inlineStr">
        <is>
          <t>JÄMTLANDS LÄN</t>
        </is>
      </c>
      <c r="E2356" t="inlineStr">
        <is>
          <t>STRÖMSUND</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58092-2025</t>
        </is>
      </c>
      <c r="B2357" s="1" t="n">
        <v>45982.57399305556</v>
      </c>
      <c r="C2357" s="1" t="n">
        <v>46048</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58159-2025</t>
        </is>
      </c>
      <c r="B2358" s="1" t="n">
        <v>45982</v>
      </c>
      <c r="C2358" s="1" t="n">
        <v>46048</v>
      </c>
      <c r="D2358" t="inlineStr">
        <is>
          <t>JÄMTLANDS LÄN</t>
        </is>
      </c>
      <c r="E2358" t="inlineStr">
        <is>
          <t>STRÖMSUND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58179-2025</t>
        </is>
      </c>
      <c r="B2359" s="1" t="n">
        <v>45982</v>
      </c>
      <c r="C2359" s="1" t="n">
        <v>46048</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58162-2025</t>
        </is>
      </c>
      <c r="B2360" s="1" t="n">
        <v>45982</v>
      </c>
      <c r="C2360" s="1" t="n">
        <v>46048</v>
      </c>
      <c r="D2360" t="inlineStr">
        <is>
          <t>JÄMTLANDS LÄN</t>
        </is>
      </c>
      <c r="E2360" t="inlineStr">
        <is>
          <t>STRÖMSUND</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57981-2025</t>
        </is>
      </c>
      <c r="B2361" s="1" t="n">
        <v>45982.40675925926</v>
      </c>
      <c r="C2361" s="1" t="n">
        <v>46048</v>
      </c>
      <c r="D2361" t="inlineStr">
        <is>
          <t>JÄMTLANDS LÄN</t>
        </is>
      </c>
      <c r="E2361" t="inlineStr">
        <is>
          <t>STRÖMSUND</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58285-2025</t>
        </is>
      </c>
      <c r="B2362" s="1" t="n">
        <v>45985.44381944444</v>
      </c>
      <c r="C2362" s="1" t="n">
        <v>46048</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62579-2025</t>
        </is>
      </c>
      <c r="B2363" s="1" t="n">
        <v>46007</v>
      </c>
      <c r="C2363" s="1" t="n">
        <v>46048</v>
      </c>
      <c r="D2363" t="inlineStr">
        <is>
          <t>JÄMTLANDS LÄN</t>
        </is>
      </c>
      <c r="E2363" t="inlineStr">
        <is>
          <t>STRÖMSUND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58459-2025</t>
        </is>
      </c>
      <c r="B2364" s="1" t="n">
        <v>45985.63585648148</v>
      </c>
      <c r="C2364" s="1" t="n">
        <v>46048</v>
      </c>
      <c r="D2364" t="inlineStr">
        <is>
          <t>JÄMTLANDS LÄN</t>
        </is>
      </c>
      <c r="E2364" t="inlineStr">
        <is>
          <t>STRÖMSUND</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58336-2025</t>
        </is>
      </c>
      <c r="B2365" s="1" t="n">
        <v>45982</v>
      </c>
      <c r="C2365" s="1" t="n">
        <v>46048</v>
      </c>
      <c r="D2365" t="inlineStr">
        <is>
          <t>JÄMTLANDS LÄN</t>
        </is>
      </c>
      <c r="E2365" t="inlineStr">
        <is>
          <t>STRÖMSUND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58345-2025</t>
        </is>
      </c>
      <c r="B2366" s="1" t="n">
        <v>45982</v>
      </c>
      <c r="C2366" s="1" t="n">
        <v>46048</v>
      </c>
      <c r="D2366" t="inlineStr">
        <is>
          <t>JÄMTLANDS LÄN</t>
        </is>
      </c>
      <c r="E2366" t="inlineStr">
        <is>
          <t>STRÖMSUND</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58160-2025</t>
        </is>
      </c>
      <c r="B2367" s="1" t="n">
        <v>45982</v>
      </c>
      <c r="C2367" s="1" t="n">
        <v>46048</v>
      </c>
      <c r="D2367" t="inlineStr">
        <is>
          <t>JÄMTLANDS LÄN</t>
        </is>
      </c>
      <c r="E2367" t="inlineStr">
        <is>
          <t>STRÖMSUND</t>
        </is>
      </c>
      <c r="G2367" t="n">
        <v>20.8</v>
      </c>
      <c r="H2367" t="n">
        <v>0</v>
      </c>
      <c r="I2367" t="n">
        <v>0</v>
      </c>
      <c r="J2367" t="n">
        <v>0</v>
      </c>
      <c r="K2367" t="n">
        <v>0</v>
      </c>
      <c r="L2367" t="n">
        <v>0</v>
      </c>
      <c r="M2367" t="n">
        <v>0</v>
      </c>
      <c r="N2367" t="n">
        <v>0</v>
      </c>
      <c r="O2367" t="n">
        <v>0</v>
      </c>
      <c r="P2367" t="n">
        <v>0</v>
      </c>
      <c r="Q2367" t="n">
        <v>0</v>
      </c>
      <c r="R2367" s="2" t="inlineStr"/>
    </row>
    <row r="2368" ht="15" customHeight="1">
      <c r="A2368" t="inlineStr">
        <is>
          <t>A 58306-2025</t>
        </is>
      </c>
      <c r="B2368" s="1" t="n">
        <v>45985.46265046296</v>
      </c>
      <c r="C2368" s="1" t="n">
        <v>46048</v>
      </c>
      <c r="D2368" t="inlineStr">
        <is>
          <t>JÄMTLANDS LÄN</t>
        </is>
      </c>
      <c r="E2368" t="inlineStr">
        <is>
          <t>STRÖMSUND</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58506-2025</t>
        </is>
      </c>
      <c r="B2369" s="1" t="n">
        <v>45985.69854166666</v>
      </c>
      <c r="C2369" s="1" t="n">
        <v>46048</v>
      </c>
      <c r="D2369" t="inlineStr">
        <is>
          <t>JÄMTLANDS LÄN</t>
        </is>
      </c>
      <c r="E2369" t="inlineStr">
        <is>
          <t>STRÖMSUND</t>
        </is>
      </c>
      <c r="F2369" t="inlineStr">
        <is>
          <t>SCA</t>
        </is>
      </c>
      <c r="G2369" t="n">
        <v>47.5</v>
      </c>
      <c r="H2369" t="n">
        <v>0</v>
      </c>
      <c r="I2369" t="n">
        <v>0</v>
      </c>
      <c r="J2369" t="n">
        <v>0</v>
      </c>
      <c r="K2369" t="n">
        <v>0</v>
      </c>
      <c r="L2369" t="n">
        <v>0</v>
      </c>
      <c r="M2369" t="n">
        <v>0</v>
      </c>
      <c r="N2369" t="n">
        <v>0</v>
      </c>
      <c r="O2369" t="n">
        <v>0</v>
      </c>
      <c r="P2369" t="n">
        <v>0</v>
      </c>
      <c r="Q2369" t="n">
        <v>0</v>
      </c>
      <c r="R2369" s="2" t="inlineStr"/>
    </row>
    <row r="2370" ht="15" customHeight="1">
      <c r="A2370" t="inlineStr">
        <is>
          <t>A 58161-2025</t>
        </is>
      </c>
      <c r="B2370" s="1" t="n">
        <v>45982</v>
      </c>
      <c r="C2370" s="1" t="n">
        <v>46048</v>
      </c>
      <c r="D2370" t="inlineStr">
        <is>
          <t>JÄMTLANDS LÄN</t>
        </is>
      </c>
      <c r="E2370" t="inlineStr">
        <is>
          <t>STRÖMSUND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58173-2025</t>
        </is>
      </c>
      <c r="B2371" s="1" t="n">
        <v>45982</v>
      </c>
      <c r="C2371" s="1" t="n">
        <v>46048</v>
      </c>
      <c r="D2371" t="inlineStr">
        <is>
          <t>JÄMTLANDS LÄN</t>
        </is>
      </c>
      <c r="E2371" t="inlineStr">
        <is>
          <t>STRÖMSUND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308-2026</t>
        </is>
      </c>
      <c r="B2372" s="1" t="n">
        <v>46027.55262731481</v>
      </c>
      <c r="C2372" s="1" t="n">
        <v>46048</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58387-2025</t>
        </is>
      </c>
      <c r="B2373" s="1" t="n">
        <v>45985.54607638889</v>
      </c>
      <c r="C2373" s="1" t="n">
        <v>46048</v>
      </c>
      <c r="D2373" t="inlineStr">
        <is>
          <t>JÄMTLANDS LÄN</t>
        </is>
      </c>
      <c r="E2373" t="inlineStr">
        <is>
          <t>STRÖMSUND</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58269-2025</t>
        </is>
      </c>
      <c r="B2374" s="1" t="n">
        <v>45985</v>
      </c>
      <c r="C2374" s="1" t="n">
        <v>46048</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565-2026</t>
        </is>
      </c>
      <c r="B2375" s="1" t="n">
        <v>46029.46939814815</v>
      </c>
      <c r="C2375" s="1" t="n">
        <v>46048</v>
      </c>
      <c r="D2375" t="inlineStr">
        <is>
          <t>JÄMTLANDS LÄN</t>
        </is>
      </c>
      <c r="E2375" t="inlineStr">
        <is>
          <t>STRÖMSUND</t>
        </is>
      </c>
      <c r="F2375" t="inlineStr">
        <is>
          <t>SCA</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58974-2025</t>
        </is>
      </c>
      <c r="B2376" s="1" t="n">
        <v>45987.61545138889</v>
      </c>
      <c r="C2376" s="1" t="n">
        <v>46048</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493-2026</t>
        </is>
      </c>
      <c r="B2377" s="1" t="n">
        <v>46029.42780092593</v>
      </c>
      <c r="C2377" s="1" t="n">
        <v>46048</v>
      </c>
      <c r="D2377" t="inlineStr">
        <is>
          <t>JÄMTLANDS LÄN</t>
        </is>
      </c>
      <c r="E2377" t="inlineStr">
        <is>
          <t>STRÖMSUND</t>
        </is>
      </c>
      <c r="F2377" t="inlineStr">
        <is>
          <t>SCA</t>
        </is>
      </c>
      <c r="G2377" t="n">
        <v>20.8</v>
      </c>
      <c r="H2377" t="n">
        <v>0</v>
      </c>
      <c r="I2377" t="n">
        <v>0</v>
      </c>
      <c r="J2377" t="n">
        <v>0</v>
      </c>
      <c r="K2377" t="n">
        <v>0</v>
      </c>
      <c r="L2377" t="n">
        <v>0</v>
      </c>
      <c r="M2377" t="n">
        <v>0</v>
      </c>
      <c r="N2377" t="n">
        <v>0</v>
      </c>
      <c r="O2377" t="n">
        <v>0</v>
      </c>
      <c r="P2377" t="n">
        <v>0</v>
      </c>
      <c r="Q2377" t="n">
        <v>0</v>
      </c>
      <c r="R2377" s="2" t="inlineStr"/>
    </row>
    <row r="2378" ht="15" customHeight="1">
      <c r="A2378" t="inlineStr">
        <is>
          <t>A 58703-2025</t>
        </is>
      </c>
      <c r="B2378" s="1" t="n">
        <v>45986.59430555555</v>
      </c>
      <c r="C2378" s="1" t="n">
        <v>46048</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58719-2025</t>
        </is>
      </c>
      <c r="B2379" s="1" t="n">
        <v>45986.61526620371</v>
      </c>
      <c r="C2379" s="1" t="n">
        <v>46048</v>
      </c>
      <c r="D2379" t="inlineStr">
        <is>
          <t>JÄMTLANDS LÄN</t>
        </is>
      </c>
      <c r="E2379" t="inlineStr">
        <is>
          <t>STRÖMSUND</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58720-2025</t>
        </is>
      </c>
      <c r="B2380" s="1" t="n">
        <v>45986.61543981481</v>
      </c>
      <c r="C2380" s="1" t="n">
        <v>46048</v>
      </c>
      <c r="D2380" t="inlineStr">
        <is>
          <t>JÄMTLANDS LÄN</t>
        </is>
      </c>
      <c r="E2380" t="inlineStr">
        <is>
          <t>STRÖMSUND</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34344-2024</t>
        </is>
      </c>
      <c r="B2381" s="1" t="n">
        <v>45525</v>
      </c>
      <c r="C2381" s="1" t="n">
        <v>46048</v>
      </c>
      <c r="D2381" t="inlineStr">
        <is>
          <t>JÄMTLANDS LÄN</t>
        </is>
      </c>
      <c r="E2381" t="inlineStr">
        <is>
          <t>STRÖMSUND</t>
        </is>
      </c>
      <c r="F2381" t="inlineStr">
        <is>
          <t>Holmen skog AB</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58955-2025</t>
        </is>
      </c>
      <c r="B2382" s="1" t="n">
        <v>45987.59428240741</v>
      </c>
      <c r="C2382" s="1" t="n">
        <v>46048</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629-2026</t>
        </is>
      </c>
      <c r="B2383" s="1" t="n">
        <v>46029.5528125</v>
      </c>
      <c r="C2383" s="1" t="n">
        <v>46048</v>
      </c>
      <c r="D2383" t="inlineStr">
        <is>
          <t>JÄMTLANDS LÄN</t>
        </is>
      </c>
      <c r="E2383" t="inlineStr">
        <is>
          <t>STRÖMSUND</t>
        </is>
      </c>
      <c r="F2383" t="inlineStr">
        <is>
          <t>SCA</t>
        </is>
      </c>
      <c r="G2383" t="n">
        <v>22.9</v>
      </c>
      <c r="H2383" t="n">
        <v>0</v>
      </c>
      <c r="I2383" t="n">
        <v>0</v>
      </c>
      <c r="J2383" t="n">
        <v>0</v>
      </c>
      <c r="K2383" t="n">
        <v>0</v>
      </c>
      <c r="L2383" t="n">
        <v>0</v>
      </c>
      <c r="M2383" t="n">
        <v>0</v>
      </c>
      <c r="N2383" t="n">
        <v>0</v>
      </c>
      <c r="O2383" t="n">
        <v>0</v>
      </c>
      <c r="P2383" t="n">
        <v>0</v>
      </c>
      <c r="Q2383" t="n">
        <v>0</v>
      </c>
      <c r="R2383" s="2" t="inlineStr"/>
    </row>
    <row r="2384" ht="15" customHeight="1">
      <c r="A2384" t="inlineStr">
        <is>
          <t>A 58959-2025</t>
        </is>
      </c>
      <c r="B2384" s="1" t="n">
        <v>45987.59555555556</v>
      </c>
      <c r="C2384" s="1" t="n">
        <v>46048</v>
      </c>
      <c r="D2384" t="inlineStr">
        <is>
          <t>JÄMTLANDS LÄN</t>
        </is>
      </c>
      <c r="E2384" t="inlineStr">
        <is>
          <t>STRÖMSUND</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58958-2025</t>
        </is>
      </c>
      <c r="B2385" s="1" t="n">
        <v>45987.59548611111</v>
      </c>
      <c r="C2385" s="1" t="n">
        <v>46048</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631-2026</t>
        </is>
      </c>
      <c r="B2386" s="1" t="n">
        <v>46029.55525462963</v>
      </c>
      <c r="C2386" s="1" t="n">
        <v>46048</v>
      </c>
      <c r="D2386" t="inlineStr">
        <is>
          <t>JÄMTLANDS LÄN</t>
        </is>
      </c>
      <c r="E2386" t="inlineStr">
        <is>
          <t>STRÖMSUND</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701-2026</t>
        </is>
      </c>
      <c r="B2387" s="1" t="n">
        <v>46029.61577546296</v>
      </c>
      <c r="C2387" s="1" t="n">
        <v>46048</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58932-2025</t>
        </is>
      </c>
      <c r="B2388" s="1" t="n">
        <v>45986</v>
      </c>
      <c r="C2388" s="1" t="n">
        <v>46048</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528-2026</t>
        </is>
      </c>
      <c r="B2389" s="1" t="n">
        <v>46029.44922453703</v>
      </c>
      <c r="C2389" s="1" t="n">
        <v>46048</v>
      </c>
      <c r="D2389" t="inlineStr">
        <is>
          <t>JÄMTLANDS LÄN</t>
        </is>
      </c>
      <c r="E2389" t="inlineStr">
        <is>
          <t>STRÖMSUND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566-2026</t>
        </is>
      </c>
      <c r="B2390" s="1" t="n">
        <v>46029.46950231482</v>
      </c>
      <c r="C2390" s="1" t="n">
        <v>46048</v>
      </c>
      <c r="D2390" t="inlineStr">
        <is>
          <t>JÄMTLANDS LÄN</t>
        </is>
      </c>
      <c r="E2390" t="inlineStr">
        <is>
          <t>STRÖMSUND</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41277-2025</t>
        </is>
      </c>
      <c r="B2391" s="1" t="n">
        <v>45898</v>
      </c>
      <c r="C2391" s="1" t="n">
        <v>46048</v>
      </c>
      <c r="D2391" t="inlineStr">
        <is>
          <t>JÄMTLANDS LÄN</t>
        </is>
      </c>
      <c r="E2391" t="inlineStr">
        <is>
          <t>STRÖMSUND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58696-2025</t>
        </is>
      </c>
      <c r="B2392" s="1" t="n">
        <v>45986</v>
      </c>
      <c r="C2392" s="1" t="n">
        <v>46048</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696-2026</t>
        </is>
      </c>
      <c r="B2393" s="1" t="n">
        <v>46029.61527777778</v>
      </c>
      <c r="C2393" s="1" t="n">
        <v>46048</v>
      </c>
      <c r="D2393" t="inlineStr">
        <is>
          <t>JÄMTLANDS LÄN</t>
        </is>
      </c>
      <c r="E2393" t="inlineStr">
        <is>
          <t>STRÖMSUND</t>
        </is>
      </c>
      <c r="F2393" t="inlineStr">
        <is>
          <t>SCA</t>
        </is>
      </c>
      <c r="G2393" t="n">
        <v>24.1</v>
      </c>
      <c r="H2393" t="n">
        <v>0</v>
      </c>
      <c r="I2393" t="n">
        <v>0</v>
      </c>
      <c r="J2393" t="n">
        <v>0</v>
      </c>
      <c r="K2393" t="n">
        <v>0</v>
      </c>
      <c r="L2393" t="n">
        <v>0</v>
      </c>
      <c r="M2393" t="n">
        <v>0</v>
      </c>
      <c r="N2393" t="n">
        <v>0</v>
      </c>
      <c r="O2393" t="n">
        <v>0</v>
      </c>
      <c r="P2393" t="n">
        <v>0</v>
      </c>
      <c r="Q2393" t="n">
        <v>0</v>
      </c>
      <c r="R2393" s="2" t="inlineStr"/>
    </row>
    <row r="2394" ht="15" customHeight="1">
      <c r="A2394" t="inlineStr">
        <is>
          <t>A 700-2026</t>
        </is>
      </c>
      <c r="B2394" s="1" t="n">
        <v>46029.61557870371</v>
      </c>
      <c r="C2394" s="1" t="n">
        <v>46048</v>
      </c>
      <c r="D2394" t="inlineStr">
        <is>
          <t>JÄMTLANDS LÄN</t>
        </is>
      </c>
      <c r="E2394" t="inlineStr">
        <is>
          <t>STRÖMSUND</t>
        </is>
      </c>
      <c r="F2394" t="inlineStr">
        <is>
          <t>SCA</t>
        </is>
      </c>
      <c r="G2394" t="n">
        <v>32.7</v>
      </c>
      <c r="H2394" t="n">
        <v>0</v>
      </c>
      <c r="I2394" t="n">
        <v>0</v>
      </c>
      <c r="J2394" t="n">
        <v>0</v>
      </c>
      <c r="K2394" t="n">
        <v>0</v>
      </c>
      <c r="L2394" t="n">
        <v>0</v>
      </c>
      <c r="M2394" t="n">
        <v>0</v>
      </c>
      <c r="N2394" t="n">
        <v>0</v>
      </c>
      <c r="O2394" t="n">
        <v>0</v>
      </c>
      <c r="P2394" t="n">
        <v>0</v>
      </c>
      <c r="Q2394" t="n">
        <v>0</v>
      </c>
      <c r="R2394" s="2" t="inlineStr"/>
    </row>
    <row r="2395" ht="15" customHeight="1">
      <c r="A2395" t="inlineStr">
        <is>
          <t>A 58962-2025</t>
        </is>
      </c>
      <c r="B2395" s="1" t="n">
        <v>45987.5959375</v>
      </c>
      <c r="C2395" s="1" t="n">
        <v>46048</v>
      </c>
      <c r="D2395" t="inlineStr">
        <is>
          <t>JÄMTLANDS LÄN</t>
        </is>
      </c>
      <c r="E2395" t="inlineStr">
        <is>
          <t>STRÖMSUND</t>
        </is>
      </c>
      <c r="F2395" t="inlineStr">
        <is>
          <t>SCA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523-2026</t>
        </is>
      </c>
      <c r="B2396" s="1" t="n">
        <v>46029.44899305556</v>
      </c>
      <c r="C2396" s="1" t="n">
        <v>46048</v>
      </c>
      <c r="D2396" t="inlineStr">
        <is>
          <t>JÄMTLANDS LÄN</t>
        </is>
      </c>
      <c r="E2396" t="inlineStr">
        <is>
          <t>STRÖMSUND</t>
        </is>
      </c>
      <c r="G2396" t="n">
        <v>23.5</v>
      </c>
      <c r="H2396" t="n">
        <v>0</v>
      </c>
      <c r="I2396" t="n">
        <v>0</v>
      </c>
      <c r="J2396" t="n">
        <v>0</v>
      </c>
      <c r="K2396" t="n">
        <v>0</v>
      </c>
      <c r="L2396" t="n">
        <v>0</v>
      </c>
      <c r="M2396" t="n">
        <v>0</v>
      </c>
      <c r="N2396" t="n">
        <v>0</v>
      </c>
      <c r="O2396" t="n">
        <v>0</v>
      </c>
      <c r="P2396" t="n">
        <v>0</v>
      </c>
      <c r="Q2396" t="n">
        <v>0</v>
      </c>
      <c r="R2396" s="2" t="inlineStr"/>
    </row>
    <row r="2397" ht="15" customHeight="1">
      <c r="A2397" t="inlineStr">
        <is>
          <t>A 58821-2025</t>
        </is>
      </c>
      <c r="B2397" s="1" t="n">
        <v>45987.34473379629</v>
      </c>
      <c r="C2397" s="1" t="n">
        <v>46048</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34343-2024</t>
        </is>
      </c>
      <c r="B2398" s="1" t="n">
        <v>45525</v>
      </c>
      <c r="C2398" s="1" t="n">
        <v>46048</v>
      </c>
      <c r="D2398" t="inlineStr">
        <is>
          <t>JÄMTLANDS LÄN</t>
        </is>
      </c>
      <c r="E2398" t="inlineStr">
        <is>
          <t>STRÖMSUND</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58857-2025</t>
        </is>
      </c>
      <c r="B2399" s="1" t="n">
        <v>45987.41665509259</v>
      </c>
      <c r="C2399" s="1" t="n">
        <v>46048</v>
      </c>
      <c r="D2399" t="inlineStr">
        <is>
          <t>JÄMTLANDS LÄN</t>
        </is>
      </c>
      <c r="E2399" t="inlineStr">
        <is>
          <t>STRÖMSUND</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1351-2026</t>
        </is>
      </c>
      <c r="B2400" s="1" t="n">
        <v>46031.59424768519</v>
      </c>
      <c r="C2400" s="1" t="n">
        <v>46048</v>
      </c>
      <c r="D2400" t="inlineStr">
        <is>
          <t>JÄMTLANDS LÄN</t>
        </is>
      </c>
      <c r="E2400" t="inlineStr">
        <is>
          <t>STRÖMSUND</t>
        </is>
      </c>
      <c r="F2400" t="inlineStr">
        <is>
          <t>SCA</t>
        </is>
      </c>
      <c r="G2400" t="n">
        <v>33.4</v>
      </c>
      <c r="H2400" t="n">
        <v>0</v>
      </c>
      <c r="I2400" t="n">
        <v>0</v>
      </c>
      <c r="J2400" t="n">
        <v>0</v>
      </c>
      <c r="K2400" t="n">
        <v>0</v>
      </c>
      <c r="L2400" t="n">
        <v>0</v>
      </c>
      <c r="M2400" t="n">
        <v>0</v>
      </c>
      <c r="N2400" t="n">
        <v>0</v>
      </c>
      <c r="O2400" t="n">
        <v>0</v>
      </c>
      <c r="P2400" t="n">
        <v>0</v>
      </c>
      <c r="Q2400" t="n">
        <v>0</v>
      </c>
      <c r="R2400" s="2" t="inlineStr"/>
    </row>
    <row r="2401" ht="15" customHeight="1">
      <c r="A2401" t="inlineStr">
        <is>
          <t>A 59274-2025</t>
        </is>
      </c>
      <c r="B2401" s="1" t="n">
        <v>45988.69846064815</v>
      </c>
      <c r="C2401" s="1" t="n">
        <v>46048</v>
      </c>
      <c r="D2401" t="inlineStr">
        <is>
          <t>JÄMTLANDS LÄN</t>
        </is>
      </c>
      <c r="E2401" t="inlineStr">
        <is>
          <t>STRÖMSUND</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59358-2025</t>
        </is>
      </c>
      <c r="B2402" s="1" t="n">
        <v>45989.42762731481</v>
      </c>
      <c r="C2402" s="1" t="n">
        <v>46048</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59219-2025</t>
        </is>
      </c>
      <c r="B2403" s="1" t="n">
        <v>45988.61748842592</v>
      </c>
      <c r="C2403" s="1" t="n">
        <v>46048</v>
      </c>
      <c r="D2403" t="inlineStr">
        <is>
          <t>JÄMTLANDS LÄN</t>
        </is>
      </c>
      <c r="E2403" t="inlineStr">
        <is>
          <t>STRÖMSUND</t>
        </is>
      </c>
      <c r="F2403" t="inlineStr">
        <is>
          <t>SCA</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59139-2025</t>
        </is>
      </c>
      <c r="B2404" s="1" t="n">
        <v>45988.50719907408</v>
      </c>
      <c r="C2404" s="1" t="n">
        <v>46048</v>
      </c>
      <c r="D2404" t="inlineStr">
        <is>
          <t>JÄMTLANDS LÄN</t>
        </is>
      </c>
      <c r="E2404" t="inlineStr">
        <is>
          <t>STRÖMSUND</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59085-2025</t>
        </is>
      </c>
      <c r="B2405" s="1" t="n">
        <v>45988.44043981482</v>
      </c>
      <c r="C2405" s="1" t="n">
        <v>46048</v>
      </c>
      <c r="D2405" t="inlineStr">
        <is>
          <t>JÄMTLANDS LÄN</t>
        </is>
      </c>
      <c r="E2405" t="inlineStr">
        <is>
          <t>STRÖMSUND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900-2026</t>
        </is>
      </c>
      <c r="B2406" s="1" t="n">
        <v>46030.46925925926</v>
      </c>
      <c r="C2406" s="1" t="n">
        <v>46048</v>
      </c>
      <c r="D2406" t="inlineStr">
        <is>
          <t>JÄMTLANDS LÄN</t>
        </is>
      </c>
      <c r="E2406" t="inlineStr">
        <is>
          <t>STRÖMSUND</t>
        </is>
      </c>
      <c r="F2406" t="inlineStr">
        <is>
          <t>SCA</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1084-2026</t>
        </is>
      </c>
      <c r="B2407" s="1" t="n">
        <v>46030.65706018519</v>
      </c>
      <c r="C2407" s="1" t="n">
        <v>46048</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1228-2026</t>
        </is>
      </c>
      <c r="B2408" s="1" t="n">
        <v>46031.40701388889</v>
      </c>
      <c r="C2408" s="1" t="n">
        <v>46048</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59213-2025</t>
        </is>
      </c>
      <c r="B2409" s="1" t="n">
        <v>45988.61596064815</v>
      </c>
      <c r="C2409" s="1" t="n">
        <v>46048</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59217-2025</t>
        </is>
      </c>
      <c r="B2410" s="1" t="n">
        <v>45988.61693287037</v>
      </c>
      <c r="C2410" s="1" t="n">
        <v>46048</v>
      </c>
      <c r="D2410" t="inlineStr">
        <is>
          <t>JÄMTLANDS LÄN</t>
        </is>
      </c>
      <c r="E2410" t="inlineStr">
        <is>
          <t>STRÖMSUND</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941-2026</t>
        </is>
      </c>
      <c r="B2411" s="1" t="n">
        <v>46030.53171296296</v>
      </c>
      <c r="C2411" s="1" t="n">
        <v>46048</v>
      </c>
      <c r="D2411" t="inlineStr">
        <is>
          <t>JÄMTLANDS LÄN</t>
        </is>
      </c>
      <c r="E2411" t="inlineStr">
        <is>
          <t>STRÖMSUND</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942-2026</t>
        </is>
      </c>
      <c r="B2412" s="1" t="n">
        <v>46030.53194444445</v>
      </c>
      <c r="C2412" s="1" t="n">
        <v>46048</v>
      </c>
      <c r="D2412" t="inlineStr">
        <is>
          <t>JÄMTLANDS LÄN</t>
        </is>
      </c>
      <c r="E2412" t="inlineStr">
        <is>
          <t>STRÖMSUND</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59258-2025</t>
        </is>
      </c>
      <c r="B2413" s="1" t="n">
        <v>45988.65729166667</v>
      </c>
      <c r="C2413" s="1" t="n">
        <v>46048</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1229-2026</t>
        </is>
      </c>
      <c r="B2414" s="1" t="n">
        <v>46031.40704861111</v>
      </c>
      <c r="C2414" s="1" t="n">
        <v>46048</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58989-2025</t>
        </is>
      </c>
      <c r="B2415" s="1" t="n">
        <v>45987</v>
      </c>
      <c r="C2415" s="1" t="n">
        <v>46048</v>
      </c>
      <c r="D2415" t="inlineStr">
        <is>
          <t>JÄMTLANDS LÄN</t>
        </is>
      </c>
      <c r="E2415" t="inlineStr">
        <is>
          <t>STRÖMSUND</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1000-2026</t>
        </is>
      </c>
      <c r="B2416" s="1" t="n">
        <v>46030.59482638889</v>
      </c>
      <c r="C2416" s="1" t="n">
        <v>46048</v>
      </c>
      <c r="D2416" t="inlineStr">
        <is>
          <t>JÄMTLANDS LÄN</t>
        </is>
      </c>
      <c r="E2416" t="inlineStr">
        <is>
          <t>STRÖMSUND</t>
        </is>
      </c>
      <c r="F2416" t="inlineStr">
        <is>
          <t>SCA</t>
        </is>
      </c>
      <c r="G2416" t="n">
        <v>32.2</v>
      </c>
      <c r="H2416" t="n">
        <v>0</v>
      </c>
      <c r="I2416" t="n">
        <v>0</v>
      </c>
      <c r="J2416" t="n">
        <v>0</v>
      </c>
      <c r="K2416" t="n">
        <v>0</v>
      </c>
      <c r="L2416" t="n">
        <v>0</v>
      </c>
      <c r="M2416" t="n">
        <v>0</v>
      </c>
      <c r="N2416" t="n">
        <v>0</v>
      </c>
      <c r="O2416" t="n">
        <v>0</v>
      </c>
      <c r="P2416" t="n">
        <v>0</v>
      </c>
      <c r="Q2416" t="n">
        <v>0</v>
      </c>
      <c r="R2416" s="2" t="inlineStr"/>
    </row>
    <row r="2417" ht="15" customHeight="1">
      <c r="A2417" t="inlineStr">
        <is>
          <t>A 846-2026</t>
        </is>
      </c>
      <c r="B2417" s="1" t="n">
        <v>46030.38630787037</v>
      </c>
      <c r="C2417" s="1" t="n">
        <v>46048</v>
      </c>
      <c r="D2417" t="inlineStr">
        <is>
          <t>JÄMTLANDS LÄN</t>
        </is>
      </c>
      <c r="E2417" t="inlineStr">
        <is>
          <t>STRÖMSUND</t>
        </is>
      </c>
      <c r="F2417" t="inlineStr">
        <is>
          <t>SCA</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59058-2025</t>
        </is>
      </c>
      <c r="B2418" s="1" t="n">
        <v>45988.40060185185</v>
      </c>
      <c r="C2418" s="1" t="n">
        <v>46048</v>
      </c>
      <c r="D2418" t="inlineStr">
        <is>
          <t>JÄMTLANDS LÄN</t>
        </is>
      </c>
      <c r="E2418" t="inlineStr">
        <is>
          <t>STRÖMSUND</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1189-2026</t>
        </is>
      </c>
      <c r="B2419" s="1" t="n">
        <v>46031.3650462963</v>
      </c>
      <c r="C2419" s="1" t="n">
        <v>46048</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60035-2025</t>
        </is>
      </c>
      <c r="B2420" s="1" t="n">
        <v>45993.61509259259</v>
      </c>
      <c r="C2420" s="1" t="n">
        <v>46048</v>
      </c>
      <c r="D2420" t="inlineStr">
        <is>
          <t>JÄMTLANDS LÄN</t>
        </is>
      </c>
      <c r="E2420" t="inlineStr">
        <is>
          <t>STRÖMSUND</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59730-2025</t>
        </is>
      </c>
      <c r="B2421" s="1" t="n">
        <v>45992.56011574074</v>
      </c>
      <c r="C2421" s="1" t="n">
        <v>46048</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59646-2025</t>
        </is>
      </c>
      <c r="B2422" s="1" t="n">
        <v>45992.42811342593</v>
      </c>
      <c r="C2422" s="1" t="n">
        <v>46048</v>
      </c>
      <c r="D2422" t="inlineStr">
        <is>
          <t>JÄMTLANDS LÄN</t>
        </is>
      </c>
      <c r="E2422" t="inlineStr">
        <is>
          <t>STRÖMSUND</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1719-2026</t>
        </is>
      </c>
      <c r="B2423" s="1" t="n">
        <v>46034.61515046296</v>
      </c>
      <c r="C2423" s="1" t="n">
        <v>46048</v>
      </c>
      <c r="D2423" t="inlineStr">
        <is>
          <t>JÄMTLANDS LÄN</t>
        </is>
      </c>
      <c r="E2423" t="inlineStr">
        <is>
          <t>STRÖMSUND</t>
        </is>
      </c>
      <c r="F2423" t="inlineStr">
        <is>
          <t>SCA</t>
        </is>
      </c>
      <c r="G2423" t="n">
        <v>15.7</v>
      </c>
      <c r="H2423" t="n">
        <v>0</v>
      </c>
      <c r="I2423" t="n">
        <v>0</v>
      </c>
      <c r="J2423" t="n">
        <v>0</v>
      </c>
      <c r="K2423" t="n">
        <v>0</v>
      </c>
      <c r="L2423" t="n">
        <v>0</v>
      </c>
      <c r="M2423" t="n">
        <v>0</v>
      </c>
      <c r="N2423" t="n">
        <v>0</v>
      </c>
      <c r="O2423" t="n">
        <v>0</v>
      </c>
      <c r="P2423" t="n">
        <v>0</v>
      </c>
      <c r="Q2423" t="n">
        <v>0</v>
      </c>
      <c r="R2423" s="2" t="inlineStr"/>
    </row>
    <row r="2424" ht="15" customHeight="1">
      <c r="A2424" t="inlineStr">
        <is>
          <t>A 59741-2025</t>
        </is>
      </c>
      <c r="B2424" s="1" t="n">
        <v>45992.57445601852</v>
      </c>
      <c r="C2424" s="1" t="n">
        <v>46048</v>
      </c>
      <c r="D2424" t="inlineStr">
        <is>
          <t>JÄMTLANDS LÄN</t>
        </is>
      </c>
      <c r="E2424" t="inlineStr">
        <is>
          <t>STRÖMSUND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59949-2025</t>
        </is>
      </c>
      <c r="B2425" s="1" t="n">
        <v>45993.45402777778</v>
      </c>
      <c r="C2425" s="1" t="n">
        <v>46048</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1549-2026</t>
        </is>
      </c>
      <c r="B2426" s="1" t="n">
        <v>46034.3871412037</v>
      </c>
      <c r="C2426" s="1" t="n">
        <v>46048</v>
      </c>
      <c r="D2426" t="inlineStr">
        <is>
          <t>JÄMTLANDS LÄN</t>
        </is>
      </c>
      <c r="E2426" t="inlineStr">
        <is>
          <t>STRÖMSUND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59715-2025</t>
        </is>
      </c>
      <c r="B2427" s="1" t="n">
        <v>45992.53178240741</v>
      </c>
      <c r="C2427" s="1" t="n">
        <v>46048</v>
      </c>
      <c r="D2427" t="inlineStr">
        <is>
          <t>JÄMTLANDS LÄN</t>
        </is>
      </c>
      <c r="E2427" t="inlineStr">
        <is>
          <t>STRÖMSUND</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59899-2025</t>
        </is>
      </c>
      <c r="B2428" s="1" t="n">
        <v>45993.34460648148</v>
      </c>
      <c r="C2428" s="1" t="n">
        <v>46048</v>
      </c>
      <c r="D2428" t="inlineStr">
        <is>
          <t>JÄMTLANDS LÄN</t>
        </is>
      </c>
      <c r="E2428" t="inlineStr">
        <is>
          <t>STRÖMSUND</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59644-2025</t>
        </is>
      </c>
      <c r="B2429" s="1" t="n">
        <v>45992.42762731481</v>
      </c>
      <c r="C2429" s="1" t="n">
        <v>46048</v>
      </c>
      <c r="D2429" t="inlineStr">
        <is>
          <t>JÄMTLANDS LÄN</t>
        </is>
      </c>
      <c r="E2429" t="inlineStr">
        <is>
          <t>STRÖMSUND</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59716-2025</t>
        </is>
      </c>
      <c r="B2430" s="1" t="n">
        <v>45992.53180555555</v>
      </c>
      <c r="C2430" s="1" t="n">
        <v>46048</v>
      </c>
      <c r="D2430" t="inlineStr">
        <is>
          <t>JÄMTLANDS LÄN</t>
        </is>
      </c>
      <c r="E2430" t="inlineStr">
        <is>
          <t>STRÖMSUND</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1908-2026</t>
        </is>
      </c>
      <c r="B2431" s="1" t="n">
        <v>46035.55284722222</v>
      </c>
      <c r="C2431" s="1" t="n">
        <v>46048</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59714-2025</t>
        </is>
      </c>
      <c r="B2432" s="1" t="n">
        <v>45992.53175925926</v>
      </c>
      <c r="C2432" s="1" t="n">
        <v>46048</v>
      </c>
      <c r="D2432" t="inlineStr">
        <is>
          <t>JÄMTLANDS LÄN</t>
        </is>
      </c>
      <c r="E2432" t="inlineStr">
        <is>
          <t>STRÖMSUND</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59540-2025</t>
        </is>
      </c>
      <c r="B2433" s="1" t="n">
        <v>45990.34428240741</v>
      </c>
      <c r="C2433" s="1" t="n">
        <v>46048</v>
      </c>
      <c r="D2433" t="inlineStr">
        <is>
          <t>JÄMTLANDS LÄN</t>
        </is>
      </c>
      <c r="E2433" t="inlineStr">
        <is>
          <t>STRÖMSUND</t>
        </is>
      </c>
      <c r="F2433" t="inlineStr">
        <is>
          <t>SCA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60026-2025</t>
        </is>
      </c>
      <c r="B2434" s="1" t="n">
        <v>45993.60280092592</v>
      </c>
      <c r="C2434" s="1" t="n">
        <v>46048</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59704-2025</t>
        </is>
      </c>
      <c r="B2435" s="1" t="n">
        <v>45992.50162037037</v>
      </c>
      <c r="C2435" s="1" t="n">
        <v>46048</v>
      </c>
      <c r="D2435" t="inlineStr">
        <is>
          <t>JÄMTLANDS LÄN</t>
        </is>
      </c>
      <c r="E2435" t="inlineStr">
        <is>
          <t>STRÖMSUND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1611-2026</t>
        </is>
      </c>
      <c r="B2436" s="1" t="n">
        <v>46034.46922453704</v>
      </c>
      <c r="C2436" s="1" t="n">
        <v>46048</v>
      </c>
      <c r="D2436" t="inlineStr">
        <is>
          <t>JÄMTLANDS LÄN</t>
        </is>
      </c>
      <c r="E2436" t="inlineStr">
        <is>
          <t>STRÖMSUND</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59607-2025</t>
        </is>
      </c>
      <c r="B2437" s="1" t="n">
        <v>45992.36519675926</v>
      </c>
      <c r="C2437" s="1" t="n">
        <v>46048</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59553-2025</t>
        </is>
      </c>
      <c r="B2438" s="1" t="n">
        <v>45990.51078703703</v>
      </c>
      <c r="C2438" s="1" t="n">
        <v>46048</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1985-2026</t>
        </is>
      </c>
      <c r="B2439" s="1" t="n">
        <v>46035.65681712963</v>
      </c>
      <c r="C2439" s="1" t="n">
        <v>46048</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2035-2026</t>
        </is>
      </c>
      <c r="B2440" s="1" t="n">
        <v>46035.77960648148</v>
      </c>
      <c r="C2440" s="1" t="n">
        <v>46048</v>
      </c>
      <c r="D2440" t="inlineStr">
        <is>
          <t>JÄMTLANDS LÄN</t>
        </is>
      </c>
      <c r="E2440" t="inlineStr">
        <is>
          <t>STRÖMSUND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1571-2026</t>
        </is>
      </c>
      <c r="B2441" s="1" t="n">
        <v>46034.40717592592</v>
      </c>
      <c r="C2441" s="1" t="n">
        <v>46048</v>
      </c>
      <c r="D2441" t="inlineStr">
        <is>
          <t>JÄMTLANDS LÄN</t>
        </is>
      </c>
      <c r="E2441" t="inlineStr">
        <is>
          <t>STRÖMSUND</t>
        </is>
      </c>
      <c r="F2441" t="inlineStr">
        <is>
          <t>SCA</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2698-2026</t>
        </is>
      </c>
      <c r="B2442" s="1" t="n">
        <v>46037.67755787037</v>
      </c>
      <c r="C2442" s="1" t="n">
        <v>46048</v>
      </c>
      <c r="D2442" t="inlineStr">
        <is>
          <t>JÄMTLANDS LÄN</t>
        </is>
      </c>
      <c r="E2442" t="inlineStr">
        <is>
          <t>STRÖMSUND</t>
        </is>
      </c>
      <c r="F2442" t="inlineStr">
        <is>
          <t>SCA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2192-2026</t>
        </is>
      </c>
      <c r="B2443" s="1" t="n">
        <v>46036.46925925926</v>
      </c>
      <c r="C2443" s="1" t="n">
        <v>46048</v>
      </c>
      <c r="D2443" t="inlineStr">
        <is>
          <t>JÄMTLANDS LÄN</t>
        </is>
      </c>
      <c r="E2443" t="inlineStr">
        <is>
          <t>STRÖMSUND</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2466-2026</t>
        </is>
      </c>
      <c r="B2444" s="1" t="n">
        <v>46037.36509259259</v>
      </c>
      <c r="C2444" s="1" t="n">
        <v>46048</v>
      </c>
      <c r="D2444" t="inlineStr">
        <is>
          <t>JÄMTLANDS LÄN</t>
        </is>
      </c>
      <c r="E2444" t="inlineStr">
        <is>
          <t>STRÖMSUND</t>
        </is>
      </c>
      <c r="F2444" t="inlineStr">
        <is>
          <t>SCA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2407-2026</t>
        </is>
      </c>
      <c r="B2445" s="1" t="n">
        <v>46036.71928240741</v>
      </c>
      <c r="C2445" s="1" t="n">
        <v>46048</v>
      </c>
      <c r="D2445" t="inlineStr">
        <is>
          <t>JÄMTLANDS LÄN</t>
        </is>
      </c>
      <c r="E2445" t="inlineStr">
        <is>
          <t>STRÖMSUND</t>
        </is>
      </c>
      <c r="F2445" t="inlineStr">
        <is>
          <t>SCA</t>
        </is>
      </c>
      <c r="G2445" t="n">
        <v>18.6</v>
      </c>
      <c r="H2445" t="n">
        <v>0</v>
      </c>
      <c r="I2445" t="n">
        <v>0</v>
      </c>
      <c r="J2445" t="n">
        <v>0</v>
      </c>
      <c r="K2445" t="n">
        <v>0</v>
      </c>
      <c r="L2445" t="n">
        <v>0</v>
      </c>
      <c r="M2445" t="n">
        <v>0</v>
      </c>
      <c r="N2445" t="n">
        <v>0</v>
      </c>
      <c r="O2445" t="n">
        <v>0</v>
      </c>
      <c r="P2445" t="n">
        <v>0</v>
      </c>
      <c r="Q2445" t="n">
        <v>0</v>
      </c>
      <c r="R2445" s="2" t="inlineStr"/>
    </row>
    <row r="2446" ht="15" customHeight="1">
      <c r="A2446" t="inlineStr">
        <is>
          <t>A 2337-2026</t>
        </is>
      </c>
      <c r="B2446" s="1" t="n">
        <v>46036.61510416667</v>
      </c>
      <c r="C2446" s="1" t="n">
        <v>46048</v>
      </c>
      <c r="D2446" t="inlineStr">
        <is>
          <t>JÄMTLANDS LÄN</t>
        </is>
      </c>
      <c r="E2446" t="inlineStr">
        <is>
          <t>STRÖMSUND</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60546-2025</t>
        </is>
      </c>
      <c r="B2447" s="1" t="n">
        <v>45995.69835648148</v>
      </c>
      <c r="C2447" s="1" t="n">
        <v>46048</v>
      </c>
      <c r="D2447" t="inlineStr">
        <is>
          <t>JÄMTLANDS LÄN</t>
        </is>
      </c>
      <c r="E2447" t="inlineStr">
        <is>
          <t>STRÖMSUND</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2122-2026</t>
        </is>
      </c>
      <c r="B2448" s="1" t="n">
        <v>46036.38601851852</v>
      </c>
      <c r="C2448" s="1" t="n">
        <v>46048</v>
      </c>
      <c r="D2448" t="inlineStr">
        <is>
          <t>JÄMTLANDS LÄN</t>
        </is>
      </c>
      <c r="E2448" t="inlineStr">
        <is>
          <t>STRÖMSUND</t>
        </is>
      </c>
      <c r="F2448" t="inlineStr">
        <is>
          <t>SCA</t>
        </is>
      </c>
      <c r="G2448" t="n">
        <v>23.8</v>
      </c>
      <c r="H2448" t="n">
        <v>0</v>
      </c>
      <c r="I2448" t="n">
        <v>0</v>
      </c>
      <c r="J2448" t="n">
        <v>0</v>
      </c>
      <c r="K2448" t="n">
        <v>0</v>
      </c>
      <c r="L2448" t="n">
        <v>0</v>
      </c>
      <c r="M2448" t="n">
        <v>0</v>
      </c>
      <c r="N2448" t="n">
        <v>0</v>
      </c>
      <c r="O2448" t="n">
        <v>0</v>
      </c>
      <c r="P2448" t="n">
        <v>0</v>
      </c>
      <c r="Q2448" t="n">
        <v>0</v>
      </c>
      <c r="R2448" s="2" t="inlineStr"/>
    </row>
    <row r="2449" ht="15" customHeight="1">
      <c r="A2449" t="inlineStr">
        <is>
          <t>A 2454-2026</t>
        </is>
      </c>
      <c r="B2449" s="1" t="n">
        <v>46037.34460648148</v>
      </c>
      <c r="C2449" s="1" t="n">
        <v>46048</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2501-2026</t>
        </is>
      </c>
      <c r="B2450" s="1" t="n">
        <v>46037.40693287037</v>
      </c>
      <c r="C2450" s="1" t="n">
        <v>46048</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60517-2025</t>
        </is>
      </c>
      <c r="B2451" s="1" t="n">
        <v>45995.63657407407</v>
      </c>
      <c r="C2451" s="1" t="n">
        <v>46048</v>
      </c>
      <c r="D2451" t="inlineStr">
        <is>
          <t>JÄMTLANDS LÄN</t>
        </is>
      </c>
      <c r="E2451" t="inlineStr">
        <is>
          <t>STRÖMSUND</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60148-2025</t>
        </is>
      </c>
      <c r="B2452" s="1" t="n">
        <v>45994.38572916666</v>
      </c>
      <c r="C2452" s="1" t="n">
        <v>46048</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2500-2026</t>
        </is>
      </c>
      <c r="B2453" s="1" t="n">
        <v>46037.40677083333</v>
      </c>
      <c r="C2453" s="1" t="n">
        <v>46048</v>
      </c>
      <c r="D2453" t="inlineStr">
        <is>
          <t>JÄMTLANDS LÄN</t>
        </is>
      </c>
      <c r="E2453" t="inlineStr">
        <is>
          <t>STRÖMSUND</t>
        </is>
      </c>
      <c r="F2453" t="inlineStr">
        <is>
          <t>SCA</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2234-2026</t>
        </is>
      </c>
      <c r="B2454" s="1" t="n">
        <v>46036.53228009259</v>
      </c>
      <c r="C2454" s="1" t="n">
        <v>46048</v>
      </c>
      <c r="D2454" t="inlineStr">
        <is>
          <t>JÄMTLANDS LÄN</t>
        </is>
      </c>
      <c r="E2454" t="inlineStr">
        <is>
          <t>STRÖMSUND</t>
        </is>
      </c>
      <c r="F2454" t="inlineStr">
        <is>
          <t>SCA</t>
        </is>
      </c>
      <c r="G2454" t="n">
        <v>25.7</v>
      </c>
      <c r="H2454" t="n">
        <v>0</v>
      </c>
      <c r="I2454" t="n">
        <v>0</v>
      </c>
      <c r="J2454" t="n">
        <v>0</v>
      </c>
      <c r="K2454" t="n">
        <v>0</v>
      </c>
      <c r="L2454" t="n">
        <v>0</v>
      </c>
      <c r="M2454" t="n">
        <v>0</v>
      </c>
      <c r="N2454" t="n">
        <v>0</v>
      </c>
      <c r="O2454" t="n">
        <v>0</v>
      </c>
      <c r="P2454" t="n">
        <v>0</v>
      </c>
      <c r="Q2454" t="n">
        <v>0</v>
      </c>
      <c r="R2454" s="2" t="inlineStr"/>
    </row>
    <row r="2455" ht="15" customHeight="1">
      <c r="A2455" t="inlineStr">
        <is>
          <t>A 60388-2025</t>
        </is>
      </c>
      <c r="B2455" s="1" t="n">
        <v>45995.3862037037</v>
      </c>
      <c r="C2455" s="1" t="n">
        <v>46048</v>
      </c>
      <c r="D2455" t="inlineStr">
        <is>
          <t>JÄMTLANDS LÄN</t>
        </is>
      </c>
      <c r="E2455" t="inlineStr">
        <is>
          <t>STRÖMSUND</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59954-2025</t>
        </is>
      </c>
      <c r="B2456" s="1" t="n">
        <v>45993.45922453704</v>
      </c>
      <c r="C2456" s="1" t="n">
        <v>46048</v>
      </c>
      <c r="D2456" t="inlineStr">
        <is>
          <t>JÄMTLANDS LÄN</t>
        </is>
      </c>
      <c r="E2456" t="inlineStr">
        <is>
          <t>STRÖMSUND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2354-2026</t>
        </is>
      </c>
      <c r="B2457" s="1" t="n">
        <v>46036.63600694444</v>
      </c>
      <c r="C2457" s="1" t="n">
        <v>46048</v>
      </c>
      <c r="D2457" t="inlineStr">
        <is>
          <t>JÄMTLANDS LÄN</t>
        </is>
      </c>
      <c r="E2457" t="inlineStr">
        <is>
          <t>STRÖMSUND</t>
        </is>
      </c>
      <c r="F2457" t="inlineStr">
        <is>
          <t>SCA</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60370-2025</t>
        </is>
      </c>
      <c r="B2458" s="1" t="n">
        <v>45995.34466435185</v>
      </c>
      <c r="C2458" s="1" t="n">
        <v>46048</v>
      </c>
      <c r="D2458" t="inlineStr">
        <is>
          <t>JÄMTLANDS LÄN</t>
        </is>
      </c>
      <c r="E2458" t="inlineStr">
        <is>
          <t>STRÖMSUND</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60531-2025</t>
        </is>
      </c>
      <c r="B2459" s="1" t="n">
        <v>45995.65673611111</v>
      </c>
      <c r="C2459" s="1" t="n">
        <v>46048</v>
      </c>
      <c r="D2459" t="inlineStr">
        <is>
          <t>JÄMTLANDS LÄN</t>
        </is>
      </c>
      <c r="E2459" t="inlineStr">
        <is>
          <t>STRÖMSUND</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60905-2025</t>
        </is>
      </c>
      <c r="B2460" s="1" t="n">
        <v>45999.5946412037</v>
      </c>
      <c r="C2460" s="1" t="n">
        <v>46048</v>
      </c>
      <c r="D2460" t="inlineStr">
        <is>
          <t>JÄMTLANDS LÄN</t>
        </is>
      </c>
      <c r="E2460" t="inlineStr">
        <is>
          <t>STRÖMSUND</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2873-2026</t>
        </is>
      </c>
      <c r="B2461" s="1" t="n">
        <v>46038.51086805556</v>
      </c>
      <c r="C2461" s="1" t="n">
        <v>46048</v>
      </c>
      <c r="D2461" t="inlineStr">
        <is>
          <t>JÄMTLANDS LÄN</t>
        </is>
      </c>
      <c r="E2461" t="inlineStr">
        <is>
          <t>STRÖMSUND</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3153-2026</t>
        </is>
      </c>
      <c r="B2462" s="1" t="n">
        <v>46041.42761574074</v>
      </c>
      <c r="C2462" s="1" t="n">
        <v>46048</v>
      </c>
      <c r="D2462" t="inlineStr">
        <is>
          <t>JÄMTLANDS LÄN</t>
        </is>
      </c>
      <c r="E2462" t="inlineStr">
        <is>
          <t>STRÖMSUND</t>
        </is>
      </c>
      <c r="F2462" t="inlineStr">
        <is>
          <t>SCA</t>
        </is>
      </c>
      <c r="G2462" t="n">
        <v>35.8</v>
      </c>
      <c r="H2462" t="n">
        <v>0</v>
      </c>
      <c r="I2462" t="n">
        <v>0</v>
      </c>
      <c r="J2462" t="n">
        <v>0</v>
      </c>
      <c r="K2462" t="n">
        <v>0</v>
      </c>
      <c r="L2462" t="n">
        <v>0</v>
      </c>
      <c r="M2462" t="n">
        <v>0</v>
      </c>
      <c r="N2462" t="n">
        <v>0</v>
      </c>
      <c r="O2462" t="n">
        <v>0</v>
      </c>
      <c r="P2462" t="n">
        <v>0</v>
      </c>
      <c r="Q2462" t="n">
        <v>0</v>
      </c>
      <c r="R2462" s="2" t="inlineStr"/>
    </row>
    <row r="2463" ht="15" customHeight="1">
      <c r="A2463" t="inlineStr">
        <is>
          <t>A 2874-2026</t>
        </is>
      </c>
      <c r="B2463" s="1" t="n">
        <v>46038.51106481482</v>
      </c>
      <c r="C2463" s="1" t="n">
        <v>46048</v>
      </c>
      <c r="D2463" t="inlineStr">
        <is>
          <t>JÄMTLANDS LÄN</t>
        </is>
      </c>
      <c r="E2463" t="inlineStr">
        <is>
          <t>STRÖMSUND</t>
        </is>
      </c>
      <c r="F2463" t="inlineStr">
        <is>
          <t>SCA</t>
        </is>
      </c>
      <c r="G2463" t="n">
        <v>19.5</v>
      </c>
      <c r="H2463" t="n">
        <v>0</v>
      </c>
      <c r="I2463" t="n">
        <v>0</v>
      </c>
      <c r="J2463" t="n">
        <v>0</v>
      </c>
      <c r="K2463" t="n">
        <v>0</v>
      </c>
      <c r="L2463" t="n">
        <v>0</v>
      </c>
      <c r="M2463" t="n">
        <v>0</v>
      </c>
      <c r="N2463" t="n">
        <v>0</v>
      </c>
      <c r="O2463" t="n">
        <v>0</v>
      </c>
      <c r="P2463" t="n">
        <v>0</v>
      </c>
      <c r="Q2463" t="n">
        <v>0</v>
      </c>
      <c r="R2463" s="2" t="inlineStr"/>
    </row>
    <row r="2464" ht="15" customHeight="1">
      <c r="A2464" t="inlineStr">
        <is>
          <t>A 2780-2026</t>
        </is>
      </c>
      <c r="B2464" s="1" t="n">
        <v>46038.38592592593</v>
      </c>
      <c r="C2464" s="1" t="n">
        <v>46048</v>
      </c>
      <c r="D2464" t="inlineStr">
        <is>
          <t>JÄMTLANDS LÄN</t>
        </is>
      </c>
      <c r="E2464" t="inlineStr">
        <is>
          <t>STRÖMSUND</t>
        </is>
      </c>
      <c r="F2464" t="inlineStr">
        <is>
          <t>SCA</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23635-2025</t>
        </is>
      </c>
      <c r="B2465" s="1" t="n">
        <v>45792</v>
      </c>
      <c r="C2465" s="1" t="n">
        <v>46048</v>
      </c>
      <c r="D2465" t="inlineStr">
        <is>
          <t>JÄMTLANDS LÄN</t>
        </is>
      </c>
      <c r="E2465" t="inlineStr">
        <is>
          <t>STRÖMSUND</t>
        </is>
      </c>
      <c r="F2465" t="inlineStr">
        <is>
          <t>Holmen skog AB</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2759-2026</t>
        </is>
      </c>
      <c r="B2466" s="1" t="n">
        <v>46038.34431712963</v>
      </c>
      <c r="C2466" s="1" t="n">
        <v>46048</v>
      </c>
      <c r="D2466" t="inlineStr">
        <is>
          <t>JÄMTLANDS LÄN</t>
        </is>
      </c>
      <c r="E2466" t="inlineStr">
        <is>
          <t>STRÖMSUND</t>
        </is>
      </c>
      <c r="F2466" t="inlineStr">
        <is>
          <t>SCA</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60832-2025</t>
        </is>
      </c>
      <c r="B2467" s="1" t="n">
        <v>45999.46952546296</v>
      </c>
      <c r="C2467" s="1" t="n">
        <v>46048</v>
      </c>
      <c r="D2467" t="inlineStr">
        <is>
          <t>JÄMTLANDS LÄN</t>
        </is>
      </c>
      <c r="E2467" t="inlineStr">
        <is>
          <t>STRÖMSUND</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60917-2025</t>
        </is>
      </c>
      <c r="B2468" s="1" t="n">
        <v>45999.61521990741</v>
      </c>
      <c r="C2468" s="1" t="n">
        <v>46048</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2989-2026</t>
        </is>
      </c>
      <c r="B2469" s="1" t="n">
        <v>46038.63608796296</v>
      </c>
      <c r="C2469" s="1" t="n">
        <v>46048</v>
      </c>
      <c r="D2469" t="inlineStr">
        <is>
          <t>JÄMTLANDS LÄN</t>
        </is>
      </c>
      <c r="E2469" t="inlineStr">
        <is>
          <t>STRÖMSUND</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42156-2025</t>
        </is>
      </c>
      <c r="B2470" s="1" t="n">
        <v>45904</v>
      </c>
      <c r="C2470" s="1" t="n">
        <v>46048</v>
      </c>
      <c r="D2470" t="inlineStr">
        <is>
          <t>JÄMTLANDS LÄN</t>
        </is>
      </c>
      <c r="E2470" t="inlineStr">
        <is>
          <t>STRÖMSUND</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14070-2025</t>
        </is>
      </c>
      <c r="B2471" s="1" t="n">
        <v>45740</v>
      </c>
      <c r="C2471" s="1" t="n">
        <v>46048</v>
      </c>
      <c r="D2471" t="inlineStr">
        <is>
          <t>JÄMTLANDS LÄN</t>
        </is>
      </c>
      <c r="E2471" t="inlineStr">
        <is>
          <t>STRÖMSUND</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2757-2026</t>
        </is>
      </c>
      <c r="B2472" s="1" t="n">
        <v>46036</v>
      </c>
      <c r="C2472" s="1" t="n">
        <v>46048</v>
      </c>
      <c r="D2472" t="inlineStr">
        <is>
          <t>JÄMTLANDS LÄN</t>
        </is>
      </c>
      <c r="E2472" t="inlineStr">
        <is>
          <t>STRÖMSUND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60728-2025</t>
        </is>
      </c>
      <c r="B2473" s="1" t="n">
        <v>45996.68180555556</v>
      </c>
      <c r="C2473" s="1" t="n">
        <v>46048</v>
      </c>
      <c r="D2473" t="inlineStr">
        <is>
          <t>JÄMTLANDS LÄN</t>
        </is>
      </c>
      <c r="E2473" t="inlineStr">
        <is>
          <t>STRÖMSUND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48879-2025</t>
        </is>
      </c>
      <c r="B2474" s="1" t="n">
        <v>45937</v>
      </c>
      <c r="C2474" s="1" t="n">
        <v>46048</v>
      </c>
      <c r="D2474" t="inlineStr">
        <is>
          <t>JÄMTLANDS LÄN</t>
        </is>
      </c>
      <c r="E2474" t="inlineStr">
        <is>
          <t>STRÖMSUND</t>
        </is>
      </c>
      <c r="F2474" t="inlineStr">
        <is>
          <t>SCA</t>
        </is>
      </c>
      <c r="G2474" t="n">
        <v>47.7</v>
      </c>
      <c r="H2474" t="n">
        <v>0</v>
      </c>
      <c r="I2474" t="n">
        <v>0</v>
      </c>
      <c r="J2474" t="n">
        <v>0</v>
      </c>
      <c r="K2474" t="n">
        <v>0</v>
      </c>
      <c r="L2474" t="n">
        <v>0</v>
      </c>
      <c r="M2474" t="n">
        <v>0</v>
      </c>
      <c r="N2474" t="n">
        <v>0</v>
      </c>
      <c r="O2474" t="n">
        <v>0</v>
      </c>
      <c r="P2474" t="n">
        <v>0</v>
      </c>
      <c r="Q2474" t="n">
        <v>0</v>
      </c>
      <c r="R2474" s="2" t="inlineStr"/>
    </row>
    <row r="2475" ht="15" customHeight="1">
      <c r="A2475" t="inlineStr">
        <is>
          <t>A 60680-2025</t>
        </is>
      </c>
      <c r="B2475" s="1" t="n">
        <v>45996.57351851852</v>
      </c>
      <c r="C2475" s="1" t="n">
        <v>46048</v>
      </c>
      <c r="D2475" t="inlineStr">
        <is>
          <t>JÄMTLANDS LÄN</t>
        </is>
      </c>
      <c r="E2475" t="inlineStr">
        <is>
          <t>STRÖMSUND</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2964-2026</t>
        </is>
      </c>
      <c r="B2476" s="1" t="n">
        <v>46038.61510416667</v>
      </c>
      <c r="C2476" s="1" t="n">
        <v>46048</v>
      </c>
      <c r="D2476" t="inlineStr">
        <is>
          <t>JÄMTLANDS LÄN</t>
        </is>
      </c>
      <c r="E2476" t="inlineStr">
        <is>
          <t>STRÖMSUND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60906-2025</t>
        </is>
      </c>
      <c r="B2477" s="1" t="n">
        <v>45999.59472222222</v>
      </c>
      <c r="C2477" s="1" t="n">
        <v>46048</v>
      </c>
      <c r="D2477" t="inlineStr">
        <is>
          <t>JÄMTLANDS LÄN</t>
        </is>
      </c>
      <c r="E2477" t="inlineStr">
        <is>
          <t>STRÖMSUND</t>
        </is>
      </c>
      <c r="F2477" t="inlineStr">
        <is>
          <t>SCA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3846-2026</t>
        </is>
      </c>
      <c r="B2478" s="1" t="n">
        <v>46043.60299768519</v>
      </c>
      <c r="C2478" s="1" t="n">
        <v>46048</v>
      </c>
      <c r="D2478" t="inlineStr">
        <is>
          <t>JÄMTLANDS LÄN</t>
        </is>
      </c>
      <c r="E2478" t="inlineStr">
        <is>
          <t>STRÖMSUND</t>
        </is>
      </c>
      <c r="F2478" t="inlineStr">
        <is>
          <t>SCA</t>
        </is>
      </c>
      <c r="G2478" t="n">
        <v>15.4</v>
      </c>
      <c r="H2478" t="n">
        <v>0</v>
      </c>
      <c r="I2478" t="n">
        <v>0</v>
      </c>
      <c r="J2478" t="n">
        <v>0</v>
      </c>
      <c r="K2478" t="n">
        <v>0</v>
      </c>
      <c r="L2478" t="n">
        <v>0</v>
      </c>
      <c r="M2478" t="n">
        <v>0</v>
      </c>
      <c r="N2478" t="n">
        <v>0</v>
      </c>
      <c r="O2478" t="n">
        <v>0</v>
      </c>
      <c r="P2478" t="n">
        <v>0</v>
      </c>
      <c r="Q2478" t="n">
        <v>0</v>
      </c>
      <c r="R2478" s="2" t="inlineStr"/>
    </row>
    <row r="2479" ht="15" customHeight="1">
      <c r="A2479" t="inlineStr">
        <is>
          <t>A 61363-2025</t>
        </is>
      </c>
      <c r="B2479" s="1" t="n">
        <v>46001.42747685185</v>
      </c>
      <c r="C2479" s="1" t="n">
        <v>46048</v>
      </c>
      <c r="D2479" t="inlineStr">
        <is>
          <t>JÄMTLANDS LÄN</t>
        </is>
      </c>
      <c r="E2479" t="inlineStr">
        <is>
          <t>STRÖMSUND</t>
        </is>
      </c>
      <c r="F2479" t="inlineStr">
        <is>
          <t>SCA</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41261-2025</t>
        </is>
      </c>
      <c r="B2480" s="1" t="n">
        <v>45898</v>
      </c>
      <c r="C2480" s="1" t="n">
        <v>46048</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3881-2026</t>
        </is>
      </c>
      <c r="B2481" s="1" t="n">
        <v>46043.6568287037</v>
      </c>
      <c r="C2481" s="1" t="n">
        <v>46048</v>
      </c>
      <c r="D2481" t="inlineStr">
        <is>
          <t>JÄMTLANDS LÄN</t>
        </is>
      </c>
      <c r="E2481" t="inlineStr">
        <is>
          <t>STRÖMSUND</t>
        </is>
      </c>
      <c r="F2481" t="inlineStr">
        <is>
          <t>SCA</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61209-2025</t>
        </is>
      </c>
      <c r="B2482" s="1" t="n">
        <v>46000.61510416667</v>
      </c>
      <c r="C2482" s="1" t="n">
        <v>46048</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3880-2026</t>
        </is>
      </c>
      <c r="B2483" s="1" t="n">
        <v>46043.65664351852</v>
      </c>
      <c r="C2483" s="1" t="n">
        <v>46048</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51174-2025</t>
        </is>
      </c>
      <c r="B2484" s="1" t="n">
        <v>45947</v>
      </c>
      <c r="C2484" s="1" t="n">
        <v>46048</v>
      </c>
      <c r="D2484" t="inlineStr">
        <is>
          <t>JÄMTLANDS LÄN</t>
        </is>
      </c>
      <c r="E2484" t="inlineStr">
        <is>
          <t>STRÖMSUND</t>
        </is>
      </c>
      <c r="F2484" t="inlineStr">
        <is>
          <t>Kyrkan</t>
        </is>
      </c>
      <c r="G2484" t="n">
        <v>41.9</v>
      </c>
      <c r="H2484" t="n">
        <v>0</v>
      </c>
      <c r="I2484" t="n">
        <v>0</v>
      </c>
      <c r="J2484" t="n">
        <v>0</v>
      </c>
      <c r="K2484" t="n">
        <v>0</v>
      </c>
      <c r="L2484" t="n">
        <v>0</v>
      </c>
      <c r="M2484" t="n">
        <v>0</v>
      </c>
      <c r="N2484" t="n">
        <v>0</v>
      </c>
      <c r="O2484" t="n">
        <v>0</v>
      </c>
      <c r="P2484" t="n">
        <v>0</v>
      </c>
      <c r="Q2484" t="n">
        <v>0</v>
      </c>
      <c r="R2484" s="2" t="inlineStr"/>
      <c r="U2484">
        <f>HYPERLINK("https://klasma.github.io/Logging_2313/knärot/A 51174-2025 karta knärot.png", "A 51174-2025")</f>
        <v/>
      </c>
      <c r="V2484">
        <f>HYPERLINK("https://klasma.github.io/Logging_2313/klagomål/A 51174-2025 FSC-klagomål.docx", "A 51174-2025")</f>
        <v/>
      </c>
      <c r="W2484">
        <f>HYPERLINK("https://klasma.github.io/Logging_2313/klagomålsmail/A 51174-2025 FSC-klagomål mail.docx", "A 51174-2025")</f>
        <v/>
      </c>
      <c r="X2484">
        <f>HYPERLINK("https://klasma.github.io/Logging_2313/tillsyn/A 51174-2025 tillsynsbegäran.docx", "A 51174-2025")</f>
        <v/>
      </c>
      <c r="Y2484">
        <f>HYPERLINK("https://klasma.github.io/Logging_2313/tillsynsmail/A 51174-2025 tillsynsbegäran mail.docx", "A 51174-2025")</f>
        <v/>
      </c>
    </row>
    <row r="2485" ht="15" customHeight="1">
      <c r="A2485" t="inlineStr">
        <is>
          <t>A 61195-2025</t>
        </is>
      </c>
      <c r="B2485" s="1" t="n">
        <v>46000</v>
      </c>
      <c r="C2485" s="1" t="n">
        <v>46048</v>
      </c>
      <c r="D2485" t="inlineStr">
        <is>
          <t>JÄMTLANDS LÄN</t>
        </is>
      </c>
      <c r="E2485" t="inlineStr">
        <is>
          <t>STRÖMSUND</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61210-2025</t>
        </is>
      </c>
      <c r="B2486" s="1" t="n">
        <v>46000.61526620371</v>
      </c>
      <c r="C2486" s="1" t="n">
        <v>46048</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61435-2025</t>
        </is>
      </c>
      <c r="B2487" s="1" t="n">
        <v>46001.56234953704</v>
      </c>
      <c r="C2487" s="1" t="n">
        <v>46048</v>
      </c>
      <c r="D2487" t="inlineStr">
        <is>
          <t>JÄMTLANDS LÄN</t>
        </is>
      </c>
      <c r="E2487" t="inlineStr">
        <is>
          <t>STRÖMSUND</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63393-2025</t>
        </is>
      </c>
      <c r="B2488" s="1" t="n">
        <v>46011</v>
      </c>
      <c r="C2488" s="1" t="n">
        <v>46048</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26789-2025</t>
        </is>
      </c>
      <c r="B2489" s="1" t="n">
        <v>45810</v>
      </c>
      <c r="C2489" s="1" t="n">
        <v>46048</v>
      </c>
      <c r="D2489" t="inlineStr">
        <is>
          <t>JÄMTLANDS LÄN</t>
        </is>
      </c>
      <c r="E2489" t="inlineStr">
        <is>
          <t>STRÖMSUND</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4175-2026</t>
        </is>
      </c>
      <c r="B2490" s="1" t="n">
        <v>46044.67844907408</v>
      </c>
      <c r="C2490" s="1" t="n">
        <v>46048</v>
      </c>
      <c r="D2490" t="inlineStr">
        <is>
          <t>JÄMTLANDS LÄN</t>
        </is>
      </c>
      <c r="E2490" t="inlineStr">
        <is>
          <t>STRÖMSUND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62013-2025</t>
        </is>
      </c>
      <c r="B2491" s="1" t="n">
        <v>46003.67773148148</v>
      </c>
      <c r="C2491" s="1" t="n">
        <v>46048</v>
      </c>
      <c r="D2491" t="inlineStr">
        <is>
          <t>JÄMTLANDS LÄN</t>
        </is>
      </c>
      <c r="E2491" t="inlineStr">
        <is>
          <t>STRÖMSUND</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61979-2025</t>
        </is>
      </c>
      <c r="B2492" s="1" t="n">
        <v>46003.61501157407</v>
      </c>
      <c r="C2492" s="1" t="n">
        <v>46048</v>
      </c>
      <c r="D2492" t="inlineStr">
        <is>
          <t>JÄMTLANDS LÄN</t>
        </is>
      </c>
      <c r="E2492" t="inlineStr">
        <is>
          <t>STRÖMSUND</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13044-2025</t>
        </is>
      </c>
      <c r="B2493" s="1" t="n">
        <v>45734</v>
      </c>
      <c r="C2493" s="1" t="n">
        <v>46048</v>
      </c>
      <c r="D2493" t="inlineStr">
        <is>
          <t>JÄMTLANDS LÄN</t>
        </is>
      </c>
      <c r="E2493" t="inlineStr">
        <is>
          <t>STRÖMSUND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15375-2024</t>
        </is>
      </c>
      <c r="B2494" s="1" t="n">
        <v>45400</v>
      </c>
      <c r="C2494" s="1" t="n">
        <v>46048</v>
      </c>
      <c r="D2494" t="inlineStr">
        <is>
          <t>JÄMTLANDS LÄN</t>
        </is>
      </c>
      <c r="E2494" t="inlineStr">
        <is>
          <t>STRÖMSUND</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21781-2025</t>
        </is>
      </c>
      <c r="B2495" s="1" t="n">
        <v>45783</v>
      </c>
      <c r="C2495" s="1" t="n">
        <v>46048</v>
      </c>
      <c r="D2495" t="inlineStr">
        <is>
          <t>JÄMTLANDS LÄN</t>
        </is>
      </c>
      <c r="E2495" t="inlineStr">
        <is>
          <t>STRÖMSUND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13617-2025</t>
        </is>
      </c>
      <c r="B2496" s="1" t="n">
        <v>45736</v>
      </c>
      <c r="C2496" s="1" t="n">
        <v>46048</v>
      </c>
      <c r="D2496" t="inlineStr">
        <is>
          <t>JÄMTLANDS LÄN</t>
        </is>
      </c>
      <c r="E2496" t="inlineStr">
        <is>
          <t>STRÖMSUND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4076-2026</t>
        </is>
      </c>
      <c r="B2497" s="1" t="n">
        <v>46043</v>
      </c>
      <c r="C2497" s="1" t="n">
        <v>46048</v>
      </c>
      <c r="D2497" t="inlineStr">
        <is>
          <t>JÄMTLANDS LÄN</t>
        </is>
      </c>
      <c r="E2497" t="inlineStr">
        <is>
          <t>STRÖMSUND</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4174-2026</t>
        </is>
      </c>
      <c r="B2498" s="1" t="n">
        <v>46044.67841435185</v>
      </c>
      <c r="C2498" s="1" t="n">
        <v>46048</v>
      </c>
      <c r="D2498" t="inlineStr">
        <is>
          <t>JÄMTLANDS LÄN</t>
        </is>
      </c>
      <c r="E2498" t="inlineStr">
        <is>
          <t>STRÖMSUND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4063-2026</t>
        </is>
      </c>
      <c r="B2499" s="1" t="n">
        <v>46044.51086805556</v>
      </c>
      <c r="C2499" s="1" t="n">
        <v>46048</v>
      </c>
      <c r="D2499" t="inlineStr">
        <is>
          <t>JÄMTLANDS LÄN</t>
        </is>
      </c>
      <c r="E2499" t="inlineStr">
        <is>
          <t>STRÖMSUND</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15364-2024</t>
        </is>
      </c>
      <c r="B2500" s="1" t="n">
        <v>45400</v>
      </c>
      <c r="C2500" s="1" t="n">
        <v>46048</v>
      </c>
      <c r="D2500" t="inlineStr">
        <is>
          <t>JÄMTLANDS LÄN</t>
        </is>
      </c>
      <c r="E2500" t="inlineStr">
        <is>
          <t>STRÖMSUND</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61625-2025</t>
        </is>
      </c>
      <c r="B2501" s="1" t="n">
        <v>46002.40075231482</v>
      </c>
      <c r="C2501" s="1" t="n">
        <v>46048</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61675-2025</t>
        </is>
      </c>
      <c r="B2502" s="1" t="n">
        <v>46002</v>
      </c>
      <c r="C2502" s="1" t="n">
        <v>46048</v>
      </c>
      <c r="D2502" t="inlineStr">
        <is>
          <t>JÄMTLANDS LÄN</t>
        </is>
      </c>
      <c r="E2502" t="inlineStr">
        <is>
          <t>STRÖMSUND</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62011-2025</t>
        </is>
      </c>
      <c r="B2503" s="1" t="n">
        <v>46003.67744212963</v>
      </c>
      <c r="C2503" s="1" t="n">
        <v>46048</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61630-2025</t>
        </is>
      </c>
      <c r="B2504" s="1" t="n">
        <v>46002.40526620371</v>
      </c>
      <c r="C2504" s="1" t="n">
        <v>46048</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4172-2026</t>
        </is>
      </c>
      <c r="B2505" s="1" t="n">
        <v>46044.67766203704</v>
      </c>
      <c r="C2505" s="1" t="n">
        <v>46048</v>
      </c>
      <c r="D2505" t="inlineStr">
        <is>
          <t>JÄMTLANDS LÄN</t>
        </is>
      </c>
      <c r="E2505" t="inlineStr">
        <is>
          <t>STRÖMSUND</t>
        </is>
      </c>
      <c r="F2505" t="inlineStr">
        <is>
          <t>SCA</t>
        </is>
      </c>
      <c r="G2505" t="n">
        <v>4.2</v>
      </c>
      <c r="H2505" t="n">
        <v>0</v>
      </c>
      <c r="I2505" t="n">
        <v>0</v>
      </c>
      <c r="J2505" t="n">
        <v>0</v>
      </c>
      <c r="K2505" t="n">
        <v>0</v>
      </c>
      <c r="L2505" t="n">
        <v>0</v>
      </c>
      <c r="M2505" t="n">
        <v>0</v>
      </c>
      <c r="N2505" t="n">
        <v>0</v>
      </c>
      <c r="O2505" t="n">
        <v>0</v>
      </c>
      <c r="P2505" t="n">
        <v>0</v>
      </c>
      <c r="Q2505" t="n">
        <v>0</v>
      </c>
      <c r="R2505" s="2" t="inlineStr"/>
    </row>
    <row r="2506">
      <c r="A2506" t="inlineStr">
        <is>
          <t>A 4173-2026</t>
        </is>
      </c>
      <c r="B2506" s="1" t="n">
        <v>46044.67832175926</v>
      </c>
      <c r="C2506" s="1" t="n">
        <v>46048</v>
      </c>
      <c r="D2506" t="inlineStr">
        <is>
          <t>JÄMTLANDS LÄN</t>
        </is>
      </c>
      <c r="E2506" t="inlineStr">
        <is>
          <t>STRÖMSUND</t>
        </is>
      </c>
      <c r="G2506" t="n">
        <v>2.9</v>
      </c>
      <c r="H2506" t="n">
        <v>0</v>
      </c>
      <c r="I2506" t="n">
        <v>0</v>
      </c>
      <c r="J2506" t="n">
        <v>0</v>
      </c>
      <c r="K2506" t="n">
        <v>0</v>
      </c>
      <c r="L2506" t="n">
        <v>0</v>
      </c>
      <c r="M2506" t="n">
        <v>0</v>
      </c>
      <c r="N2506" t="n">
        <v>0</v>
      </c>
      <c r="O2506" t="n">
        <v>0</v>
      </c>
      <c r="P2506" t="n">
        <v>0</v>
      </c>
      <c r="Q2506" t="n">
        <v>0</v>
      </c>
      <c r="R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2026-01-26T11:02:11Z</dcterms:created>
  <dcterms:modified xmlns:dcterms="http://purl.org/dc/terms/" xmlns:xsi="http://www.w3.org/2001/XMLSchema-instance" xsi:type="dcterms:W3CDTF">2026-01-26T11:02:13Z</dcterms:modified>
</cp:coreProperties>
</file>