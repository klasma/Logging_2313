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45665</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45665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45665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45665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45665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45665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45665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45665</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45665</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45665</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45665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45665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45665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45665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45665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45665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45665</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57844-2022</t>
        </is>
      </c>
      <c r="B19" s="1" t="n">
        <v>44897</v>
      </c>
      <c r="C19" s="1" t="n">
        <v>45665</v>
      </c>
      <c r="D19" t="inlineStr">
        <is>
          <t>JÄMTLANDS LÄN</t>
        </is>
      </c>
      <c r="E19" t="inlineStr">
        <is>
          <t>STRÖMSUND</t>
        </is>
      </c>
      <c r="F19" t="inlineStr">
        <is>
          <t>SCA</t>
        </is>
      </c>
      <c r="G19" t="n">
        <v>6.5</v>
      </c>
      <c r="H19" t="n">
        <v>5</v>
      </c>
      <c r="I19" t="n">
        <v>7</v>
      </c>
      <c r="J19" t="n">
        <v>13</v>
      </c>
      <c r="K19" t="n">
        <v>1</v>
      </c>
      <c r="L19" t="n">
        <v>0</v>
      </c>
      <c r="M19" t="n">
        <v>0</v>
      </c>
      <c r="N19" t="n">
        <v>0</v>
      </c>
      <c r="O19" t="n">
        <v>14</v>
      </c>
      <c r="P19" t="n">
        <v>1</v>
      </c>
      <c r="Q19" t="n">
        <v>23</v>
      </c>
      <c r="R1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9">
        <f>HYPERLINK("https://klasma.github.io/Logging_2313/artfynd/A 57844-2022 artfynd.xlsx", "A 57844-2022")</f>
        <v/>
      </c>
      <c r="T19">
        <f>HYPERLINK("https://klasma.github.io/Logging_2313/kartor/A 57844-2022 karta.png", "A 57844-2022")</f>
        <v/>
      </c>
      <c r="V19">
        <f>HYPERLINK("https://klasma.github.io/Logging_2313/klagomål/A 57844-2022 FSC-klagomål.docx", "A 57844-2022")</f>
        <v/>
      </c>
      <c r="W19">
        <f>HYPERLINK("https://klasma.github.io/Logging_2313/klagomålsmail/A 57844-2022 FSC-klagomål mail.docx", "A 57844-2022")</f>
        <v/>
      </c>
      <c r="X19">
        <f>HYPERLINK("https://klasma.github.io/Logging_2313/tillsyn/A 57844-2022 tillsynsbegäran.docx", "A 57844-2022")</f>
        <v/>
      </c>
      <c r="Y19">
        <f>HYPERLINK("https://klasma.github.io/Logging_2313/tillsynsmail/A 57844-2022 tillsynsbegäran mail.docx", "A 57844-2022")</f>
        <v/>
      </c>
      <c r="Z19">
        <f>HYPERLINK("https://klasma.github.io/Logging_2313/fåglar/A 57844-2022 prioriterade fågelarter.docx", "A 57844-2022")</f>
        <v/>
      </c>
    </row>
    <row r="20" ht="15" customHeight="1">
      <c r="A20" t="inlineStr">
        <is>
          <t>A 39994-2020</t>
        </is>
      </c>
      <c r="B20" s="1" t="n">
        <v>44067</v>
      </c>
      <c r="C20" s="1" t="n">
        <v>45665</v>
      </c>
      <c r="D20" t="inlineStr">
        <is>
          <t>JÄMTLANDS LÄN</t>
        </is>
      </c>
      <c r="E20" t="inlineStr">
        <is>
          <t>STRÖMSUND</t>
        </is>
      </c>
      <c r="F20" t="inlineStr">
        <is>
          <t>Holmen skog AB</t>
        </is>
      </c>
      <c r="G20" t="n">
        <v>22</v>
      </c>
      <c r="H20" t="n">
        <v>3</v>
      </c>
      <c r="I20" t="n">
        <v>9</v>
      </c>
      <c r="J20" t="n">
        <v>11</v>
      </c>
      <c r="K20" t="n">
        <v>1</v>
      </c>
      <c r="L20" t="n">
        <v>0</v>
      </c>
      <c r="M20" t="n">
        <v>0</v>
      </c>
      <c r="N20" t="n">
        <v>0</v>
      </c>
      <c r="O20" t="n">
        <v>12</v>
      </c>
      <c r="P20" t="n">
        <v>1</v>
      </c>
      <c r="Q20" t="n">
        <v>22</v>
      </c>
      <c r="R2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20">
        <f>HYPERLINK("https://klasma.github.io/Logging_2313/artfynd/A 39994-2020 artfynd.xlsx", "A 39994-2020")</f>
        <v/>
      </c>
      <c r="T20">
        <f>HYPERLINK("https://klasma.github.io/Logging_2313/kartor/A 39994-2020 karta.png", "A 39994-2020")</f>
        <v/>
      </c>
      <c r="V20">
        <f>HYPERLINK("https://klasma.github.io/Logging_2313/klagomål/A 39994-2020 FSC-klagomål.docx", "A 39994-2020")</f>
        <v/>
      </c>
      <c r="W20">
        <f>HYPERLINK("https://klasma.github.io/Logging_2313/klagomålsmail/A 39994-2020 FSC-klagomål mail.docx", "A 39994-2020")</f>
        <v/>
      </c>
      <c r="X20">
        <f>HYPERLINK("https://klasma.github.io/Logging_2313/tillsyn/A 39994-2020 tillsynsbegäran.docx", "A 39994-2020")</f>
        <v/>
      </c>
      <c r="Y20">
        <f>HYPERLINK("https://klasma.github.io/Logging_2313/tillsynsmail/A 39994-2020 tillsynsbegäran mail.docx", "A 39994-2020")</f>
        <v/>
      </c>
      <c r="Z20">
        <f>HYPERLINK("https://klasma.github.io/Logging_2313/fåglar/A 39994-2020 prioriterade fågelarter.docx", "A 39994-2020")</f>
        <v/>
      </c>
    </row>
    <row r="21" ht="15" customHeight="1">
      <c r="A21" t="inlineStr">
        <is>
          <t>A 69142-2021</t>
        </is>
      </c>
      <c r="B21" s="1" t="n">
        <v>44530</v>
      </c>
      <c r="C21" s="1" t="n">
        <v>45665</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45665</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45665</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45665</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45665</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45665</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45665</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45665</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45665</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45665</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45665</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45665</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45665</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45665</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45665</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45665</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45665</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45665</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45665</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45665</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45665</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45665</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45665</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45665</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45665</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45665</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45665</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45665</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45665</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45665</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45665</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45665</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45665</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45665</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45665</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45665</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45665</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45665</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45665</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45665</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45665</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45665</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45665</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45665</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45665</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45665</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45665</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45665</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45665</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45665</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45665</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45665</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45665</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45665</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45665</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45665</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45665</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45665</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45665</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45665</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45665</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45665</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45665</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45665</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45665</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45665</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45665</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45665</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45665</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45665</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45665</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45665</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45665</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45665</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45665</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45665</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45665</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45665</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45665</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45665</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45665</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45665</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45665</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45665</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45665</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45665</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45665</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45665</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45665</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45665</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45665</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45665</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45665</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45665</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45665</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45665</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45665</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45665</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45665</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45665</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45665</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45665</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45665</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45665</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45665</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45665</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45665</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45665</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45665</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45665</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45665</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45665</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45665</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45665</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45665</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45665</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45665</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45665</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45665</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45665</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45665</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45665</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45665</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45665</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45665</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45665</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45665</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45665</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45665</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45665</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45665</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45665</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45665</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45665</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45665</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45665</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45665</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45665</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45665</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45665</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45665</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45665</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45665</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45665</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45665</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45665</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45665</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45665</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45665</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45665</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45665</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45665</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45665</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45665</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45665</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45665</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45665</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45665</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45665</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45665</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45665</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45665</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45665</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45665</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45665</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45665</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45665</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45665</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45665</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45665</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45665</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45665</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45665</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45665</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45665</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45665</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45665</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45665</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45665</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45665</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45665</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45665</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45665</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45665</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45665</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45665</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45665</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45665</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45665</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45665</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45665</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45665</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45665</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45665</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45665</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45665</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45665</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45665</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45665</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45665</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45665</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45665</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45665</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45665</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45665</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45665</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45665</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45665</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45665</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45665</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45665</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45665</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45665</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45665</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45665</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45665</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45665</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45665</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45665</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45665</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45665</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45665</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45665</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45665</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45665</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45665</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45665</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45665</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45665</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45665</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45665</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45665</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45665</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45665</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45665</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45665</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45665</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45665</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45665</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45665</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45665</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45665</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45665</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45665</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45665</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45665</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45665</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45665</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45665</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45665</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45665</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45665</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45665</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45665</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45665</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45665</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45665</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45665</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45665</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45665</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45665</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45665</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45665</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45665</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45665</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45665</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45665</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45665</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45665</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45665</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45665</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45665</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45665</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45665</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45665</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45665</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45665</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45665</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45665</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45665</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45665</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45665</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45665</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45665</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45665</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45665</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45665</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45665</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45665</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45665</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45665</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45665</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45665</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45665</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45665</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45665</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45665</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45665</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45665</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45665</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45665</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45665</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45665</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45665</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45665</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45665</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45665</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45665</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45665</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45665</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45665</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45665</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45665</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45665</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45665</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45665</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45665</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45665</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45665</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45665</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45665</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45665</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45665</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45665</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45665</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45665</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45665</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45665</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45665</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45665</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45665</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45665</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45665</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45665</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45665</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45665</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45665</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45665</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45665</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45665</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45665</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45665</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45665</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45665</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45665</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45665</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45665</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45665</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45665</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45665</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45665</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45665</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45665</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45665</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45665</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45665</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45665</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45665</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45665</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45665</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45665</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45665</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45665</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45665</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45665</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45665</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45665</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45665</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45665</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45665</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45665</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45665</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45665</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45665</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45665</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45665</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45665</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45665</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45665</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45665</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45665</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45665</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45665</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45665</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45665</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45665</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45665</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45665</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45665</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45665</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45665</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45665</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45665</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45665</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45665</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45665</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45665</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45665</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45665</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45665</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45665</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45665</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45665</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45665</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45665</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45665</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45665</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45665</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45665</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45665</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45665</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45665</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45665</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45665</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45665</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45665</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45665</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45665</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45665</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45665</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45665</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45665</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45665</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45665</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45665</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45665</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45665</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45665</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45665</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45665</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45665</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45665</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45665</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45665</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45665</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45665</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45665</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45665</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45665</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45665</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45665</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45665</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45665</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45665</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45665</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45665</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45665</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45665</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45665</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45665</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45665</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45665</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45665</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45665</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45665</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45665</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45665</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45665</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45665</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45665</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45665</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45665</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45665</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45665</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45665</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45665</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45665</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45665</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45665</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45665</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45665</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45665</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45665</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45665</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45665</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45665</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45665</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45665</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45665</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45665</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45665</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45665</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45665</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45665</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45665</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45665</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45665</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45665</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45665</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45665</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45665</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45665</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45665</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45665</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45665</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45665</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45665</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45665</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45665</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45665</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45665</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45665</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45665</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45665</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45665</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45665</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45665</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45665</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45665</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45665</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45665</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45665</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45665</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45665</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45665</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45665</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45665</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45665</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45665</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45665</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45665</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45665</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45665</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45665</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45665</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45665</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45665</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45665</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45665</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45665</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45665</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45665</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45665</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45665</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45665</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45665</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45665</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45665</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45665</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45665</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45665</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45665</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45665</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45665</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45665</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45665</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45665</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45665</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45665</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45665</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45665</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45665</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45665</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45665</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45665</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45665</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45665</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45665</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45665</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45665</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45665</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45665</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45665</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45665</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45665</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45665</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45665</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45665</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45665</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45665</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45665</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45665</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45665</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45665</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45665</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45665</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45665</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45665</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45665</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45665</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45665</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45665</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45665</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45665</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45665</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45665</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45665</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45665</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45665</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45665</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45665</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45665</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45665</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45665</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45665</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45665</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45665</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45665</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45665</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45665</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45665</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45665</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45665</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45665</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45665</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45665</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45665</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45665</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45665</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45665</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45665</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45665</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45665</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45665</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45665</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45665</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45665</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45665</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45665</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45665</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45665</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45665</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45665</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45665</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45665</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45665</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45665</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45665</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45665</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45665</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45665</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45665</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45665</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45665</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45665</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45665</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45665</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45665</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45665</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45665</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45665</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45665</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45665</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45665</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45665</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45665</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45665</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45665</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45665</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45665</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45665</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45665</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45665</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45665</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45665</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45665</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45665</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45665</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45665</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45665</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45665</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45665</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45665</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45665</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45665</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45665</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45665</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45665</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45665</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45665</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45665</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45665</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45665</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45665</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45665</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45665</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45665</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45665</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45665</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45665</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45665</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45665</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45665</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45665</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45665</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45665</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45665</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45665</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45665</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45665</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45665</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45665</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45665</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45665</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45665</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45665</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45665</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45665</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45665</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45665</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45665</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45665</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45665</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45665</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45665</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45665</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45665</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45665</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45665</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45665</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45665</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45665</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45665</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45665</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45665</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45665</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45665</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45665</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45665</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45665</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45665</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45665</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45665</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45665</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45665</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45665</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45665</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45665</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45665</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45665</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45665</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45665</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45665</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45665</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45665</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45665</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45665</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45665</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45665</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45665</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45665</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45665</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45665</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45665</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45665</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45665</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45665</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45665</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45665</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45665</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45665</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45665</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45665</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45665</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45665</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45665</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45665</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45665</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45665</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45665</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45665</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45665</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45665</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45665</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45665</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45665</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45665</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45665</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45665</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45665</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45665</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45665</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45665</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45665</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45665</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45665</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45665</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45665</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45665</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45665</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45665</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45665</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45665</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45665</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45665</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45665</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45665</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45665</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45665</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45665</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45665</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45665</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45665</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45665</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45665</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45665</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45665</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45665</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45665</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45665</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45665</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45665</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45665</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45665</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45665</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45665</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45665</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45665</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45665</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45665</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45665</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45665</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45665</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45665</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45665</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45665</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45665</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45665</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45665</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45665</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45665</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45665</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45665</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45665</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45665</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45665</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45665</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45665</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45665</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45665</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45665</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45665</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45665</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45665</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45665</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45665</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45665</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45665</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45665</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45665</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45665</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45665</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45665</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45665</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45665</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45665</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45665</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45665</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45665</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45665</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45665</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45665</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45665</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45665</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45665</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45665</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45665</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45665</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45665</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45665</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45665</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45665</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45665</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45665</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45665</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45665</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45665</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45665</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45665</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45665</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45665</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45665</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45665</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45665</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45665</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45665</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45665</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45665</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45665</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45665</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45665</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45665</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45665</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45665</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45665</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45665</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45665</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45665</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45665</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45665</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45665</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45665</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45665</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45665</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45665</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45665</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45665</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45665</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45665</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45665</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45665</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45665</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45665</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45665</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45665</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45665</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45665</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45665</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45665</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45665</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45665</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45665</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45665</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45665</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45665</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45665</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45665</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45665</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45665</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45665</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45665</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45665</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45665</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45665</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45665</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45665</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45665</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45665</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45665</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45665</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45665</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45665</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45665</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45665</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45665</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45665</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45665</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45665</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45665</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45665</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45665</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45665</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45665</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45665</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45665</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45665</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45665</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45665</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45665</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45665</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45665</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45665</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45665</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45665</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45665</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45665</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45665</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45665</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45665</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45665</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45665</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45665</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45665</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45665</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45665</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45665</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45665</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45665</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45665</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45665</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45665</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45665</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45665</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45665</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45665</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45665</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45665</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45665</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45665</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45665</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45665</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45665</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45665</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45665</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45665</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45665</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45665</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45665</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45665</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45665</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45665</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45665</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45665</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45665</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45665</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45665</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45665</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45665</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45665</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45665</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45665</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45665</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45665</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45665</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45665</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45665</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45665</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45665</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45665</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45665</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45665</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45665</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45665</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45665</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45665</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45665</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45665</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45665</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45665</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45665</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45665</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45665</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45665</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45665</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45665</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45665</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45665</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45665</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45665</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45665</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45665</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45665</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45665</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45665</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45665</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45665</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45665</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45665</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45665</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45665</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45665</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45665</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45665</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45665</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45665</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45665</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45665</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45665</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45665</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45665</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45665</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45665</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45665</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45665</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45665</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45665</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45665</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45665</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45665</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45665</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45665</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45665</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45665</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45665</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45665</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45665</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45665</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45665</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45665</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45665</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45665</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45665</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45665</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45665</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45665</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45665</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45665</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45665</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45665</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45665</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45665</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45665</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45665</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45665</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45665</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45665</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45665</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45665</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45665</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45665</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45665</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45665</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45665</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45665</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45665</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45665</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45665</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45665</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45665</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45665</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45665</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45665</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45665</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45665</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45665</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45665</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45665</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45665</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45665</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45665</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45665</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45665</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45665</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45665</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45665</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45665</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45665</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45665</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45665</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45665</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45665</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45665</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45665</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45665</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45665</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45665</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45665</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45665</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45665</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45665</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45665</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45665</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45665</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45665</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45665</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45665</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45665</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45665</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45665</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45665</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45665</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45665</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45665</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45665</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45665</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45665</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45665</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45665</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45665</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45665</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45665</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45665</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45665</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45665</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45665</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45665</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45665</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45665</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45665</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45665</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45665</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45665</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45665</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45665</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45665</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45665</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45665</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45665</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45665</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45665</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45665</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45665</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45665</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45665</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45665</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45665</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45665</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45665</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45665</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45665</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45665</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45665</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45665</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45665</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45665</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45665</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45665</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45665</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45665</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45665</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45665</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45665</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45665</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45665</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45665</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45665</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45665</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45665</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45665</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45665</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45665</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45665</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45665</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45665</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45665</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45665</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45665</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45665</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45665</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45665</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45665</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45665</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45665</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45665</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45665</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45665</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45665</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45665</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45665</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45665</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45665</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45665</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45665</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45665</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45665</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45665</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45665</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45665</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45665</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45665</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45665</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45665</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45665</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45665</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45665</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45665</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45665</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45665</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45665</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45665</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45665</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45665</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45665</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45665</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45665</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45665</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45665</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45665</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45665</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45665</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45665</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45665</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45665</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45665</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45665</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45665</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45665</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45665</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45665</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45665</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45665</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45665</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45665</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45665</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45665</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45665</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45665</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45665</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45665</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45665</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45665</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45665</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45665</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45665</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45665</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45665</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45665</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45665</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45665</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45665</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45665</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45665</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45665</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45665</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45665</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45665</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45665</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45665</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45665</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45665</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45665</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45665</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45665</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45665</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45665</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45665</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45665</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45665</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45665</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45665</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45665</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45665</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45665</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45665</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45665</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45665</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45665</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45665</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45665</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45665</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45665</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45665</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45665</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45665</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45665</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45665</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45665</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45665</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45665</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45665</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45665</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45665</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45665</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45665</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45665</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45665</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45665</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45665</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45665</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45665</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45665</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45665</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45665</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45665</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45665</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45665</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45665</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45665</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45665</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45665</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45665</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45665</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45665</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45665</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45665</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45665</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45665</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45665</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45665</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45665</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45665</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45665</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45665</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45665</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45665</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45665</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45665</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45665</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45665</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45665</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45665</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45665</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45665</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45665</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45665</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45665</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45665</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45665</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45665</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45665</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45665</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45665</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45665</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45665</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45665</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45665</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45665</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45665</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45665</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45665</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45665</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45665</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45665</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45665</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45665</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45665</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45665</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45665</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45665</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45665</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45665</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45665</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45665</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45665</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45665</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45665</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45665</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45665</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45665</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45665</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45665</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45665</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45665</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45665</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45665</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45665</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45665</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45665</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45665</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45665</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45665</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45665</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45665</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45665</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45665</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45665</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45665</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45665</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45665</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45665</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45665</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45665</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45665</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45665</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45665</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45665</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45665</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45665</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45665</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45665</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45665</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45665</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45665</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45665</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45665</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45665</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45665</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45665</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45665</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45665</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45665</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45665</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45665</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45665</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45665</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45665</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45665</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45665</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45665</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45665</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45665</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45665</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45665</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45665</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45665</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45665</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45665</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45665</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45665</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45665</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45665</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45665</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45665</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45665</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45665</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45665</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45665</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45665</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45665</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45665</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45665</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45665</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45665</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45665</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45665</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45665</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45665</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45665</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45665</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45665</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45665</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45665</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45665</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45665</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45665</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45665</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45665</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45665</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45665</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45665</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45665</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45665</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45665</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45665</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45665</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45665</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45665</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45665</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45665</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45665</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45665</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45665</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45665</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45665</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45665</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45665</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45665</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45665</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45665</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45665</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45665</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45665</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45665</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45665</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45665</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45665</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45665</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45665</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45665</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45665</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45665</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45665</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45665</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45665</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45665</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45665</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45665</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45665</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45665</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45665</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45665</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45665</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45665</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45665</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45665</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45665</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45665</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45665</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45665</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45665</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45665</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45665</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45665</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45665</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45665</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45665</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45665</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45665</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45665</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45665</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45665</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45665</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45665</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45665</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45665</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45665</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45665</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45665</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45665</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45665</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45665</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45665</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45665</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45665</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45665</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45665</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45665</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45665</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45665</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45665</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45665</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45665</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45665</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45665</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45665</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45665</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45665</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45665</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45665</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45665</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45665</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45665</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45665</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45665</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45665</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45665</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45665</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45665</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45665</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45665</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45665</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45665</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45665</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45665</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45665</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45665</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45665</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45665</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45665</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45665</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45665</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45665</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45665</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45665</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45665</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45665</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45665</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45665</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45665</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45665</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45665</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45665</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45665</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45665</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45665</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45665</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45665</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45665</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45665</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45665</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45665</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45665</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45665</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45665</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45665</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45665</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45665</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45665</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45665</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45665</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45665</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45665</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45665</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45665</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45665</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45665</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45665</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45665</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45665</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45665</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45665</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45665</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45665</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45665</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45665</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45665</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45665</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45665</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45665</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45665</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45665</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45665</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45665</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45665</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45665</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45665</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45665</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45665</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45665</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45665</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45665</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45665</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45665</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45665</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45665</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45665</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45665</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45665</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45665</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45665</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45665</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45665</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45665</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45665</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45665</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45665</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45665</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45665</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45665</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45665</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45665</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45665</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45665</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45665</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45665</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45665</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45665</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45665</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45665</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45665</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45665</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45665</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45665</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45665</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45665</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45665</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45665</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45665</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45665</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45665</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45665</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45665</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45665</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45665</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45665</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45665</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45665</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45665</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45665</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45665</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45665</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45665</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45665</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45665</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45665</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45665</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45665</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45665</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45665</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45665</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45665</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45665</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45665</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45665</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45665</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45665</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45665</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45665</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45665</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45665</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45665</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45665</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45665</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45665</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45665</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45665</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45665</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45665</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45665</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45665</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45665</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45665</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45665</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45665</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45665</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45665</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45665</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45665</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45665</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45665</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45665</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45665</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45665</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45665</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45665</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45665</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45665</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45665</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45665</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45665</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45665</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45665</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45665</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45665</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45665</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45665</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45665</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45665</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45665</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45665</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45665</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45665</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45665</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45665</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45665</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45665</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45665</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45665</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45665</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45665</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45665</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45665</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45665</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45665</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45665</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45665</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45665</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45665</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45665</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45665</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45665</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45665</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45665</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45665</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45665</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45665</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45665</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45665</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45665</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45665</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45665</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45665</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45665</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45665</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45665</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45665</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45665</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45665</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45665</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45665</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45665</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45665</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45665</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45665</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45665</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45665</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45665</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45665</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45665</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45665</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45665</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45665</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45665</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45665</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45665</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45665</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45665</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45665</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45665</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45665</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45665</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45665</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45665</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45665</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45665</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45665</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45665</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45665</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45665</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45665</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45665</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45665</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45665</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45665</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45665</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45665</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45665</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45665</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45665</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45665</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45665</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45665</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45665</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45665</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45665</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45665</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45665</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45665</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45665</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45665</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45665</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45665</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45665</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45665</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45665</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45665</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45665</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45665</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45665</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45665</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45665</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45665</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45665</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45665</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45665</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45665</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45665</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45665</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45665</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45665</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45665</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45665</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45665</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45665</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45665</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45665</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45665</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45665</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45665</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45665</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45665</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45665</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45665</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45665</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45665</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45665</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45665</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45665</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45665</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45665</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45665</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45665</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45665</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45665</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45665</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45665</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45665</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45665</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45665</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45665</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45665</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45665</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45665</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45665</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45665</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45665</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45665</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45665</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45665</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45665</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45665</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45665</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45665</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45665</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45665</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45665</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45665</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45665</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45665</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45665</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45665</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45665</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45665</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45665</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45665</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45665</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45665</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45665</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45665</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45665</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45665</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45665</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45665</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45665</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45665</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45665</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45665</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45665</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45665</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45665</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45665</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45665</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45665</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45665</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45665</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45665</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45665</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45665</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45665</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45665</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45665</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45665</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45665</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45665</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45665</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45665</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45665</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45665</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45665</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45665</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45665</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45665</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45665</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45665</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45665</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45665</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45665</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45665</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45665</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45665</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45665</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45665</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45665</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45665</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45665</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45665</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45665</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45665</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45665</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45665</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45665</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45665</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45665</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45665</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45665</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45665</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45665</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45665</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45665</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45665</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45665</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45665</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45665</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45665</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45665</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45665</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45665</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45665</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45665</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45665</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45665</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45665</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45665</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45665</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45665</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45665</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45665</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45665</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45665</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45665</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45665</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45665</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45665</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45665</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45665</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45665</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45665</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45665</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45665</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45665</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45665</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45665</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45665</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45665</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45665</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45665</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45665</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45665</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45665</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45665</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45665</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45665</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45665</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45665</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45665</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45665</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45665</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45665</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45665</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45665</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45665</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45665</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45665</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45665</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45665</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45665</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45665</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45665</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45665</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45665</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45665</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45665</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45665</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45665</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45665</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45665</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45665</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45665</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45665</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45665</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45665</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45665</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45665</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45665</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45665</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45665</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45665</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45665</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45665</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45665</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45665</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45665</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45665</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45665</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45665</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45665</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45665</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45665</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45665</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45665</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45665</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45665</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45665</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45665</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45665</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45665</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45665</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45665</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45665</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45665</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45665</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45665</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45665</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45665</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45665</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45665</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45665</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45665</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45665</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45665</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45665</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45665</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45665</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45665</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45665</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45665</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45665</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45665</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45665</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45665</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45665</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45665</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45665</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45665</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45665</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45665</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45665</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45665</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45665</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45665</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45665</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45665</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45665</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45665</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45665</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45665</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45665</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45665</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45665</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45665</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45665</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45665</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45665</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45665</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45665</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45665</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45665</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45665</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45665</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45665</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45665</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45665</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45665</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45665</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45665</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45665</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45665</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45665</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45665</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45665</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45665</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45665</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45665</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45665</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45665</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45665</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45665</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45665</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45665</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45665</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45665</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45665</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45665</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45665</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45665</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45665</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45665</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45665</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45665</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45665</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45665</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45665</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45665</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45665</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45665</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45665</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45665</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45665</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45665</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45665</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45665</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45665</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45665</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45665</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45665</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45665</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45665</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45665</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45665</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45665</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45665</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45665</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45665</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45665</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45665</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45665</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45665</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45665</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45665</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45665</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45665</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45665</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45665</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45665</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45665</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45665</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45665</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45665</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45665</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45665</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45665</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45665</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45665</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45665</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45665</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45665</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45665</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45665</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45665</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45665</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45665</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45665</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45665</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45665</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45665</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45665</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45665</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45665</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45665</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45665</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45665</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45665</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45665</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45665</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45665</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45665</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45665</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45665</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45665</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45665</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45665</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45665</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45665</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45665</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45665</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45665</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45665</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45665</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45665</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45665</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45665</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45665</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45665</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45665</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45665</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45665</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45665</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45665</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45665</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45665</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45665</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45665</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45665</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45665</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45665</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45665</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45665</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45665</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45665</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45665</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45665</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45665</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45665</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45665</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45665</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45665</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45665</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45665</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45665</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45665</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45665</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45665</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45665</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45665</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45665</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45665</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45665</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45665</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45665</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45665</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45665</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45665</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45665</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45665</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45665</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45665</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45665</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45665</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45665</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45665</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45665</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45665</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45665</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45665</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45665</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45665</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45665</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45665</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45665</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45665</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45665</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45665</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45665</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45665</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45665</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45665</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45665</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45665</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45665</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45665</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45665</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45665</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45665</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45665</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45665</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45665</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45665</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45665</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45665</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45665</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45665</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45665</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45665</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45665</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45665</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45665</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45665</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45665</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45665</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45665</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45665</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45665</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45665</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45665</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45665</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45665</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45665</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45665</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45665</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45665</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45665</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45665</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45665</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45665</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45665</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45665</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45665</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45665</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45665</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45665</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45665</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45665</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45665</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45665</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45665</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45665</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45665</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45665</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45665</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45665</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45665</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45665</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45665</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45665</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45665</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45665</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45665</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45665</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45665</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45665</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45665</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45665</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45665</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45665</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45665</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45665</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45665</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45665</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45665</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45665</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45665</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45665</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45665</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45665</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45665</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45665</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45665</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45665</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45665</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45665</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45665</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45665</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45665</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45665</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45665</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45665</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45665</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45665</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45665</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45665</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45665</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45665</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45665</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45665</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45665</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45665</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45665</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45665</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45665</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45665</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45665</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45665</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45665</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45665</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45665</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45665</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45665</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45665</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45665</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45665</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45665</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45665</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45665</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45665</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45665</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45665</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45665</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45665</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45665</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45665</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45665</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45665</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45665</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45665</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45665</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45665</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45665</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45665</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45665</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45665</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45665</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45665</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45665</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45665</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45665</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45665</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45665</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45665</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45665</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45665</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45665</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45665</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45665</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45665</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45665</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45665</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45665</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45665</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45665</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45665</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45665</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45665</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45665</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45665</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45665</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45665</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45665</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45665</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45665</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45665</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45665</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45665</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45665</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45665</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45665</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45665</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45665</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45665</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45665</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45665</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45665</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45665</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45665</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45665</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45665</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45665</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45665</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45665</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45665</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45665</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45665</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45665</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45665</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45665</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45665</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45665</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45665</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45665</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45665</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45665</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45665</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45665</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45665</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45665</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45665</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45665</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45665</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45665</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45665</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45665</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45665</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45665</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45665</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45665</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45665</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45665</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45665</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45665</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45665</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45665</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45665</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45665</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45665</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45665</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45665</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45665</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45665</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45665</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45665</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45665</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45665</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45665</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45665</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45665</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45665</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45665</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45665</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45665</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45665</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45665</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45665</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45665</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45665</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45665</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45665</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45665</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45665</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45665</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45665</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45665</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45665</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45665</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45665</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45665</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45665</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45665</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45665</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45665</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45665</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45665</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45665</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45665</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45665</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45665</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45665</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45665</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45665</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45665</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45665</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45665</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45665</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45665</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45665</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45665</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45665</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45665</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45665</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45665</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45665</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45665</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45665</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45665</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45665</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45665</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45665</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45665</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45665</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45665</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45665</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45665</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45665</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45665</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45665</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45665</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45665</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45665</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45665</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45665</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45665</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45665</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45665</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45665</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45665</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45665</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45665</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45665</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45665</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45665</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45665</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45665</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45665</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45665</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45665</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45665</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45665</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45665</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45665</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45665</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45665</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45665</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45665</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45665</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45665</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45665</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45665</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45665</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45665</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45665</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45665</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45665</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45665</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45665</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45665</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45665</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45665</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45665</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45665</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45665</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45665</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45665</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45665</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45665</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45665</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45665</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45665</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45665</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45665</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45665</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45665</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45665</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45665</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45665</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45665</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45665</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45665</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45665</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45665</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45665</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45665</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45665</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45665</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45665</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45665</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45665</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45665</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45665</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45665</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45665</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45665</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45665</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45665</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45665</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45665</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45665</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45665</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45665</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45665</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45665</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45665</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45665</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45665</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45665</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45665</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45665</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45665</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45665</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45665</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45665</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45665</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45665</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45665</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45665</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45665</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45665</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45665</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45665</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45665</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45665</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45665</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45665</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45665</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45665</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45665</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45665</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45665</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45665</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45665</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45665</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45665</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45665</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45665</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45665</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45665</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45665</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45665</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45665</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45665</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45665</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45665</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45665</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45665</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45665</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45665</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45665</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45665</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45665</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45665</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45665</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45665</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45665</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45665</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45665</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45665</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45665</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45665</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45665</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45665</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45665</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45665</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45665</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45665</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45665</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45665</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45665</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45665</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45665</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45665</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45665</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45665</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45665</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45665</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45665</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45665</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45665</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45665</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45665</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45665</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45665</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45665</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45665</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45665</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45665</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45665</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45665</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45665</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45665</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45665</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45665</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45665</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45665</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45665</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45665</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45665</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45665</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45665</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45665</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45665</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45665</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45665</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45665</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45665</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45665</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45665</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45665</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45665</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45665</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45665</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45665</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45665</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45665</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45665</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45665</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45665</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45665</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45665</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45665</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45665</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45665</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45665</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45665</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45665</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45665</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45665</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45665</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45665</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45665</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45665</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45665</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45665</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45665</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45665</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45665</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45665</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45665</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45665</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45665</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45665</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45665</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45665</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45665</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45665</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45665</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45665</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45665</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45665</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45665</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45665</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45665</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45665</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45665</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45665</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45665</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45665</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45665</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45665</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45665</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45665</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45665</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45665</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45665</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45665</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45665</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45665</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45665</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45665</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45665</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45665</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45665</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45665</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45665</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45665</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45665</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45665</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45665</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45665</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45665</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45665</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45665</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45665</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45665</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45665</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45665</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45665</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45665</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45665</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45665</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45665</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45665</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45665</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45665</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45665</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45665</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45665</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45665</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45665</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45665</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45665</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45665</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45665</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45665</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45665</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45665</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45665</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45665</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45665</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45665</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45665</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45665</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45665</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45665</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45665</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45665</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45665</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45665</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45665</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45665</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45665</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45665</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45665</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45665</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45665</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45665</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45665</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45665</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45665</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45665</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45665</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45665</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45665</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45665</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45665</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45665</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45665</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45665</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45665</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45665</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45665</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45665</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45665</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45665</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45665</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45665</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45665</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45665</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45665</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45665</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45665</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45665</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45665</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45665</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45665</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45665</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45665</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45665</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45665</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45665</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45665</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45665</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45665</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45665</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45665</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45665</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45665</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45665</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45665</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45665</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45665</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45665</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45665</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45665</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45665</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45665</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45665</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45665</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45665</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45665</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45665</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45665</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45665</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45665</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45665</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45665</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45665</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45665</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45665</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45665</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45665</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45665</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45665</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45665</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45665</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45665</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45665</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45665</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45665</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45665</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45665</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45665</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45665</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45665</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45665</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45665</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45665</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45665</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45665</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45665</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45665</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45665</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45665</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45665</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45665</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45665</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45665</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45665</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45665</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45665</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45665</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45665</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45665</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45665</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45665</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45665</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45665</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45665</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45665</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45665</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45665</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45665</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45665</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45665</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45665</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45665</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45665</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45665</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45665</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45665</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45665</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45665</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45665</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45665</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45665</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45665</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45665</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45665</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45665</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45665</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45665</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45665</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45665</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45665</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45665</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45665</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45665</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45665</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45665</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45665</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45665</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45665</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45665</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45665</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45665</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45665</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45665</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45665</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45665</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45665</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45665</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45665</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45665</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45665</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45665</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45665</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45665</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45665</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45665</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45665</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45665</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45665</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45665</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45665</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45665</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45665</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45665</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45665</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45665</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45665</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45665</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45665</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45665</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45665</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45665</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45665</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45665</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45665</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45665</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45665</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45665</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45665</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45665</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45665</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45665</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45665</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45665</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45665</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45665</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45665</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45665</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45665</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45665</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45665</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45665</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45665</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45665</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45665</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45665</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45665</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45665</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45665</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45665</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45665</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45665</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45665</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45665</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45665</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45665</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45665</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45665</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45665</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45665</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45665</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45665</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45665</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45665</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45665</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45665</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45665</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45665</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45665</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45665</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45665</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45665</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45665</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45665</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45665</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45665</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45665</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45665</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45665</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45665</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45665</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45665</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45665</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45665</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45665</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45665</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45665</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45665</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45665</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45665</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45665</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45665</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45665</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45665</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45665</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45665</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45665</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45665</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45665</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45665</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45665</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45665</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45665</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45665</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45665</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45665</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45665</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45665</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45665</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45665</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45665</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45665</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45665</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45665</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45665</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45665</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45665</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45665</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45665</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45665</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45665</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45665</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45665</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45665</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45665</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45665</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45665</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45665</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45665</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45665</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45665</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45665</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45665</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45665</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45665</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45665</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45665</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45665</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45665</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45665</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45665</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45665</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45665</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45665</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45665</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45665</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45665</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45665</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45665</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45665</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45665</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45665</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45665</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45665</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45665</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45665</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45665</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45665</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45665</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45665</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45665</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45665</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45665</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45665</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45665</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45665</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45665</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45665</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45665</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45665</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45665</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45665</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45665</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45665</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45665</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45665</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45665</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45665</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45665</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45665</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45665</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45665</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45665</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45665</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45665</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45665</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45665</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45665</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45665</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45665</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45665</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45665</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45665</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45665</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45665</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45665</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45665</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45665</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45665</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45665</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45665</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45665</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45665</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45665</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45665</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45665</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45665</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45665</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45665</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45665</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45665</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45665</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45665</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45665</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45665</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45665</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45665</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45665</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45665</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45665</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45665</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45665</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45665</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45665</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45665</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45665</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45665</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45665</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45665</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45665</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45665</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45665</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45665</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45665</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45665</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45665</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45665</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45665</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45665</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45665</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45665</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45665</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45665</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45665</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45665</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45665</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45665</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45665</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45665</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45665</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45665</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45665</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45665</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45665</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45665</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45665</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45665</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45665</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45665</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45665</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45665</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45665</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45665</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45665</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45665</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45665</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45665</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45665</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45665</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45665</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45665</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45665</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45665</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45665</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45665</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45665</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45665</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45665</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45665</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45665</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45665</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45665</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45665</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45665</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45665</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45665</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45665</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45665</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45665</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45665</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45665</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45665</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58647-2024</t>
        </is>
      </c>
      <c r="B3382" s="1" t="n">
        <v>45635</v>
      </c>
      <c r="C3382" s="1" t="n">
        <v>45665</v>
      </c>
      <c r="D3382" t="inlineStr">
        <is>
          <t>JÄMTLANDS LÄN</t>
        </is>
      </c>
      <c r="E3382" t="inlineStr">
        <is>
          <t>STRÖMSUND</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58515-2024</t>
        </is>
      </c>
      <c r="B3383" s="1" t="n">
        <v>45635</v>
      </c>
      <c r="C3383" s="1" t="n">
        <v>45665</v>
      </c>
      <c r="D3383" t="inlineStr">
        <is>
          <t>JÄMTLANDS LÄN</t>
        </is>
      </c>
      <c r="E3383" t="inlineStr">
        <is>
          <t>STRÖMSUND</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58646-2024</t>
        </is>
      </c>
      <c r="B3384" s="1" t="n">
        <v>45635</v>
      </c>
      <c r="C3384" s="1" t="n">
        <v>45665</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58493-2024</t>
        </is>
      </c>
      <c r="B3385" s="1" t="n">
        <v>45635</v>
      </c>
      <c r="C3385" s="1" t="n">
        <v>45665</v>
      </c>
      <c r="D3385" t="inlineStr">
        <is>
          <t>JÄMTLANDS LÄN</t>
        </is>
      </c>
      <c r="E3385" t="inlineStr">
        <is>
          <t>STRÖMSUND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45665</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45665</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45665</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45665</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45665</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45665</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59530-2024</t>
        </is>
      </c>
      <c r="B3392" s="1" t="n">
        <v>45638</v>
      </c>
      <c r="C3392" s="1" t="n">
        <v>45665</v>
      </c>
      <c r="D3392" t="inlineStr">
        <is>
          <t>JÄMTLANDS LÄN</t>
        </is>
      </c>
      <c r="E3392" t="inlineStr">
        <is>
          <t>STRÖMSUND</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59508-2024</t>
        </is>
      </c>
      <c r="B3393" s="1" t="n">
        <v>45638</v>
      </c>
      <c r="C3393" s="1" t="n">
        <v>45665</v>
      </c>
      <c r="D3393" t="inlineStr">
        <is>
          <t>JÄMTLANDS LÄN</t>
        </is>
      </c>
      <c r="E3393" t="inlineStr">
        <is>
          <t>STRÖMSUND</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59568-2024</t>
        </is>
      </c>
      <c r="B3394" s="1" t="n">
        <v>45638</v>
      </c>
      <c r="C3394" s="1" t="n">
        <v>45665</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59550-2024</t>
        </is>
      </c>
      <c r="B3395" s="1" t="n">
        <v>45638</v>
      </c>
      <c r="C3395" s="1" t="n">
        <v>45665</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45665</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59742-2024</t>
        </is>
      </c>
      <c r="B3397" s="1" t="n">
        <v>45639</v>
      </c>
      <c r="C3397" s="1" t="n">
        <v>45665</v>
      </c>
      <c r="D3397" t="inlineStr">
        <is>
          <t>JÄMTLANDS LÄN</t>
        </is>
      </c>
      <c r="E3397" t="inlineStr">
        <is>
          <t>STRÖMSUND</t>
        </is>
      </c>
      <c r="F3397" t="inlineStr">
        <is>
          <t>SCA</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59821-2024</t>
        </is>
      </c>
      <c r="B3398" s="1" t="n">
        <v>45639</v>
      </c>
      <c r="C3398" s="1" t="n">
        <v>45665</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60170-2024</t>
        </is>
      </c>
      <c r="B3399" s="1" t="n">
        <v>45642</v>
      </c>
      <c r="C3399" s="1" t="n">
        <v>45665</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59986-2024</t>
        </is>
      </c>
      <c r="B3400" s="1" t="n">
        <v>45642</v>
      </c>
      <c r="C3400" s="1" t="n">
        <v>45665</v>
      </c>
      <c r="D3400" t="inlineStr">
        <is>
          <t>JÄMTLANDS LÄN</t>
        </is>
      </c>
      <c r="E3400" t="inlineStr">
        <is>
          <t>STRÖMSUND</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60053-2024</t>
        </is>
      </c>
      <c r="B3401" s="1" t="n">
        <v>45642</v>
      </c>
      <c r="C3401" s="1" t="n">
        <v>45665</v>
      </c>
      <c r="D3401" t="inlineStr">
        <is>
          <t>JÄMTLANDS LÄN</t>
        </is>
      </c>
      <c r="E3401" t="inlineStr">
        <is>
          <t>STRÖMSUND</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60171-2024</t>
        </is>
      </c>
      <c r="B3402" s="1" t="n">
        <v>45642</v>
      </c>
      <c r="C3402" s="1" t="n">
        <v>45665</v>
      </c>
      <c r="D3402" t="inlineStr">
        <is>
          <t>JÄMTLANDS LÄN</t>
        </is>
      </c>
      <c r="E3402" t="inlineStr">
        <is>
          <t>STRÖMSUND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60198-2024</t>
        </is>
      </c>
      <c r="B3403" s="1" t="n">
        <v>45642</v>
      </c>
      <c r="C3403" s="1" t="n">
        <v>45665</v>
      </c>
      <c r="D3403" t="inlineStr">
        <is>
          <t>JÄMTLANDS LÄN</t>
        </is>
      </c>
      <c r="E3403" t="inlineStr">
        <is>
          <t>STRÖMSUND</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45665</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45665</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60911-2024</t>
        </is>
      </c>
      <c r="B3406" s="1" t="n">
        <v>45644</v>
      </c>
      <c r="C3406" s="1" t="n">
        <v>45665</v>
      </c>
      <c r="D3406" t="inlineStr">
        <is>
          <t>JÄMTLANDS LÄN</t>
        </is>
      </c>
      <c r="E3406" t="inlineStr">
        <is>
          <t>STRÖMSUND</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60917-2024</t>
        </is>
      </c>
      <c r="B3407" s="1" t="n">
        <v>45644</v>
      </c>
      <c r="C3407" s="1" t="n">
        <v>45665</v>
      </c>
      <c r="D3407" t="inlineStr">
        <is>
          <t>JÄMTLANDS LÄN</t>
        </is>
      </c>
      <c r="E3407" t="inlineStr">
        <is>
          <t>STRÖMSUND</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60791-2024</t>
        </is>
      </c>
      <c r="B3408" s="1" t="n">
        <v>45644</v>
      </c>
      <c r="C3408" s="1" t="n">
        <v>45665</v>
      </c>
      <c r="D3408" t="inlineStr">
        <is>
          <t>JÄMTLANDS LÄN</t>
        </is>
      </c>
      <c r="E3408" t="inlineStr">
        <is>
          <t>STRÖMSUND</t>
        </is>
      </c>
      <c r="F3408" t="inlineStr">
        <is>
          <t>SCA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60800-2024</t>
        </is>
      </c>
      <c r="B3409" s="1" t="n">
        <v>45644</v>
      </c>
      <c r="C3409" s="1" t="n">
        <v>45665</v>
      </c>
      <c r="D3409" t="inlineStr">
        <is>
          <t>JÄMTLANDS LÄN</t>
        </is>
      </c>
      <c r="E3409" t="inlineStr">
        <is>
          <t>STRÖMSUND</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60905-2024</t>
        </is>
      </c>
      <c r="B3410" s="1" t="n">
        <v>45644</v>
      </c>
      <c r="C3410" s="1" t="n">
        <v>45665</v>
      </c>
      <c r="D3410" t="inlineStr">
        <is>
          <t>JÄMTLANDS LÄN</t>
        </is>
      </c>
      <c r="E3410" t="inlineStr">
        <is>
          <t>STRÖMSUND</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45665</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61160-2024</t>
        </is>
      </c>
      <c r="B3412" s="1" t="n">
        <v>45645</v>
      </c>
      <c r="C3412" s="1" t="n">
        <v>45665</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61475-2024</t>
        </is>
      </c>
      <c r="B3413" s="1" t="n">
        <v>45645</v>
      </c>
      <c r="C3413" s="1" t="n">
        <v>45665</v>
      </c>
      <c r="D3413" t="inlineStr">
        <is>
          <t>JÄMTLANDS LÄN</t>
        </is>
      </c>
      <c r="E3413" t="inlineStr">
        <is>
          <t>STRÖMSUND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61481-2024</t>
        </is>
      </c>
      <c r="B3414" s="1" t="n">
        <v>45645</v>
      </c>
      <c r="C3414" s="1" t="n">
        <v>45665</v>
      </c>
      <c r="D3414" t="inlineStr">
        <is>
          <t>JÄMTLANDS LÄN</t>
        </is>
      </c>
      <c r="E3414" t="inlineStr">
        <is>
          <t>STRÖMSUND</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61163-2024</t>
        </is>
      </c>
      <c r="B3415" s="1" t="n">
        <v>45645</v>
      </c>
      <c r="C3415" s="1" t="n">
        <v>45665</v>
      </c>
      <c r="D3415" t="inlineStr">
        <is>
          <t>JÄMTLANDS LÄN</t>
        </is>
      </c>
      <c r="E3415" t="inlineStr">
        <is>
          <t>STRÖMSUND</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61365-2024</t>
        </is>
      </c>
      <c r="B3416" s="1" t="n">
        <v>45646</v>
      </c>
      <c r="C3416" s="1" t="n">
        <v>45665</v>
      </c>
      <c r="D3416" t="inlineStr">
        <is>
          <t>JÄMTLANDS LÄN</t>
        </is>
      </c>
      <c r="E3416" t="inlineStr">
        <is>
          <t>STRÖMSUND</t>
        </is>
      </c>
      <c r="F3416" t="inlineStr">
        <is>
          <t>SCA</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61363-2024</t>
        </is>
      </c>
      <c r="B3417" s="1" t="n">
        <v>45646</v>
      </c>
      <c r="C3417" s="1" t="n">
        <v>45665</v>
      </c>
      <c r="D3417" t="inlineStr">
        <is>
          <t>JÄMTLANDS LÄN</t>
        </is>
      </c>
      <c r="E3417" t="inlineStr">
        <is>
          <t>STRÖMSUND</t>
        </is>
      </c>
      <c r="F3417" t="inlineStr">
        <is>
          <t>SCA</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61402-2024</t>
        </is>
      </c>
      <c r="B3418" s="1" t="n">
        <v>45646</v>
      </c>
      <c r="C3418" s="1" t="n">
        <v>45665</v>
      </c>
      <c r="D3418" t="inlineStr">
        <is>
          <t>JÄMTLANDS LÄN</t>
        </is>
      </c>
      <c r="E3418" t="inlineStr">
        <is>
          <t>STRÖMSUND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61539-2024</t>
        </is>
      </c>
      <c r="B3419" s="1" t="n">
        <v>45646</v>
      </c>
      <c r="C3419" s="1" t="n">
        <v>45665</v>
      </c>
      <c r="D3419" t="inlineStr">
        <is>
          <t>JÄMTLANDS LÄN</t>
        </is>
      </c>
      <c r="E3419" t="inlineStr">
        <is>
          <t>STRÖMSUND</t>
        </is>
      </c>
      <c r="F3419" t="inlineStr">
        <is>
          <t>SCA</t>
        </is>
      </c>
      <c r="G3419" t="n">
        <v>25.5</v>
      </c>
      <c r="H3419" t="n">
        <v>0</v>
      </c>
      <c r="I3419" t="n">
        <v>0</v>
      </c>
      <c r="J3419" t="n">
        <v>0</v>
      </c>
      <c r="K3419" t="n">
        <v>0</v>
      </c>
      <c r="L3419" t="n">
        <v>0</v>
      </c>
      <c r="M3419" t="n">
        <v>0</v>
      </c>
      <c r="N3419" t="n">
        <v>0</v>
      </c>
      <c r="O3419" t="n">
        <v>0</v>
      </c>
      <c r="P3419" t="n">
        <v>0</v>
      </c>
      <c r="Q3419" t="n">
        <v>0</v>
      </c>
      <c r="R3419" s="2" t="inlineStr"/>
    </row>
    <row r="3420" ht="15" customHeight="1">
      <c r="A3420" t="inlineStr">
        <is>
          <t>A 61538-2024</t>
        </is>
      </c>
      <c r="B3420" s="1" t="n">
        <v>45646</v>
      </c>
      <c r="C3420" s="1" t="n">
        <v>45665</v>
      </c>
      <c r="D3420" t="inlineStr">
        <is>
          <t>JÄMTLANDS LÄN</t>
        </is>
      </c>
      <c r="E3420" t="inlineStr">
        <is>
          <t>STRÖMSUND</t>
        </is>
      </c>
      <c r="F3420" t="inlineStr">
        <is>
          <t>SCA</t>
        </is>
      </c>
      <c r="G3420" t="n">
        <v>24.4</v>
      </c>
      <c r="H3420" t="n">
        <v>0</v>
      </c>
      <c r="I3420" t="n">
        <v>0</v>
      </c>
      <c r="J3420" t="n">
        <v>0</v>
      </c>
      <c r="K3420" t="n">
        <v>0</v>
      </c>
      <c r="L3420" t="n">
        <v>0</v>
      </c>
      <c r="M3420" t="n">
        <v>0</v>
      </c>
      <c r="N3420" t="n">
        <v>0</v>
      </c>
      <c r="O3420" t="n">
        <v>0</v>
      </c>
      <c r="P3420" t="n">
        <v>0</v>
      </c>
      <c r="Q3420" t="n">
        <v>0</v>
      </c>
      <c r="R3420" s="2" t="inlineStr"/>
    </row>
    <row r="3421" ht="15" customHeight="1">
      <c r="A3421" t="inlineStr">
        <is>
          <t>A 61540-2024</t>
        </is>
      </c>
      <c r="B3421" s="1" t="n">
        <v>45646</v>
      </c>
      <c r="C3421" s="1" t="n">
        <v>45665</v>
      </c>
      <c r="D3421" t="inlineStr">
        <is>
          <t>JÄMTLANDS LÄN</t>
        </is>
      </c>
      <c r="E3421" t="inlineStr">
        <is>
          <t>STRÖMSUND</t>
        </is>
      </c>
      <c r="F3421" t="inlineStr">
        <is>
          <t>SCA</t>
        </is>
      </c>
      <c r="G3421" t="n">
        <v>18.2</v>
      </c>
      <c r="H3421" t="n">
        <v>0</v>
      </c>
      <c r="I3421" t="n">
        <v>0</v>
      </c>
      <c r="J3421" t="n">
        <v>0</v>
      </c>
      <c r="K3421" t="n">
        <v>0</v>
      </c>
      <c r="L3421" t="n">
        <v>0</v>
      </c>
      <c r="M3421" t="n">
        <v>0</v>
      </c>
      <c r="N3421" t="n">
        <v>0</v>
      </c>
      <c r="O3421" t="n">
        <v>0</v>
      </c>
      <c r="P3421" t="n">
        <v>0</v>
      </c>
      <c r="Q3421" t="n">
        <v>0</v>
      </c>
      <c r="R3421" s="2" t="inlineStr"/>
    </row>
    <row r="3422" ht="15" customHeight="1">
      <c r="A3422" t="inlineStr">
        <is>
          <t>A 50-2025</t>
        </is>
      </c>
      <c r="B3422" s="1" t="n">
        <v>45649</v>
      </c>
      <c r="C3422" s="1" t="n">
        <v>45665</v>
      </c>
      <c r="D3422" t="inlineStr">
        <is>
          <t>JÄMTLANDS LÄN</t>
        </is>
      </c>
      <c r="E3422" t="inlineStr">
        <is>
          <t>STRÖMSUND</t>
        </is>
      </c>
      <c r="G3422" t="n">
        <v>12.5</v>
      </c>
      <c r="H3422" t="n">
        <v>0</v>
      </c>
      <c r="I3422" t="n">
        <v>0</v>
      </c>
      <c r="J3422" t="n">
        <v>0</v>
      </c>
      <c r="K3422" t="n">
        <v>0</v>
      </c>
      <c r="L3422" t="n">
        <v>0</v>
      </c>
      <c r="M3422" t="n">
        <v>0</v>
      </c>
      <c r="N3422" t="n">
        <v>0</v>
      </c>
      <c r="O3422" t="n">
        <v>0</v>
      </c>
      <c r="P3422" t="n">
        <v>0</v>
      </c>
      <c r="Q3422" t="n">
        <v>0</v>
      </c>
      <c r="R3422" s="2" t="inlineStr"/>
    </row>
    <row r="3423" ht="15" customHeight="1">
      <c r="A3423" t="inlineStr">
        <is>
          <t>A 61854-2024</t>
        </is>
      </c>
      <c r="B3423" s="1" t="n">
        <v>45649</v>
      </c>
      <c r="C3423" s="1" t="n">
        <v>45665</v>
      </c>
      <c r="D3423" t="inlineStr">
        <is>
          <t>JÄMTLANDS LÄN</t>
        </is>
      </c>
      <c r="E3423" t="inlineStr">
        <is>
          <t>STRÖMSUND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52-2025</t>
        </is>
      </c>
      <c r="B3424" s="1" t="n">
        <v>45649</v>
      </c>
      <c r="C3424" s="1" t="n">
        <v>45665</v>
      </c>
      <c r="D3424" t="inlineStr">
        <is>
          <t>JÄMTLANDS LÄN</t>
        </is>
      </c>
      <c r="E3424" t="inlineStr">
        <is>
          <t>STRÖMSUND</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61959-2024</t>
        </is>
      </c>
      <c r="B3425" s="1" t="n">
        <v>45653</v>
      </c>
      <c r="C3425" s="1" t="n">
        <v>45665</v>
      </c>
      <c r="D3425" t="inlineStr">
        <is>
          <t>JÄMTLANDS LÄN</t>
        </is>
      </c>
      <c r="E3425" t="inlineStr">
        <is>
          <t>STRÖMSUND</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61954-2024</t>
        </is>
      </c>
      <c r="B3426" s="1" t="n">
        <v>45653</v>
      </c>
      <c r="C3426" s="1" t="n">
        <v>45665</v>
      </c>
      <c r="D3426" t="inlineStr">
        <is>
          <t>JÄMTLANDS LÄN</t>
        </is>
      </c>
      <c r="E3426" t="inlineStr">
        <is>
          <t>STRÖMSUND</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45665</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40-2025</t>
        </is>
      </c>
      <c r="B3428" s="1" t="n">
        <v>45659</v>
      </c>
      <c r="C3428" s="1" t="n">
        <v>45665</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135-2025</t>
        </is>
      </c>
      <c r="B3429" s="1" t="n">
        <v>45659</v>
      </c>
      <c r="C3429" s="1" t="n">
        <v>45665</v>
      </c>
      <c r="D3429" t="inlineStr">
        <is>
          <t>JÄMTLANDS LÄN</t>
        </is>
      </c>
      <c r="E3429" t="inlineStr">
        <is>
          <t>STRÖMSUND</t>
        </is>
      </c>
      <c r="F3429" t="inlineStr">
        <is>
          <t>SCA</t>
        </is>
      </c>
      <c r="G3429" t="n">
        <v>31.4</v>
      </c>
      <c r="H3429" t="n">
        <v>0</v>
      </c>
      <c r="I3429" t="n">
        <v>0</v>
      </c>
      <c r="J3429" t="n">
        <v>0</v>
      </c>
      <c r="K3429" t="n">
        <v>0</v>
      </c>
      <c r="L3429" t="n">
        <v>0</v>
      </c>
      <c r="M3429" t="n">
        <v>0</v>
      </c>
      <c r="N3429" t="n">
        <v>0</v>
      </c>
      <c r="O3429" t="n">
        <v>0</v>
      </c>
      <c r="P3429" t="n">
        <v>0</v>
      </c>
      <c r="Q3429" t="n">
        <v>0</v>
      </c>
      <c r="R3429" s="2" t="inlineStr"/>
    </row>
    <row r="3430" ht="15" customHeight="1">
      <c r="A3430" t="inlineStr">
        <is>
          <t>A 355-2025</t>
        </is>
      </c>
      <c r="B3430" s="1" t="n">
        <v>45659</v>
      </c>
      <c r="C3430" s="1" t="n">
        <v>45665</v>
      </c>
      <c r="D3430" t="inlineStr">
        <is>
          <t>JÄMTLANDS LÄN</t>
        </is>
      </c>
      <c r="E3430" t="inlineStr">
        <is>
          <t>STRÖMSUND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354-2025</t>
        </is>
      </c>
      <c r="B3431" s="1" t="n">
        <v>45659</v>
      </c>
      <c r="C3431" s="1" t="n">
        <v>45665</v>
      </c>
      <c r="D3431" t="inlineStr">
        <is>
          <t>JÄMTLANDS LÄN</t>
        </is>
      </c>
      <c r="E3431" t="inlineStr">
        <is>
          <t>STRÖMSUND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217-2025</t>
        </is>
      </c>
      <c r="B3432" s="1" t="n">
        <v>45660</v>
      </c>
      <c r="C3432" s="1" t="n">
        <v>45665</v>
      </c>
      <c r="D3432" t="inlineStr">
        <is>
          <t>JÄMTLANDS LÄN</t>
        </is>
      </c>
      <c r="E3432" t="inlineStr">
        <is>
          <t>STRÖMSUND</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216-2025</t>
        </is>
      </c>
      <c r="B3433" s="1" t="n">
        <v>45660</v>
      </c>
      <c r="C3433" s="1" t="n">
        <v>45665</v>
      </c>
      <c r="D3433" t="inlineStr">
        <is>
          <t>JÄMTLANDS LÄN</t>
        </is>
      </c>
      <c r="E3433" t="inlineStr">
        <is>
          <t>STRÖMSUND</t>
        </is>
      </c>
      <c r="F3433" t="inlineStr">
        <is>
          <t>SCA</t>
        </is>
      </c>
      <c r="G3433" t="n">
        <v>33.5</v>
      </c>
      <c r="H3433" t="n">
        <v>0</v>
      </c>
      <c r="I3433" t="n">
        <v>0</v>
      </c>
      <c r="J3433" t="n">
        <v>0</v>
      </c>
      <c r="K3433" t="n">
        <v>0</v>
      </c>
      <c r="L3433" t="n">
        <v>0</v>
      </c>
      <c r="M3433" t="n">
        <v>0</v>
      </c>
      <c r="N3433" t="n">
        <v>0</v>
      </c>
      <c r="O3433" t="n">
        <v>0</v>
      </c>
      <c r="P3433" t="n">
        <v>0</v>
      </c>
      <c r="Q3433" t="n">
        <v>0</v>
      </c>
      <c r="R3433" s="2" t="inlineStr"/>
    </row>
    <row r="3434" ht="15" customHeight="1">
      <c r="A3434" t="inlineStr">
        <is>
          <t>A 292-2025</t>
        </is>
      </c>
      <c r="B3434" s="1" t="n">
        <v>45660</v>
      </c>
      <c r="C3434" s="1" t="n">
        <v>45665</v>
      </c>
      <c r="D3434" t="inlineStr">
        <is>
          <t>JÄMTLANDS LÄN</t>
        </is>
      </c>
      <c r="E3434" t="inlineStr">
        <is>
          <t>STRÖMSUND</t>
        </is>
      </c>
      <c r="F3434" t="inlineStr">
        <is>
          <t>SCA</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293-2025</t>
        </is>
      </c>
      <c r="B3435" s="1" t="n">
        <v>45660</v>
      </c>
      <c r="C3435" s="1" t="n">
        <v>45665</v>
      </c>
      <c r="D3435" t="inlineStr">
        <is>
          <t>JÄMTLANDS LÄN</t>
        </is>
      </c>
      <c r="E3435" t="inlineStr">
        <is>
          <t>STRÖMSUND</t>
        </is>
      </c>
      <c r="F3435" t="inlineStr">
        <is>
          <t>SCA</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294-2025</t>
        </is>
      </c>
      <c r="B3436" s="1" t="n">
        <v>45660</v>
      </c>
      <c r="C3436" s="1" t="n">
        <v>45665</v>
      </c>
      <c r="D3436" t="inlineStr">
        <is>
          <t>JÄMTLANDS LÄN</t>
        </is>
      </c>
      <c r="E3436" t="inlineStr">
        <is>
          <t>STRÖMSUND</t>
        </is>
      </c>
      <c r="F3436" t="inlineStr">
        <is>
          <t>SCA</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473-2025</t>
        </is>
      </c>
      <c r="B3437" s="1" t="n">
        <v>45664</v>
      </c>
      <c r="C3437" s="1" t="n">
        <v>45665</v>
      </c>
      <c r="D3437" t="inlineStr">
        <is>
          <t>JÄMTLANDS LÄN</t>
        </is>
      </c>
      <c r="E3437" t="inlineStr">
        <is>
          <t>STRÖMSUND</t>
        </is>
      </c>
      <c r="G3437" t="n">
        <v>0.1</v>
      </c>
      <c r="H3437" t="n">
        <v>0</v>
      </c>
      <c r="I3437" t="n">
        <v>0</v>
      </c>
      <c r="J3437" t="n">
        <v>0</v>
      </c>
      <c r="K3437" t="n">
        <v>0</v>
      </c>
      <c r="L3437" t="n">
        <v>0</v>
      </c>
      <c r="M3437" t="n">
        <v>0</v>
      </c>
      <c r="N3437" t="n">
        <v>0</v>
      </c>
      <c r="O3437" t="n">
        <v>0</v>
      </c>
      <c r="P3437" t="n">
        <v>0</v>
      </c>
      <c r="Q3437" t="n">
        <v>0</v>
      </c>
      <c r="R3437" s="2" t="inlineStr"/>
    </row>
    <row r="3438">
      <c r="A3438" t="inlineStr">
        <is>
          <t>A 630-2025</t>
        </is>
      </c>
      <c r="B3438" s="1" t="n">
        <v>45664</v>
      </c>
      <c r="C3438" s="1" t="n">
        <v>45665</v>
      </c>
      <c r="D3438" t="inlineStr">
        <is>
          <t>JÄMTLANDS LÄN</t>
        </is>
      </c>
      <c r="E3438" t="inlineStr">
        <is>
          <t>STRÖMSUND</t>
        </is>
      </c>
      <c r="G3438" t="n">
        <v>5.5</v>
      </c>
      <c r="H3438" t="n">
        <v>0</v>
      </c>
      <c r="I3438" t="n">
        <v>0</v>
      </c>
      <c r="J3438" t="n">
        <v>0</v>
      </c>
      <c r="K3438" t="n">
        <v>0</v>
      </c>
      <c r="L3438" t="n">
        <v>0</v>
      </c>
      <c r="M3438" t="n">
        <v>0</v>
      </c>
      <c r="N3438" t="n">
        <v>0</v>
      </c>
      <c r="O3438" t="n">
        <v>0</v>
      </c>
      <c r="P3438" t="n">
        <v>0</v>
      </c>
      <c r="Q3438" t="n">
        <v>0</v>
      </c>
      <c r="R3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2025-01-08T15:25:19Z</dcterms:created>
  <dcterms:modified xmlns:dcterms="http://purl.org/dc/terms/" xmlns:xsi="http://www.w3.org/2001/XMLSchema-instance" xsi:type="dcterms:W3CDTF">2025-01-08T15:25:21Z</dcterms:modified>
</cp:coreProperties>
</file>