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45795</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45795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45795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45795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45795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45795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45795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45795</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45795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45795</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45795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45795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45795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45795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45795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45795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45795</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45795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45795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45795</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45795</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45795</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45795</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45795</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45795</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45795</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45795</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45795</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45795</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45795</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45795</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45795</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45795</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45795</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45795</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45795</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45795</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45795</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45795</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45795</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45795</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45795</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45795</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45795</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45795</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45795</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45795</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45795</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45795</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45795</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45795</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45795</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45795</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45795</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45795</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45795</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45795</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45795</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45795</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45795</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45795</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45795</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45795</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45795</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45795</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45795</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45795</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45795</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45795</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45795</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45795</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45795</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45795</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45795</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45795</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45795</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45795</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45795</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45795</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45795</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45795</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45795</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45795</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45795</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45795</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45795</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45795</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45795</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45795</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45795</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45795</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45795</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45795</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45795</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45795</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45795</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45795</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45795</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45795</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45795</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45795</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45795</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45795</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45795</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45795</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45795</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45795</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45795</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45795</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45795</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45795</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45795</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45795</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45795</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45795</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45795</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45795</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45795</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45795</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45795</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45795</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45795</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45795</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45795</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45795</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45795</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45795</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45795</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45795</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45795</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45795</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45795</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14936-2020</t>
        </is>
      </c>
      <c r="B134" s="1" t="n">
        <v>43906</v>
      </c>
      <c r="C134" s="1" t="n">
        <v>45795</v>
      </c>
      <c r="D134" t="inlineStr">
        <is>
          <t>JÄMTLANDS LÄN</t>
        </is>
      </c>
      <c r="E134" t="inlineStr">
        <is>
          <t>STRÖMSUND</t>
        </is>
      </c>
      <c r="G134" t="n">
        <v>21.4</v>
      </c>
      <c r="H134" t="n">
        <v>3</v>
      </c>
      <c r="I134" t="n">
        <v>1</v>
      </c>
      <c r="J134" t="n">
        <v>2</v>
      </c>
      <c r="K134" t="n">
        <v>0</v>
      </c>
      <c r="L134" t="n">
        <v>0</v>
      </c>
      <c r="M134" t="n">
        <v>0</v>
      </c>
      <c r="N134" t="n">
        <v>0</v>
      </c>
      <c r="O134" t="n">
        <v>2</v>
      </c>
      <c r="P134" t="n">
        <v>0</v>
      </c>
      <c r="Q134" t="n">
        <v>5</v>
      </c>
      <c r="R134" s="2" t="inlineStr">
        <is>
          <t>Fjällvråk
Granticka
Finbräken
Orre
Blåsippa</t>
        </is>
      </c>
      <c r="S134">
        <f>HYPERLINK("https://klasma.github.io/Logging_2313/artfynd/A 14936-2020 artfynd.xlsx", "A 14936-2020")</f>
        <v/>
      </c>
      <c r="T134">
        <f>HYPERLINK("https://klasma.github.io/Logging_2313/kartor/A 14936-2020 karta.png", "A 14936-2020")</f>
        <v/>
      </c>
      <c r="V134">
        <f>HYPERLINK("https://klasma.github.io/Logging_2313/klagomål/A 14936-2020 FSC-klagomål.docx", "A 14936-2020")</f>
        <v/>
      </c>
      <c r="W134">
        <f>HYPERLINK("https://klasma.github.io/Logging_2313/klagomålsmail/A 14936-2020 FSC-klagomål mail.docx", "A 14936-2020")</f>
        <v/>
      </c>
      <c r="X134">
        <f>HYPERLINK("https://klasma.github.io/Logging_2313/tillsyn/A 14936-2020 tillsynsbegäran.docx", "A 14936-2020")</f>
        <v/>
      </c>
      <c r="Y134">
        <f>HYPERLINK("https://klasma.github.io/Logging_2313/tillsynsmail/A 14936-2020 tillsynsbegäran mail.docx", "A 14936-2020")</f>
        <v/>
      </c>
      <c r="Z134">
        <f>HYPERLINK("https://klasma.github.io/Logging_2313/fåglar/A 14936-2020 prioriterade fågelarter.docx", "A 14936-2020")</f>
        <v/>
      </c>
    </row>
    <row r="135" ht="15" customHeight="1">
      <c r="A135" t="inlineStr">
        <is>
          <t>A 18931-2020</t>
        </is>
      </c>
      <c r="B135" s="1" t="n">
        <v>43929</v>
      </c>
      <c r="C135" s="1" t="n">
        <v>45795</v>
      </c>
      <c r="D135" t="inlineStr">
        <is>
          <t>JÄMTLANDS LÄN</t>
        </is>
      </c>
      <c r="E135" t="inlineStr">
        <is>
          <t>STRÖMSUND</t>
        </is>
      </c>
      <c r="G135" t="n">
        <v>6.3</v>
      </c>
      <c r="H135" t="n">
        <v>3</v>
      </c>
      <c r="I135" t="n">
        <v>2</v>
      </c>
      <c r="J135" t="n">
        <v>1</v>
      </c>
      <c r="K135" t="n">
        <v>2</v>
      </c>
      <c r="L135" t="n">
        <v>0</v>
      </c>
      <c r="M135" t="n">
        <v>0</v>
      </c>
      <c r="N135" t="n">
        <v>0</v>
      </c>
      <c r="O135" t="n">
        <v>3</v>
      </c>
      <c r="P135" t="n">
        <v>2</v>
      </c>
      <c r="Q135" t="n">
        <v>5</v>
      </c>
      <c r="R135" s="2" t="inlineStr">
        <is>
          <t>Doftticka
Knärot
Lunglav
Dropptaggsvamp
Plattlummer</t>
        </is>
      </c>
      <c r="S135">
        <f>HYPERLINK("https://klasma.github.io/Logging_2313/artfynd/A 18931-2020 artfynd.xlsx", "A 18931-2020")</f>
        <v/>
      </c>
      <c r="T135">
        <f>HYPERLINK("https://klasma.github.io/Logging_2313/kartor/A 18931-2020 karta.png", "A 18931-2020")</f>
        <v/>
      </c>
      <c r="U135">
        <f>HYPERLINK("https://klasma.github.io/Logging_2313/knärot/A 18931-2020 karta knärot.png", "A 18931-2020")</f>
        <v/>
      </c>
      <c r="V135">
        <f>HYPERLINK("https://klasma.github.io/Logging_2313/klagomål/A 18931-2020 FSC-klagomål.docx", "A 18931-2020")</f>
        <v/>
      </c>
      <c r="W135">
        <f>HYPERLINK("https://klasma.github.io/Logging_2313/klagomålsmail/A 18931-2020 FSC-klagomål mail.docx", "A 18931-2020")</f>
        <v/>
      </c>
      <c r="X135">
        <f>HYPERLINK("https://klasma.github.io/Logging_2313/tillsyn/A 18931-2020 tillsynsbegäran.docx", "A 18931-2020")</f>
        <v/>
      </c>
      <c r="Y135">
        <f>HYPERLINK("https://klasma.github.io/Logging_2313/tillsynsmail/A 18931-2020 tillsynsbegäran mail.docx", "A 18931-2020")</f>
        <v/>
      </c>
    </row>
    <row r="136" ht="15" customHeight="1">
      <c r="A136" t="inlineStr">
        <is>
          <t>A 32091-2020</t>
        </is>
      </c>
      <c r="B136" s="1" t="n">
        <v>44015</v>
      </c>
      <c r="C136" s="1" t="n">
        <v>45795</v>
      </c>
      <c r="D136" t="inlineStr">
        <is>
          <t>JÄMTLANDS LÄN</t>
        </is>
      </c>
      <c r="E136" t="inlineStr">
        <is>
          <t>STRÖMSUND</t>
        </is>
      </c>
      <c r="F136" t="inlineStr">
        <is>
          <t>Holmen skog AB</t>
        </is>
      </c>
      <c r="G136" t="n">
        <v>3.6</v>
      </c>
      <c r="H136" t="n">
        <v>1</v>
      </c>
      <c r="I136" t="n">
        <v>0</v>
      </c>
      <c r="J136" t="n">
        <v>5</v>
      </c>
      <c r="K136" t="n">
        <v>0</v>
      </c>
      <c r="L136" t="n">
        <v>0</v>
      </c>
      <c r="M136" t="n">
        <v>0</v>
      </c>
      <c r="N136" t="n">
        <v>0</v>
      </c>
      <c r="O136" t="n">
        <v>5</v>
      </c>
      <c r="P136" t="n">
        <v>0</v>
      </c>
      <c r="Q136" t="n">
        <v>5</v>
      </c>
      <c r="R136" s="2" t="inlineStr">
        <is>
          <t>Harticka
Leptoporus mollis
Lunglav
Skrovellav
Tretåig hackspett</t>
        </is>
      </c>
      <c r="S136">
        <f>HYPERLINK("https://klasma.github.io/Logging_2313/artfynd/A 32091-2020 artfynd.xlsx", "A 32091-2020")</f>
        <v/>
      </c>
      <c r="T136">
        <f>HYPERLINK("https://klasma.github.io/Logging_2313/kartor/A 32091-2020 karta.png", "A 32091-2020")</f>
        <v/>
      </c>
      <c r="V136">
        <f>HYPERLINK("https://klasma.github.io/Logging_2313/klagomål/A 32091-2020 FSC-klagomål.docx", "A 32091-2020")</f>
        <v/>
      </c>
      <c r="W136">
        <f>HYPERLINK("https://klasma.github.io/Logging_2313/klagomålsmail/A 32091-2020 FSC-klagomål mail.docx", "A 32091-2020")</f>
        <v/>
      </c>
      <c r="X136">
        <f>HYPERLINK("https://klasma.github.io/Logging_2313/tillsyn/A 32091-2020 tillsynsbegäran.docx", "A 32091-2020")</f>
        <v/>
      </c>
      <c r="Y136">
        <f>HYPERLINK("https://klasma.github.io/Logging_2313/tillsynsmail/A 32091-2020 tillsynsbegäran mail.docx", "A 32091-2020")</f>
        <v/>
      </c>
      <c r="Z136">
        <f>HYPERLINK("https://klasma.github.io/Logging_2313/fåglar/A 32091-2020 prioriterade fågelarter.docx", "A 32091-2020")</f>
        <v/>
      </c>
    </row>
    <row r="137" ht="15" customHeight="1">
      <c r="A137" t="inlineStr">
        <is>
          <t>A 34121-2020</t>
        </is>
      </c>
      <c r="B137" s="1" t="n">
        <v>44028</v>
      </c>
      <c r="C137" s="1" t="n">
        <v>45795</v>
      </c>
      <c r="D137" t="inlineStr">
        <is>
          <t>JÄMTLANDS LÄN</t>
        </is>
      </c>
      <c r="E137" t="inlineStr">
        <is>
          <t>STRÖMSUND</t>
        </is>
      </c>
      <c r="F137" t="inlineStr">
        <is>
          <t>SCA</t>
        </is>
      </c>
      <c r="G137" t="n">
        <v>28.8</v>
      </c>
      <c r="H137" t="n">
        <v>0</v>
      </c>
      <c r="I137" t="n">
        <v>0</v>
      </c>
      <c r="J137" t="n">
        <v>3</v>
      </c>
      <c r="K137" t="n">
        <v>2</v>
      </c>
      <c r="L137" t="n">
        <v>0</v>
      </c>
      <c r="M137" t="n">
        <v>0</v>
      </c>
      <c r="N137" t="n">
        <v>0</v>
      </c>
      <c r="O137" t="n">
        <v>5</v>
      </c>
      <c r="P137" t="n">
        <v>2</v>
      </c>
      <c r="Q137" t="n">
        <v>5</v>
      </c>
      <c r="R137" s="2" t="inlineStr">
        <is>
          <t>Liten sotlav
Norsk näverlav
Gränsticka
Harticka
Ullticka</t>
        </is>
      </c>
      <c r="S137">
        <f>HYPERLINK("https://klasma.github.io/Logging_2313/artfynd/A 34121-2020 artfynd.xlsx", "A 34121-2020")</f>
        <v/>
      </c>
      <c r="T137">
        <f>HYPERLINK("https://klasma.github.io/Logging_2313/kartor/A 34121-2020 karta.png", "A 34121-2020")</f>
        <v/>
      </c>
      <c r="V137">
        <f>HYPERLINK("https://klasma.github.io/Logging_2313/klagomål/A 34121-2020 FSC-klagomål.docx", "A 34121-2020")</f>
        <v/>
      </c>
      <c r="W137">
        <f>HYPERLINK("https://klasma.github.io/Logging_2313/klagomålsmail/A 34121-2020 FSC-klagomål mail.docx", "A 34121-2020")</f>
        <v/>
      </c>
      <c r="X137">
        <f>HYPERLINK("https://klasma.github.io/Logging_2313/tillsyn/A 34121-2020 tillsynsbegäran.docx", "A 34121-2020")</f>
        <v/>
      </c>
      <c r="Y137">
        <f>HYPERLINK("https://klasma.github.io/Logging_2313/tillsynsmail/A 34121-2020 tillsynsbegäran mail.docx", "A 34121-2020")</f>
        <v/>
      </c>
    </row>
    <row r="138" ht="15" customHeight="1">
      <c r="A138" t="inlineStr">
        <is>
          <t>A 35691-2020</t>
        </is>
      </c>
      <c r="B138" s="1" t="n">
        <v>44046</v>
      </c>
      <c r="C138" s="1" t="n">
        <v>45795</v>
      </c>
      <c r="D138" t="inlineStr">
        <is>
          <t>JÄMTLANDS LÄN</t>
        </is>
      </c>
      <c r="E138" t="inlineStr">
        <is>
          <t>STRÖMSUND</t>
        </is>
      </c>
      <c r="G138" t="n">
        <v>13.9</v>
      </c>
      <c r="H138" t="n">
        <v>1</v>
      </c>
      <c r="I138" t="n">
        <v>4</v>
      </c>
      <c r="J138" t="n">
        <v>1</v>
      </c>
      <c r="K138" t="n">
        <v>0</v>
      </c>
      <c r="L138" t="n">
        <v>0</v>
      </c>
      <c r="M138" t="n">
        <v>0</v>
      </c>
      <c r="N138" t="n">
        <v>0</v>
      </c>
      <c r="O138" t="n">
        <v>1</v>
      </c>
      <c r="P138" t="n">
        <v>0</v>
      </c>
      <c r="Q138" t="n">
        <v>5</v>
      </c>
      <c r="R138" s="2" t="inlineStr">
        <is>
          <t>Garnlav
Kransrams
Luddlav
Spindelblomster
Stuplav</t>
        </is>
      </c>
      <c r="S138">
        <f>HYPERLINK("https://klasma.github.io/Logging_2313/artfynd/A 35691-2020 artfynd.xlsx", "A 35691-2020")</f>
        <v/>
      </c>
      <c r="T138">
        <f>HYPERLINK("https://klasma.github.io/Logging_2313/kartor/A 35691-2020 karta.png", "A 35691-2020")</f>
        <v/>
      </c>
      <c r="V138">
        <f>HYPERLINK("https://klasma.github.io/Logging_2313/klagomål/A 35691-2020 FSC-klagomål.docx", "A 35691-2020")</f>
        <v/>
      </c>
      <c r="W138">
        <f>HYPERLINK("https://klasma.github.io/Logging_2313/klagomålsmail/A 35691-2020 FSC-klagomål mail.docx", "A 35691-2020")</f>
        <v/>
      </c>
      <c r="X138">
        <f>HYPERLINK("https://klasma.github.io/Logging_2313/tillsyn/A 35691-2020 tillsynsbegäran.docx", "A 35691-2020")</f>
        <v/>
      </c>
      <c r="Y138">
        <f>HYPERLINK("https://klasma.github.io/Logging_2313/tillsynsmail/A 35691-2020 tillsynsbegäran mail.docx", "A 35691-2020")</f>
        <v/>
      </c>
    </row>
    <row r="139" ht="15" customHeight="1">
      <c r="A139" t="inlineStr">
        <is>
          <t>A 50257-2020</t>
        </is>
      </c>
      <c r="B139" s="1" t="n">
        <v>44109</v>
      </c>
      <c r="C139" s="1" t="n">
        <v>45795</v>
      </c>
      <c r="D139" t="inlineStr">
        <is>
          <t>JÄMTLANDS LÄN</t>
        </is>
      </c>
      <c r="E139" t="inlineStr">
        <is>
          <t>STRÖMSUND</t>
        </is>
      </c>
      <c r="F139" t="inlineStr">
        <is>
          <t>SCA</t>
        </is>
      </c>
      <c r="G139" t="n">
        <v>16.6</v>
      </c>
      <c r="H139" t="n">
        <v>0</v>
      </c>
      <c r="I139" t="n">
        <v>0</v>
      </c>
      <c r="J139" t="n">
        <v>4</v>
      </c>
      <c r="K139" t="n">
        <v>1</v>
      </c>
      <c r="L139" t="n">
        <v>0</v>
      </c>
      <c r="M139" t="n">
        <v>0</v>
      </c>
      <c r="N139" t="n">
        <v>0</v>
      </c>
      <c r="O139" t="n">
        <v>5</v>
      </c>
      <c r="P139" t="n">
        <v>1</v>
      </c>
      <c r="Q139" t="n">
        <v>5</v>
      </c>
      <c r="R139" s="2" t="inlineStr">
        <is>
          <t>Tallgråticka
Blå taggsvamp
Motaggsvamp
Orange taggsvamp
Skrovlig taggsvamp</t>
        </is>
      </c>
      <c r="S139">
        <f>HYPERLINK("https://klasma.github.io/Logging_2313/artfynd/A 50257-2020 artfynd.xlsx", "A 50257-2020")</f>
        <v/>
      </c>
      <c r="T139">
        <f>HYPERLINK("https://klasma.github.io/Logging_2313/kartor/A 50257-2020 karta.png", "A 50257-2020")</f>
        <v/>
      </c>
      <c r="V139">
        <f>HYPERLINK("https://klasma.github.io/Logging_2313/klagomål/A 50257-2020 FSC-klagomål.docx", "A 50257-2020")</f>
        <v/>
      </c>
      <c r="W139">
        <f>HYPERLINK("https://klasma.github.io/Logging_2313/klagomålsmail/A 50257-2020 FSC-klagomål mail.docx", "A 50257-2020")</f>
        <v/>
      </c>
      <c r="X139">
        <f>HYPERLINK("https://klasma.github.io/Logging_2313/tillsyn/A 50257-2020 tillsynsbegäran.docx", "A 50257-2020")</f>
        <v/>
      </c>
      <c r="Y139">
        <f>HYPERLINK("https://klasma.github.io/Logging_2313/tillsynsmail/A 50257-2020 tillsynsbegäran mail.docx", "A 50257-2020")</f>
        <v/>
      </c>
    </row>
    <row r="140" ht="15" customHeight="1">
      <c r="A140" t="inlineStr">
        <is>
          <t>A 58580-2020</t>
        </is>
      </c>
      <c r="B140" s="1" t="n">
        <v>44144</v>
      </c>
      <c r="C140" s="1" t="n">
        <v>45795</v>
      </c>
      <c r="D140" t="inlineStr">
        <is>
          <t>JÄMTLANDS LÄN</t>
        </is>
      </c>
      <c r="E140" t="inlineStr">
        <is>
          <t>STRÖMSUND</t>
        </is>
      </c>
      <c r="G140" t="n">
        <v>74.8</v>
      </c>
      <c r="H140" t="n">
        <v>0</v>
      </c>
      <c r="I140" t="n">
        <v>3</v>
      </c>
      <c r="J140" t="n">
        <v>2</v>
      </c>
      <c r="K140" t="n">
        <v>0</v>
      </c>
      <c r="L140" t="n">
        <v>0</v>
      </c>
      <c r="M140" t="n">
        <v>0</v>
      </c>
      <c r="N140" t="n">
        <v>0</v>
      </c>
      <c r="O140" t="n">
        <v>2</v>
      </c>
      <c r="P140" t="n">
        <v>0</v>
      </c>
      <c r="Q140" t="n">
        <v>5</v>
      </c>
      <c r="R140" s="2" t="inlineStr">
        <is>
          <t>Garnlav
Skrovellav
Gytterlav
Luddlav
Stuplav</t>
        </is>
      </c>
      <c r="S140">
        <f>HYPERLINK("https://klasma.github.io/Logging_2313/artfynd/A 58580-2020 artfynd.xlsx", "A 58580-2020")</f>
        <v/>
      </c>
      <c r="T140">
        <f>HYPERLINK("https://klasma.github.io/Logging_2313/kartor/A 58580-2020 karta.png", "A 58580-2020")</f>
        <v/>
      </c>
      <c r="V140">
        <f>HYPERLINK("https://klasma.github.io/Logging_2313/klagomål/A 58580-2020 FSC-klagomål.docx", "A 58580-2020")</f>
        <v/>
      </c>
      <c r="W140">
        <f>HYPERLINK("https://klasma.github.io/Logging_2313/klagomålsmail/A 58580-2020 FSC-klagomål mail.docx", "A 58580-2020")</f>
        <v/>
      </c>
      <c r="X140">
        <f>HYPERLINK("https://klasma.github.io/Logging_2313/tillsyn/A 58580-2020 tillsynsbegäran.docx", "A 58580-2020")</f>
        <v/>
      </c>
      <c r="Y140">
        <f>HYPERLINK("https://klasma.github.io/Logging_2313/tillsynsmail/A 58580-2020 tillsynsbegäran mail.docx", "A 58580-2020")</f>
        <v/>
      </c>
    </row>
    <row r="141" ht="15" customHeight="1">
      <c r="A141" t="inlineStr">
        <is>
          <t>A 22773-2021</t>
        </is>
      </c>
      <c r="B141" s="1" t="n">
        <v>44327</v>
      </c>
      <c r="C141" s="1" t="n">
        <v>45795</v>
      </c>
      <c r="D141" t="inlineStr">
        <is>
          <t>JÄMTLANDS LÄN</t>
        </is>
      </c>
      <c r="E141" t="inlineStr">
        <is>
          <t>STRÖMSUND</t>
        </is>
      </c>
      <c r="G141" t="n">
        <v>1.8</v>
      </c>
      <c r="H141" t="n">
        <v>1</v>
      </c>
      <c r="I141" t="n">
        <v>2</v>
      </c>
      <c r="J141" t="n">
        <v>1</v>
      </c>
      <c r="K141" t="n">
        <v>0</v>
      </c>
      <c r="L141" t="n">
        <v>1</v>
      </c>
      <c r="M141" t="n">
        <v>0</v>
      </c>
      <c r="N141" t="n">
        <v>0</v>
      </c>
      <c r="O141" t="n">
        <v>2</v>
      </c>
      <c r="P141" t="n">
        <v>1</v>
      </c>
      <c r="Q141" t="n">
        <v>5</v>
      </c>
      <c r="R141" s="2" t="inlineStr">
        <is>
          <t>Trolldruvemätare
Lunglav
Svart trolldruva
Ögonpyrola
Blåsippa</t>
        </is>
      </c>
      <c r="S141">
        <f>HYPERLINK("https://klasma.github.io/Logging_2313/artfynd/A 22773-2021 artfynd.xlsx", "A 22773-2021")</f>
        <v/>
      </c>
      <c r="T141">
        <f>HYPERLINK("https://klasma.github.io/Logging_2313/kartor/A 22773-2021 karta.png", "A 22773-2021")</f>
        <v/>
      </c>
      <c r="V141">
        <f>HYPERLINK("https://klasma.github.io/Logging_2313/klagomål/A 22773-2021 FSC-klagomål.docx", "A 22773-2021")</f>
        <v/>
      </c>
      <c r="W141">
        <f>HYPERLINK("https://klasma.github.io/Logging_2313/klagomålsmail/A 22773-2021 FSC-klagomål mail.docx", "A 22773-2021")</f>
        <v/>
      </c>
      <c r="X141">
        <f>HYPERLINK("https://klasma.github.io/Logging_2313/tillsyn/A 22773-2021 tillsynsbegäran.docx", "A 22773-2021")</f>
        <v/>
      </c>
      <c r="Y141">
        <f>HYPERLINK("https://klasma.github.io/Logging_2313/tillsynsmail/A 22773-2021 tillsynsbegäran mail.docx", "A 22773-2021")</f>
        <v/>
      </c>
    </row>
    <row r="142" ht="15" customHeight="1">
      <c r="A142" t="inlineStr">
        <is>
          <t>A 23752-2021</t>
        </is>
      </c>
      <c r="B142" s="1" t="n">
        <v>44334</v>
      </c>
      <c r="C142" s="1" t="n">
        <v>45795</v>
      </c>
      <c r="D142" t="inlineStr">
        <is>
          <t>JÄMTLANDS LÄN</t>
        </is>
      </c>
      <c r="E142" t="inlineStr">
        <is>
          <t>STRÖMSUND</t>
        </is>
      </c>
      <c r="F142" t="inlineStr">
        <is>
          <t>SCA</t>
        </is>
      </c>
      <c r="G142" t="n">
        <v>7</v>
      </c>
      <c r="H142" t="n">
        <v>0</v>
      </c>
      <c r="I142" t="n">
        <v>4</v>
      </c>
      <c r="J142" t="n">
        <v>1</v>
      </c>
      <c r="K142" t="n">
        <v>0</v>
      </c>
      <c r="L142" t="n">
        <v>0</v>
      </c>
      <c r="M142" t="n">
        <v>0</v>
      </c>
      <c r="N142" t="n">
        <v>0</v>
      </c>
      <c r="O142" t="n">
        <v>1</v>
      </c>
      <c r="P142" t="n">
        <v>0</v>
      </c>
      <c r="Q142" t="n">
        <v>5</v>
      </c>
      <c r="R142" s="2" t="inlineStr">
        <is>
          <t>Brunklöver
Bronshjon
Svavelriska
Trådticka
Vågbandad barkbock</t>
        </is>
      </c>
      <c r="S142">
        <f>HYPERLINK("https://klasma.github.io/Logging_2313/artfynd/A 23752-2021 artfynd.xlsx", "A 23752-2021")</f>
        <v/>
      </c>
      <c r="T142">
        <f>HYPERLINK("https://klasma.github.io/Logging_2313/kartor/A 23752-2021 karta.png", "A 23752-2021")</f>
        <v/>
      </c>
      <c r="V142">
        <f>HYPERLINK("https://klasma.github.io/Logging_2313/klagomål/A 23752-2021 FSC-klagomål.docx", "A 23752-2021")</f>
        <v/>
      </c>
      <c r="W142">
        <f>HYPERLINK("https://klasma.github.io/Logging_2313/klagomålsmail/A 23752-2021 FSC-klagomål mail.docx", "A 23752-2021")</f>
        <v/>
      </c>
      <c r="X142">
        <f>HYPERLINK("https://klasma.github.io/Logging_2313/tillsyn/A 23752-2021 tillsynsbegäran.docx", "A 23752-2021")</f>
        <v/>
      </c>
      <c r="Y142">
        <f>HYPERLINK("https://klasma.github.io/Logging_2313/tillsynsmail/A 23752-2021 tillsynsbegäran mail.docx", "A 23752-2021")</f>
        <v/>
      </c>
    </row>
    <row r="143" ht="15" customHeight="1">
      <c r="A143" t="inlineStr">
        <is>
          <t>A 26149-2021</t>
        </is>
      </c>
      <c r="B143" s="1" t="n">
        <v>44346</v>
      </c>
      <c r="C143" s="1" t="n">
        <v>45795</v>
      </c>
      <c r="D143" t="inlineStr">
        <is>
          <t>JÄMTLANDS LÄN</t>
        </is>
      </c>
      <c r="E143" t="inlineStr">
        <is>
          <t>STRÖMSUND</t>
        </is>
      </c>
      <c r="F143" t="inlineStr">
        <is>
          <t>SCA</t>
        </is>
      </c>
      <c r="G143" t="n">
        <v>14.4</v>
      </c>
      <c r="H143" t="n">
        <v>0</v>
      </c>
      <c r="I143" t="n">
        <v>3</v>
      </c>
      <c r="J143" t="n">
        <v>2</v>
      </c>
      <c r="K143" t="n">
        <v>0</v>
      </c>
      <c r="L143" t="n">
        <v>0</v>
      </c>
      <c r="M143" t="n">
        <v>0</v>
      </c>
      <c r="N143" t="n">
        <v>0</v>
      </c>
      <c r="O143" t="n">
        <v>2</v>
      </c>
      <c r="P143" t="n">
        <v>0</v>
      </c>
      <c r="Q143" t="n">
        <v>5</v>
      </c>
      <c r="R143" s="2" t="inlineStr">
        <is>
          <t>Lunglav
Skrovellav
Skinnlav
Stor aspticka
Stuplav</t>
        </is>
      </c>
      <c r="S143">
        <f>HYPERLINK("https://klasma.github.io/Logging_2313/artfynd/A 26149-2021 artfynd.xlsx", "A 26149-2021")</f>
        <v/>
      </c>
      <c r="T143">
        <f>HYPERLINK("https://klasma.github.io/Logging_2313/kartor/A 26149-2021 karta.png", "A 26149-2021")</f>
        <v/>
      </c>
      <c r="V143">
        <f>HYPERLINK("https://klasma.github.io/Logging_2313/klagomål/A 26149-2021 FSC-klagomål.docx", "A 26149-2021")</f>
        <v/>
      </c>
      <c r="W143">
        <f>HYPERLINK("https://klasma.github.io/Logging_2313/klagomålsmail/A 26149-2021 FSC-klagomål mail.docx", "A 26149-2021")</f>
        <v/>
      </c>
      <c r="X143">
        <f>HYPERLINK("https://klasma.github.io/Logging_2313/tillsyn/A 26149-2021 tillsynsbegäran.docx", "A 26149-2021")</f>
        <v/>
      </c>
      <c r="Y143">
        <f>HYPERLINK("https://klasma.github.io/Logging_2313/tillsynsmail/A 26149-2021 tillsynsbegäran mail.docx", "A 26149-2021")</f>
        <v/>
      </c>
    </row>
    <row r="144" ht="15" customHeight="1">
      <c r="A144" t="inlineStr">
        <is>
          <t>A 32277-2021</t>
        </is>
      </c>
      <c r="B144" s="1" t="n">
        <v>44371</v>
      </c>
      <c r="C144" s="1" t="n">
        <v>45795</v>
      </c>
      <c r="D144" t="inlineStr">
        <is>
          <t>JÄMTLANDS LÄN</t>
        </is>
      </c>
      <c r="E144" t="inlineStr">
        <is>
          <t>STRÖMSUND</t>
        </is>
      </c>
      <c r="F144" t="inlineStr">
        <is>
          <t>SCA</t>
        </is>
      </c>
      <c r="G144" t="n">
        <v>17.6</v>
      </c>
      <c r="H144" t="n">
        <v>0</v>
      </c>
      <c r="I144" t="n">
        <v>0</v>
      </c>
      <c r="J144" t="n">
        <v>3</v>
      </c>
      <c r="K144" t="n">
        <v>2</v>
      </c>
      <c r="L144" t="n">
        <v>0</v>
      </c>
      <c r="M144" t="n">
        <v>0</v>
      </c>
      <c r="N144" t="n">
        <v>0</v>
      </c>
      <c r="O144" t="n">
        <v>5</v>
      </c>
      <c r="P144" t="n">
        <v>2</v>
      </c>
      <c r="Q144" t="n">
        <v>5</v>
      </c>
      <c r="R144" s="2" t="inlineStr">
        <is>
          <t>Liten sotlav
Norsk näverlav
Gränsticka
Harticka
Stjärntagging</t>
        </is>
      </c>
      <c r="S144">
        <f>HYPERLINK("https://klasma.github.io/Logging_2313/artfynd/A 32277-2021 artfynd.xlsx", "A 32277-2021")</f>
        <v/>
      </c>
      <c r="T144">
        <f>HYPERLINK("https://klasma.github.io/Logging_2313/kartor/A 32277-2021 karta.png", "A 32277-2021")</f>
        <v/>
      </c>
      <c r="V144">
        <f>HYPERLINK("https://klasma.github.io/Logging_2313/klagomål/A 32277-2021 FSC-klagomål.docx", "A 32277-2021")</f>
        <v/>
      </c>
      <c r="W144">
        <f>HYPERLINK("https://klasma.github.io/Logging_2313/klagomålsmail/A 32277-2021 FSC-klagomål mail.docx", "A 32277-2021")</f>
        <v/>
      </c>
      <c r="X144">
        <f>HYPERLINK("https://klasma.github.io/Logging_2313/tillsyn/A 32277-2021 tillsynsbegäran.docx", "A 32277-2021")</f>
        <v/>
      </c>
      <c r="Y144">
        <f>HYPERLINK("https://klasma.github.io/Logging_2313/tillsynsmail/A 32277-2021 tillsynsbegäran mail.docx", "A 32277-2021")</f>
        <v/>
      </c>
    </row>
    <row r="145" ht="15" customHeight="1">
      <c r="A145" t="inlineStr">
        <is>
          <t>A 33546-2021</t>
        </is>
      </c>
      <c r="B145" s="1" t="n">
        <v>44377</v>
      </c>
      <c r="C145" s="1" t="n">
        <v>45795</v>
      </c>
      <c r="D145" t="inlineStr">
        <is>
          <t>JÄMTLANDS LÄN</t>
        </is>
      </c>
      <c r="E145" t="inlineStr">
        <is>
          <t>STRÖMSUND</t>
        </is>
      </c>
      <c r="G145" t="n">
        <v>1.9</v>
      </c>
      <c r="H145" t="n">
        <v>0</v>
      </c>
      <c r="I145" t="n">
        <v>2</v>
      </c>
      <c r="J145" t="n">
        <v>3</v>
      </c>
      <c r="K145" t="n">
        <v>0</v>
      </c>
      <c r="L145" t="n">
        <v>0</v>
      </c>
      <c r="M145" t="n">
        <v>0</v>
      </c>
      <c r="N145" t="n">
        <v>0</v>
      </c>
      <c r="O145" t="n">
        <v>3</v>
      </c>
      <c r="P145" t="n">
        <v>0</v>
      </c>
      <c r="Q145" t="n">
        <v>5</v>
      </c>
      <c r="R145" s="2" t="inlineStr">
        <is>
          <t>Gränsticka
Lunglav
Vitgrynig nållav
Skinnlav
Stuplav</t>
        </is>
      </c>
      <c r="S145">
        <f>HYPERLINK("https://klasma.github.io/Logging_2313/artfynd/A 33546-2021 artfynd.xlsx", "A 33546-2021")</f>
        <v/>
      </c>
      <c r="T145">
        <f>HYPERLINK("https://klasma.github.io/Logging_2313/kartor/A 33546-2021 karta.png", "A 33546-2021")</f>
        <v/>
      </c>
      <c r="V145">
        <f>HYPERLINK("https://klasma.github.io/Logging_2313/klagomål/A 33546-2021 FSC-klagomål.docx", "A 33546-2021")</f>
        <v/>
      </c>
      <c r="W145">
        <f>HYPERLINK("https://klasma.github.io/Logging_2313/klagomålsmail/A 33546-2021 FSC-klagomål mail.docx", "A 33546-2021")</f>
        <v/>
      </c>
      <c r="X145">
        <f>HYPERLINK("https://klasma.github.io/Logging_2313/tillsyn/A 33546-2021 tillsynsbegäran.docx", "A 33546-2021")</f>
        <v/>
      </c>
      <c r="Y145">
        <f>HYPERLINK("https://klasma.github.io/Logging_2313/tillsynsmail/A 33546-2021 tillsynsbegäran mail.docx", "A 33546-2021")</f>
        <v/>
      </c>
    </row>
    <row r="146" ht="15" customHeight="1">
      <c r="A146" t="inlineStr">
        <is>
          <t>A 12196-2022</t>
        </is>
      </c>
      <c r="B146" s="1" t="n">
        <v>44636</v>
      </c>
      <c r="C146" s="1" t="n">
        <v>45795</v>
      </c>
      <c r="D146" t="inlineStr">
        <is>
          <t>JÄMTLANDS LÄN</t>
        </is>
      </c>
      <c r="E146" t="inlineStr">
        <is>
          <t>STRÖMSUND</t>
        </is>
      </c>
      <c r="F146" t="inlineStr">
        <is>
          <t>SCA</t>
        </is>
      </c>
      <c r="G146" t="n">
        <v>6.7</v>
      </c>
      <c r="H146" t="n">
        <v>0</v>
      </c>
      <c r="I146" t="n">
        <v>1</v>
      </c>
      <c r="J146" t="n">
        <v>3</v>
      </c>
      <c r="K146" t="n">
        <v>1</v>
      </c>
      <c r="L146" t="n">
        <v>0</v>
      </c>
      <c r="M146" t="n">
        <v>0</v>
      </c>
      <c r="N146" t="n">
        <v>0</v>
      </c>
      <c r="O146" t="n">
        <v>4</v>
      </c>
      <c r="P146" t="n">
        <v>1</v>
      </c>
      <c r="Q146" t="n">
        <v>5</v>
      </c>
      <c r="R146" s="2" t="inlineStr">
        <is>
          <t>Rynkskinn
Garnlav
Rosenticka
Vitgrynig nållav
Kransrams</t>
        </is>
      </c>
      <c r="S146">
        <f>HYPERLINK("https://klasma.github.io/Logging_2313/artfynd/A 12196-2022 artfynd.xlsx", "A 12196-2022")</f>
        <v/>
      </c>
      <c r="T146">
        <f>HYPERLINK("https://klasma.github.io/Logging_2313/kartor/A 12196-2022 karta.png", "A 12196-2022")</f>
        <v/>
      </c>
      <c r="V146">
        <f>HYPERLINK("https://klasma.github.io/Logging_2313/klagomål/A 12196-2022 FSC-klagomål.docx", "A 12196-2022")</f>
        <v/>
      </c>
      <c r="W146">
        <f>HYPERLINK("https://klasma.github.io/Logging_2313/klagomålsmail/A 12196-2022 FSC-klagomål mail.docx", "A 12196-2022")</f>
        <v/>
      </c>
      <c r="X146">
        <f>HYPERLINK("https://klasma.github.io/Logging_2313/tillsyn/A 12196-2022 tillsynsbegäran.docx", "A 12196-2022")</f>
        <v/>
      </c>
      <c r="Y146">
        <f>HYPERLINK("https://klasma.github.io/Logging_2313/tillsynsmail/A 12196-2022 tillsynsbegäran mail.docx", "A 12196-2022")</f>
        <v/>
      </c>
    </row>
    <row r="147" ht="15" customHeight="1">
      <c r="A147" t="inlineStr">
        <is>
          <t>A 38101-2022</t>
        </is>
      </c>
      <c r="B147" s="1" t="n">
        <v>44811</v>
      </c>
      <c r="C147" s="1" t="n">
        <v>45795</v>
      </c>
      <c r="D147" t="inlineStr">
        <is>
          <t>JÄMTLANDS LÄN</t>
        </is>
      </c>
      <c r="E147" t="inlineStr">
        <is>
          <t>STRÖMSUND</t>
        </is>
      </c>
      <c r="F147" t="inlineStr">
        <is>
          <t>SCA</t>
        </is>
      </c>
      <c r="G147" t="n">
        <v>6.9</v>
      </c>
      <c r="H147" t="n">
        <v>1</v>
      </c>
      <c r="I147" t="n">
        <v>0</v>
      </c>
      <c r="J147" t="n">
        <v>4</v>
      </c>
      <c r="K147" t="n">
        <v>1</v>
      </c>
      <c r="L147" t="n">
        <v>0</v>
      </c>
      <c r="M147" t="n">
        <v>0</v>
      </c>
      <c r="N147" t="n">
        <v>0</v>
      </c>
      <c r="O147" t="n">
        <v>5</v>
      </c>
      <c r="P147" t="n">
        <v>1</v>
      </c>
      <c r="Q147" t="n">
        <v>5</v>
      </c>
      <c r="R147" s="2" t="inlineStr">
        <is>
          <t>Doftticka
Granticka
Lunglav
Skrovellav
Violettgrå tagellav</t>
        </is>
      </c>
      <c r="S147">
        <f>HYPERLINK("https://klasma.github.io/Logging_2313/artfynd/A 38101-2022 artfynd.xlsx", "A 38101-2022")</f>
        <v/>
      </c>
      <c r="T147">
        <f>HYPERLINK("https://klasma.github.io/Logging_2313/kartor/A 38101-2022 karta.png", "A 38101-2022")</f>
        <v/>
      </c>
      <c r="V147">
        <f>HYPERLINK("https://klasma.github.io/Logging_2313/klagomål/A 38101-2022 FSC-klagomål.docx", "A 38101-2022")</f>
        <v/>
      </c>
      <c r="W147">
        <f>HYPERLINK("https://klasma.github.io/Logging_2313/klagomålsmail/A 38101-2022 FSC-klagomål mail.docx", "A 38101-2022")</f>
        <v/>
      </c>
      <c r="X147">
        <f>HYPERLINK("https://klasma.github.io/Logging_2313/tillsyn/A 38101-2022 tillsynsbegäran.docx", "A 38101-2022")</f>
        <v/>
      </c>
      <c r="Y147">
        <f>HYPERLINK("https://klasma.github.io/Logging_2313/tillsynsmail/A 38101-2022 tillsynsbegäran mail.docx", "A 38101-2022")</f>
        <v/>
      </c>
    </row>
    <row r="148" ht="15" customHeight="1">
      <c r="A148" t="inlineStr">
        <is>
          <t>A 39695-2022</t>
        </is>
      </c>
      <c r="B148" s="1" t="n">
        <v>44818</v>
      </c>
      <c r="C148" s="1" t="n">
        <v>45795</v>
      </c>
      <c r="D148" t="inlineStr">
        <is>
          <t>JÄMTLANDS LÄN</t>
        </is>
      </c>
      <c r="E148" t="inlineStr">
        <is>
          <t>STRÖMSUND</t>
        </is>
      </c>
      <c r="F148" t="inlineStr">
        <is>
          <t>SCA</t>
        </is>
      </c>
      <c r="G148" t="n">
        <v>4.4</v>
      </c>
      <c r="H148" t="n">
        <v>0</v>
      </c>
      <c r="I148" t="n">
        <v>0</v>
      </c>
      <c r="J148" t="n">
        <v>4</v>
      </c>
      <c r="K148" t="n">
        <v>1</v>
      </c>
      <c r="L148" t="n">
        <v>0</v>
      </c>
      <c r="M148" t="n">
        <v>0</v>
      </c>
      <c r="N148" t="n">
        <v>0</v>
      </c>
      <c r="O148" t="n">
        <v>5</v>
      </c>
      <c r="P148" t="n">
        <v>1</v>
      </c>
      <c r="Q148" t="n">
        <v>5</v>
      </c>
      <c r="R148" s="2" t="inlineStr">
        <is>
          <t>Blackticka
Lunglav
Skrovellav
Ullticka
Vitskaftad svartspik</t>
        </is>
      </c>
      <c r="S148">
        <f>HYPERLINK("https://klasma.github.io/Logging_2313/artfynd/A 39695-2022 artfynd.xlsx", "A 39695-2022")</f>
        <v/>
      </c>
      <c r="T148">
        <f>HYPERLINK("https://klasma.github.io/Logging_2313/kartor/A 39695-2022 karta.png", "A 39695-2022")</f>
        <v/>
      </c>
      <c r="V148">
        <f>HYPERLINK("https://klasma.github.io/Logging_2313/klagomål/A 39695-2022 FSC-klagomål.docx", "A 39695-2022")</f>
        <v/>
      </c>
      <c r="W148">
        <f>HYPERLINK("https://klasma.github.io/Logging_2313/klagomålsmail/A 39695-2022 FSC-klagomål mail.docx", "A 39695-2022")</f>
        <v/>
      </c>
      <c r="X148">
        <f>HYPERLINK("https://klasma.github.io/Logging_2313/tillsyn/A 39695-2022 tillsynsbegäran.docx", "A 39695-2022")</f>
        <v/>
      </c>
      <c r="Y148">
        <f>HYPERLINK("https://klasma.github.io/Logging_2313/tillsynsmail/A 39695-2022 tillsynsbegäran mail.docx", "A 39695-2022")</f>
        <v/>
      </c>
    </row>
    <row r="149" ht="15" customHeight="1">
      <c r="A149" t="inlineStr">
        <is>
          <t>A 47297-2022</t>
        </is>
      </c>
      <c r="B149" s="1" t="n">
        <v>44853</v>
      </c>
      <c r="C149" s="1" t="n">
        <v>45795</v>
      </c>
      <c r="D149" t="inlineStr">
        <is>
          <t>JÄMTLANDS LÄN</t>
        </is>
      </c>
      <c r="E149" t="inlineStr">
        <is>
          <t>STRÖMSUND</t>
        </is>
      </c>
      <c r="F149" t="inlineStr">
        <is>
          <t>SCA</t>
        </is>
      </c>
      <c r="G149" t="n">
        <v>3.4</v>
      </c>
      <c r="H149" t="n">
        <v>1</v>
      </c>
      <c r="I149" t="n">
        <v>0</v>
      </c>
      <c r="J149" t="n">
        <v>4</v>
      </c>
      <c r="K149" t="n">
        <v>1</v>
      </c>
      <c r="L149" t="n">
        <v>0</v>
      </c>
      <c r="M149" t="n">
        <v>0</v>
      </c>
      <c r="N149" t="n">
        <v>0</v>
      </c>
      <c r="O149" t="n">
        <v>5</v>
      </c>
      <c r="P149" t="n">
        <v>1</v>
      </c>
      <c r="Q149" t="n">
        <v>5</v>
      </c>
      <c r="R149" s="2" t="inlineStr">
        <is>
          <t>Knärot
Gammelgransskål
Garnlav
Lunglav
Ullticka</t>
        </is>
      </c>
      <c r="S149">
        <f>HYPERLINK("https://klasma.github.io/Logging_2313/artfynd/A 47297-2022 artfynd.xlsx", "A 47297-2022")</f>
        <v/>
      </c>
      <c r="T149">
        <f>HYPERLINK("https://klasma.github.io/Logging_2313/kartor/A 47297-2022 karta.png", "A 47297-2022")</f>
        <v/>
      </c>
      <c r="U149">
        <f>HYPERLINK("https://klasma.github.io/Logging_2313/knärot/A 47297-2022 karta knärot.png", "A 47297-2022")</f>
        <v/>
      </c>
      <c r="V149">
        <f>HYPERLINK("https://klasma.github.io/Logging_2313/klagomål/A 47297-2022 FSC-klagomål.docx", "A 47297-2022")</f>
        <v/>
      </c>
      <c r="W149">
        <f>HYPERLINK("https://klasma.github.io/Logging_2313/klagomålsmail/A 47297-2022 FSC-klagomål mail.docx", "A 47297-2022")</f>
        <v/>
      </c>
      <c r="X149">
        <f>HYPERLINK("https://klasma.github.io/Logging_2313/tillsyn/A 47297-2022 tillsynsbegäran.docx", "A 47297-2022")</f>
        <v/>
      </c>
      <c r="Y149">
        <f>HYPERLINK("https://klasma.github.io/Logging_2313/tillsynsmail/A 47297-2022 tillsynsbegäran mail.docx", "A 47297-2022")</f>
        <v/>
      </c>
    </row>
    <row r="150" ht="15" customHeight="1">
      <c r="A150" t="inlineStr">
        <is>
          <t>A 50686-2022</t>
        </is>
      </c>
      <c r="B150" s="1" t="n">
        <v>44866</v>
      </c>
      <c r="C150" s="1" t="n">
        <v>45795</v>
      </c>
      <c r="D150" t="inlineStr">
        <is>
          <t>JÄMTLANDS LÄN</t>
        </is>
      </c>
      <c r="E150" t="inlineStr">
        <is>
          <t>STRÖMSUND</t>
        </is>
      </c>
      <c r="F150" t="inlineStr">
        <is>
          <t>SCA</t>
        </is>
      </c>
      <c r="G150" t="n">
        <v>8.5</v>
      </c>
      <c r="H150" t="n">
        <v>1</v>
      </c>
      <c r="I150" t="n">
        <v>0</v>
      </c>
      <c r="J150" t="n">
        <v>3</v>
      </c>
      <c r="K150" t="n">
        <v>1</v>
      </c>
      <c r="L150" t="n">
        <v>1</v>
      </c>
      <c r="M150" t="n">
        <v>0</v>
      </c>
      <c r="N150" t="n">
        <v>0</v>
      </c>
      <c r="O150" t="n">
        <v>5</v>
      </c>
      <c r="P150" t="n">
        <v>2</v>
      </c>
      <c r="Q150" t="n">
        <v>5</v>
      </c>
      <c r="R150" s="2" t="inlineStr">
        <is>
          <t>Timmerskapania
Liten hornflikmossa
Utter
Vedflikmossa
Vedtrappmossa</t>
        </is>
      </c>
      <c r="S150">
        <f>HYPERLINK("https://klasma.github.io/Logging_2313/artfynd/A 50686-2022 artfynd.xlsx", "A 50686-2022")</f>
        <v/>
      </c>
      <c r="T150">
        <f>HYPERLINK("https://klasma.github.io/Logging_2313/kartor/A 50686-2022 karta.png", "A 50686-2022")</f>
        <v/>
      </c>
      <c r="V150">
        <f>HYPERLINK("https://klasma.github.io/Logging_2313/klagomål/A 50686-2022 FSC-klagomål.docx", "A 50686-2022")</f>
        <v/>
      </c>
      <c r="W150">
        <f>HYPERLINK("https://klasma.github.io/Logging_2313/klagomålsmail/A 50686-2022 FSC-klagomål mail.docx", "A 50686-2022")</f>
        <v/>
      </c>
      <c r="X150">
        <f>HYPERLINK("https://klasma.github.io/Logging_2313/tillsyn/A 50686-2022 tillsynsbegäran.docx", "A 50686-2022")</f>
        <v/>
      </c>
      <c r="Y150">
        <f>HYPERLINK("https://klasma.github.io/Logging_2313/tillsynsmail/A 50686-2022 tillsynsbegäran mail.docx", "A 50686-2022")</f>
        <v/>
      </c>
    </row>
    <row r="151" ht="15" customHeight="1">
      <c r="A151" t="inlineStr">
        <is>
          <t>A 54582-2022</t>
        </is>
      </c>
      <c r="B151" s="1" t="n">
        <v>44882</v>
      </c>
      <c r="C151" s="1" t="n">
        <v>45795</v>
      </c>
      <c r="D151" t="inlineStr">
        <is>
          <t>JÄMTLANDS LÄN</t>
        </is>
      </c>
      <c r="E151" t="inlineStr">
        <is>
          <t>STRÖMSUND</t>
        </is>
      </c>
      <c r="F151" t="inlineStr">
        <is>
          <t>SCA</t>
        </is>
      </c>
      <c r="G151" t="n">
        <v>10.1</v>
      </c>
      <c r="H151" t="n">
        <v>0</v>
      </c>
      <c r="I151" t="n">
        <v>1</v>
      </c>
      <c r="J151" t="n">
        <v>4</v>
      </c>
      <c r="K151" t="n">
        <v>0</v>
      </c>
      <c r="L151" t="n">
        <v>0</v>
      </c>
      <c r="M151" t="n">
        <v>0</v>
      </c>
      <c r="N151" t="n">
        <v>0</v>
      </c>
      <c r="O151" t="n">
        <v>4</v>
      </c>
      <c r="P151" t="n">
        <v>0</v>
      </c>
      <c r="Q151" t="n">
        <v>5</v>
      </c>
      <c r="R151" s="2" t="inlineStr">
        <is>
          <t>Granticka
Lunglav
Ullticka
Vitgrynig nållav
Dropptaggsvamp</t>
        </is>
      </c>
      <c r="S151">
        <f>HYPERLINK("https://klasma.github.io/Logging_2313/artfynd/A 54582-2022 artfynd.xlsx", "A 54582-2022")</f>
        <v/>
      </c>
      <c r="T151">
        <f>HYPERLINK("https://klasma.github.io/Logging_2313/kartor/A 54582-2022 karta.png", "A 54582-2022")</f>
        <v/>
      </c>
      <c r="V151">
        <f>HYPERLINK("https://klasma.github.io/Logging_2313/klagomål/A 54582-2022 FSC-klagomål.docx", "A 54582-2022")</f>
        <v/>
      </c>
      <c r="W151">
        <f>HYPERLINK("https://klasma.github.io/Logging_2313/klagomålsmail/A 54582-2022 FSC-klagomål mail.docx", "A 54582-2022")</f>
        <v/>
      </c>
      <c r="X151">
        <f>HYPERLINK("https://klasma.github.io/Logging_2313/tillsyn/A 54582-2022 tillsynsbegäran.docx", "A 54582-2022")</f>
        <v/>
      </c>
      <c r="Y151">
        <f>HYPERLINK("https://klasma.github.io/Logging_2313/tillsynsmail/A 54582-2022 tillsynsbegäran mail.docx", "A 54582-2022")</f>
        <v/>
      </c>
    </row>
    <row r="152" ht="15" customHeight="1">
      <c r="A152" t="inlineStr">
        <is>
          <t>A 57827-2022</t>
        </is>
      </c>
      <c r="B152" s="1" t="n">
        <v>44897</v>
      </c>
      <c r="C152" s="1" t="n">
        <v>45795</v>
      </c>
      <c r="D152" t="inlineStr">
        <is>
          <t>JÄMTLANDS LÄN</t>
        </is>
      </c>
      <c r="E152" t="inlineStr">
        <is>
          <t>STRÖMSUND</t>
        </is>
      </c>
      <c r="F152" t="inlineStr">
        <is>
          <t>SCA</t>
        </is>
      </c>
      <c r="G152" t="n">
        <v>4.9</v>
      </c>
      <c r="H152" t="n">
        <v>0</v>
      </c>
      <c r="I152" t="n">
        <v>2</v>
      </c>
      <c r="J152" t="n">
        <v>3</v>
      </c>
      <c r="K152" t="n">
        <v>0</v>
      </c>
      <c r="L152" t="n">
        <v>0</v>
      </c>
      <c r="M152" t="n">
        <v>0</v>
      </c>
      <c r="N152" t="n">
        <v>0</v>
      </c>
      <c r="O152" t="n">
        <v>3</v>
      </c>
      <c r="P152" t="n">
        <v>0</v>
      </c>
      <c r="Q152" t="n">
        <v>5</v>
      </c>
      <c r="R152" s="2" t="inlineStr">
        <is>
          <t>Lunglav
Skrovellav
Ullticka
Luddlav
Stuplav</t>
        </is>
      </c>
      <c r="S152">
        <f>HYPERLINK("https://klasma.github.io/Logging_2313/artfynd/A 57827-2022 artfynd.xlsx", "A 57827-2022")</f>
        <v/>
      </c>
      <c r="T152">
        <f>HYPERLINK("https://klasma.github.io/Logging_2313/kartor/A 57827-2022 karta.png", "A 57827-2022")</f>
        <v/>
      </c>
      <c r="V152">
        <f>HYPERLINK("https://klasma.github.io/Logging_2313/klagomål/A 57827-2022 FSC-klagomål.docx", "A 57827-2022")</f>
        <v/>
      </c>
      <c r="W152">
        <f>HYPERLINK("https://klasma.github.io/Logging_2313/klagomålsmail/A 57827-2022 FSC-klagomål mail.docx", "A 57827-2022")</f>
        <v/>
      </c>
      <c r="X152">
        <f>HYPERLINK("https://klasma.github.io/Logging_2313/tillsyn/A 57827-2022 tillsynsbegäran.docx", "A 57827-2022")</f>
        <v/>
      </c>
      <c r="Y152">
        <f>HYPERLINK("https://klasma.github.io/Logging_2313/tillsynsmail/A 57827-2022 tillsynsbegäran mail.docx", "A 57827-2022")</f>
        <v/>
      </c>
    </row>
    <row r="153" ht="15" customHeight="1">
      <c r="A153" t="inlineStr">
        <is>
          <t>A 58744-2022</t>
        </is>
      </c>
      <c r="B153" s="1" t="n">
        <v>44902</v>
      </c>
      <c r="C153" s="1" t="n">
        <v>45795</v>
      </c>
      <c r="D153" t="inlineStr">
        <is>
          <t>JÄMTLANDS LÄN</t>
        </is>
      </c>
      <c r="E153" t="inlineStr">
        <is>
          <t>STRÖMSUND</t>
        </is>
      </c>
      <c r="F153" t="inlineStr">
        <is>
          <t>SCA</t>
        </is>
      </c>
      <c r="G153" t="n">
        <v>3.6</v>
      </c>
      <c r="H153" t="n">
        <v>2</v>
      </c>
      <c r="I153" t="n">
        <v>0</v>
      </c>
      <c r="J153" t="n">
        <v>3</v>
      </c>
      <c r="K153" t="n">
        <v>1</v>
      </c>
      <c r="L153" t="n">
        <v>0</v>
      </c>
      <c r="M153" t="n">
        <v>0</v>
      </c>
      <c r="N153" t="n">
        <v>0</v>
      </c>
      <c r="O153" t="n">
        <v>4</v>
      </c>
      <c r="P153" t="n">
        <v>1</v>
      </c>
      <c r="Q153" t="n">
        <v>5</v>
      </c>
      <c r="R153" s="2" t="inlineStr">
        <is>
          <t>Tajgaporing
Garnlav
Lunglav
Tretåig hackspett
Revlummer</t>
        </is>
      </c>
      <c r="S153">
        <f>HYPERLINK("https://klasma.github.io/Logging_2313/artfynd/A 58744-2022 artfynd.xlsx", "A 58744-2022")</f>
        <v/>
      </c>
      <c r="T153">
        <f>HYPERLINK("https://klasma.github.io/Logging_2313/kartor/A 58744-2022 karta.png", "A 58744-2022")</f>
        <v/>
      </c>
      <c r="V153">
        <f>HYPERLINK("https://klasma.github.io/Logging_2313/klagomål/A 58744-2022 FSC-klagomål.docx", "A 58744-2022")</f>
        <v/>
      </c>
      <c r="W153">
        <f>HYPERLINK("https://klasma.github.io/Logging_2313/klagomålsmail/A 58744-2022 FSC-klagomål mail.docx", "A 58744-2022")</f>
        <v/>
      </c>
      <c r="X153">
        <f>HYPERLINK("https://klasma.github.io/Logging_2313/tillsyn/A 58744-2022 tillsynsbegäran.docx", "A 58744-2022")</f>
        <v/>
      </c>
      <c r="Y153">
        <f>HYPERLINK("https://klasma.github.io/Logging_2313/tillsynsmail/A 58744-2022 tillsynsbegäran mail.docx", "A 58744-2022")</f>
        <v/>
      </c>
      <c r="Z153">
        <f>HYPERLINK("https://klasma.github.io/Logging_2313/fåglar/A 58744-2022 prioriterade fågelarter.docx", "A 58744-2022")</f>
        <v/>
      </c>
    </row>
    <row r="154" ht="15" customHeight="1">
      <c r="A154" t="inlineStr">
        <is>
          <t>A 23524-2023</t>
        </is>
      </c>
      <c r="B154" s="1" t="n">
        <v>45076</v>
      </c>
      <c r="C154" s="1" t="n">
        <v>45795</v>
      </c>
      <c r="D154" t="inlineStr">
        <is>
          <t>JÄMTLANDS LÄN</t>
        </is>
      </c>
      <c r="E154" t="inlineStr">
        <is>
          <t>STRÖMSUND</t>
        </is>
      </c>
      <c r="F154" t="inlineStr">
        <is>
          <t>SCA</t>
        </is>
      </c>
      <c r="G154" t="n">
        <v>12.5</v>
      </c>
      <c r="H154" t="n">
        <v>0</v>
      </c>
      <c r="I154" t="n">
        <v>1</v>
      </c>
      <c r="J154" t="n">
        <v>4</v>
      </c>
      <c r="K154" t="n">
        <v>0</v>
      </c>
      <c r="L154" t="n">
        <v>0</v>
      </c>
      <c r="M154" t="n">
        <v>0</v>
      </c>
      <c r="N154" t="n">
        <v>0</v>
      </c>
      <c r="O154" t="n">
        <v>4</v>
      </c>
      <c r="P154" t="n">
        <v>0</v>
      </c>
      <c r="Q154" t="n">
        <v>5</v>
      </c>
      <c r="R154" s="2" t="inlineStr">
        <is>
          <t>Garnlav
Kolflarnlav
Skrovellav
Vedskivlav
Dropptaggsvamp</t>
        </is>
      </c>
      <c r="S154">
        <f>HYPERLINK("https://klasma.github.io/Logging_2313/artfynd/A 23524-2023 artfynd.xlsx", "A 23524-2023")</f>
        <v/>
      </c>
      <c r="T154">
        <f>HYPERLINK("https://klasma.github.io/Logging_2313/kartor/A 23524-2023 karta.png", "A 23524-2023")</f>
        <v/>
      </c>
      <c r="V154">
        <f>HYPERLINK("https://klasma.github.io/Logging_2313/klagomål/A 23524-2023 FSC-klagomål.docx", "A 23524-2023")</f>
        <v/>
      </c>
      <c r="W154">
        <f>HYPERLINK("https://klasma.github.io/Logging_2313/klagomålsmail/A 23524-2023 FSC-klagomål mail.docx", "A 23524-2023")</f>
        <v/>
      </c>
      <c r="X154">
        <f>HYPERLINK("https://klasma.github.io/Logging_2313/tillsyn/A 23524-2023 tillsynsbegäran.docx", "A 23524-2023")</f>
        <v/>
      </c>
      <c r="Y154">
        <f>HYPERLINK("https://klasma.github.io/Logging_2313/tillsynsmail/A 23524-2023 tillsynsbegäran mail.docx", "A 23524-2023")</f>
        <v/>
      </c>
    </row>
    <row r="155" ht="15" customHeight="1">
      <c r="A155" t="inlineStr">
        <is>
          <t>A 26406-2023</t>
        </is>
      </c>
      <c r="B155" s="1" t="n">
        <v>45089</v>
      </c>
      <c r="C155" s="1" t="n">
        <v>45795</v>
      </c>
      <c r="D155" t="inlineStr">
        <is>
          <t>JÄMTLANDS LÄN</t>
        </is>
      </c>
      <c r="E155" t="inlineStr">
        <is>
          <t>STRÖMSUND</t>
        </is>
      </c>
      <c r="G155" t="n">
        <v>12.8</v>
      </c>
      <c r="H155" t="n">
        <v>1</v>
      </c>
      <c r="I155" t="n">
        <v>1</v>
      </c>
      <c r="J155" t="n">
        <v>3</v>
      </c>
      <c r="K155" t="n">
        <v>1</v>
      </c>
      <c r="L155" t="n">
        <v>0</v>
      </c>
      <c r="M155" t="n">
        <v>0</v>
      </c>
      <c r="N155" t="n">
        <v>0</v>
      </c>
      <c r="O155" t="n">
        <v>4</v>
      </c>
      <c r="P155" t="n">
        <v>1</v>
      </c>
      <c r="Q155" t="n">
        <v>5</v>
      </c>
      <c r="R155" s="2" t="inlineStr">
        <is>
          <t>Knärot
Lunglav
Rosenticka
Vitgrynig nållav
Blodticka</t>
        </is>
      </c>
      <c r="S155">
        <f>HYPERLINK("https://klasma.github.io/Logging_2313/artfynd/A 26406-2023 artfynd.xlsx", "A 26406-2023")</f>
        <v/>
      </c>
      <c r="T155">
        <f>HYPERLINK("https://klasma.github.io/Logging_2313/kartor/A 26406-2023 karta.png", "A 26406-2023")</f>
        <v/>
      </c>
      <c r="U155">
        <f>HYPERLINK("https://klasma.github.io/Logging_2313/knärot/A 26406-2023 karta knärot.png", "A 26406-2023")</f>
        <v/>
      </c>
      <c r="V155">
        <f>HYPERLINK("https://klasma.github.io/Logging_2313/klagomål/A 26406-2023 FSC-klagomål.docx", "A 26406-2023")</f>
        <v/>
      </c>
      <c r="W155">
        <f>HYPERLINK("https://klasma.github.io/Logging_2313/klagomålsmail/A 26406-2023 FSC-klagomål mail.docx", "A 26406-2023")</f>
        <v/>
      </c>
      <c r="X155">
        <f>HYPERLINK("https://klasma.github.io/Logging_2313/tillsyn/A 26406-2023 tillsynsbegäran.docx", "A 26406-2023")</f>
        <v/>
      </c>
      <c r="Y155">
        <f>HYPERLINK("https://klasma.github.io/Logging_2313/tillsynsmail/A 26406-2023 tillsynsbegäran mail.docx", "A 26406-2023")</f>
        <v/>
      </c>
    </row>
    <row r="156" ht="15" customHeight="1">
      <c r="A156" t="inlineStr">
        <is>
          <t>A 29061-2023</t>
        </is>
      </c>
      <c r="B156" s="1" t="n">
        <v>45104</v>
      </c>
      <c r="C156" s="1" t="n">
        <v>45795</v>
      </c>
      <c r="D156" t="inlineStr">
        <is>
          <t>JÄMTLANDS LÄN</t>
        </is>
      </c>
      <c r="E156" t="inlineStr">
        <is>
          <t>STRÖMSUND</t>
        </is>
      </c>
      <c r="F156" t="inlineStr">
        <is>
          <t>SCA</t>
        </is>
      </c>
      <c r="G156" t="n">
        <v>5.2</v>
      </c>
      <c r="H156" t="n">
        <v>1</v>
      </c>
      <c r="I156" t="n">
        <v>0</v>
      </c>
      <c r="J156" t="n">
        <v>5</v>
      </c>
      <c r="K156" t="n">
        <v>0</v>
      </c>
      <c r="L156" t="n">
        <v>0</v>
      </c>
      <c r="M156" t="n">
        <v>0</v>
      </c>
      <c r="N156" t="n">
        <v>0</v>
      </c>
      <c r="O156" t="n">
        <v>5</v>
      </c>
      <c r="P156" t="n">
        <v>0</v>
      </c>
      <c r="Q156" t="n">
        <v>5</v>
      </c>
      <c r="R156" s="2" t="inlineStr">
        <is>
          <t>Gammelgransskål
Garnlav
Lunglav
Skrovellav
Tretåig hackspett</t>
        </is>
      </c>
      <c r="S156">
        <f>HYPERLINK("https://klasma.github.io/Logging_2313/artfynd/A 29061-2023 artfynd.xlsx", "A 29061-2023")</f>
        <v/>
      </c>
      <c r="T156">
        <f>HYPERLINK("https://klasma.github.io/Logging_2313/kartor/A 29061-2023 karta.png", "A 29061-2023")</f>
        <v/>
      </c>
      <c r="V156">
        <f>HYPERLINK("https://klasma.github.io/Logging_2313/klagomål/A 29061-2023 FSC-klagomål.docx", "A 29061-2023")</f>
        <v/>
      </c>
      <c r="W156">
        <f>HYPERLINK("https://klasma.github.io/Logging_2313/klagomålsmail/A 29061-2023 FSC-klagomål mail.docx", "A 29061-2023")</f>
        <v/>
      </c>
      <c r="X156">
        <f>HYPERLINK("https://klasma.github.io/Logging_2313/tillsyn/A 29061-2023 tillsynsbegäran.docx", "A 29061-2023")</f>
        <v/>
      </c>
      <c r="Y156">
        <f>HYPERLINK("https://klasma.github.io/Logging_2313/tillsynsmail/A 29061-2023 tillsynsbegäran mail.docx", "A 29061-2023")</f>
        <v/>
      </c>
      <c r="Z156">
        <f>HYPERLINK("https://klasma.github.io/Logging_2313/fåglar/A 29061-2023 prioriterade fågelarter.docx", "A 29061-2023")</f>
        <v/>
      </c>
    </row>
    <row r="157" ht="15" customHeight="1">
      <c r="A157" t="inlineStr">
        <is>
          <t>A 36207-2023</t>
        </is>
      </c>
      <c r="B157" s="1" t="n">
        <v>45149</v>
      </c>
      <c r="C157" s="1" t="n">
        <v>45795</v>
      </c>
      <c r="D157" t="inlineStr">
        <is>
          <t>JÄMTLANDS LÄN</t>
        </is>
      </c>
      <c r="E157" t="inlineStr">
        <is>
          <t>STRÖMSUND</t>
        </is>
      </c>
      <c r="F157" t="inlineStr">
        <is>
          <t>SCA</t>
        </is>
      </c>
      <c r="G157" t="n">
        <v>1</v>
      </c>
      <c r="H157" t="n">
        <v>3</v>
      </c>
      <c r="I157" t="n">
        <v>3</v>
      </c>
      <c r="J157" t="n">
        <v>1</v>
      </c>
      <c r="K157" t="n">
        <v>0</v>
      </c>
      <c r="L157" t="n">
        <v>0</v>
      </c>
      <c r="M157" t="n">
        <v>0</v>
      </c>
      <c r="N157" t="n">
        <v>0</v>
      </c>
      <c r="O157" t="n">
        <v>1</v>
      </c>
      <c r="P157" t="n">
        <v>0</v>
      </c>
      <c r="Q157" t="n">
        <v>5</v>
      </c>
      <c r="R157" s="2" t="inlineStr">
        <is>
          <t>Skogsfru
Barrfagerspindling
Kryddspindling
Tvåblad
Blåsippa</t>
        </is>
      </c>
      <c r="S157">
        <f>HYPERLINK("https://klasma.github.io/Logging_2313/artfynd/A 36207-2023 artfynd.xlsx", "A 36207-2023")</f>
        <v/>
      </c>
      <c r="T157">
        <f>HYPERLINK("https://klasma.github.io/Logging_2313/kartor/A 36207-2023 karta.png", "A 36207-2023")</f>
        <v/>
      </c>
      <c r="V157">
        <f>HYPERLINK("https://klasma.github.io/Logging_2313/klagomål/A 36207-2023 FSC-klagomål.docx", "A 36207-2023")</f>
        <v/>
      </c>
      <c r="W157">
        <f>HYPERLINK("https://klasma.github.io/Logging_2313/klagomålsmail/A 36207-2023 FSC-klagomål mail.docx", "A 36207-2023")</f>
        <v/>
      </c>
      <c r="X157">
        <f>HYPERLINK("https://klasma.github.io/Logging_2313/tillsyn/A 36207-2023 tillsynsbegäran.docx", "A 36207-2023")</f>
        <v/>
      </c>
      <c r="Y157">
        <f>HYPERLINK("https://klasma.github.io/Logging_2313/tillsynsmail/A 36207-2023 tillsynsbegäran mail.docx", "A 36207-2023")</f>
        <v/>
      </c>
    </row>
    <row r="158" ht="15" customHeight="1">
      <c r="A158" t="inlineStr">
        <is>
          <t>A 54887-2023</t>
        </is>
      </c>
      <c r="B158" s="1" t="n">
        <v>45236</v>
      </c>
      <c r="C158" s="1" t="n">
        <v>45795</v>
      </c>
      <c r="D158" t="inlineStr">
        <is>
          <t>JÄMTLANDS LÄN</t>
        </is>
      </c>
      <c r="E158" t="inlineStr">
        <is>
          <t>STRÖMSUND</t>
        </is>
      </c>
      <c r="G158" t="n">
        <v>20.9</v>
      </c>
      <c r="H158" t="n">
        <v>1</v>
      </c>
      <c r="I158" t="n">
        <v>2</v>
      </c>
      <c r="J158" t="n">
        <v>2</v>
      </c>
      <c r="K158" t="n">
        <v>0</v>
      </c>
      <c r="L158" t="n">
        <v>0</v>
      </c>
      <c r="M158" t="n">
        <v>0</v>
      </c>
      <c r="N158" t="n">
        <v>0</v>
      </c>
      <c r="O158" t="n">
        <v>2</v>
      </c>
      <c r="P158" t="n">
        <v>0</v>
      </c>
      <c r="Q158" t="n">
        <v>5</v>
      </c>
      <c r="R158" s="2" t="inlineStr">
        <is>
          <t>Garnlav
Harticka
Finbräken
Kransrams
Blåsippa</t>
        </is>
      </c>
      <c r="S158">
        <f>HYPERLINK("https://klasma.github.io/Logging_2313/artfynd/A 54887-2023 artfynd.xlsx", "A 54887-2023")</f>
        <v/>
      </c>
      <c r="T158">
        <f>HYPERLINK("https://klasma.github.io/Logging_2313/kartor/A 54887-2023 karta.png", "A 54887-2023")</f>
        <v/>
      </c>
      <c r="V158">
        <f>HYPERLINK("https://klasma.github.io/Logging_2313/klagomål/A 54887-2023 FSC-klagomål.docx", "A 54887-2023")</f>
        <v/>
      </c>
      <c r="W158">
        <f>HYPERLINK("https://klasma.github.io/Logging_2313/klagomålsmail/A 54887-2023 FSC-klagomål mail.docx", "A 54887-2023")</f>
        <v/>
      </c>
      <c r="X158">
        <f>HYPERLINK("https://klasma.github.io/Logging_2313/tillsyn/A 54887-2023 tillsynsbegäran.docx", "A 54887-2023")</f>
        <v/>
      </c>
      <c r="Y158">
        <f>HYPERLINK("https://klasma.github.io/Logging_2313/tillsynsmail/A 54887-2023 tillsynsbegäran mail.docx", "A 54887-2023")</f>
        <v/>
      </c>
    </row>
    <row r="159" ht="15" customHeight="1">
      <c r="A159" t="inlineStr">
        <is>
          <t>A 55559-2023</t>
        </is>
      </c>
      <c r="B159" s="1" t="n">
        <v>45238</v>
      </c>
      <c r="C159" s="1" t="n">
        <v>45795</v>
      </c>
      <c r="D159" t="inlineStr">
        <is>
          <t>JÄMTLANDS LÄN</t>
        </is>
      </c>
      <c r="E159" t="inlineStr">
        <is>
          <t>STRÖMSUND</t>
        </is>
      </c>
      <c r="F159" t="inlineStr">
        <is>
          <t>Holmen skog AB</t>
        </is>
      </c>
      <c r="G159" t="n">
        <v>5.6</v>
      </c>
      <c r="H159" t="n">
        <v>0</v>
      </c>
      <c r="I159" t="n">
        <v>2</v>
      </c>
      <c r="J159" t="n">
        <v>3</v>
      </c>
      <c r="K159" t="n">
        <v>0</v>
      </c>
      <c r="L159" t="n">
        <v>0</v>
      </c>
      <c r="M159" t="n">
        <v>0</v>
      </c>
      <c r="N159" t="n">
        <v>0</v>
      </c>
      <c r="O159" t="n">
        <v>3</v>
      </c>
      <c r="P159" t="n">
        <v>0</v>
      </c>
      <c r="Q159" t="n">
        <v>5</v>
      </c>
      <c r="R159" s="2" t="inlineStr">
        <is>
          <t>Kolflarnlav
Mörk kolflarnlav
Vedskivlav
Dropptaggsvamp
Norrlandslav</t>
        </is>
      </c>
      <c r="S159">
        <f>HYPERLINK("https://klasma.github.io/Logging_2313/artfynd/A 55559-2023 artfynd.xlsx", "A 55559-2023")</f>
        <v/>
      </c>
      <c r="T159">
        <f>HYPERLINK("https://klasma.github.io/Logging_2313/kartor/A 55559-2023 karta.png", "A 55559-2023")</f>
        <v/>
      </c>
      <c r="V159">
        <f>HYPERLINK("https://klasma.github.io/Logging_2313/klagomål/A 55559-2023 FSC-klagomål.docx", "A 55559-2023")</f>
        <v/>
      </c>
      <c r="W159">
        <f>HYPERLINK("https://klasma.github.io/Logging_2313/klagomålsmail/A 55559-2023 FSC-klagomål mail.docx", "A 55559-2023")</f>
        <v/>
      </c>
      <c r="X159">
        <f>HYPERLINK("https://klasma.github.io/Logging_2313/tillsyn/A 55559-2023 tillsynsbegäran.docx", "A 55559-2023")</f>
        <v/>
      </c>
      <c r="Y159">
        <f>HYPERLINK("https://klasma.github.io/Logging_2313/tillsynsmail/A 55559-2023 tillsynsbegäran mail.docx", "A 55559-2023")</f>
        <v/>
      </c>
    </row>
    <row r="160" ht="15" customHeight="1">
      <c r="A160" t="inlineStr">
        <is>
          <t>A 55922-2023</t>
        </is>
      </c>
      <c r="B160" s="1" t="n">
        <v>45239</v>
      </c>
      <c r="C160" s="1" t="n">
        <v>45795</v>
      </c>
      <c r="D160" t="inlineStr">
        <is>
          <t>JÄMTLANDS LÄN</t>
        </is>
      </c>
      <c r="E160" t="inlineStr">
        <is>
          <t>STRÖMSUND</t>
        </is>
      </c>
      <c r="F160" t="inlineStr">
        <is>
          <t>SCA</t>
        </is>
      </c>
      <c r="G160" t="n">
        <v>5.7</v>
      </c>
      <c r="H160" t="n">
        <v>2</v>
      </c>
      <c r="I160" t="n">
        <v>0</v>
      </c>
      <c r="J160" t="n">
        <v>4</v>
      </c>
      <c r="K160" t="n">
        <v>1</v>
      </c>
      <c r="L160" t="n">
        <v>0</v>
      </c>
      <c r="M160" t="n">
        <v>0</v>
      </c>
      <c r="N160" t="n">
        <v>0</v>
      </c>
      <c r="O160" t="n">
        <v>5</v>
      </c>
      <c r="P160" t="n">
        <v>1</v>
      </c>
      <c r="Q160" t="n">
        <v>5</v>
      </c>
      <c r="R160" s="2" t="inlineStr">
        <is>
          <t>Sprickporing
Granticka
Lunglav
Talltita
Tretåig hackspett</t>
        </is>
      </c>
      <c r="S160">
        <f>HYPERLINK("https://klasma.github.io/Logging_2313/artfynd/A 55922-2023 artfynd.xlsx", "A 55922-2023")</f>
        <v/>
      </c>
      <c r="T160">
        <f>HYPERLINK("https://klasma.github.io/Logging_2313/kartor/A 55922-2023 karta.png", "A 55922-2023")</f>
        <v/>
      </c>
      <c r="V160">
        <f>HYPERLINK("https://klasma.github.io/Logging_2313/klagomål/A 55922-2023 FSC-klagomål.docx", "A 55922-2023")</f>
        <v/>
      </c>
      <c r="W160">
        <f>HYPERLINK("https://klasma.github.io/Logging_2313/klagomålsmail/A 55922-2023 FSC-klagomål mail.docx", "A 55922-2023")</f>
        <v/>
      </c>
      <c r="X160">
        <f>HYPERLINK("https://klasma.github.io/Logging_2313/tillsyn/A 55922-2023 tillsynsbegäran.docx", "A 55922-2023")</f>
        <v/>
      </c>
      <c r="Y160">
        <f>HYPERLINK("https://klasma.github.io/Logging_2313/tillsynsmail/A 55922-2023 tillsynsbegäran mail.docx", "A 55922-2023")</f>
        <v/>
      </c>
      <c r="Z160">
        <f>HYPERLINK("https://klasma.github.io/Logging_2313/fåglar/A 55922-2023 prioriterade fågelarter.docx", "A 55922-2023")</f>
        <v/>
      </c>
    </row>
    <row r="161" ht="15" customHeight="1">
      <c r="A161" t="inlineStr">
        <is>
          <t>A 64332-2023</t>
        </is>
      </c>
      <c r="B161" s="1" t="n">
        <v>45279</v>
      </c>
      <c r="C161" s="1" t="n">
        <v>45795</v>
      </c>
      <c r="D161" t="inlineStr">
        <is>
          <t>JÄMTLANDS LÄN</t>
        </is>
      </c>
      <c r="E161" t="inlineStr">
        <is>
          <t>STRÖMSUND</t>
        </is>
      </c>
      <c r="G161" t="n">
        <v>11.1</v>
      </c>
      <c r="H161" t="n">
        <v>0</v>
      </c>
      <c r="I161" t="n">
        <v>0</v>
      </c>
      <c r="J161" t="n">
        <v>0</v>
      </c>
      <c r="K161" t="n">
        <v>4</v>
      </c>
      <c r="L161" t="n">
        <v>1</v>
      </c>
      <c r="M161" t="n">
        <v>0</v>
      </c>
      <c r="N161" t="n">
        <v>0</v>
      </c>
      <c r="O161" t="n">
        <v>5</v>
      </c>
      <c r="P161" t="n">
        <v>5</v>
      </c>
      <c r="Q161" t="n">
        <v>5</v>
      </c>
      <c r="R161" s="2" t="inlineStr">
        <is>
          <t>Njurlavsknapp
Amerikansk sönderfallslav
Cliostomum piceicola
Liten sotlav
Rynkskinn</t>
        </is>
      </c>
      <c r="S161">
        <f>HYPERLINK("https://klasma.github.io/Logging_2313/artfynd/A 64332-2023 artfynd.xlsx", "A 64332-2023")</f>
        <v/>
      </c>
      <c r="T161">
        <f>HYPERLINK("https://klasma.github.io/Logging_2313/kartor/A 64332-2023 karta.png", "A 64332-2023")</f>
        <v/>
      </c>
      <c r="V161">
        <f>HYPERLINK("https://klasma.github.io/Logging_2313/klagomål/A 64332-2023 FSC-klagomål.docx", "A 64332-2023")</f>
        <v/>
      </c>
      <c r="W161">
        <f>HYPERLINK("https://klasma.github.io/Logging_2313/klagomålsmail/A 64332-2023 FSC-klagomål mail.docx", "A 64332-2023")</f>
        <v/>
      </c>
      <c r="X161">
        <f>HYPERLINK("https://klasma.github.io/Logging_2313/tillsyn/A 64332-2023 tillsynsbegäran.docx", "A 64332-2023")</f>
        <v/>
      </c>
      <c r="Y161">
        <f>HYPERLINK("https://klasma.github.io/Logging_2313/tillsynsmail/A 64332-2023 tillsynsbegäran mail.docx", "A 64332-2023")</f>
        <v/>
      </c>
    </row>
    <row r="162" ht="15" customHeight="1">
      <c r="A162" t="inlineStr">
        <is>
          <t>A 4866-2024</t>
        </is>
      </c>
      <c r="B162" s="1" t="n">
        <v>45329</v>
      </c>
      <c r="C162" s="1" t="n">
        <v>45795</v>
      </c>
      <c r="D162" t="inlineStr">
        <is>
          <t>JÄMTLANDS LÄN</t>
        </is>
      </c>
      <c r="E162" t="inlineStr">
        <is>
          <t>STRÖMSUND</t>
        </is>
      </c>
      <c r="G162" t="n">
        <v>16.8</v>
      </c>
      <c r="H162" t="n">
        <v>4</v>
      </c>
      <c r="I162" t="n">
        <v>0</v>
      </c>
      <c r="J162" t="n">
        <v>4</v>
      </c>
      <c r="K162" t="n">
        <v>0</v>
      </c>
      <c r="L162" t="n">
        <v>0</v>
      </c>
      <c r="M162" t="n">
        <v>0</v>
      </c>
      <c r="N162" t="n">
        <v>0</v>
      </c>
      <c r="O162" t="n">
        <v>4</v>
      </c>
      <c r="P162" t="n">
        <v>0</v>
      </c>
      <c r="Q162" t="n">
        <v>5</v>
      </c>
      <c r="R162" s="2" t="inlineStr">
        <is>
          <t>Järpe
Skrovellav
Spillkråka
Tretåig hackspett
Lavskrika</t>
        </is>
      </c>
      <c r="S162">
        <f>HYPERLINK("https://klasma.github.io/Logging_2313/artfynd/A 4866-2024 artfynd.xlsx", "A 4866-2024")</f>
        <v/>
      </c>
      <c r="T162">
        <f>HYPERLINK("https://klasma.github.io/Logging_2313/kartor/A 4866-2024 karta.png", "A 4866-2024")</f>
        <v/>
      </c>
      <c r="V162">
        <f>HYPERLINK("https://klasma.github.io/Logging_2313/klagomål/A 4866-2024 FSC-klagomål.docx", "A 4866-2024")</f>
        <v/>
      </c>
      <c r="W162">
        <f>HYPERLINK("https://klasma.github.io/Logging_2313/klagomålsmail/A 4866-2024 FSC-klagomål mail.docx", "A 4866-2024")</f>
        <v/>
      </c>
      <c r="X162">
        <f>HYPERLINK("https://klasma.github.io/Logging_2313/tillsyn/A 4866-2024 tillsynsbegäran.docx", "A 4866-2024")</f>
        <v/>
      </c>
      <c r="Y162">
        <f>HYPERLINK("https://klasma.github.io/Logging_2313/tillsynsmail/A 4866-2024 tillsynsbegäran mail.docx", "A 4866-2024")</f>
        <v/>
      </c>
      <c r="Z162">
        <f>HYPERLINK("https://klasma.github.io/Logging_2313/fåglar/A 4866-2024 prioriterade fågelarter.docx", "A 4866-2024")</f>
        <v/>
      </c>
    </row>
    <row r="163" ht="15" customHeight="1">
      <c r="A163" t="inlineStr">
        <is>
          <t>A 11754-2024</t>
        </is>
      </c>
      <c r="B163" s="1" t="n">
        <v>45373</v>
      </c>
      <c r="C163" s="1" t="n">
        <v>45795</v>
      </c>
      <c r="D163" t="inlineStr">
        <is>
          <t>JÄMTLANDS LÄN</t>
        </is>
      </c>
      <c r="E163" t="inlineStr">
        <is>
          <t>STRÖMSUND</t>
        </is>
      </c>
      <c r="F163" t="inlineStr">
        <is>
          <t>SCA</t>
        </is>
      </c>
      <c r="G163" t="n">
        <v>8.4</v>
      </c>
      <c r="H163" t="n">
        <v>2</v>
      </c>
      <c r="I163" t="n">
        <v>1</v>
      </c>
      <c r="J163" t="n">
        <v>4</v>
      </c>
      <c r="K163" t="n">
        <v>0</v>
      </c>
      <c r="L163" t="n">
        <v>0</v>
      </c>
      <c r="M163" t="n">
        <v>0</v>
      </c>
      <c r="N163" t="n">
        <v>0</v>
      </c>
      <c r="O163" t="n">
        <v>4</v>
      </c>
      <c r="P163" t="n">
        <v>0</v>
      </c>
      <c r="Q163" t="n">
        <v>5</v>
      </c>
      <c r="R163" s="2" t="inlineStr">
        <is>
          <t>Garnlav
Spillkråka
Tretåig hackspett
Ullticka
Norrlandslav</t>
        </is>
      </c>
      <c r="S163">
        <f>HYPERLINK("https://klasma.github.io/Logging_2313/artfynd/A 11754-2024 artfynd.xlsx", "A 11754-2024")</f>
        <v/>
      </c>
      <c r="T163">
        <f>HYPERLINK("https://klasma.github.io/Logging_2313/kartor/A 11754-2024 karta.png", "A 11754-2024")</f>
        <v/>
      </c>
      <c r="V163">
        <f>HYPERLINK("https://klasma.github.io/Logging_2313/klagomål/A 11754-2024 FSC-klagomål.docx", "A 11754-2024")</f>
        <v/>
      </c>
      <c r="W163">
        <f>HYPERLINK("https://klasma.github.io/Logging_2313/klagomålsmail/A 11754-2024 FSC-klagomål mail.docx", "A 11754-2024")</f>
        <v/>
      </c>
      <c r="X163">
        <f>HYPERLINK("https://klasma.github.io/Logging_2313/tillsyn/A 11754-2024 tillsynsbegäran.docx", "A 11754-2024")</f>
        <v/>
      </c>
      <c r="Y163">
        <f>HYPERLINK("https://klasma.github.io/Logging_2313/tillsynsmail/A 11754-2024 tillsynsbegäran mail.docx", "A 11754-2024")</f>
        <v/>
      </c>
      <c r="Z163">
        <f>HYPERLINK("https://klasma.github.io/Logging_2313/fåglar/A 11754-2024 prioriterade fågelarter.docx", "A 11754-2024")</f>
        <v/>
      </c>
    </row>
    <row r="164" ht="15" customHeight="1">
      <c r="A164" t="inlineStr">
        <is>
          <t>A 25152-2024</t>
        </is>
      </c>
      <c r="B164" s="1" t="n">
        <v>45462</v>
      </c>
      <c r="C164" s="1" t="n">
        <v>45795</v>
      </c>
      <c r="D164" t="inlineStr">
        <is>
          <t>JÄMTLANDS LÄN</t>
        </is>
      </c>
      <c r="E164" t="inlineStr">
        <is>
          <t>STRÖMSUND</t>
        </is>
      </c>
      <c r="F164" t="inlineStr">
        <is>
          <t>Holmen skog AB</t>
        </is>
      </c>
      <c r="G164" t="n">
        <v>2.4</v>
      </c>
      <c r="H164" t="n">
        <v>1</v>
      </c>
      <c r="I164" t="n">
        <v>0</v>
      </c>
      <c r="J164" t="n">
        <v>5</v>
      </c>
      <c r="K164" t="n">
        <v>0</v>
      </c>
      <c r="L164" t="n">
        <v>0</v>
      </c>
      <c r="M164" t="n">
        <v>0</v>
      </c>
      <c r="N164" t="n">
        <v>0</v>
      </c>
      <c r="O164" t="n">
        <v>5</v>
      </c>
      <c r="P164" t="n">
        <v>0</v>
      </c>
      <c r="Q164" t="n">
        <v>5</v>
      </c>
      <c r="R164" s="2" t="inlineStr">
        <is>
          <t>Garnlav
Granticka
Harticka
Spillkråka
Ullticka</t>
        </is>
      </c>
      <c r="S164">
        <f>HYPERLINK("https://klasma.github.io/Logging_2313/artfynd/A 25152-2024 artfynd.xlsx", "A 25152-2024")</f>
        <v/>
      </c>
      <c r="T164">
        <f>HYPERLINK("https://klasma.github.io/Logging_2313/kartor/A 25152-2024 karta.png", "A 25152-2024")</f>
        <v/>
      </c>
      <c r="V164">
        <f>HYPERLINK("https://klasma.github.io/Logging_2313/klagomål/A 25152-2024 FSC-klagomål.docx", "A 25152-2024")</f>
        <v/>
      </c>
      <c r="W164">
        <f>HYPERLINK("https://klasma.github.io/Logging_2313/klagomålsmail/A 25152-2024 FSC-klagomål mail.docx", "A 25152-2024")</f>
        <v/>
      </c>
      <c r="X164">
        <f>HYPERLINK("https://klasma.github.io/Logging_2313/tillsyn/A 25152-2024 tillsynsbegäran.docx", "A 25152-2024")</f>
        <v/>
      </c>
      <c r="Y164">
        <f>HYPERLINK("https://klasma.github.io/Logging_2313/tillsynsmail/A 25152-2024 tillsynsbegäran mail.docx", "A 25152-2024")</f>
        <v/>
      </c>
      <c r="Z164">
        <f>HYPERLINK("https://klasma.github.io/Logging_2313/fåglar/A 25152-2024 prioriterade fågelarter.docx", "A 25152-2024")</f>
        <v/>
      </c>
    </row>
    <row r="165" ht="15" customHeight="1">
      <c r="A165" t="inlineStr">
        <is>
          <t>A 40673-2024</t>
        </is>
      </c>
      <c r="B165" s="1" t="n">
        <v>45558</v>
      </c>
      <c r="C165" s="1" t="n">
        <v>45795</v>
      </c>
      <c r="D165" t="inlineStr">
        <is>
          <t>JÄMTLANDS LÄN</t>
        </is>
      </c>
      <c r="E165" t="inlineStr">
        <is>
          <t>STRÖMSUND</t>
        </is>
      </c>
      <c r="G165" t="n">
        <v>7.7</v>
      </c>
      <c r="H165" t="n">
        <v>2</v>
      </c>
      <c r="I165" t="n">
        <v>0</v>
      </c>
      <c r="J165" t="n">
        <v>4</v>
      </c>
      <c r="K165" t="n">
        <v>1</v>
      </c>
      <c r="L165" t="n">
        <v>0</v>
      </c>
      <c r="M165" t="n">
        <v>0</v>
      </c>
      <c r="N165" t="n">
        <v>0</v>
      </c>
      <c r="O165" t="n">
        <v>5</v>
      </c>
      <c r="P165" t="n">
        <v>1</v>
      </c>
      <c r="Q165" t="n">
        <v>5</v>
      </c>
      <c r="R165" s="2" t="inlineStr">
        <is>
          <t>Lappuggla
Garnlav
Granticka
Tallticka
Tretåig hackspett</t>
        </is>
      </c>
      <c r="S165">
        <f>HYPERLINK("https://klasma.github.io/Logging_2313/artfynd/A 40673-2024 artfynd.xlsx", "A 40673-2024")</f>
        <v/>
      </c>
      <c r="T165">
        <f>HYPERLINK("https://klasma.github.io/Logging_2313/kartor/A 40673-2024 karta.png", "A 40673-2024")</f>
        <v/>
      </c>
      <c r="V165">
        <f>HYPERLINK("https://klasma.github.io/Logging_2313/klagomål/A 40673-2024 FSC-klagomål.docx", "A 40673-2024")</f>
        <v/>
      </c>
      <c r="W165">
        <f>HYPERLINK("https://klasma.github.io/Logging_2313/klagomålsmail/A 40673-2024 FSC-klagomål mail.docx", "A 40673-2024")</f>
        <v/>
      </c>
      <c r="X165">
        <f>HYPERLINK("https://klasma.github.io/Logging_2313/tillsyn/A 40673-2024 tillsynsbegäran.docx", "A 40673-2024")</f>
        <v/>
      </c>
      <c r="Y165">
        <f>HYPERLINK("https://klasma.github.io/Logging_2313/tillsynsmail/A 40673-2024 tillsynsbegäran mail.docx", "A 40673-2024")</f>
        <v/>
      </c>
      <c r="Z165">
        <f>HYPERLINK("https://klasma.github.io/Logging_2313/fåglar/A 40673-2024 prioriterade fågelarter.docx", "A 40673-2024")</f>
        <v/>
      </c>
    </row>
    <row r="166" ht="15" customHeight="1">
      <c r="A166" t="inlineStr">
        <is>
          <t>A 57071-2024</t>
        </is>
      </c>
      <c r="B166" s="1" t="n">
        <v>45629</v>
      </c>
      <c r="C166" s="1" t="n">
        <v>45795</v>
      </c>
      <c r="D166" t="inlineStr">
        <is>
          <t>JÄMTLANDS LÄN</t>
        </is>
      </c>
      <c r="E166" t="inlineStr">
        <is>
          <t>STRÖMSUND</t>
        </is>
      </c>
      <c r="F166" t="inlineStr">
        <is>
          <t>SCA</t>
        </is>
      </c>
      <c r="G166" t="n">
        <v>3.3</v>
      </c>
      <c r="H166" t="n">
        <v>0</v>
      </c>
      <c r="I166" t="n">
        <v>0</v>
      </c>
      <c r="J166" t="n">
        <v>5</v>
      </c>
      <c r="K166" t="n">
        <v>0</v>
      </c>
      <c r="L166" t="n">
        <v>0</v>
      </c>
      <c r="M166" t="n">
        <v>0</v>
      </c>
      <c r="N166" t="n">
        <v>0</v>
      </c>
      <c r="O166" t="n">
        <v>5</v>
      </c>
      <c r="P166" t="n">
        <v>0</v>
      </c>
      <c r="Q166" t="n">
        <v>5</v>
      </c>
      <c r="R166" s="2" t="inlineStr">
        <is>
          <t>Granticka
Gränsticka
Harticka
Lunglav
Ullticka</t>
        </is>
      </c>
      <c r="S166">
        <f>HYPERLINK("https://klasma.github.io/Logging_2313/artfynd/A 57071-2024 artfynd.xlsx", "A 57071-2024")</f>
        <v/>
      </c>
      <c r="T166">
        <f>HYPERLINK("https://klasma.github.io/Logging_2313/kartor/A 57071-2024 karta.png", "A 57071-2024")</f>
        <v/>
      </c>
      <c r="V166">
        <f>HYPERLINK("https://klasma.github.io/Logging_2313/klagomål/A 57071-2024 FSC-klagomål.docx", "A 57071-2024")</f>
        <v/>
      </c>
      <c r="W166">
        <f>HYPERLINK("https://klasma.github.io/Logging_2313/klagomålsmail/A 57071-2024 FSC-klagomål mail.docx", "A 57071-2024")</f>
        <v/>
      </c>
      <c r="X166">
        <f>HYPERLINK("https://klasma.github.io/Logging_2313/tillsyn/A 57071-2024 tillsynsbegäran.docx", "A 57071-2024")</f>
        <v/>
      </c>
      <c r="Y166">
        <f>HYPERLINK("https://klasma.github.io/Logging_2313/tillsynsmail/A 57071-2024 tillsynsbegäran mail.docx", "A 57071-2024")</f>
        <v/>
      </c>
    </row>
    <row r="167" ht="15" customHeight="1">
      <c r="A167" t="inlineStr">
        <is>
          <t>A 61164-2024</t>
        </is>
      </c>
      <c r="B167" s="1" t="n">
        <v>45645</v>
      </c>
      <c r="C167" s="1" t="n">
        <v>45795</v>
      </c>
      <c r="D167" t="inlineStr">
        <is>
          <t>JÄMTLANDS LÄN</t>
        </is>
      </c>
      <c r="E167" t="inlineStr">
        <is>
          <t>STRÖMSUND</t>
        </is>
      </c>
      <c r="F167" t="inlineStr">
        <is>
          <t>SCA</t>
        </is>
      </c>
      <c r="G167" t="n">
        <v>3.3</v>
      </c>
      <c r="H167" t="n">
        <v>0</v>
      </c>
      <c r="I167" t="n">
        <v>1</v>
      </c>
      <c r="J167" t="n">
        <v>3</v>
      </c>
      <c r="K167" t="n">
        <v>1</v>
      </c>
      <c r="L167" t="n">
        <v>0</v>
      </c>
      <c r="M167" t="n">
        <v>0</v>
      </c>
      <c r="N167" t="n">
        <v>0</v>
      </c>
      <c r="O167" t="n">
        <v>4</v>
      </c>
      <c r="P167" t="n">
        <v>1</v>
      </c>
      <c r="Q167" t="n">
        <v>5</v>
      </c>
      <c r="R167" s="2" t="inlineStr">
        <is>
          <t>Rynkskinn
Gammelgransskål
Garnlav
Granticka
Vedticka</t>
        </is>
      </c>
      <c r="S167">
        <f>HYPERLINK("https://klasma.github.io/Logging_2313/artfynd/A 61164-2024 artfynd.xlsx", "A 61164-2024")</f>
        <v/>
      </c>
      <c r="T167">
        <f>HYPERLINK("https://klasma.github.io/Logging_2313/kartor/A 61164-2024 karta.png", "A 61164-2024")</f>
        <v/>
      </c>
      <c r="V167">
        <f>HYPERLINK("https://klasma.github.io/Logging_2313/klagomål/A 61164-2024 FSC-klagomål.docx", "A 61164-2024")</f>
        <v/>
      </c>
      <c r="W167">
        <f>HYPERLINK("https://klasma.github.io/Logging_2313/klagomålsmail/A 61164-2024 FSC-klagomål mail.docx", "A 61164-2024")</f>
        <v/>
      </c>
      <c r="X167">
        <f>HYPERLINK("https://klasma.github.io/Logging_2313/tillsyn/A 61164-2024 tillsynsbegäran.docx", "A 61164-2024")</f>
        <v/>
      </c>
      <c r="Y167">
        <f>HYPERLINK("https://klasma.github.io/Logging_2313/tillsynsmail/A 61164-2024 tillsynsbegäran mail.docx", "A 61164-2024")</f>
        <v/>
      </c>
    </row>
    <row r="168" ht="15" customHeight="1">
      <c r="A168" t="inlineStr">
        <is>
          <t>A 42426-2019</t>
        </is>
      </c>
      <c r="B168" s="1" t="n">
        <v>43703</v>
      </c>
      <c r="C168" s="1" t="n">
        <v>45795</v>
      </c>
      <c r="D168" t="inlineStr">
        <is>
          <t>JÄMTLANDS LÄN</t>
        </is>
      </c>
      <c r="E168" t="inlineStr">
        <is>
          <t>STRÖMSUND</t>
        </is>
      </c>
      <c r="F168" t="inlineStr">
        <is>
          <t>SCA</t>
        </is>
      </c>
      <c r="G168" t="n">
        <v>7.6</v>
      </c>
      <c r="H168" t="n">
        <v>0</v>
      </c>
      <c r="I168" t="n">
        <v>1</v>
      </c>
      <c r="J168" t="n">
        <v>3</v>
      </c>
      <c r="K168" t="n">
        <v>0</v>
      </c>
      <c r="L168" t="n">
        <v>0</v>
      </c>
      <c r="M168" t="n">
        <v>0</v>
      </c>
      <c r="N168" t="n">
        <v>0</v>
      </c>
      <c r="O168" t="n">
        <v>3</v>
      </c>
      <c r="P168" t="n">
        <v>0</v>
      </c>
      <c r="Q168" t="n">
        <v>4</v>
      </c>
      <c r="R168" s="2" t="inlineStr">
        <is>
          <t>Gammelgransskål
Gränsticka
Ullticka
Trådticka</t>
        </is>
      </c>
      <c r="S168">
        <f>HYPERLINK("https://klasma.github.io/Logging_2313/artfynd/A 42426-2019 artfynd.xlsx", "A 42426-2019")</f>
        <v/>
      </c>
      <c r="T168">
        <f>HYPERLINK("https://klasma.github.io/Logging_2313/kartor/A 42426-2019 karta.png", "A 42426-2019")</f>
        <v/>
      </c>
      <c r="V168">
        <f>HYPERLINK("https://klasma.github.io/Logging_2313/klagomål/A 42426-2019 FSC-klagomål.docx", "A 42426-2019")</f>
        <v/>
      </c>
      <c r="W168">
        <f>HYPERLINK("https://klasma.github.io/Logging_2313/klagomålsmail/A 42426-2019 FSC-klagomål mail.docx", "A 42426-2019")</f>
        <v/>
      </c>
      <c r="X168">
        <f>HYPERLINK("https://klasma.github.io/Logging_2313/tillsyn/A 42426-2019 tillsynsbegäran.docx", "A 42426-2019")</f>
        <v/>
      </c>
      <c r="Y168">
        <f>HYPERLINK("https://klasma.github.io/Logging_2313/tillsynsmail/A 42426-2019 tillsynsbegäran mail.docx", "A 42426-2019")</f>
        <v/>
      </c>
    </row>
    <row r="169" ht="15" customHeight="1">
      <c r="A169" t="inlineStr">
        <is>
          <t>A 17685-2020</t>
        </is>
      </c>
      <c r="B169" s="1" t="n">
        <v>43923</v>
      </c>
      <c r="C169" s="1" t="n">
        <v>45795</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45795</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45795</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45795</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45795</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45795</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45795</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45795</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45795</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45795</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45795</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45795</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45795</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45795</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45795</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45795</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45795</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45795</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45795</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45795</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45795</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45795</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45795</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45795</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45795</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45795</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45795</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45795</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45795</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45795</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45795</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45795</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45795</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45795</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45795</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45795</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45795</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45795</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45795</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45795</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45795</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45795</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45795</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45795</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45795</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45795</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45795</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45795</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45795</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45795</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45795</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45795</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45795</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45795</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45795</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45795</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45795</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45795</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45795</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45795</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45795</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45795</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45795</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45795</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45795</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45795</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45795</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45795</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45795</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45795</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45795</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45795</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45795</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45795</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45795</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45795</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45795</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45795</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45795</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45795</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45795</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45795</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45795</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45795</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45795</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45795</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45795</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45795</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45795</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45795</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45795</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45795</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45795</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45795</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45795</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45795</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45795</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45795</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45795</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45795</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45795</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45795</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45795</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45795</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45795</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45795</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45795</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45795</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45795</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45795</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45795</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45795</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45795</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45795</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45795</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45795</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45795</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45795</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45795</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45795</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45795</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45795</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45795</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45795</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45795</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45795</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45795</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45795</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45795</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45795</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45795</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45795</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45795</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45795</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45795</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45795</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45795</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45795</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45795</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45795</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45795</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45795</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45795</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45795</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45795</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45795</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45795</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45795</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45795</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45795</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45795</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45795</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45795</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45795</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45795</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45795</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45795</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45795</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45795</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45795</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45795</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45795</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45795</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45795</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45795</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45795</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45795</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45795</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45795</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45795</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45795</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45795</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45795</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45795</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45795</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45795</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45795</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45795</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45795</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45795</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45795</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45795</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45795</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45795</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45795</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45795</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45795</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45795</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45795</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45795</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45795</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45795</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45795</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45795</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45795</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45795</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45795</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45795</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45795</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45795</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45795</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45795</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45795</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45795</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45795</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45795</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45795</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45795</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45795</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45795</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45795</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45795</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45795</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45795</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45795</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45795</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45795</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45795</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45795</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45795</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45795</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45795</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45795</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45795</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45795</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45795</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45795</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45795</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45795</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45795</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45795</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45795</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45795</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45795</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45795</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45795</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45795</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45795</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45795</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45795</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45795</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45795</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45795</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45795</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45795</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45795</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45795</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45795</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45795</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45795</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45795</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45795</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45795</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45795</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45795</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45795</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45795</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45795</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45795</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45795</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45795</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45795</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45795</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45795</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45795</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45795</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45795</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45795</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45795</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45795</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45795</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45795</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45795</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45795</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45795</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45795</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45795</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45795</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45795</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45795</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45795</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45795</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45795</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45795</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45795</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45795</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45795</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45795</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45795</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45795</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45795</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45795</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45795</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45795</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45795</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45795</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45795</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45795</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45795</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45795</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45795</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45795</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45795</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45795</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45795</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45795</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45795</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45795</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45795</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45795</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45795</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45795</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45795</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45795</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45795</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45795</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45795</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45795</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45795</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45795</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45795</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45795</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45795</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45795</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45795</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45795</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45795</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45795</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45795</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45795</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45795</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45795</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45795</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45795</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45795</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45795</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45795</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45795</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45795</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18058-2019</t>
        </is>
      </c>
      <c r="B508" s="1" t="n">
        <v>43557</v>
      </c>
      <c r="C508" s="1" t="n">
        <v>45795</v>
      </c>
      <c r="D508" t="inlineStr">
        <is>
          <t>JÄMTLANDS LÄN</t>
        </is>
      </c>
      <c r="E508" t="inlineStr">
        <is>
          <t>STRÖMSUND</t>
        </is>
      </c>
      <c r="G508" t="n">
        <v>0.7</v>
      </c>
      <c r="H508" t="n">
        <v>0</v>
      </c>
      <c r="I508" t="n">
        <v>0</v>
      </c>
      <c r="J508" t="n">
        <v>0</v>
      </c>
      <c r="K508" t="n">
        <v>0</v>
      </c>
      <c r="L508" t="n">
        <v>0</v>
      </c>
      <c r="M508" t="n">
        <v>0</v>
      </c>
      <c r="N508" t="n">
        <v>0</v>
      </c>
      <c r="O508" t="n">
        <v>0</v>
      </c>
      <c r="P508" t="n">
        <v>0</v>
      </c>
      <c r="Q508" t="n">
        <v>0</v>
      </c>
      <c r="R508" s="2" t="inlineStr"/>
    </row>
    <row r="509" ht="15" customHeight="1">
      <c r="A509" t="inlineStr">
        <is>
          <t>A 18057-2019</t>
        </is>
      </c>
      <c r="B509" s="1" t="n">
        <v>43557</v>
      </c>
      <c r="C509" s="1" t="n">
        <v>45795</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20569-2019</t>
        </is>
      </c>
      <c r="B510" s="1" t="n">
        <v>43572</v>
      </c>
      <c r="C510" s="1" t="n">
        <v>45795</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21702-2019</t>
        </is>
      </c>
      <c r="B511" s="1" t="n">
        <v>43581</v>
      </c>
      <c r="C511" s="1" t="n">
        <v>45795</v>
      </c>
      <c r="D511" t="inlineStr">
        <is>
          <t>JÄMTLANDS LÄN</t>
        </is>
      </c>
      <c r="E511" t="inlineStr">
        <is>
          <t>STRÖMSUND</t>
        </is>
      </c>
      <c r="G511" t="n">
        <v>1.6</v>
      </c>
      <c r="H511" t="n">
        <v>0</v>
      </c>
      <c r="I511" t="n">
        <v>0</v>
      </c>
      <c r="J511" t="n">
        <v>0</v>
      </c>
      <c r="K511" t="n">
        <v>0</v>
      </c>
      <c r="L511" t="n">
        <v>0</v>
      </c>
      <c r="M511" t="n">
        <v>0</v>
      </c>
      <c r="N511" t="n">
        <v>0</v>
      </c>
      <c r="O511" t="n">
        <v>0</v>
      </c>
      <c r="P511" t="n">
        <v>0</v>
      </c>
      <c r="Q511" t="n">
        <v>0</v>
      </c>
      <c r="R511" s="2" t="inlineStr"/>
    </row>
    <row r="512" ht="15" customHeight="1">
      <c r="A512" t="inlineStr">
        <is>
          <t>A 21676-2019</t>
        </is>
      </c>
      <c r="B512" s="1" t="n">
        <v>43581</v>
      </c>
      <c r="C512" s="1" t="n">
        <v>45795</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21696-2019</t>
        </is>
      </c>
      <c r="B513" s="1" t="n">
        <v>43581</v>
      </c>
      <c r="C513" s="1" t="n">
        <v>45795</v>
      </c>
      <c r="D513" t="inlineStr">
        <is>
          <t>JÄMTLANDS LÄN</t>
        </is>
      </c>
      <c r="E513" t="inlineStr">
        <is>
          <t>STRÖMSUND</t>
        </is>
      </c>
      <c r="G513" t="n">
        <v>1.5</v>
      </c>
      <c r="H513" t="n">
        <v>0</v>
      </c>
      <c r="I513" t="n">
        <v>0</v>
      </c>
      <c r="J513" t="n">
        <v>0</v>
      </c>
      <c r="K513" t="n">
        <v>0</v>
      </c>
      <c r="L513" t="n">
        <v>0</v>
      </c>
      <c r="M513" t="n">
        <v>0</v>
      </c>
      <c r="N513" t="n">
        <v>0</v>
      </c>
      <c r="O513" t="n">
        <v>0</v>
      </c>
      <c r="P513" t="n">
        <v>0</v>
      </c>
      <c r="Q513" t="n">
        <v>0</v>
      </c>
      <c r="R513" s="2" t="inlineStr"/>
    </row>
    <row r="514" ht="15" customHeight="1">
      <c r="A514" t="inlineStr">
        <is>
          <t>A 21763-2019</t>
        </is>
      </c>
      <c r="B514" s="1" t="n">
        <v>43581</v>
      </c>
      <c r="C514" s="1" t="n">
        <v>45795</v>
      </c>
      <c r="D514" t="inlineStr">
        <is>
          <t>JÄMTLANDS LÄN</t>
        </is>
      </c>
      <c r="E514" t="inlineStr">
        <is>
          <t>STRÖMSUND</t>
        </is>
      </c>
      <c r="G514" t="n">
        <v>12.7</v>
      </c>
      <c r="H514" t="n">
        <v>0</v>
      </c>
      <c r="I514" t="n">
        <v>0</v>
      </c>
      <c r="J514" t="n">
        <v>0</v>
      </c>
      <c r="K514" t="n">
        <v>0</v>
      </c>
      <c r="L514" t="n">
        <v>0</v>
      </c>
      <c r="M514" t="n">
        <v>0</v>
      </c>
      <c r="N514" t="n">
        <v>0</v>
      </c>
      <c r="O514" t="n">
        <v>0</v>
      </c>
      <c r="P514" t="n">
        <v>0</v>
      </c>
      <c r="Q514" t="n">
        <v>0</v>
      </c>
      <c r="R514" s="2" t="inlineStr"/>
    </row>
    <row r="515" ht="15" customHeight="1">
      <c r="A515" t="inlineStr">
        <is>
          <t>A 22113-2019</t>
        </is>
      </c>
      <c r="B515" s="1" t="n">
        <v>43584</v>
      </c>
      <c r="C515" s="1" t="n">
        <v>45795</v>
      </c>
      <c r="D515" t="inlineStr">
        <is>
          <t>JÄMTLANDS LÄN</t>
        </is>
      </c>
      <c r="E515" t="inlineStr">
        <is>
          <t>STRÖMSUND</t>
        </is>
      </c>
      <c r="G515" t="n">
        <v>3.3</v>
      </c>
      <c r="H515" t="n">
        <v>0</v>
      </c>
      <c r="I515" t="n">
        <v>0</v>
      </c>
      <c r="J515" t="n">
        <v>0</v>
      </c>
      <c r="K515" t="n">
        <v>0</v>
      </c>
      <c r="L515" t="n">
        <v>0</v>
      </c>
      <c r="M515" t="n">
        <v>0</v>
      </c>
      <c r="N515" t="n">
        <v>0</v>
      </c>
      <c r="O515" t="n">
        <v>0</v>
      </c>
      <c r="P515" t="n">
        <v>0</v>
      </c>
      <c r="Q515" t="n">
        <v>0</v>
      </c>
      <c r="R515" s="2" t="inlineStr"/>
      <c r="U515">
        <f>HYPERLINK("https://klasma.github.io/Logging_2313/knärot/A 22113-2019 karta knärot.png", "A 22113-2019")</f>
        <v/>
      </c>
      <c r="V515">
        <f>HYPERLINK("https://klasma.github.io/Logging_2313/klagomål/A 22113-2019 FSC-klagomål.docx", "A 22113-2019")</f>
        <v/>
      </c>
      <c r="W515">
        <f>HYPERLINK("https://klasma.github.io/Logging_2313/klagomålsmail/A 22113-2019 FSC-klagomål mail.docx", "A 22113-2019")</f>
        <v/>
      </c>
      <c r="X515">
        <f>HYPERLINK("https://klasma.github.io/Logging_2313/tillsyn/A 22113-2019 tillsynsbegäran.docx", "A 22113-2019")</f>
        <v/>
      </c>
      <c r="Y515">
        <f>HYPERLINK("https://klasma.github.io/Logging_2313/tillsynsmail/A 22113-2019 tillsynsbegäran mail.docx", "A 22113-2019")</f>
        <v/>
      </c>
    </row>
    <row r="516" ht="15" customHeight="1">
      <c r="A516" t="inlineStr">
        <is>
          <t>A 22293-2019</t>
        </is>
      </c>
      <c r="B516" s="1" t="n">
        <v>43585</v>
      </c>
      <c r="C516" s="1" t="n">
        <v>45795</v>
      </c>
      <c r="D516" t="inlineStr">
        <is>
          <t>JÄMTLANDS LÄN</t>
        </is>
      </c>
      <c r="E516" t="inlineStr">
        <is>
          <t>STRÖMSUND</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22305-2019</t>
        </is>
      </c>
      <c r="B517" s="1" t="n">
        <v>43585</v>
      </c>
      <c r="C517" s="1" t="n">
        <v>45795</v>
      </c>
      <c r="D517" t="inlineStr">
        <is>
          <t>JÄMTLANDS LÄN</t>
        </is>
      </c>
      <c r="E517" t="inlineStr">
        <is>
          <t>STRÖMSUND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22291-2019</t>
        </is>
      </c>
      <c r="B518" s="1" t="n">
        <v>43585</v>
      </c>
      <c r="C518" s="1" t="n">
        <v>45795</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22777-2019</t>
        </is>
      </c>
      <c r="B519" s="1" t="n">
        <v>43589</v>
      </c>
      <c r="C519" s="1" t="n">
        <v>45795</v>
      </c>
      <c r="D519" t="inlineStr">
        <is>
          <t>JÄMTLANDS LÄN</t>
        </is>
      </c>
      <c r="E519" t="inlineStr">
        <is>
          <t>STRÖMSUND</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23040-2019</t>
        </is>
      </c>
      <c r="B520" s="1" t="n">
        <v>43591</v>
      </c>
      <c r="C520" s="1" t="n">
        <v>45795</v>
      </c>
      <c r="D520" t="inlineStr">
        <is>
          <t>JÄMTLANDS LÄN</t>
        </is>
      </c>
      <c r="E520" t="inlineStr">
        <is>
          <t>STRÖMSUND</t>
        </is>
      </c>
      <c r="G520" t="n">
        <v>30.4</v>
      </c>
      <c r="H520" t="n">
        <v>0</v>
      </c>
      <c r="I520" t="n">
        <v>0</v>
      </c>
      <c r="J520" t="n">
        <v>0</v>
      </c>
      <c r="K520" t="n">
        <v>0</v>
      </c>
      <c r="L520" t="n">
        <v>0</v>
      </c>
      <c r="M520" t="n">
        <v>0</v>
      </c>
      <c r="N520" t="n">
        <v>0</v>
      </c>
      <c r="O520" t="n">
        <v>0</v>
      </c>
      <c r="P520" t="n">
        <v>0</v>
      </c>
      <c r="Q520" t="n">
        <v>0</v>
      </c>
      <c r="R520" s="2" t="inlineStr"/>
    </row>
    <row r="521" ht="15" customHeight="1">
      <c r="A521" t="inlineStr">
        <is>
          <t>A 23481-2019</t>
        </is>
      </c>
      <c r="B521" s="1" t="n">
        <v>43593</v>
      </c>
      <c r="C521" s="1" t="n">
        <v>45795</v>
      </c>
      <c r="D521" t="inlineStr">
        <is>
          <t>JÄMTLANDS LÄN</t>
        </is>
      </c>
      <c r="E521" t="inlineStr">
        <is>
          <t>STRÖMSUND</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23941-2019</t>
        </is>
      </c>
      <c r="B522" s="1" t="n">
        <v>43595</v>
      </c>
      <c r="C522" s="1" t="n">
        <v>45795</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23945-2019</t>
        </is>
      </c>
      <c r="B523" s="1" t="n">
        <v>43596</v>
      </c>
      <c r="C523" s="1" t="n">
        <v>45795</v>
      </c>
      <c r="D523" t="inlineStr">
        <is>
          <t>JÄMTLANDS LÄN</t>
        </is>
      </c>
      <c r="E523" t="inlineStr">
        <is>
          <t>STRÖMSUND</t>
        </is>
      </c>
      <c r="G523" t="n">
        <v>0.4</v>
      </c>
      <c r="H523" t="n">
        <v>0</v>
      </c>
      <c r="I523" t="n">
        <v>0</v>
      </c>
      <c r="J523" t="n">
        <v>0</v>
      </c>
      <c r="K523" t="n">
        <v>0</v>
      </c>
      <c r="L523" t="n">
        <v>0</v>
      </c>
      <c r="M523" t="n">
        <v>0</v>
      </c>
      <c r="N523" t="n">
        <v>0</v>
      </c>
      <c r="O523" t="n">
        <v>0</v>
      </c>
      <c r="P523" t="n">
        <v>0</v>
      </c>
      <c r="Q523" t="n">
        <v>0</v>
      </c>
      <c r="R523" s="2" t="inlineStr"/>
    </row>
    <row r="524" ht="15" customHeight="1">
      <c r="A524" t="inlineStr">
        <is>
          <t>A 23958-2019</t>
        </is>
      </c>
      <c r="B524" s="1" t="n">
        <v>43597</v>
      </c>
      <c r="C524" s="1" t="n">
        <v>45795</v>
      </c>
      <c r="D524" t="inlineStr">
        <is>
          <t>JÄMTLANDS LÄN</t>
        </is>
      </c>
      <c r="E524" t="inlineStr">
        <is>
          <t>STRÖMSUND</t>
        </is>
      </c>
      <c r="G524" t="n">
        <v>20.7</v>
      </c>
      <c r="H524" t="n">
        <v>0</v>
      </c>
      <c r="I524" t="n">
        <v>0</v>
      </c>
      <c r="J524" t="n">
        <v>0</v>
      </c>
      <c r="K524" t="n">
        <v>0</v>
      </c>
      <c r="L524" t="n">
        <v>0</v>
      </c>
      <c r="M524" t="n">
        <v>0</v>
      </c>
      <c r="N524" t="n">
        <v>0</v>
      </c>
      <c r="O524" t="n">
        <v>0</v>
      </c>
      <c r="P524" t="n">
        <v>0</v>
      </c>
      <c r="Q524" t="n">
        <v>0</v>
      </c>
      <c r="R524" s="2" t="inlineStr"/>
    </row>
    <row r="525" ht="15" customHeight="1">
      <c r="A525" t="inlineStr">
        <is>
          <t>A 24525-2019</t>
        </is>
      </c>
      <c r="B525" s="1" t="n">
        <v>43598</v>
      </c>
      <c r="C525" s="1" t="n">
        <v>45795</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24162-2019</t>
        </is>
      </c>
      <c r="B526" s="1" t="n">
        <v>43598</v>
      </c>
      <c r="C526" s="1" t="n">
        <v>45795</v>
      </c>
      <c r="D526" t="inlineStr">
        <is>
          <t>JÄMTLANDS LÄN</t>
        </is>
      </c>
      <c r="E526" t="inlineStr">
        <is>
          <t>STRÖMSUND</t>
        </is>
      </c>
      <c r="F526" t="inlineStr">
        <is>
          <t>SCA</t>
        </is>
      </c>
      <c r="G526" t="n">
        <v>18.9</v>
      </c>
      <c r="H526" t="n">
        <v>0</v>
      </c>
      <c r="I526" t="n">
        <v>0</v>
      </c>
      <c r="J526" t="n">
        <v>0</v>
      </c>
      <c r="K526" t="n">
        <v>0</v>
      </c>
      <c r="L526" t="n">
        <v>0</v>
      </c>
      <c r="M526" t="n">
        <v>0</v>
      </c>
      <c r="N526" t="n">
        <v>0</v>
      </c>
      <c r="O526" t="n">
        <v>0</v>
      </c>
      <c r="P526" t="n">
        <v>0</v>
      </c>
      <c r="Q526" t="n">
        <v>0</v>
      </c>
      <c r="R526" s="2" t="inlineStr"/>
    </row>
    <row r="527" ht="15" customHeight="1">
      <c r="A527" t="inlineStr">
        <is>
          <t>A 24787-2019</t>
        </is>
      </c>
      <c r="B527" s="1" t="n">
        <v>43601</v>
      </c>
      <c r="C527" s="1" t="n">
        <v>45795</v>
      </c>
      <c r="D527" t="inlineStr">
        <is>
          <t>JÄMTLANDS LÄN</t>
        </is>
      </c>
      <c r="E527" t="inlineStr">
        <is>
          <t>STRÖMSUND</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25923-2019</t>
        </is>
      </c>
      <c r="B528" s="1" t="n">
        <v>43608</v>
      </c>
      <c r="C528" s="1" t="n">
        <v>45795</v>
      </c>
      <c r="D528" t="inlineStr">
        <is>
          <t>JÄMTLANDS LÄN</t>
        </is>
      </c>
      <c r="E528" t="inlineStr">
        <is>
          <t>STRÖMSUND</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25915-2019</t>
        </is>
      </c>
      <c r="B529" s="1" t="n">
        <v>43608</v>
      </c>
      <c r="C529" s="1" t="n">
        <v>45795</v>
      </c>
      <c r="D529" t="inlineStr">
        <is>
          <t>JÄMTLANDS LÄN</t>
        </is>
      </c>
      <c r="E529" t="inlineStr">
        <is>
          <t>STRÖMSUND</t>
        </is>
      </c>
      <c r="F529" t="inlineStr">
        <is>
          <t>Kommuner</t>
        </is>
      </c>
      <c r="G529" t="n">
        <v>5.7</v>
      </c>
      <c r="H529" t="n">
        <v>0</v>
      </c>
      <c r="I529" t="n">
        <v>0</v>
      </c>
      <c r="J529" t="n">
        <v>0</v>
      </c>
      <c r="K529" t="n">
        <v>0</v>
      </c>
      <c r="L529" t="n">
        <v>0</v>
      </c>
      <c r="M529" t="n">
        <v>0</v>
      </c>
      <c r="N529" t="n">
        <v>0</v>
      </c>
      <c r="O529" t="n">
        <v>0</v>
      </c>
      <c r="P529" t="n">
        <v>0</v>
      </c>
      <c r="Q529" t="n">
        <v>0</v>
      </c>
      <c r="R529" s="2" t="inlineStr"/>
    </row>
    <row r="530" ht="15" customHeight="1">
      <c r="A530" t="inlineStr">
        <is>
          <t>A 25925-2019</t>
        </is>
      </c>
      <c r="B530" s="1" t="n">
        <v>43608</v>
      </c>
      <c r="C530" s="1" t="n">
        <v>45795</v>
      </c>
      <c r="D530" t="inlineStr">
        <is>
          <t>JÄMTLANDS LÄN</t>
        </is>
      </c>
      <c r="E530" t="inlineStr">
        <is>
          <t>STRÖMSUND</t>
        </is>
      </c>
      <c r="F530" t="inlineStr">
        <is>
          <t>Kommuner</t>
        </is>
      </c>
      <c r="G530" t="n">
        <v>12.6</v>
      </c>
      <c r="H530" t="n">
        <v>0</v>
      </c>
      <c r="I530" t="n">
        <v>0</v>
      </c>
      <c r="J530" t="n">
        <v>0</v>
      </c>
      <c r="K530" t="n">
        <v>0</v>
      </c>
      <c r="L530" t="n">
        <v>0</v>
      </c>
      <c r="M530" t="n">
        <v>0</v>
      </c>
      <c r="N530" t="n">
        <v>0</v>
      </c>
      <c r="O530" t="n">
        <v>0</v>
      </c>
      <c r="P530" t="n">
        <v>0</v>
      </c>
      <c r="Q530" t="n">
        <v>0</v>
      </c>
      <c r="R530" s="2" t="inlineStr"/>
    </row>
    <row r="531" ht="15" customHeight="1">
      <c r="A531" t="inlineStr">
        <is>
          <t>A 25910-2019</t>
        </is>
      </c>
      <c r="B531" s="1" t="n">
        <v>43608</v>
      </c>
      <c r="C531" s="1" t="n">
        <v>45795</v>
      </c>
      <c r="D531" t="inlineStr">
        <is>
          <t>JÄMTLANDS LÄN</t>
        </is>
      </c>
      <c r="E531" t="inlineStr">
        <is>
          <t>STRÖMSUND</t>
        </is>
      </c>
      <c r="F531" t="inlineStr">
        <is>
          <t>Kommuner</t>
        </is>
      </c>
      <c r="G531" t="n">
        <v>7</v>
      </c>
      <c r="H531" t="n">
        <v>0</v>
      </c>
      <c r="I531" t="n">
        <v>0</v>
      </c>
      <c r="J531" t="n">
        <v>0</v>
      </c>
      <c r="K531" t="n">
        <v>0</v>
      </c>
      <c r="L531" t="n">
        <v>0</v>
      </c>
      <c r="M531" t="n">
        <v>0</v>
      </c>
      <c r="N531" t="n">
        <v>0</v>
      </c>
      <c r="O531" t="n">
        <v>0</v>
      </c>
      <c r="P531" t="n">
        <v>0</v>
      </c>
      <c r="Q531" t="n">
        <v>0</v>
      </c>
      <c r="R531" s="2" t="inlineStr"/>
    </row>
    <row r="532" ht="15" customHeight="1">
      <c r="A532" t="inlineStr">
        <is>
          <t>A 25918-2019</t>
        </is>
      </c>
      <c r="B532" s="1" t="n">
        <v>43608</v>
      </c>
      <c r="C532" s="1" t="n">
        <v>45795</v>
      </c>
      <c r="D532" t="inlineStr">
        <is>
          <t>JÄMTLANDS LÄN</t>
        </is>
      </c>
      <c r="E532" t="inlineStr">
        <is>
          <t>STRÖMSUND</t>
        </is>
      </c>
      <c r="F532" t="inlineStr">
        <is>
          <t>Kommuner</t>
        </is>
      </c>
      <c r="G532" t="n">
        <v>1.4</v>
      </c>
      <c r="H532" t="n">
        <v>0</v>
      </c>
      <c r="I532" t="n">
        <v>0</v>
      </c>
      <c r="J532" t="n">
        <v>0</v>
      </c>
      <c r="K532" t="n">
        <v>0</v>
      </c>
      <c r="L532" t="n">
        <v>0</v>
      </c>
      <c r="M532" t="n">
        <v>0</v>
      </c>
      <c r="N532" t="n">
        <v>0</v>
      </c>
      <c r="O532" t="n">
        <v>0</v>
      </c>
      <c r="P532" t="n">
        <v>0</v>
      </c>
      <c r="Q532" t="n">
        <v>0</v>
      </c>
      <c r="R532" s="2" t="inlineStr"/>
    </row>
    <row r="533" ht="15" customHeight="1">
      <c r="A533" t="inlineStr">
        <is>
          <t>A 25950-2019</t>
        </is>
      </c>
      <c r="B533" s="1" t="n">
        <v>43608</v>
      </c>
      <c r="C533" s="1" t="n">
        <v>45795</v>
      </c>
      <c r="D533" t="inlineStr">
        <is>
          <t>JÄMTLANDS LÄN</t>
        </is>
      </c>
      <c r="E533" t="inlineStr">
        <is>
          <t>STRÖMSUND</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26012-2019</t>
        </is>
      </c>
      <c r="B534" s="1" t="n">
        <v>43608</v>
      </c>
      <c r="C534" s="1" t="n">
        <v>45795</v>
      </c>
      <c r="D534" t="inlineStr">
        <is>
          <t>JÄMTLANDS LÄN</t>
        </is>
      </c>
      <c r="E534" t="inlineStr">
        <is>
          <t>STRÖMSUND</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25921-2019</t>
        </is>
      </c>
      <c r="B535" s="1" t="n">
        <v>43608</v>
      </c>
      <c r="C535" s="1" t="n">
        <v>45795</v>
      </c>
      <c r="D535" t="inlineStr">
        <is>
          <t>JÄMTLANDS LÄN</t>
        </is>
      </c>
      <c r="E535" t="inlineStr">
        <is>
          <t>STRÖMSUND</t>
        </is>
      </c>
      <c r="F535" t="inlineStr">
        <is>
          <t>Kommuner</t>
        </is>
      </c>
      <c r="G535" t="n">
        <v>23.9</v>
      </c>
      <c r="H535" t="n">
        <v>0</v>
      </c>
      <c r="I535" t="n">
        <v>0</v>
      </c>
      <c r="J535" t="n">
        <v>0</v>
      </c>
      <c r="K535" t="n">
        <v>0</v>
      </c>
      <c r="L535" t="n">
        <v>0</v>
      </c>
      <c r="M535" t="n">
        <v>0</v>
      </c>
      <c r="N535" t="n">
        <v>0</v>
      </c>
      <c r="O535" t="n">
        <v>0</v>
      </c>
      <c r="P535" t="n">
        <v>0</v>
      </c>
      <c r="Q535" t="n">
        <v>0</v>
      </c>
      <c r="R535" s="2" t="inlineStr"/>
    </row>
    <row r="536" ht="15" customHeight="1">
      <c r="A536" t="inlineStr">
        <is>
          <t>A 25984-2019</t>
        </is>
      </c>
      <c r="B536" s="1" t="n">
        <v>43608</v>
      </c>
      <c r="C536" s="1" t="n">
        <v>45795</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26252-2019</t>
        </is>
      </c>
      <c r="B537" s="1" t="n">
        <v>43609</v>
      </c>
      <c r="C537" s="1" t="n">
        <v>45795</v>
      </c>
      <c r="D537" t="inlineStr">
        <is>
          <t>JÄMTLANDS LÄN</t>
        </is>
      </c>
      <c r="E537" t="inlineStr">
        <is>
          <t>STRÖMSUND</t>
        </is>
      </c>
      <c r="F537" t="inlineStr">
        <is>
          <t>SCA</t>
        </is>
      </c>
      <c r="G537" t="n">
        <v>10.5</v>
      </c>
      <c r="H537" t="n">
        <v>0</v>
      </c>
      <c r="I537" t="n">
        <v>0</v>
      </c>
      <c r="J537" t="n">
        <v>0</v>
      </c>
      <c r="K537" t="n">
        <v>0</v>
      </c>
      <c r="L537" t="n">
        <v>0</v>
      </c>
      <c r="M537" t="n">
        <v>0</v>
      </c>
      <c r="N537" t="n">
        <v>0</v>
      </c>
      <c r="O537" t="n">
        <v>0</v>
      </c>
      <c r="P537" t="n">
        <v>0</v>
      </c>
      <c r="Q537" t="n">
        <v>0</v>
      </c>
      <c r="R537" s="2" t="inlineStr"/>
    </row>
    <row r="538" ht="15" customHeight="1">
      <c r="A538" t="inlineStr">
        <is>
          <t>A 26251-2019</t>
        </is>
      </c>
      <c r="B538" s="1" t="n">
        <v>43609</v>
      </c>
      <c r="C538" s="1" t="n">
        <v>45795</v>
      </c>
      <c r="D538" t="inlineStr">
        <is>
          <t>JÄMTLANDS LÄN</t>
        </is>
      </c>
      <c r="E538" t="inlineStr">
        <is>
          <t>STRÖMSUND</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27536-2019</t>
        </is>
      </c>
      <c r="B539" s="1" t="n">
        <v>43612</v>
      </c>
      <c r="C539" s="1" t="n">
        <v>45795</v>
      </c>
      <c r="D539" t="inlineStr">
        <is>
          <t>JÄMTLANDS LÄN</t>
        </is>
      </c>
      <c r="E539" t="inlineStr">
        <is>
          <t>STRÖMSUND</t>
        </is>
      </c>
      <c r="G539" t="n">
        <v>1.3</v>
      </c>
      <c r="H539" t="n">
        <v>0</v>
      </c>
      <c r="I539" t="n">
        <v>0</v>
      </c>
      <c r="J539" t="n">
        <v>0</v>
      </c>
      <c r="K539" t="n">
        <v>0</v>
      </c>
      <c r="L539" t="n">
        <v>0</v>
      </c>
      <c r="M539" t="n">
        <v>0</v>
      </c>
      <c r="N539" t="n">
        <v>0</v>
      </c>
      <c r="O539" t="n">
        <v>0</v>
      </c>
      <c r="P539" t="n">
        <v>0</v>
      </c>
      <c r="Q539" t="n">
        <v>0</v>
      </c>
      <c r="R539" s="2" t="inlineStr"/>
    </row>
    <row r="540" ht="15" customHeight="1">
      <c r="A540" t="inlineStr">
        <is>
          <t>A 26937-2019</t>
        </is>
      </c>
      <c r="B540" s="1" t="n">
        <v>43613</v>
      </c>
      <c r="C540" s="1" t="n">
        <v>45795</v>
      </c>
      <c r="D540" t="inlineStr">
        <is>
          <t>JÄMTLANDS LÄN</t>
        </is>
      </c>
      <c r="E540" t="inlineStr">
        <is>
          <t>STRÖMSUND</t>
        </is>
      </c>
      <c r="G540" t="n">
        <v>0.8</v>
      </c>
      <c r="H540" t="n">
        <v>0</v>
      </c>
      <c r="I540" t="n">
        <v>0</v>
      </c>
      <c r="J540" t="n">
        <v>0</v>
      </c>
      <c r="K540" t="n">
        <v>0</v>
      </c>
      <c r="L540" t="n">
        <v>0</v>
      </c>
      <c r="M540" t="n">
        <v>0</v>
      </c>
      <c r="N540" t="n">
        <v>0</v>
      </c>
      <c r="O540" t="n">
        <v>0</v>
      </c>
      <c r="P540" t="n">
        <v>0</v>
      </c>
      <c r="Q540" t="n">
        <v>0</v>
      </c>
      <c r="R540" s="2" t="inlineStr"/>
    </row>
    <row r="541" ht="15" customHeight="1">
      <c r="A541" t="inlineStr">
        <is>
          <t>A 27249-2019</t>
        </is>
      </c>
      <c r="B541" s="1" t="n">
        <v>43614</v>
      </c>
      <c r="C541" s="1" t="n">
        <v>45795</v>
      </c>
      <c r="D541" t="inlineStr">
        <is>
          <t>JÄMTLANDS LÄN</t>
        </is>
      </c>
      <c r="E541" t="inlineStr">
        <is>
          <t>STRÖMSUND</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27367-2019</t>
        </is>
      </c>
      <c r="B542" s="1" t="n">
        <v>43616</v>
      </c>
      <c r="C542" s="1" t="n">
        <v>45795</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27514-2019</t>
        </is>
      </c>
      <c r="B543" s="1" t="n">
        <v>43619</v>
      </c>
      <c r="C543" s="1" t="n">
        <v>45795</v>
      </c>
      <c r="D543" t="inlineStr">
        <is>
          <t>JÄMTLANDS LÄN</t>
        </is>
      </c>
      <c r="E543" t="inlineStr">
        <is>
          <t>STRÖMSUND</t>
        </is>
      </c>
      <c r="G543" t="n">
        <v>3.6</v>
      </c>
      <c r="H543" t="n">
        <v>0</v>
      </c>
      <c r="I543" t="n">
        <v>0</v>
      </c>
      <c r="J543" t="n">
        <v>0</v>
      </c>
      <c r="K543" t="n">
        <v>0</v>
      </c>
      <c r="L543" t="n">
        <v>0</v>
      </c>
      <c r="M543" t="n">
        <v>0</v>
      </c>
      <c r="N543" t="n">
        <v>0</v>
      </c>
      <c r="O543" t="n">
        <v>0</v>
      </c>
      <c r="P543" t="n">
        <v>0</v>
      </c>
      <c r="Q543" t="n">
        <v>0</v>
      </c>
      <c r="R543" s="2" t="inlineStr"/>
    </row>
    <row r="544" ht="15" customHeight="1">
      <c r="A544" t="inlineStr">
        <is>
          <t>A 27817-2019</t>
        </is>
      </c>
      <c r="B544" s="1" t="n">
        <v>43620</v>
      </c>
      <c r="C544" s="1" t="n">
        <v>45795</v>
      </c>
      <c r="D544" t="inlineStr">
        <is>
          <t>JÄMTLANDS LÄN</t>
        </is>
      </c>
      <c r="E544" t="inlineStr">
        <is>
          <t>STRÖMSUND</t>
        </is>
      </c>
      <c r="G544" t="n">
        <v>0.7</v>
      </c>
      <c r="H544" t="n">
        <v>0</v>
      </c>
      <c r="I544" t="n">
        <v>0</v>
      </c>
      <c r="J544" t="n">
        <v>0</v>
      </c>
      <c r="K544" t="n">
        <v>0</v>
      </c>
      <c r="L544" t="n">
        <v>0</v>
      </c>
      <c r="M544" t="n">
        <v>0</v>
      </c>
      <c r="N544" t="n">
        <v>0</v>
      </c>
      <c r="O544" t="n">
        <v>0</v>
      </c>
      <c r="P544" t="n">
        <v>0</v>
      </c>
      <c r="Q544" t="n">
        <v>0</v>
      </c>
      <c r="R544" s="2" t="inlineStr"/>
    </row>
    <row r="545" ht="15" customHeight="1">
      <c r="A545" t="inlineStr">
        <is>
          <t>A 28215-2019</t>
        </is>
      </c>
      <c r="B545" s="1" t="n">
        <v>43622</v>
      </c>
      <c r="C545" s="1" t="n">
        <v>45795</v>
      </c>
      <c r="D545" t="inlineStr">
        <is>
          <t>JÄMTLANDS LÄN</t>
        </is>
      </c>
      <c r="E545" t="inlineStr">
        <is>
          <t>STRÖMSUND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28766-2019</t>
        </is>
      </c>
      <c r="B546" s="1" t="n">
        <v>43627</v>
      </c>
      <c r="C546" s="1" t="n">
        <v>45795</v>
      </c>
      <c r="D546" t="inlineStr">
        <is>
          <t>JÄMTLANDS LÄN</t>
        </is>
      </c>
      <c r="E546" t="inlineStr">
        <is>
          <t>STRÖMSUND</t>
        </is>
      </c>
      <c r="G546" t="n">
        <v>19.8</v>
      </c>
      <c r="H546" t="n">
        <v>0</v>
      </c>
      <c r="I546" t="n">
        <v>0</v>
      </c>
      <c r="J546" t="n">
        <v>0</v>
      </c>
      <c r="K546" t="n">
        <v>0</v>
      </c>
      <c r="L546" t="n">
        <v>0</v>
      </c>
      <c r="M546" t="n">
        <v>0</v>
      </c>
      <c r="N546" t="n">
        <v>0</v>
      </c>
      <c r="O546" t="n">
        <v>0</v>
      </c>
      <c r="P546" t="n">
        <v>0</v>
      </c>
      <c r="Q546" t="n">
        <v>0</v>
      </c>
      <c r="R546" s="2" t="inlineStr"/>
    </row>
    <row r="547" ht="15" customHeight="1">
      <c r="A547" t="inlineStr">
        <is>
          <t>A 28671-2019</t>
        </is>
      </c>
      <c r="B547" s="1" t="n">
        <v>43627</v>
      </c>
      <c r="C547" s="1" t="n">
        <v>45795</v>
      </c>
      <c r="D547" t="inlineStr">
        <is>
          <t>JÄMTLANDS LÄN</t>
        </is>
      </c>
      <c r="E547" t="inlineStr">
        <is>
          <t>STRÖMSUND</t>
        </is>
      </c>
      <c r="G547" t="n">
        <v>21.3</v>
      </c>
      <c r="H547" t="n">
        <v>0</v>
      </c>
      <c r="I547" t="n">
        <v>0</v>
      </c>
      <c r="J547" t="n">
        <v>0</v>
      </c>
      <c r="K547" t="n">
        <v>0</v>
      </c>
      <c r="L547" t="n">
        <v>0</v>
      </c>
      <c r="M547" t="n">
        <v>0</v>
      </c>
      <c r="N547" t="n">
        <v>0</v>
      </c>
      <c r="O547" t="n">
        <v>0</v>
      </c>
      <c r="P547" t="n">
        <v>0</v>
      </c>
      <c r="Q547" t="n">
        <v>0</v>
      </c>
      <c r="R547" s="2" t="inlineStr"/>
    </row>
    <row r="548" ht="15" customHeight="1">
      <c r="A548" t="inlineStr">
        <is>
          <t>A 29166-2019</t>
        </is>
      </c>
      <c r="B548" s="1" t="n">
        <v>43628</v>
      </c>
      <c r="C548" s="1" t="n">
        <v>45795</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29359-2019</t>
        </is>
      </c>
      <c r="B549" s="1" t="n">
        <v>43629</v>
      </c>
      <c r="C549" s="1" t="n">
        <v>45795</v>
      </c>
      <c r="D549" t="inlineStr">
        <is>
          <t>JÄMTLANDS LÄN</t>
        </is>
      </c>
      <c r="E549" t="inlineStr">
        <is>
          <t>STRÖMSUND</t>
        </is>
      </c>
      <c r="G549" t="n">
        <v>3</v>
      </c>
      <c r="H549" t="n">
        <v>0</v>
      </c>
      <c r="I549" t="n">
        <v>0</v>
      </c>
      <c r="J549" t="n">
        <v>0</v>
      </c>
      <c r="K549" t="n">
        <v>0</v>
      </c>
      <c r="L549" t="n">
        <v>0</v>
      </c>
      <c r="M549" t="n">
        <v>0</v>
      </c>
      <c r="N549" t="n">
        <v>0</v>
      </c>
      <c r="O549" t="n">
        <v>0</v>
      </c>
      <c r="P549" t="n">
        <v>0</v>
      </c>
      <c r="Q549" t="n">
        <v>0</v>
      </c>
      <c r="R549" s="2" t="inlineStr"/>
    </row>
    <row r="550" ht="15" customHeight="1">
      <c r="A550" t="inlineStr">
        <is>
          <t>A 29378-2019</t>
        </is>
      </c>
      <c r="B550" s="1" t="n">
        <v>43629</v>
      </c>
      <c r="C550" s="1" t="n">
        <v>45795</v>
      </c>
      <c r="D550" t="inlineStr">
        <is>
          <t>JÄMTLANDS LÄN</t>
        </is>
      </c>
      <c r="E550" t="inlineStr">
        <is>
          <t>STRÖMSUND</t>
        </is>
      </c>
      <c r="G550" t="n">
        <v>33.5</v>
      </c>
      <c r="H550" t="n">
        <v>0</v>
      </c>
      <c r="I550" t="n">
        <v>0</v>
      </c>
      <c r="J550" t="n">
        <v>0</v>
      </c>
      <c r="K550" t="n">
        <v>0</v>
      </c>
      <c r="L550" t="n">
        <v>0</v>
      </c>
      <c r="M550" t="n">
        <v>0</v>
      </c>
      <c r="N550" t="n">
        <v>0</v>
      </c>
      <c r="O550" t="n">
        <v>0</v>
      </c>
      <c r="P550" t="n">
        <v>0</v>
      </c>
      <c r="Q550" t="n">
        <v>0</v>
      </c>
      <c r="R550" s="2" t="inlineStr"/>
    </row>
    <row r="551" ht="15" customHeight="1">
      <c r="A551" t="inlineStr">
        <is>
          <t>A 29740-2019</t>
        </is>
      </c>
      <c r="B551" s="1" t="n">
        <v>43630</v>
      </c>
      <c r="C551" s="1" t="n">
        <v>45795</v>
      </c>
      <c r="D551" t="inlineStr">
        <is>
          <t>JÄMTLANDS LÄN</t>
        </is>
      </c>
      <c r="E551" t="inlineStr">
        <is>
          <t>STRÖMSUND</t>
        </is>
      </c>
      <c r="F551" t="inlineStr">
        <is>
          <t>SCA</t>
        </is>
      </c>
      <c r="G551" t="n">
        <v>62.8</v>
      </c>
      <c r="H551" t="n">
        <v>0</v>
      </c>
      <c r="I551" t="n">
        <v>0</v>
      </c>
      <c r="J551" t="n">
        <v>0</v>
      </c>
      <c r="K551" t="n">
        <v>0</v>
      </c>
      <c r="L551" t="n">
        <v>0</v>
      </c>
      <c r="M551" t="n">
        <v>0</v>
      </c>
      <c r="N551" t="n">
        <v>0</v>
      </c>
      <c r="O551" t="n">
        <v>0</v>
      </c>
      <c r="P551" t="n">
        <v>0</v>
      </c>
      <c r="Q551" t="n">
        <v>0</v>
      </c>
      <c r="R551" s="2" t="inlineStr"/>
    </row>
    <row r="552" ht="15" customHeight="1">
      <c r="A552" t="inlineStr">
        <is>
          <t>A 30136-2019</t>
        </is>
      </c>
      <c r="B552" s="1" t="n">
        <v>43634</v>
      </c>
      <c r="C552" s="1" t="n">
        <v>45795</v>
      </c>
      <c r="D552" t="inlineStr">
        <is>
          <t>JÄMTLANDS LÄN</t>
        </is>
      </c>
      <c r="E552" t="inlineStr">
        <is>
          <t>STRÖMSUND</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30378-2019</t>
        </is>
      </c>
      <c r="B553" s="1" t="n">
        <v>43634</v>
      </c>
      <c r="C553" s="1" t="n">
        <v>45795</v>
      </c>
      <c r="D553" t="inlineStr">
        <is>
          <t>JÄMTLANDS LÄN</t>
        </is>
      </c>
      <c r="E553" t="inlineStr">
        <is>
          <t>STRÖMSUND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30139-2019</t>
        </is>
      </c>
      <c r="B554" s="1" t="n">
        <v>43634</v>
      </c>
      <c r="C554" s="1" t="n">
        <v>45795</v>
      </c>
      <c r="D554" t="inlineStr">
        <is>
          <t>JÄMTLANDS LÄN</t>
        </is>
      </c>
      <c r="E554" t="inlineStr">
        <is>
          <t>STRÖMSUND</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30915-2019</t>
        </is>
      </c>
      <c r="B555" s="1" t="n">
        <v>43636</v>
      </c>
      <c r="C555" s="1" t="n">
        <v>45795</v>
      </c>
      <c r="D555" t="inlineStr">
        <is>
          <t>JÄMTLANDS LÄN</t>
        </is>
      </c>
      <c r="E555" t="inlineStr">
        <is>
          <t>STRÖMSUND</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32482-2019</t>
        </is>
      </c>
      <c r="B556" s="1" t="n">
        <v>43644</v>
      </c>
      <c r="C556" s="1" t="n">
        <v>45795</v>
      </c>
      <c r="D556" t="inlineStr">
        <is>
          <t>JÄMTLANDS LÄN</t>
        </is>
      </c>
      <c r="E556" t="inlineStr">
        <is>
          <t>STRÖMSUND</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32739-2019</t>
        </is>
      </c>
      <c r="B557" s="1" t="n">
        <v>43647</v>
      </c>
      <c r="C557" s="1" t="n">
        <v>45795</v>
      </c>
      <c r="D557" t="inlineStr">
        <is>
          <t>JÄMTLANDS LÄN</t>
        </is>
      </c>
      <c r="E557" t="inlineStr">
        <is>
          <t>STRÖMSUND</t>
        </is>
      </c>
      <c r="F557" t="inlineStr">
        <is>
          <t>SCA</t>
        </is>
      </c>
      <c r="G557" t="n">
        <v>174.6</v>
      </c>
      <c r="H557" t="n">
        <v>0</v>
      </c>
      <c r="I557" t="n">
        <v>0</v>
      </c>
      <c r="J557" t="n">
        <v>0</v>
      </c>
      <c r="K557" t="n">
        <v>0</v>
      </c>
      <c r="L557" t="n">
        <v>0</v>
      </c>
      <c r="M557" t="n">
        <v>0</v>
      </c>
      <c r="N557" t="n">
        <v>0</v>
      </c>
      <c r="O557" t="n">
        <v>0</v>
      </c>
      <c r="P557" t="n">
        <v>0</v>
      </c>
      <c r="Q557" t="n">
        <v>0</v>
      </c>
      <c r="R557" s="2" t="inlineStr"/>
    </row>
    <row r="558" ht="15" customHeight="1">
      <c r="A558" t="inlineStr">
        <is>
          <t>A 32748-2019</t>
        </is>
      </c>
      <c r="B558" s="1" t="n">
        <v>43647</v>
      </c>
      <c r="C558" s="1" t="n">
        <v>45795</v>
      </c>
      <c r="D558" t="inlineStr">
        <is>
          <t>JÄMTLANDS LÄN</t>
        </is>
      </c>
      <c r="E558" t="inlineStr">
        <is>
          <t>STRÖMSUND</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32974-2019</t>
        </is>
      </c>
      <c r="B559" s="1" t="n">
        <v>43648</v>
      </c>
      <c r="C559" s="1" t="n">
        <v>45795</v>
      </c>
      <c r="D559" t="inlineStr">
        <is>
          <t>JÄMTLANDS LÄN</t>
        </is>
      </c>
      <c r="E559" t="inlineStr">
        <is>
          <t>STRÖMSUND</t>
        </is>
      </c>
      <c r="G559" t="n">
        <v>2.8</v>
      </c>
      <c r="H559" t="n">
        <v>0</v>
      </c>
      <c r="I559" t="n">
        <v>0</v>
      </c>
      <c r="J559" t="n">
        <v>0</v>
      </c>
      <c r="K559" t="n">
        <v>0</v>
      </c>
      <c r="L559" t="n">
        <v>0</v>
      </c>
      <c r="M559" t="n">
        <v>0</v>
      </c>
      <c r="N559" t="n">
        <v>0</v>
      </c>
      <c r="O559" t="n">
        <v>0</v>
      </c>
      <c r="P559" t="n">
        <v>0</v>
      </c>
      <c r="Q559" t="n">
        <v>0</v>
      </c>
      <c r="R559" s="2" t="inlineStr"/>
    </row>
    <row r="560" ht="15" customHeight="1">
      <c r="A560" t="inlineStr">
        <is>
          <t>A 32973-2019</t>
        </is>
      </c>
      <c r="B560" s="1" t="n">
        <v>43648</v>
      </c>
      <c r="C560" s="1" t="n">
        <v>45795</v>
      </c>
      <c r="D560" t="inlineStr">
        <is>
          <t>JÄMTLANDS LÄN</t>
        </is>
      </c>
      <c r="E560" t="inlineStr">
        <is>
          <t>STRÖMSUND</t>
        </is>
      </c>
      <c r="G560" t="n">
        <v>3.5</v>
      </c>
      <c r="H560" t="n">
        <v>0</v>
      </c>
      <c r="I560" t="n">
        <v>0</v>
      </c>
      <c r="J560" t="n">
        <v>0</v>
      </c>
      <c r="K560" t="n">
        <v>0</v>
      </c>
      <c r="L560" t="n">
        <v>0</v>
      </c>
      <c r="M560" t="n">
        <v>0</v>
      </c>
      <c r="N560" t="n">
        <v>0</v>
      </c>
      <c r="O560" t="n">
        <v>0</v>
      </c>
      <c r="P560" t="n">
        <v>0</v>
      </c>
      <c r="Q560" t="n">
        <v>0</v>
      </c>
      <c r="R560" s="2" t="inlineStr"/>
    </row>
    <row r="561" ht="15" customHeight="1">
      <c r="A561" t="inlineStr">
        <is>
          <t>A 32971-2019</t>
        </is>
      </c>
      <c r="B561" s="1" t="n">
        <v>43648</v>
      </c>
      <c r="C561" s="1" t="n">
        <v>45795</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32975-2019</t>
        </is>
      </c>
      <c r="B562" s="1" t="n">
        <v>43648</v>
      </c>
      <c r="C562" s="1" t="n">
        <v>45795</v>
      </c>
      <c r="D562" t="inlineStr">
        <is>
          <t>JÄMTLANDS LÄN</t>
        </is>
      </c>
      <c r="E562" t="inlineStr">
        <is>
          <t>STRÖMSUND</t>
        </is>
      </c>
      <c r="G562" t="n">
        <v>2.3</v>
      </c>
      <c r="H562" t="n">
        <v>0</v>
      </c>
      <c r="I562" t="n">
        <v>0</v>
      </c>
      <c r="J562" t="n">
        <v>0</v>
      </c>
      <c r="K562" t="n">
        <v>0</v>
      </c>
      <c r="L562" t="n">
        <v>0</v>
      </c>
      <c r="M562" t="n">
        <v>0</v>
      </c>
      <c r="N562" t="n">
        <v>0</v>
      </c>
      <c r="O562" t="n">
        <v>0</v>
      </c>
      <c r="P562" t="n">
        <v>0</v>
      </c>
      <c r="Q562" t="n">
        <v>0</v>
      </c>
      <c r="R562" s="2" t="inlineStr"/>
    </row>
    <row r="563" ht="15" customHeight="1">
      <c r="A563" t="inlineStr">
        <is>
          <t>A 34758-2019</t>
        </is>
      </c>
      <c r="B563" s="1" t="n">
        <v>43649</v>
      </c>
      <c r="C563" s="1" t="n">
        <v>45795</v>
      </c>
      <c r="D563" t="inlineStr">
        <is>
          <t>JÄMTLANDS LÄN</t>
        </is>
      </c>
      <c r="E563" t="inlineStr">
        <is>
          <t>STRÖMSUND</t>
        </is>
      </c>
      <c r="G563" t="n">
        <v>2.2</v>
      </c>
      <c r="H563" t="n">
        <v>0</v>
      </c>
      <c r="I563" t="n">
        <v>0</v>
      </c>
      <c r="J563" t="n">
        <v>0</v>
      </c>
      <c r="K563" t="n">
        <v>0</v>
      </c>
      <c r="L563" t="n">
        <v>0</v>
      </c>
      <c r="M563" t="n">
        <v>0</v>
      </c>
      <c r="N563" t="n">
        <v>0</v>
      </c>
      <c r="O563" t="n">
        <v>0</v>
      </c>
      <c r="P563" t="n">
        <v>0</v>
      </c>
      <c r="Q563" t="n">
        <v>0</v>
      </c>
      <c r="R563" s="2" t="inlineStr"/>
    </row>
    <row r="564" ht="15" customHeight="1">
      <c r="A564" t="inlineStr">
        <is>
          <t>A 33538-2019</t>
        </is>
      </c>
      <c r="B564" s="1" t="n">
        <v>43651</v>
      </c>
      <c r="C564" s="1" t="n">
        <v>45795</v>
      </c>
      <c r="D564" t="inlineStr">
        <is>
          <t>JÄMTLANDS LÄN</t>
        </is>
      </c>
      <c r="E564" t="inlineStr">
        <is>
          <t>STRÖMSUND</t>
        </is>
      </c>
      <c r="F564" t="inlineStr">
        <is>
          <t>Holmen skog AB</t>
        </is>
      </c>
      <c r="G564" t="n">
        <v>15.6</v>
      </c>
      <c r="H564" t="n">
        <v>0</v>
      </c>
      <c r="I564" t="n">
        <v>0</v>
      </c>
      <c r="J564" t="n">
        <v>0</v>
      </c>
      <c r="K564" t="n">
        <v>0</v>
      </c>
      <c r="L564" t="n">
        <v>0</v>
      </c>
      <c r="M564" t="n">
        <v>0</v>
      </c>
      <c r="N564" t="n">
        <v>0</v>
      </c>
      <c r="O564" t="n">
        <v>0</v>
      </c>
      <c r="P564" t="n">
        <v>0</v>
      </c>
      <c r="Q564" t="n">
        <v>0</v>
      </c>
      <c r="R564" s="2" t="inlineStr"/>
    </row>
    <row r="565" ht="15" customHeight="1">
      <c r="A565" t="inlineStr">
        <is>
          <t>A 33701-2019</t>
        </is>
      </c>
      <c r="B565" s="1" t="n">
        <v>43651</v>
      </c>
      <c r="C565" s="1" t="n">
        <v>45795</v>
      </c>
      <c r="D565" t="inlineStr">
        <is>
          <t>JÄMTLANDS LÄN</t>
        </is>
      </c>
      <c r="E565" t="inlineStr">
        <is>
          <t>STRÖMSUND</t>
        </is>
      </c>
      <c r="F565" t="inlineStr">
        <is>
          <t>Holmen skog AB</t>
        </is>
      </c>
      <c r="G565" t="n">
        <v>21.7</v>
      </c>
      <c r="H565" t="n">
        <v>0</v>
      </c>
      <c r="I565" t="n">
        <v>0</v>
      </c>
      <c r="J565" t="n">
        <v>0</v>
      </c>
      <c r="K565" t="n">
        <v>0</v>
      </c>
      <c r="L565" t="n">
        <v>0</v>
      </c>
      <c r="M565" t="n">
        <v>0</v>
      </c>
      <c r="N565" t="n">
        <v>0</v>
      </c>
      <c r="O565" t="n">
        <v>0</v>
      </c>
      <c r="P565" t="n">
        <v>0</v>
      </c>
      <c r="Q565" t="n">
        <v>0</v>
      </c>
      <c r="R565" s="2" t="inlineStr"/>
    </row>
    <row r="566" ht="15" customHeight="1">
      <c r="A566" t="inlineStr">
        <is>
          <t>A 33825-2019</t>
        </is>
      </c>
      <c r="B566" s="1" t="n">
        <v>43651</v>
      </c>
      <c r="C566" s="1" t="n">
        <v>45795</v>
      </c>
      <c r="D566" t="inlineStr">
        <is>
          <t>JÄMTLANDS LÄN</t>
        </is>
      </c>
      <c r="E566" t="inlineStr">
        <is>
          <t>STRÖMSUND</t>
        </is>
      </c>
      <c r="F566" t="inlineStr">
        <is>
          <t>SCA</t>
        </is>
      </c>
      <c r="G566" t="n">
        <v>15.6</v>
      </c>
      <c r="H566" t="n">
        <v>0</v>
      </c>
      <c r="I566" t="n">
        <v>0</v>
      </c>
      <c r="J566" t="n">
        <v>0</v>
      </c>
      <c r="K566" t="n">
        <v>0</v>
      </c>
      <c r="L566" t="n">
        <v>0</v>
      </c>
      <c r="M566" t="n">
        <v>0</v>
      </c>
      <c r="N566" t="n">
        <v>0</v>
      </c>
      <c r="O566" t="n">
        <v>0</v>
      </c>
      <c r="P566" t="n">
        <v>0</v>
      </c>
      <c r="Q566" t="n">
        <v>0</v>
      </c>
      <c r="R566" s="2" t="inlineStr"/>
    </row>
    <row r="567" ht="15" customHeight="1">
      <c r="A567" t="inlineStr">
        <is>
          <t>A 33552-2019</t>
        </is>
      </c>
      <c r="B567" s="1" t="n">
        <v>43651</v>
      </c>
      <c r="C567" s="1" t="n">
        <v>45795</v>
      </c>
      <c r="D567" t="inlineStr">
        <is>
          <t>JÄMTLANDS LÄN</t>
        </is>
      </c>
      <c r="E567" t="inlineStr">
        <is>
          <t>STRÖMSUND</t>
        </is>
      </c>
      <c r="F567" t="inlineStr">
        <is>
          <t>Holmen skog AB</t>
        </is>
      </c>
      <c r="G567" t="n">
        <v>15.9</v>
      </c>
      <c r="H567" t="n">
        <v>0</v>
      </c>
      <c r="I567" t="n">
        <v>0</v>
      </c>
      <c r="J567" t="n">
        <v>0</v>
      </c>
      <c r="K567" t="n">
        <v>0</v>
      </c>
      <c r="L567" t="n">
        <v>0</v>
      </c>
      <c r="M567" t="n">
        <v>0</v>
      </c>
      <c r="N567" t="n">
        <v>0</v>
      </c>
      <c r="O567" t="n">
        <v>0</v>
      </c>
      <c r="P567" t="n">
        <v>0</v>
      </c>
      <c r="Q567" t="n">
        <v>0</v>
      </c>
      <c r="R567" s="2" t="inlineStr"/>
    </row>
    <row r="568" ht="15" customHeight="1">
      <c r="A568" t="inlineStr">
        <is>
          <t>A 34125-2019</t>
        </is>
      </c>
      <c r="B568" s="1" t="n">
        <v>43654</v>
      </c>
      <c r="C568" s="1" t="n">
        <v>45795</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34144-2019</t>
        </is>
      </c>
      <c r="B569" s="1" t="n">
        <v>43655</v>
      </c>
      <c r="C569" s="1" t="n">
        <v>45795</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34156-2019</t>
        </is>
      </c>
      <c r="B570" s="1" t="n">
        <v>43655</v>
      </c>
      <c r="C570" s="1" t="n">
        <v>45795</v>
      </c>
      <c r="D570" t="inlineStr">
        <is>
          <t>JÄMTLANDS LÄN</t>
        </is>
      </c>
      <c r="E570" t="inlineStr">
        <is>
          <t>STRÖMSUND</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34152-2019</t>
        </is>
      </c>
      <c r="B571" s="1" t="n">
        <v>43655</v>
      </c>
      <c r="C571" s="1" t="n">
        <v>45795</v>
      </c>
      <c r="D571" t="inlineStr">
        <is>
          <t>JÄMTLANDS LÄN</t>
        </is>
      </c>
      <c r="E571" t="inlineStr">
        <is>
          <t>STRÖMSUND</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34233-2019</t>
        </is>
      </c>
      <c r="B572" s="1" t="n">
        <v>43655</v>
      </c>
      <c r="C572" s="1" t="n">
        <v>45795</v>
      </c>
      <c r="D572" t="inlineStr">
        <is>
          <t>JÄMTLANDS LÄN</t>
        </is>
      </c>
      <c r="E572" t="inlineStr">
        <is>
          <t>STRÖMSUND</t>
        </is>
      </c>
      <c r="G572" t="n">
        <v>3.1</v>
      </c>
      <c r="H572" t="n">
        <v>0</v>
      </c>
      <c r="I572" t="n">
        <v>0</v>
      </c>
      <c r="J572" t="n">
        <v>0</v>
      </c>
      <c r="K572" t="n">
        <v>0</v>
      </c>
      <c r="L572" t="n">
        <v>0</v>
      </c>
      <c r="M572" t="n">
        <v>0</v>
      </c>
      <c r="N572" t="n">
        <v>0</v>
      </c>
      <c r="O572" t="n">
        <v>0</v>
      </c>
      <c r="P572" t="n">
        <v>0</v>
      </c>
      <c r="Q572" t="n">
        <v>0</v>
      </c>
      <c r="R572" s="2" t="inlineStr"/>
    </row>
    <row r="573" ht="15" customHeight="1">
      <c r="A573" t="inlineStr">
        <is>
          <t>A 34146-2019</t>
        </is>
      </c>
      <c r="B573" s="1" t="n">
        <v>43655</v>
      </c>
      <c r="C573" s="1" t="n">
        <v>45795</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35674-2019</t>
        </is>
      </c>
      <c r="B574" s="1" t="n">
        <v>43655</v>
      </c>
      <c r="C574" s="1" t="n">
        <v>45795</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34219-2019</t>
        </is>
      </c>
      <c r="B575" s="1" t="n">
        <v>43655</v>
      </c>
      <c r="C575" s="1" t="n">
        <v>45795</v>
      </c>
      <c r="D575" t="inlineStr">
        <is>
          <t>JÄMTLANDS LÄN</t>
        </is>
      </c>
      <c r="E575" t="inlineStr">
        <is>
          <t>STRÖMSUND</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34741-2019</t>
        </is>
      </c>
      <c r="B576" s="1" t="n">
        <v>43657</v>
      </c>
      <c r="C576" s="1" t="n">
        <v>45795</v>
      </c>
      <c r="D576" t="inlineStr">
        <is>
          <t>JÄMTLANDS LÄN</t>
        </is>
      </c>
      <c r="E576" t="inlineStr">
        <is>
          <t>STRÖMSUND</t>
        </is>
      </c>
      <c r="F576" t="inlineStr">
        <is>
          <t>SCA</t>
        </is>
      </c>
      <c r="G576" t="n">
        <v>11.3</v>
      </c>
      <c r="H576" t="n">
        <v>0</v>
      </c>
      <c r="I576" t="n">
        <v>0</v>
      </c>
      <c r="J576" t="n">
        <v>0</v>
      </c>
      <c r="K576" t="n">
        <v>0</v>
      </c>
      <c r="L576" t="n">
        <v>0</v>
      </c>
      <c r="M576" t="n">
        <v>0</v>
      </c>
      <c r="N576" t="n">
        <v>0</v>
      </c>
      <c r="O576" t="n">
        <v>0</v>
      </c>
      <c r="P576" t="n">
        <v>0</v>
      </c>
      <c r="Q576" t="n">
        <v>0</v>
      </c>
      <c r="R576" s="2" t="inlineStr"/>
    </row>
    <row r="577" ht="15" customHeight="1">
      <c r="A577" t="inlineStr">
        <is>
          <t>A 36193-2019</t>
        </is>
      </c>
      <c r="B577" s="1" t="n">
        <v>43657</v>
      </c>
      <c r="C577" s="1" t="n">
        <v>45795</v>
      </c>
      <c r="D577" t="inlineStr">
        <is>
          <t>JÄMTLANDS LÄN</t>
        </is>
      </c>
      <c r="E577" t="inlineStr">
        <is>
          <t>STRÖMSUND</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34794-2019</t>
        </is>
      </c>
      <c r="B578" s="1" t="n">
        <v>43658</v>
      </c>
      <c r="C578" s="1" t="n">
        <v>45795</v>
      </c>
      <c r="D578" t="inlineStr">
        <is>
          <t>JÄMTLANDS LÄN</t>
        </is>
      </c>
      <c r="E578" t="inlineStr">
        <is>
          <t>STRÖMSUND</t>
        </is>
      </c>
      <c r="F578" t="inlineStr">
        <is>
          <t>Sveaskog</t>
        </is>
      </c>
      <c r="G578" t="n">
        <v>9.5</v>
      </c>
      <c r="H578" t="n">
        <v>0</v>
      </c>
      <c r="I578" t="n">
        <v>0</v>
      </c>
      <c r="J578" t="n">
        <v>0</v>
      </c>
      <c r="K578" t="n">
        <v>0</v>
      </c>
      <c r="L578" t="n">
        <v>0</v>
      </c>
      <c r="M578" t="n">
        <v>0</v>
      </c>
      <c r="N578" t="n">
        <v>0</v>
      </c>
      <c r="O578" t="n">
        <v>0</v>
      </c>
      <c r="P578" t="n">
        <v>0</v>
      </c>
      <c r="Q578" t="n">
        <v>0</v>
      </c>
      <c r="R578" s="2" t="inlineStr"/>
    </row>
    <row r="579" ht="15" customHeight="1">
      <c r="A579" t="inlineStr">
        <is>
          <t>A 35323-2019</t>
        </is>
      </c>
      <c r="B579" s="1" t="n">
        <v>43662</v>
      </c>
      <c r="C579" s="1" t="n">
        <v>45795</v>
      </c>
      <c r="D579" t="inlineStr">
        <is>
          <t>JÄMTLANDS LÄN</t>
        </is>
      </c>
      <c r="E579" t="inlineStr">
        <is>
          <t>STRÖMSUND</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35472-2019</t>
        </is>
      </c>
      <c r="B580" s="1" t="n">
        <v>43663</v>
      </c>
      <c r="C580" s="1" t="n">
        <v>45795</v>
      </c>
      <c r="D580" t="inlineStr">
        <is>
          <t>JÄMTLANDS LÄN</t>
        </is>
      </c>
      <c r="E580" t="inlineStr">
        <is>
          <t>STRÖMSUND</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35442-2019</t>
        </is>
      </c>
      <c r="B581" s="1" t="n">
        <v>43663</v>
      </c>
      <c r="C581" s="1" t="n">
        <v>45795</v>
      </c>
      <c r="D581" t="inlineStr">
        <is>
          <t>JÄMTLANDS LÄN</t>
        </is>
      </c>
      <c r="E581" t="inlineStr">
        <is>
          <t>STRÖMSUND</t>
        </is>
      </c>
      <c r="F581" t="inlineStr">
        <is>
          <t>Holmen skog AB</t>
        </is>
      </c>
      <c r="G581" t="n">
        <v>5</v>
      </c>
      <c r="H581" t="n">
        <v>0</v>
      </c>
      <c r="I581" t="n">
        <v>0</v>
      </c>
      <c r="J581" t="n">
        <v>0</v>
      </c>
      <c r="K581" t="n">
        <v>0</v>
      </c>
      <c r="L581" t="n">
        <v>0</v>
      </c>
      <c r="M581" t="n">
        <v>0</v>
      </c>
      <c r="N581" t="n">
        <v>0</v>
      </c>
      <c r="O581" t="n">
        <v>0</v>
      </c>
      <c r="P581" t="n">
        <v>0</v>
      </c>
      <c r="Q581" t="n">
        <v>0</v>
      </c>
      <c r="R581" s="2" t="inlineStr"/>
    </row>
    <row r="582" ht="15" customHeight="1">
      <c r="A582" t="inlineStr">
        <is>
          <t>A 35621-2019</t>
        </is>
      </c>
      <c r="B582" s="1" t="n">
        <v>43664</v>
      </c>
      <c r="C582" s="1" t="n">
        <v>45795</v>
      </c>
      <c r="D582" t="inlineStr">
        <is>
          <t>JÄMTLANDS LÄN</t>
        </is>
      </c>
      <c r="E582" t="inlineStr">
        <is>
          <t>STRÖMSUND</t>
        </is>
      </c>
      <c r="G582" t="n">
        <v>35.5</v>
      </c>
      <c r="H582" t="n">
        <v>0</v>
      </c>
      <c r="I582" t="n">
        <v>0</v>
      </c>
      <c r="J582" t="n">
        <v>0</v>
      </c>
      <c r="K582" t="n">
        <v>0</v>
      </c>
      <c r="L582" t="n">
        <v>0</v>
      </c>
      <c r="M582" t="n">
        <v>0</v>
      </c>
      <c r="N582" t="n">
        <v>0</v>
      </c>
      <c r="O582" t="n">
        <v>0</v>
      </c>
      <c r="P582" t="n">
        <v>0</v>
      </c>
      <c r="Q582" t="n">
        <v>0</v>
      </c>
      <c r="R582" s="2" t="inlineStr"/>
    </row>
    <row r="583" ht="15" customHeight="1">
      <c r="A583" t="inlineStr">
        <is>
          <t>A 37879-2019</t>
        </is>
      </c>
      <c r="B583" s="1" t="n">
        <v>43682</v>
      </c>
      <c r="C583" s="1" t="n">
        <v>45795</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37880-2019</t>
        </is>
      </c>
      <c r="B584" s="1" t="n">
        <v>43682</v>
      </c>
      <c r="C584" s="1" t="n">
        <v>45795</v>
      </c>
      <c r="D584" t="inlineStr">
        <is>
          <t>JÄMTLANDS LÄN</t>
        </is>
      </c>
      <c r="E584" t="inlineStr">
        <is>
          <t>STRÖMSUND</t>
        </is>
      </c>
      <c r="G584" t="n">
        <v>3.9</v>
      </c>
      <c r="H584" t="n">
        <v>0</v>
      </c>
      <c r="I584" t="n">
        <v>0</v>
      </c>
      <c r="J584" t="n">
        <v>0</v>
      </c>
      <c r="K584" t="n">
        <v>0</v>
      </c>
      <c r="L584" t="n">
        <v>0</v>
      </c>
      <c r="M584" t="n">
        <v>0</v>
      </c>
      <c r="N584" t="n">
        <v>0</v>
      </c>
      <c r="O584" t="n">
        <v>0</v>
      </c>
      <c r="P584" t="n">
        <v>0</v>
      </c>
      <c r="Q584" t="n">
        <v>0</v>
      </c>
      <c r="R584" s="2" t="inlineStr"/>
    </row>
    <row r="585" ht="15" customHeight="1">
      <c r="A585" t="inlineStr">
        <is>
          <t>A 38122-2019</t>
        </is>
      </c>
      <c r="B585" s="1" t="n">
        <v>43683</v>
      </c>
      <c r="C585" s="1" t="n">
        <v>45795</v>
      </c>
      <c r="D585" t="inlineStr">
        <is>
          <t>JÄMTLANDS LÄN</t>
        </is>
      </c>
      <c r="E585" t="inlineStr">
        <is>
          <t>STRÖMSUND</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38312-2019</t>
        </is>
      </c>
      <c r="B586" s="1" t="n">
        <v>43684</v>
      </c>
      <c r="C586" s="1" t="n">
        <v>45795</v>
      </c>
      <c r="D586" t="inlineStr">
        <is>
          <t>JÄMTLANDS LÄN</t>
        </is>
      </c>
      <c r="E586" t="inlineStr">
        <is>
          <t>STRÖMSUND</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38577-2019</t>
        </is>
      </c>
      <c r="B587" s="1" t="n">
        <v>43685</v>
      </c>
      <c r="C587" s="1" t="n">
        <v>45795</v>
      </c>
      <c r="D587" t="inlineStr">
        <is>
          <t>JÄMTLANDS LÄN</t>
        </is>
      </c>
      <c r="E587" t="inlineStr">
        <is>
          <t>STRÖMSUND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39129-2019</t>
        </is>
      </c>
      <c r="B588" s="1" t="n">
        <v>43689</v>
      </c>
      <c r="C588" s="1" t="n">
        <v>45795</v>
      </c>
      <c r="D588" t="inlineStr">
        <is>
          <t>JÄMTLANDS LÄN</t>
        </is>
      </c>
      <c r="E588" t="inlineStr">
        <is>
          <t>STRÖMSUND</t>
        </is>
      </c>
      <c r="F588" t="inlineStr">
        <is>
          <t>SCA</t>
        </is>
      </c>
      <c r="G588" t="n">
        <v>67.2</v>
      </c>
      <c r="H588" t="n">
        <v>0</v>
      </c>
      <c r="I588" t="n">
        <v>0</v>
      </c>
      <c r="J588" t="n">
        <v>0</v>
      </c>
      <c r="K588" t="n">
        <v>0</v>
      </c>
      <c r="L588" t="n">
        <v>0</v>
      </c>
      <c r="M588" t="n">
        <v>0</v>
      </c>
      <c r="N588" t="n">
        <v>0</v>
      </c>
      <c r="O588" t="n">
        <v>0</v>
      </c>
      <c r="P588" t="n">
        <v>0</v>
      </c>
      <c r="Q588" t="n">
        <v>0</v>
      </c>
      <c r="R588" s="2" t="inlineStr"/>
    </row>
    <row r="589" ht="15" customHeight="1">
      <c r="A589" t="inlineStr">
        <is>
          <t>A 39226-2019</t>
        </is>
      </c>
      <c r="B589" s="1" t="n">
        <v>43690</v>
      </c>
      <c r="C589" s="1" t="n">
        <v>45795</v>
      </c>
      <c r="D589" t="inlineStr">
        <is>
          <t>JÄMTLANDS LÄN</t>
        </is>
      </c>
      <c r="E589" t="inlineStr">
        <is>
          <t>STRÖMSUND</t>
        </is>
      </c>
      <c r="G589" t="n">
        <v>3.3</v>
      </c>
      <c r="H589" t="n">
        <v>0</v>
      </c>
      <c r="I589" t="n">
        <v>0</v>
      </c>
      <c r="J589" t="n">
        <v>0</v>
      </c>
      <c r="K589" t="n">
        <v>0</v>
      </c>
      <c r="L589" t="n">
        <v>0</v>
      </c>
      <c r="M589" t="n">
        <v>0</v>
      </c>
      <c r="N589" t="n">
        <v>0</v>
      </c>
      <c r="O589" t="n">
        <v>0</v>
      </c>
      <c r="P589" t="n">
        <v>0</v>
      </c>
      <c r="Q589" t="n">
        <v>0</v>
      </c>
      <c r="R589" s="2" t="inlineStr"/>
    </row>
    <row r="590" ht="15" customHeight="1">
      <c r="A590" t="inlineStr">
        <is>
          <t>A 39282-2019</t>
        </is>
      </c>
      <c r="B590" s="1" t="n">
        <v>43690</v>
      </c>
      <c r="C590" s="1" t="n">
        <v>45795</v>
      </c>
      <c r="D590" t="inlineStr">
        <is>
          <t>JÄMTLANDS LÄN</t>
        </is>
      </c>
      <c r="E590" t="inlineStr">
        <is>
          <t>STRÖMSUND</t>
        </is>
      </c>
      <c r="F590" t="inlineStr">
        <is>
          <t>Holmen skog AB</t>
        </is>
      </c>
      <c r="G590" t="n">
        <v>21.2</v>
      </c>
      <c r="H590" t="n">
        <v>0</v>
      </c>
      <c r="I590" t="n">
        <v>0</v>
      </c>
      <c r="J590" t="n">
        <v>0</v>
      </c>
      <c r="K590" t="n">
        <v>0</v>
      </c>
      <c r="L590" t="n">
        <v>0</v>
      </c>
      <c r="M590" t="n">
        <v>0</v>
      </c>
      <c r="N590" t="n">
        <v>0</v>
      </c>
      <c r="O590" t="n">
        <v>0</v>
      </c>
      <c r="P590" t="n">
        <v>0</v>
      </c>
      <c r="Q590" t="n">
        <v>0</v>
      </c>
      <c r="R590" s="2" t="inlineStr"/>
    </row>
    <row r="591" ht="15" customHeight="1">
      <c r="A591" t="inlineStr">
        <is>
          <t>A 40509-2019</t>
        </is>
      </c>
      <c r="B591" s="1" t="n">
        <v>43696</v>
      </c>
      <c r="C591" s="1" t="n">
        <v>45795</v>
      </c>
      <c r="D591" t="inlineStr">
        <is>
          <t>JÄMTLANDS LÄN</t>
        </is>
      </c>
      <c r="E591" t="inlineStr">
        <is>
          <t>STRÖMSUND</t>
        </is>
      </c>
      <c r="G591" t="n">
        <v>16.4</v>
      </c>
      <c r="H591" t="n">
        <v>0</v>
      </c>
      <c r="I591" t="n">
        <v>0</v>
      </c>
      <c r="J591" t="n">
        <v>0</v>
      </c>
      <c r="K591" t="n">
        <v>0</v>
      </c>
      <c r="L591" t="n">
        <v>0</v>
      </c>
      <c r="M591" t="n">
        <v>0</v>
      </c>
      <c r="N591" t="n">
        <v>0</v>
      </c>
      <c r="O591" t="n">
        <v>0</v>
      </c>
      <c r="P591" t="n">
        <v>0</v>
      </c>
      <c r="Q591" t="n">
        <v>0</v>
      </c>
      <c r="R591" s="2" t="inlineStr"/>
    </row>
    <row r="592" ht="15" customHeight="1">
      <c r="A592" t="inlineStr">
        <is>
          <t>A 40661-2019</t>
        </is>
      </c>
      <c r="B592" s="1" t="n">
        <v>43696</v>
      </c>
      <c r="C592" s="1" t="n">
        <v>45795</v>
      </c>
      <c r="D592" t="inlineStr">
        <is>
          <t>JÄMTLANDS LÄN</t>
        </is>
      </c>
      <c r="E592" t="inlineStr">
        <is>
          <t>STRÖMSUND</t>
        </is>
      </c>
      <c r="G592" t="n">
        <v>2.9</v>
      </c>
      <c r="H592" t="n">
        <v>0</v>
      </c>
      <c r="I592" t="n">
        <v>0</v>
      </c>
      <c r="J592" t="n">
        <v>0</v>
      </c>
      <c r="K592" t="n">
        <v>0</v>
      </c>
      <c r="L592" t="n">
        <v>0</v>
      </c>
      <c r="M592" t="n">
        <v>0</v>
      </c>
      <c r="N592" t="n">
        <v>0</v>
      </c>
      <c r="O592" t="n">
        <v>0</v>
      </c>
      <c r="P592" t="n">
        <v>0</v>
      </c>
      <c r="Q592" t="n">
        <v>0</v>
      </c>
      <c r="R592" s="2" t="inlineStr"/>
    </row>
    <row r="593" ht="15" customHeight="1">
      <c r="A593" t="inlineStr">
        <is>
          <t>A 40670-2019</t>
        </is>
      </c>
      <c r="B593" s="1" t="n">
        <v>43696</v>
      </c>
      <c r="C593" s="1" t="n">
        <v>45795</v>
      </c>
      <c r="D593" t="inlineStr">
        <is>
          <t>JÄMTLANDS LÄN</t>
        </is>
      </c>
      <c r="E593" t="inlineStr">
        <is>
          <t>STRÖMSUND</t>
        </is>
      </c>
      <c r="F593" t="inlineStr">
        <is>
          <t>SCA</t>
        </is>
      </c>
      <c r="G593" t="n">
        <v>8.9</v>
      </c>
      <c r="H593" t="n">
        <v>0</v>
      </c>
      <c r="I593" t="n">
        <v>0</v>
      </c>
      <c r="J593" t="n">
        <v>0</v>
      </c>
      <c r="K593" t="n">
        <v>0</v>
      </c>
      <c r="L593" t="n">
        <v>0</v>
      </c>
      <c r="M593" t="n">
        <v>0</v>
      </c>
      <c r="N593" t="n">
        <v>0</v>
      </c>
      <c r="O593" t="n">
        <v>0</v>
      </c>
      <c r="P593" t="n">
        <v>0</v>
      </c>
      <c r="Q593" t="n">
        <v>0</v>
      </c>
      <c r="R593" s="2" t="inlineStr"/>
    </row>
    <row r="594" ht="15" customHeight="1">
      <c r="A594" t="inlineStr">
        <is>
          <t>A 40508-2019</t>
        </is>
      </c>
      <c r="B594" s="1" t="n">
        <v>43696</v>
      </c>
      <c r="C594" s="1" t="n">
        <v>45795</v>
      </c>
      <c r="D594" t="inlineStr">
        <is>
          <t>JÄMTLANDS LÄN</t>
        </is>
      </c>
      <c r="E594" t="inlineStr">
        <is>
          <t>STRÖMSUND</t>
        </is>
      </c>
      <c r="G594" t="n">
        <v>3.3</v>
      </c>
      <c r="H594" t="n">
        <v>0</v>
      </c>
      <c r="I594" t="n">
        <v>0</v>
      </c>
      <c r="J594" t="n">
        <v>0</v>
      </c>
      <c r="K594" t="n">
        <v>0</v>
      </c>
      <c r="L594" t="n">
        <v>0</v>
      </c>
      <c r="M594" t="n">
        <v>0</v>
      </c>
      <c r="N594" t="n">
        <v>0</v>
      </c>
      <c r="O594" t="n">
        <v>0</v>
      </c>
      <c r="P594" t="n">
        <v>0</v>
      </c>
      <c r="Q594" t="n">
        <v>0</v>
      </c>
      <c r="R594" s="2" t="inlineStr"/>
    </row>
    <row r="595" ht="15" customHeight="1">
      <c r="A595" t="inlineStr">
        <is>
          <t>A 41007-2019</t>
        </is>
      </c>
      <c r="B595" s="1" t="n">
        <v>43697</v>
      </c>
      <c r="C595" s="1" t="n">
        <v>45795</v>
      </c>
      <c r="D595" t="inlineStr">
        <is>
          <t>JÄMTLANDS LÄN</t>
        </is>
      </c>
      <c r="E595" t="inlineStr">
        <is>
          <t>STRÖMSUND</t>
        </is>
      </c>
      <c r="G595" t="n">
        <v>7.2</v>
      </c>
      <c r="H595" t="n">
        <v>0</v>
      </c>
      <c r="I595" t="n">
        <v>0</v>
      </c>
      <c r="J595" t="n">
        <v>0</v>
      </c>
      <c r="K595" t="n">
        <v>0</v>
      </c>
      <c r="L595" t="n">
        <v>0</v>
      </c>
      <c r="M595" t="n">
        <v>0</v>
      </c>
      <c r="N595" t="n">
        <v>0</v>
      </c>
      <c r="O595" t="n">
        <v>0</v>
      </c>
      <c r="P595" t="n">
        <v>0</v>
      </c>
      <c r="Q595" t="n">
        <v>0</v>
      </c>
      <c r="R595" s="2" t="inlineStr"/>
    </row>
    <row r="596" ht="15" customHeight="1">
      <c r="A596" t="inlineStr">
        <is>
          <t>A 41042-2019</t>
        </is>
      </c>
      <c r="B596" s="1" t="n">
        <v>43697</v>
      </c>
      <c r="C596" s="1" t="n">
        <v>45795</v>
      </c>
      <c r="D596" t="inlineStr">
        <is>
          <t>JÄMTLANDS LÄN</t>
        </is>
      </c>
      <c r="E596" t="inlineStr">
        <is>
          <t>STRÖMSUND</t>
        </is>
      </c>
      <c r="F596" t="inlineStr">
        <is>
          <t>SCA</t>
        </is>
      </c>
      <c r="G596" t="n">
        <v>58.2</v>
      </c>
      <c r="H596" t="n">
        <v>0</v>
      </c>
      <c r="I596" t="n">
        <v>0</v>
      </c>
      <c r="J596" t="n">
        <v>0</v>
      </c>
      <c r="K596" t="n">
        <v>0</v>
      </c>
      <c r="L596" t="n">
        <v>0</v>
      </c>
      <c r="M596" t="n">
        <v>0</v>
      </c>
      <c r="N596" t="n">
        <v>0</v>
      </c>
      <c r="O596" t="n">
        <v>0</v>
      </c>
      <c r="P596" t="n">
        <v>0</v>
      </c>
      <c r="Q596" t="n">
        <v>0</v>
      </c>
      <c r="R596" s="2" t="inlineStr"/>
    </row>
    <row r="597" ht="15" customHeight="1">
      <c r="A597" t="inlineStr">
        <is>
          <t>A 42420-2019</t>
        </is>
      </c>
      <c r="B597" s="1" t="n">
        <v>43703</v>
      </c>
      <c r="C597" s="1" t="n">
        <v>45795</v>
      </c>
      <c r="D597" t="inlineStr">
        <is>
          <t>JÄMTLANDS LÄN</t>
        </is>
      </c>
      <c r="E597" t="inlineStr">
        <is>
          <t>STRÖMSUND</t>
        </is>
      </c>
      <c r="G597" t="n">
        <v>8.4</v>
      </c>
      <c r="H597" t="n">
        <v>0</v>
      </c>
      <c r="I597" t="n">
        <v>0</v>
      </c>
      <c r="J597" t="n">
        <v>0</v>
      </c>
      <c r="K597" t="n">
        <v>0</v>
      </c>
      <c r="L597" t="n">
        <v>0</v>
      </c>
      <c r="M597" t="n">
        <v>0</v>
      </c>
      <c r="N597" t="n">
        <v>0</v>
      </c>
      <c r="O597" t="n">
        <v>0</v>
      </c>
      <c r="P597" t="n">
        <v>0</v>
      </c>
      <c r="Q597" t="n">
        <v>0</v>
      </c>
      <c r="R597" s="2" t="inlineStr"/>
    </row>
    <row r="598" ht="15" customHeight="1">
      <c r="A598" t="inlineStr">
        <is>
          <t>A 43180-2019</t>
        </is>
      </c>
      <c r="B598" s="1" t="n">
        <v>43705</v>
      </c>
      <c r="C598" s="1" t="n">
        <v>45795</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43707-2019</t>
        </is>
      </c>
      <c r="B599" s="1" t="n">
        <v>43707</v>
      </c>
      <c r="C599" s="1" t="n">
        <v>45795</v>
      </c>
      <c r="D599" t="inlineStr">
        <is>
          <t>JÄMTLANDS LÄN</t>
        </is>
      </c>
      <c r="E599" t="inlineStr">
        <is>
          <t>STRÖMSUND</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43943-2019</t>
        </is>
      </c>
      <c r="B600" s="1" t="n">
        <v>43707</v>
      </c>
      <c r="C600" s="1" t="n">
        <v>45795</v>
      </c>
      <c r="D600" t="inlineStr">
        <is>
          <t>JÄMTLANDS LÄN</t>
        </is>
      </c>
      <c r="E600" t="inlineStr">
        <is>
          <t>STRÖMSUND</t>
        </is>
      </c>
      <c r="F600" t="inlineStr">
        <is>
          <t>SCA</t>
        </is>
      </c>
      <c r="G600" t="n">
        <v>11.9</v>
      </c>
      <c r="H600" t="n">
        <v>0</v>
      </c>
      <c r="I600" t="n">
        <v>0</v>
      </c>
      <c r="J600" t="n">
        <v>0</v>
      </c>
      <c r="K600" t="n">
        <v>0</v>
      </c>
      <c r="L600" t="n">
        <v>0</v>
      </c>
      <c r="M600" t="n">
        <v>0</v>
      </c>
      <c r="N600" t="n">
        <v>0</v>
      </c>
      <c r="O600" t="n">
        <v>0</v>
      </c>
      <c r="P600" t="n">
        <v>0</v>
      </c>
      <c r="Q600" t="n">
        <v>0</v>
      </c>
      <c r="R600" s="2" t="inlineStr"/>
    </row>
    <row r="601" ht="15" customHeight="1">
      <c r="A601" t="inlineStr">
        <is>
          <t>A 43793-2019</t>
        </is>
      </c>
      <c r="B601" s="1" t="n">
        <v>43707</v>
      </c>
      <c r="C601" s="1" t="n">
        <v>45795</v>
      </c>
      <c r="D601" t="inlineStr">
        <is>
          <t>JÄMTLANDS LÄN</t>
        </is>
      </c>
      <c r="E601" t="inlineStr">
        <is>
          <t>STRÖMSUND</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45171-2019</t>
        </is>
      </c>
      <c r="B602" s="1" t="n">
        <v>43707</v>
      </c>
      <c r="C602" s="1" t="n">
        <v>45795</v>
      </c>
      <c r="D602" t="inlineStr">
        <is>
          <t>JÄMTLANDS LÄN</t>
        </is>
      </c>
      <c r="E602" t="inlineStr">
        <is>
          <t>STRÖMSUND</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44010-2019</t>
        </is>
      </c>
      <c r="B603" s="1" t="n">
        <v>43709</v>
      </c>
      <c r="C603" s="1" t="n">
        <v>45795</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44535-2019</t>
        </is>
      </c>
      <c r="B604" s="1" t="n">
        <v>43711</v>
      </c>
      <c r="C604" s="1" t="n">
        <v>45795</v>
      </c>
      <c r="D604" t="inlineStr">
        <is>
          <t>JÄMTLANDS LÄN</t>
        </is>
      </c>
      <c r="E604" t="inlineStr">
        <is>
          <t>STRÖMSUND</t>
        </is>
      </c>
      <c r="G604" t="n">
        <v>23.8</v>
      </c>
      <c r="H604" t="n">
        <v>0</v>
      </c>
      <c r="I604" t="n">
        <v>0</v>
      </c>
      <c r="J604" t="n">
        <v>0</v>
      </c>
      <c r="K604" t="n">
        <v>0</v>
      </c>
      <c r="L604" t="n">
        <v>0</v>
      </c>
      <c r="M604" t="n">
        <v>0</v>
      </c>
      <c r="N604" t="n">
        <v>0</v>
      </c>
      <c r="O604" t="n">
        <v>0</v>
      </c>
      <c r="P604" t="n">
        <v>0</v>
      </c>
      <c r="Q604" t="n">
        <v>0</v>
      </c>
      <c r="R604" s="2" t="inlineStr"/>
    </row>
    <row r="605" ht="15" customHeight="1">
      <c r="A605" t="inlineStr">
        <is>
          <t>A 44604-2019</t>
        </is>
      </c>
      <c r="B605" s="1" t="n">
        <v>43711</v>
      </c>
      <c r="C605" s="1" t="n">
        <v>45795</v>
      </c>
      <c r="D605" t="inlineStr">
        <is>
          <t>JÄMTLANDS LÄN</t>
        </is>
      </c>
      <c r="E605" t="inlineStr">
        <is>
          <t>STRÖMSUND</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45773-2019</t>
        </is>
      </c>
      <c r="B606" s="1" t="n">
        <v>43711</v>
      </c>
      <c r="C606" s="1" t="n">
        <v>45795</v>
      </c>
      <c r="D606" t="inlineStr">
        <is>
          <t>JÄMTLANDS LÄN</t>
        </is>
      </c>
      <c r="E606" t="inlineStr">
        <is>
          <t>STRÖMSUND</t>
        </is>
      </c>
      <c r="G606" t="n">
        <v>3.2</v>
      </c>
      <c r="H606" t="n">
        <v>0</v>
      </c>
      <c r="I606" t="n">
        <v>0</v>
      </c>
      <c r="J606" t="n">
        <v>0</v>
      </c>
      <c r="K606" t="n">
        <v>0</v>
      </c>
      <c r="L606" t="n">
        <v>0</v>
      </c>
      <c r="M606" t="n">
        <v>0</v>
      </c>
      <c r="N606" t="n">
        <v>0</v>
      </c>
      <c r="O606" t="n">
        <v>0</v>
      </c>
      <c r="P606" t="n">
        <v>0</v>
      </c>
      <c r="Q606" t="n">
        <v>0</v>
      </c>
      <c r="R606" s="2" t="inlineStr"/>
    </row>
    <row r="607" ht="15" customHeight="1">
      <c r="A607" t="inlineStr">
        <is>
          <t>A 44605-2019</t>
        </is>
      </c>
      <c r="B607" s="1" t="n">
        <v>43711</v>
      </c>
      <c r="C607" s="1" t="n">
        <v>45795</v>
      </c>
      <c r="D607" t="inlineStr">
        <is>
          <t>JÄMTLANDS LÄN</t>
        </is>
      </c>
      <c r="E607" t="inlineStr">
        <is>
          <t>STRÖMSUND</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45737-2019</t>
        </is>
      </c>
      <c r="B608" s="1" t="n">
        <v>43711</v>
      </c>
      <c r="C608" s="1" t="n">
        <v>45795</v>
      </c>
      <c r="D608" t="inlineStr">
        <is>
          <t>JÄMTLANDS LÄN</t>
        </is>
      </c>
      <c r="E608" t="inlineStr">
        <is>
          <t>STRÖMSUND</t>
        </is>
      </c>
      <c r="F608" t="inlineStr">
        <is>
          <t>Holmen skog AB</t>
        </is>
      </c>
      <c r="G608" t="n">
        <v>9.5</v>
      </c>
      <c r="H608" t="n">
        <v>0</v>
      </c>
      <c r="I608" t="n">
        <v>0</v>
      </c>
      <c r="J608" t="n">
        <v>0</v>
      </c>
      <c r="K608" t="n">
        <v>0</v>
      </c>
      <c r="L608" t="n">
        <v>0</v>
      </c>
      <c r="M608" t="n">
        <v>0</v>
      </c>
      <c r="N608" t="n">
        <v>0</v>
      </c>
      <c r="O608" t="n">
        <v>0</v>
      </c>
      <c r="P608" t="n">
        <v>0</v>
      </c>
      <c r="Q608" t="n">
        <v>0</v>
      </c>
      <c r="R608" s="2" t="inlineStr"/>
    </row>
    <row r="609" ht="15" customHeight="1">
      <c r="A609" t="inlineStr">
        <is>
          <t>A 45776-2019</t>
        </is>
      </c>
      <c r="B609" s="1" t="n">
        <v>43711</v>
      </c>
      <c r="C609" s="1" t="n">
        <v>45795</v>
      </c>
      <c r="D609" t="inlineStr">
        <is>
          <t>JÄMTLANDS LÄN</t>
        </is>
      </c>
      <c r="E609" t="inlineStr">
        <is>
          <t>STRÖMSUND</t>
        </is>
      </c>
      <c r="G609" t="n">
        <v>3.6</v>
      </c>
      <c r="H609" t="n">
        <v>0</v>
      </c>
      <c r="I609" t="n">
        <v>0</v>
      </c>
      <c r="J609" t="n">
        <v>0</v>
      </c>
      <c r="K609" t="n">
        <v>0</v>
      </c>
      <c r="L609" t="n">
        <v>0</v>
      </c>
      <c r="M609" t="n">
        <v>0</v>
      </c>
      <c r="N609" t="n">
        <v>0</v>
      </c>
      <c r="O609" t="n">
        <v>0</v>
      </c>
      <c r="P609" t="n">
        <v>0</v>
      </c>
      <c r="Q609" t="n">
        <v>0</v>
      </c>
      <c r="R609" s="2" t="inlineStr"/>
    </row>
    <row r="610" ht="15" customHeight="1">
      <c r="A610" t="inlineStr">
        <is>
          <t>A 44774-2019</t>
        </is>
      </c>
      <c r="B610" s="1" t="n">
        <v>43712</v>
      </c>
      <c r="C610" s="1" t="n">
        <v>45795</v>
      </c>
      <c r="D610" t="inlineStr">
        <is>
          <t>JÄMTLANDS LÄN</t>
        </is>
      </c>
      <c r="E610" t="inlineStr">
        <is>
          <t>STRÖMSUND</t>
        </is>
      </c>
      <c r="G610" t="n">
        <v>4.6</v>
      </c>
      <c r="H610" t="n">
        <v>0</v>
      </c>
      <c r="I610" t="n">
        <v>0</v>
      </c>
      <c r="J610" t="n">
        <v>0</v>
      </c>
      <c r="K610" t="n">
        <v>0</v>
      </c>
      <c r="L610" t="n">
        <v>0</v>
      </c>
      <c r="M610" t="n">
        <v>0</v>
      </c>
      <c r="N610" t="n">
        <v>0</v>
      </c>
      <c r="O610" t="n">
        <v>0</v>
      </c>
      <c r="P610" t="n">
        <v>0</v>
      </c>
      <c r="Q610" t="n">
        <v>0</v>
      </c>
      <c r="R610" s="2" t="inlineStr"/>
    </row>
    <row r="611" ht="15" customHeight="1">
      <c r="A611" t="inlineStr">
        <is>
          <t>A 44809-2019</t>
        </is>
      </c>
      <c r="B611" s="1" t="n">
        <v>43712</v>
      </c>
      <c r="C611" s="1" t="n">
        <v>45795</v>
      </c>
      <c r="D611" t="inlineStr">
        <is>
          <t>JÄMTLANDS LÄN</t>
        </is>
      </c>
      <c r="E611" t="inlineStr">
        <is>
          <t>STRÖMSUND</t>
        </is>
      </c>
      <c r="F611" t="inlineStr">
        <is>
          <t>Kommuner</t>
        </is>
      </c>
      <c r="G611" t="n">
        <v>13.4</v>
      </c>
      <c r="H611" t="n">
        <v>0</v>
      </c>
      <c r="I611" t="n">
        <v>0</v>
      </c>
      <c r="J611" t="n">
        <v>0</v>
      </c>
      <c r="K611" t="n">
        <v>0</v>
      </c>
      <c r="L611" t="n">
        <v>0</v>
      </c>
      <c r="M611" t="n">
        <v>0</v>
      </c>
      <c r="N611" t="n">
        <v>0</v>
      </c>
      <c r="O611" t="n">
        <v>0</v>
      </c>
      <c r="P611" t="n">
        <v>0</v>
      </c>
      <c r="Q611" t="n">
        <v>0</v>
      </c>
      <c r="R611" s="2" t="inlineStr"/>
    </row>
    <row r="612" ht="15" customHeight="1">
      <c r="A612" t="inlineStr">
        <is>
          <t>A 44882-2019</t>
        </is>
      </c>
      <c r="B612" s="1" t="n">
        <v>43712</v>
      </c>
      <c r="C612" s="1" t="n">
        <v>45795</v>
      </c>
      <c r="D612" t="inlineStr">
        <is>
          <t>JÄMTLANDS LÄN</t>
        </is>
      </c>
      <c r="E612" t="inlineStr">
        <is>
          <t>STRÖMSUND</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44956-2019</t>
        </is>
      </c>
      <c r="B613" s="1" t="n">
        <v>43713</v>
      </c>
      <c r="C613" s="1" t="n">
        <v>45795</v>
      </c>
      <c r="D613" t="inlineStr">
        <is>
          <t>JÄMTLANDS LÄN</t>
        </is>
      </c>
      <c r="E613" t="inlineStr">
        <is>
          <t>STRÖMSUND</t>
        </is>
      </c>
      <c r="G613" t="n">
        <v>2.4</v>
      </c>
      <c r="H613" t="n">
        <v>0</v>
      </c>
      <c r="I613" t="n">
        <v>0</v>
      </c>
      <c r="J613" t="n">
        <v>0</v>
      </c>
      <c r="K613" t="n">
        <v>0</v>
      </c>
      <c r="L613" t="n">
        <v>0</v>
      </c>
      <c r="M613" t="n">
        <v>0</v>
      </c>
      <c r="N613" t="n">
        <v>0</v>
      </c>
      <c r="O613" t="n">
        <v>0</v>
      </c>
      <c r="P613" t="n">
        <v>0</v>
      </c>
      <c r="Q613" t="n">
        <v>0</v>
      </c>
      <c r="R613" s="2" t="inlineStr"/>
    </row>
    <row r="614" ht="15" customHeight="1">
      <c r="A614" t="inlineStr">
        <is>
          <t>A 45165-2019</t>
        </is>
      </c>
      <c r="B614" s="1" t="n">
        <v>43713</v>
      </c>
      <c r="C614" s="1" t="n">
        <v>45795</v>
      </c>
      <c r="D614" t="inlineStr">
        <is>
          <t>JÄMTLANDS LÄN</t>
        </is>
      </c>
      <c r="E614" t="inlineStr">
        <is>
          <t>STRÖMSUND</t>
        </is>
      </c>
      <c r="F614" t="inlineStr">
        <is>
          <t>Holmen skog AB</t>
        </is>
      </c>
      <c r="G614" t="n">
        <v>25.4</v>
      </c>
      <c r="H614" t="n">
        <v>0</v>
      </c>
      <c r="I614" t="n">
        <v>0</v>
      </c>
      <c r="J614" t="n">
        <v>0</v>
      </c>
      <c r="K614" t="n">
        <v>0</v>
      </c>
      <c r="L614" t="n">
        <v>0</v>
      </c>
      <c r="M614" t="n">
        <v>0</v>
      </c>
      <c r="N614" t="n">
        <v>0</v>
      </c>
      <c r="O614" t="n">
        <v>0</v>
      </c>
      <c r="P614" t="n">
        <v>0</v>
      </c>
      <c r="Q614" t="n">
        <v>0</v>
      </c>
      <c r="R614" s="2" t="inlineStr"/>
    </row>
    <row r="615" ht="15" customHeight="1">
      <c r="A615" t="inlineStr">
        <is>
          <t>A 45362-2019</t>
        </is>
      </c>
      <c r="B615" s="1" t="n">
        <v>43714</v>
      </c>
      <c r="C615" s="1" t="n">
        <v>45795</v>
      </c>
      <c r="D615" t="inlineStr">
        <is>
          <t>JÄMTLANDS LÄN</t>
        </is>
      </c>
      <c r="E615" t="inlineStr">
        <is>
          <t>STRÖMSUND</t>
        </is>
      </c>
      <c r="G615" t="n">
        <v>4.2</v>
      </c>
      <c r="H615" t="n">
        <v>0</v>
      </c>
      <c r="I615" t="n">
        <v>0</v>
      </c>
      <c r="J615" t="n">
        <v>0</v>
      </c>
      <c r="K615" t="n">
        <v>0</v>
      </c>
      <c r="L615" t="n">
        <v>0</v>
      </c>
      <c r="M615" t="n">
        <v>0</v>
      </c>
      <c r="N615" t="n">
        <v>0</v>
      </c>
      <c r="O615" t="n">
        <v>0</v>
      </c>
      <c r="P615" t="n">
        <v>0</v>
      </c>
      <c r="Q615" t="n">
        <v>0</v>
      </c>
      <c r="R615" s="2" t="inlineStr"/>
    </row>
    <row r="616" ht="15" customHeight="1">
      <c r="A616" t="inlineStr">
        <is>
          <t>A 45649-2019</t>
        </is>
      </c>
      <c r="B616" s="1" t="n">
        <v>43717</v>
      </c>
      <c r="C616" s="1" t="n">
        <v>45795</v>
      </c>
      <c r="D616" t="inlineStr">
        <is>
          <t>JÄMTLANDS LÄN</t>
        </is>
      </c>
      <c r="E616" t="inlineStr">
        <is>
          <t>STRÖMSUND</t>
        </is>
      </c>
      <c r="F616" t="inlineStr">
        <is>
          <t>Holmen skog AB</t>
        </is>
      </c>
      <c r="G616" t="n">
        <v>24.2</v>
      </c>
      <c r="H616" t="n">
        <v>0</v>
      </c>
      <c r="I616" t="n">
        <v>0</v>
      </c>
      <c r="J616" t="n">
        <v>0</v>
      </c>
      <c r="K616" t="n">
        <v>0</v>
      </c>
      <c r="L616" t="n">
        <v>0</v>
      </c>
      <c r="M616" t="n">
        <v>0</v>
      </c>
      <c r="N616" t="n">
        <v>0</v>
      </c>
      <c r="O616" t="n">
        <v>0</v>
      </c>
      <c r="P616" t="n">
        <v>0</v>
      </c>
      <c r="Q616" t="n">
        <v>0</v>
      </c>
      <c r="R616" s="2" t="inlineStr"/>
    </row>
    <row r="617" ht="15" customHeight="1">
      <c r="A617" t="inlineStr">
        <is>
          <t>A 45918-2019</t>
        </is>
      </c>
      <c r="B617" s="1" t="n">
        <v>43717</v>
      </c>
      <c r="C617" s="1" t="n">
        <v>45795</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45917-2019</t>
        </is>
      </c>
      <c r="B618" s="1" t="n">
        <v>43717</v>
      </c>
      <c r="C618" s="1" t="n">
        <v>45795</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45835-2019</t>
        </is>
      </c>
      <c r="B619" s="1" t="n">
        <v>43717</v>
      </c>
      <c r="C619" s="1" t="n">
        <v>45795</v>
      </c>
      <c r="D619" t="inlineStr">
        <is>
          <t>JÄMTLANDS LÄN</t>
        </is>
      </c>
      <c r="E619" t="inlineStr">
        <is>
          <t>STRÖMSUND</t>
        </is>
      </c>
      <c r="F619" t="inlineStr">
        <is>
          <t>Holmen skog AB</t>
        </is>
      </c>
      <c r="G619" t="n">
        <v>5.9</v>
      </c>
      <c r="H619" t="n">
        <v>0</v>
      </c>
      <c r="I619" t="n">
        <v>0</v>
      </c>
      <c r="J619" t="n">
        <v>0</v>
      </c>
      <c r="K619" t="n">
        <v>0</v>
      </c>
      <c r="L619" t="n">
        <v>0</v>
      </c>
      <c r="M619" t="n">
        <v>0</v>
      </c>
      <c r="N619" t="n">
        <v>0</v>
      </c>
      <c r="O619" t="n">
        <v>0</v>
      </c>
      <c r="P619" t="n">
        <v>0</v>
      </c>
      <c r="Q619" t="n">
        <v>0</v>
      </c>
      <c r="R619" s="2" t="inlineStr"/>
    </row>
    <row r="620" ht="15" customHeight="1">
      <c r="A620" t="inlineStr">
        <is>
          <t>A 45963-2019</t>
        </is>
      </c>
      <c r="B620" s="1" t="n">
        <v>43718</v>
      </c>
      <c r="C620" s="1" t="n">
        <v>45795</v>
      </c>
      <c r="D620" t="inlineStr">
        <is>
          <t>JÄMTLANDS LÄN</t>
        </is>
      </c>
      <c r="E620" t="inlineStr">
        <is>
          <t>STRÖMSUND</t>
        </is>
      </c>
      <c r="F620" t="inlineStr">
        <is>
          <t>Holmen skog AB</t>
        </is>
      </c>
      <c r="G620" t="n">
        <v>11.8</v>
      </c>
      <c r="H620" t="n">
        <v>0</v>
      </c>
      <c r="I620" t="n">
        <v>0</v>
      </c>
      <c r="J620" t="n">
        <v>0</v>
      </c>
      <c r="K620" t="n">
        <v>0</v>
      </c>
      <c r="L620" t="n">
        <v>0</v>
      </c>
      <c r="M620" t="n">
        <v>0</v>
      </c>
      <c r="N620" t="n">
        <v>0</v>
      </c>
      <c r="O620" t="n">
        <v>0</v>
      </c>
      <c r="P620" t="n">
        <v>0</v>
      </c>
      <c r="Q620" t="n">
        <v>0</v>
      </c>
      <c r="R620" s="2" t="inlineStr"/>
    </row>
    <row r="621" ht="15" customHeight="1">
      <c r="A621" t="inlineStr">
        <is>
          <t>A 47082-2019</t>
        </is>
      </c>
      <c r="B621" s="1" t="n">
        <v>43720</v>
      </c>
      <c r="C621" s="1" t="n">
        <v>45795</v>
      </c>
      <c r="D621" t="inlineStr">
        <is>
          <t>JÄMTLANDS LÄN</t>
        </is>
      </c>
      <c r="E621" t="inlineStr">
        <is>
          <t>STRÖMSUND</t>
        </is>
      </c>
      <c r="F621" t="inlineStr">
        <is>
          <t>SCA</t>
        </is>
      </c>
      <c r="G621" t="n">
        <v>11.6</v>
      </c>
      <c r="H621" t="n">
        <v>0</v>
      </c>
      <c r="I621" t="n">
        <v>0</v>
      </c>
      <c r="J621" t="n">
        <v>0</v>
      </c>
      <c r="K621" t="n">
        <v>0</v>
      </c>
      <c r="L621" t="n">
        <v>0</v>
      </c>
      <c r="M621" t="n">
        <v>0</v>
      </c>
      <c r="N621" t="n">
        <v>0</v>
      </c>
      <c r="O621" t="n">
        <v>0</v>
      </c>
      <c r="P621" t="n">
        <v>0</v>
      </c>
      <c r="Q621" t="n">
        <v>0</v>
      </c>
      <c r="R621" s="2" t="inlineStr"/>
    </row>
    <row r="622" ht="15" customHeight="1">
      <c r="A622" t="inlineStr">
        <is>
          <t>A 47410-2019</t>
        </is>
      </c>
      <c r="B622" s="1" t="n">
        <v>43723</v>
      </c>
      <c r="C622" s="1" t="n">
        <v>45795</v>
      </c>
      <c r="D622" t="inlineStr">
        <is>
          <t>JÄMTLANDS LÄN</t>
        </is>
      </c>
      <c r="E622" t="inlineStr">
        <is>
          <t>STRÖMSUND</t>
        </is>
      </c>
      <c r="G622" t="n">
        <v>5.4</v>
      </c>
      <c r="H622" t="n">
        <v>0</v>
      </c>
      <c r="I622" t="n">
        <v>0</v>
      </c>
      <c r="J622" t="n">
        <v>0</v>
      </c>
      <c r="K622" t="n">
        <v>0</v>
      </c>
      <c r="L622" t="n">
        <v>0</v>
      </c>
      <c r="M622" t="n">
        <v>0</v>
      </c>
      <c r="N622" t="n">
        <v>0</v>
      </c>
      <c r="O622" t="n">
        <v>0</v>
      </c>
      <c r="P622" t="n">
        <v>0</v>
      </c>
      <c r="Q622" t="n">
        <v>0</v>
      </c>
      <c r="R622" s="2" t="inlineStr"/>
    </row>
    <row r="623" ht="15" customHeight="1">
      <c r="A623" t="inlineStr">
        <is>
          <t>A 47531-2019</t>
        </is>
      </c>
      <c r="B623" s="1" t="n">
        <v>43724</v>
      </c>
      <c r="C623" s="1" t="n">
        <v>45795</v>
      </c>
      <c r="D623" t="inlineStr">
        <is>
          <t>JÄMTLANDS LÄN</t>
        </is>
      </c>
      <c r="E623" t="inlineStr">
        <is>
          <t>STRÖMSUND</t>
        </is>
      </c>
      <c r="G623" t="n">
        <v>30.4</v>
      </c>
      <c r="H623" t="n">
        <v>0</v>
      </c>
      <c r="I623" t="n">
        <v>0</v>
      </c>
      <c r="J623" t="n">
        <v>0</v>
      </c>
      <c r="K623" t="n">
        <v>0</v>
      </c>
      <c r="L623" t="n">
        <v>0</v>
      </c>
      <c r="M623" t="n">
        <v>0</v>
      </c>
      <c r="N623" t="n">
        <v>0</v>
      </c>
      <c r="O623" t="n">
        <v>0</v>
      </c>
      <c r="P623" t="n">
        <v>0</v>
      </c>
      <c r="Q623" t="n">
        <v>0</v>
      </c>
      <c r="R623" s="2" t="inlineStr"/>
    </row>
    <row r="624" ht="15" customHeight="1">
      <c r="A624" t="inlineStr">
        <is>
          <t>A 47811-2019</t>
        </is>
      </c>
      <c r="B624" s="1" t="n">
        <v>43724</v>
      </c>
      <c r="C624" s="1" t="n">
        <v>45795</v>
      </c>
      <c r="D624" t="inlineStr">
        <is>
          <t>JÄMTLANDS LÄN</t>
        </is>
      </c>
      <c r="E624" t="inlineStr">
        <is>
          <t>STRÖMSUND</t>
        </is>
      </c>
      <c r="F624" t="inlineStr">
        <is>
          <t>SCA</t>
        </is>
      </c>
      <c r="G624" t="n">
        <v>14.6</v>
      </c>
      <c r="H624" t="n">
        <v>0</v>
      </c>
      <c r="I624" t="n">
        <v>0</v>
      </c>
      <c r="J624" t="n">
        <v>0</v>
      </c>
      <c r="K624" t="n">
        <v>0</v>
      </c>
      <c r="L624" t="n">
        <v>0</v>
      </c>
      <c r="M624" t="n">
        <v>0</v>
      </c>
      <c r="N624" t="n">
        <v>0</v>
      </c>
      <c r="O624" t="n">
        <v>0</v>
      </c>
      <c r="P624" t="n">
        <v>0</v>
      </c>
      <c r="Q624" t="n">
        <v>0</v>
      </c>
      <c r="R624" s="2" t="inlineStr"/>
    </row>
    <row r="625" ht="15" customHeight="1">
      <c r="A625" t="inlineStr">
        <is>
          <t>A 48052-2019</t>
        </is>
      </c>
      <c r="B625" s="1" t="n">
        <v>43725</v>
      </c>
      <c r="C625" s="1" t="n">
        <v>45795</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48578-2019</t>
        </is>
      </c>
      <c r="B626" s="1" t="n">
        <v>43727</v>
      </c>
      <c r="C626" s="1" t="n">
        <v>45795</v>
      </c>
      <c r="D626" t="inlineStr">
        <is>
          <t>JÄMTLANDS LÄN</t>
        </is>
      </c>
      <c r="E626" t="inlineStr">
        <is>
          <t>STRÖMSUND</t>
        </is>
      </c>
      <c r="G626" t="n">
        <v>20.8</v>
      </c>
      <c r="H626" t="n">
        <v>0</v>
      </c>
      <c r="I626" t="n">
        <v>0</v>
      </c>
      <c r="J626" t="n">
        <v>0</v>
      </c>
      <c r="K626" t="n">
        <v>0</v>
      </c>
      <c r="L626" t="n">
        <v>0</v>
      </c>
      <c r="M626" t="n">
        <v>0</v>
      </c>
      <c r="N626" t="n">
        <v>0</v>
      </c>
      <c r="O626" t="n">
        <v>0</v>
      </c>
      <c r="P626" t="n">
        <v>0</v>
      </c>
      <c r="Q626" t="n">
        <v>0</v>
      </c>
      <c r="R626" s="2" t="inlineStr"/>
    </row>
    <row r="627" ht="15" customHeight="1">
      <c r="A627" t="inlineStr">
        <is>
          <t>A 48565-2019</t>
        </is>
      </c>
      <c r="B627" s="1" t="n">
        <v>43727</v>
      </c>
      <c r="C627" s="1" t="n">
        <v>45795</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48620-2019</t>
        </is>
      </c>
      <c r="B628" s="1" t="n">
        <v>43727</v>
      </c>
      <c r="C628" s="1" t="n">
        <v>45795</v>
      </c>
      <c r="D628" t="inlineStr">
        <is>
          <t>JÄMTLANDS LÄN</t>
        </is>
      </c>
      <c r="E628" t="inlineStr">
        <is>
          <t>STRÖMSUND</t>
        </is>
      </c>
      <c r="G628" t="n">
        <v>2.4</v>
      </c>
      <c r="H628" t="n">
        <v>0</v>
      </c>
      <c r="I628" t="n">
        <v>0</v>
      </c>
      <c r="J628" t="n">
        <v>0</v>
      </c>
      <c r="K628" t="n">
        <v>0</v>
      </c>
      <c r="L628" t="n">
        <v>0</v>
      </c>
      <c r="M628" t="n">
        <v>0</v>
      </c>
      <c r="N628" t="n">
        <v>0</v>
      </c>
      <c r="O628" t="n">
        <v>0</v>
      </c>
      <c r="P628" t="n">
        <v>0</v>
      </c>
      <c r="Q628" t="n">
        <v>0</v>
      </c>
      <c r="R628" s="2" t="inlineStr"/>
    </row>
    <row r="629" ht="15" customHeight="1">
      <c r="A629" t="inlineStr">
        <is>
          <t>A 48573-2019</t>
        </is>
      </c>
      <c r="B629" s="1" t="n">
        <v>43727</v>
      </c>
      <c r="C629" s="1" t="n">
        <v>45795</v>
      </c>
      <c r="D629" t="inlineStr">
        <is>
          <t>JÄMTLANDS LÄN</t>
        </is>
      </c>
      <c r="E629" t="inlineStr">
        <is>
          <t>STRÖMSUND</t>
        </is>
      </c>
      <c r="G629" t="n">
        <v>7.5</v>
      </c>
      <c r="H629" t="n">
        <v>0</v>
      </c>
      <c r="I629" t="n">
        <v>0</v>
      </c>
      <c r="J629" t="n">
        <v>0</v>
      </c>
      <c r="K629" t="n">
        <v>0</v>
      </c>
      <c r="L629" t="n">
        <v>0</v>
      </c>
      <c r="M629" t="n">
        <v>0</v>
      </c>
      <c r="N629" t="n">
        <v>0</v>
      </c>
      <c r="O629" t="n">
        <v>0</v>
      </c>
      <c r="P629" t="n">
        <v>0</v>
      </c>
      <c r="Q629" t="n">
        <v>0</v>
      </c>
      <c r="R629" s="2" t="inlineStr"/>
    </row>
    <row r="630" ht="15" customHeight="1">
      <c r="A630" t="inlineStr">
        <is>
          <t>A 48951-2019</t>
        </is>
      </c>
      <c r="B630" s="1" t="n">
        <v>43728</v>
      </c>
      <c r="C630" s="1" t="n">
        <v>45795</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48965-2019</t>
        </is>
      </c>
      <c r="B631" s="1" t="n">
        <v>43728</v>
      </c>
      <c r="C631" s="1" t="n">
        <v>45795</v>
      </c>
      <c r="D631" t="inlineStr">
        <is>
          <t>JÄMTLANDS LÄN</t>
        </is>
      </c>
      <c r="E631" t="inlineStr">
        <is>
          <t>STRÖMSUND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49291-2019</t>
        </is>
      </c>
      <c r="B632" s="1" t="n">
        <v>43731</v>
      </c>
      <c r="C632" s="1" t="n">
        <v>45795</v>
      </c>
      <c r="D632" t="inlineStr">
        <is>
          <t>JÄMTLANDS LÄN</t>
        </is>
      </c>
      <c r="E632" t="inlineStr">
        <is>
          <t>STRÖMSUND</t>
        </is>
      </c>
      <c r="G632" t="n">
        <v>20.7</v>
      </c>
      <c r="H632" t="n">
        <v>0</v>
      </c>
      <c r="I632" t="n">
        <v>0</v>
      </c>
      <c r="J632" t="n">
        <v>0</v>
      </c>
      <c r="K632" t="n">
        <v>0</v>
      </c>
      <c r="L632" t="n">
        <v>0</v>
      </c>
      <c r="M632" t="n">
        <v>0</v>
      </c>
      <c r="N632" t="n">
        <v>0</v>
      </c>
      <c r="O632" t="n">
        <v>0</v>
      </c>
      <c r="P632" t="n">
        <v>0</v>
      </c>
      <c r="Q632" t="n">
        <v>0</v>
      </c>
      <c r="R632" s="2" t="inlineStr"/>
    </row>
    <row r="633" ht="15" customHeight="1">
      <c r="A633" t="inlineStr">
        <is>
          <t>A 49316-2019</t>
        </is>
      </c>
      <c r="B633" s="1" t="n">
        <v>43731</v>
      </c>
      <c r="C633" s="1" t="n">
        <v>45795</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50001-2019</t>
        </is>
      </c>
      <c r="B634" s="1" t="n">
        <v>43733</v>
      </c>
      <c r="C634" s="1" t="n">
        <v>45795</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50305-2019</t>
        </is>
      </c>
      <c r="B635" s="1" t="n">
        <v>43734</v>
      </c>
      <c r="C635" s="1" t="n">
        <v>45795</v>
      </c>
      <c r="D635" t="inlineStr">
        <is>
          <t>JÄMTLANDS LÄN</t>
        </is>
      </c>
      <c r="E635" t="inlineStr">
        <is>
          <t>STRÖMSUND</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50302-2019</t>
        </is>
      </c>
      <c r="B636" s="1" t="n">
        <v>43734</v>
      </c>
      <c r="C636" s="1" t="n">
        <v>45795</v>
      </c>
      <c r="D636" t="inlineStr">
        <is>
          <t>JÄMTLANDS LÄN</t>
        </is>
      </c>
      <c r="E636" t="inlineStr">
        <is>
          <t>STRÖMSUND</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51008-2019</t>
        </is>
      </c>
      <c r="B637" s="1" t="n">
        <v>43738</v>
      </c>
      <c r="C637" s="1" t="n">
        <v>45795</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51183-2019</t>
        </is>
      </c>
      <c r="B638" s="1" t="n">
        <v>43739</v>
      </c>
      <c r="C638" s="1" t="n">
        <v>45795</v>
      </c>
      <c r="D638" t="inlineStr">
        <is>
          <t>JÄMTLANDS LÄN</t>
        </is>
      </c>
      <c r="E638" t="inlineStr">
        <is>
          <t>STRÖMSUND</t>
        </is>
      </c>
      <c r="F638" t="inlineStr">
        <is>
          <t>Sveaskog</t>
        </is>
      </c>
      <c r="G638" t="n">
        <v>6.9</v>
      </c>
      <c r="H638" t="n">
        <v>0</v>
      </c>
      <c r="I638" t="n">
        <v>0</v>
      </c>
      <c r="J638" t="n">
        <v>0</v>
      </c>
      <c r="K638" t="n">
        <v>0</v>
      </c>
      <c r="L638" t="n">
        <v>0</v>
      </c>
      <c r="M638" t="n">
        <v>0</v>
      </c>
      <c r="N638" t="n">
        <v>0</v>
      </c>
      <c r="O638" t="n">
        <v>0</v>
      </c>
      <c r="P638" t="n">
        <v>0</v>
      </c>
      <c r="Q638" t="n">
        <v>0</v>
      </c>
      <c r="R638" s="2" t="inlineStr"/>
    </row>
    <row r="639" ht="15" customHeight="1">
      <c r="A639" t="inlineStr">
        <is>
          <t>A 51015-2019</t>
        </is>
      </c>
      <c r="B639" s="1" t="n">
        <v>43739</v>
      </c>
      <c r="C639" s="1" t="n">
        <v>45795</v>
      </c>
      <c r="D639" t="inlineStr">
        <is>
          <t>JÄMTLANDS LÄN</t>
        </is>
      </c>
      <c r="E639" t="inlineStr">
        <is>
          <t>STRÖMSUND</t>
        </is>
      </c>
      <c r="G639" t="n">
        <v>2.1</v>
      </c>
      <c r="H639" t="n">
        <v>0</v>
      </c>
      <c r="I639" t="n">
        <v>0</v>
      </c>
      <c r="J639" t="n">
        <v>0</v>
      </c>
      <c r="K639" t="n">
        <v>0</v>
      </c>
      <c r="L639" t="n">
        <v>0</v>
      </c>
      <c r="M639" t="n">
        <v>0</v>
      </c>
      <c r="N639" t="n">
        <v>0</v>
      </c>
      <c r="O639" t="n">
        <v>0</v>
      </c>
      <c r="P639" t="n">
        <v>0</v>
      </c>
      <c r="Q639" t="n">
        <v>0</v>
      </c>
      <c r="R639" s="2" t="inlineStr"/>
    </row>
    <row r="640" ht="15" customHeight="1">
      <c r="A640" t="inlineStr">
        <is>
          <t>A 51951-2019</t>
        </is>
      </c>
      <c r="B640" s="1" t="n">
        <v>43741</v>
      </c>
      <c r="C640" s="1" t="n">
        <v>45795</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52258-2019</t>
        </is>
      </c>
      <c r="B641" s="1" t="n">
        <v>43742</v>
      </c>
      <c r="C641" s="1" t="n">
        <v>45795</v>
      </c>
      <c r="D641" t="inlineStr">
        <is>
          <t>JÄMTLANDS LÄN</t>
        </is>
      </c>
      <c r="E641" t="inlineStr">
        <is>
          <t>STRÖMSUND</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52384-2019</t>
        </is>
      </c>
      <c r="B642" s="1" t="n">
        <v>43745</v>
      </c>
      <c r="C642" s="1" t="n">
        <v>45795</v>
      </c>
      <c r="D642" t="inlineStr">
        <is>
          <t>JÄMTLANDS LÄN</t>
        </is>
      </c>
      <c r="E642" t="inlineStr">
        <is>
          <t>STRÖMSUND</t>
        </is>
      </c>
      <c r="G642" t="n">
        <v>3.7</v>
      </c>
      <c r="H642" t="n">
        <v>0</v>
      </c>
      <c r="I642" t="n">
        <v>0</v>
      </c>
      <c r="J642" t="n">
        <v>0</v>
      </c>
      <c r="K642" t="n">
        <v>0</v>
      </c>
      <c r="L642" t="n">
        <v>0</v>
      </c>
      <c r="M642" t="n">
        <v>0</v>
      </c>
      <c r="N642" t="n">
        <v>0</v>
      </c>
      <c r="O642" t="n">
        <v>0</v>
      </c>
      <c r="P642" t="n">
        <v>0</v>
      </c>
      <c r="Q642" t="n">
        <v>0</v>
      </c>
      <c r="R642" s="2" t="inlineStr"/>
    </row>
    <row r="643" ht="15" customHeight="1">
      <c r="A643" t="inlineStr">
        <is>
          <t>A 53874-2019</t>
        </is>
      </c>
      <c r="B643" s="1" t="n">
        <v>43745</v>
      </c>
      <c r="C643" s="1" t="n">
        <v>45795</v>
      </c>
      <c r="D643" t="inlineStr">
        <is>
          <t>JÄMTLANDS LÄN</t>
        </is>
      </c>
      <c r="E643" t="inlineStr">
        <is>
          <t>STRÖMSUND</t>
        </is>
      </c>
      <c r="G643" t="n">
        <v>10.1</v>
      </c>
      <c r="H643" t="n">
        <v>0</v>
      </c>
      <c r="I643" t="n">
        <v>0</v>
      </c>
      <c r="J643" t="n">
        <v>0</v>
      </c>
      <c r="K643" t="n">
        <v>0</v>
      </c>
      <c r="L643" t="n">
        <v>0</v>
      </c>
      <c r="M643" t="n">
        <v>0</v>
      </c>
      <c r="N643" t="n">
        <v>0</v>
      </c>
      <c r="O643" t="n">
        <v>0</v>
      </c>
      <c r="P643" t="n">
        <v>0</v>
      </c>
      <c r="Q643" t="n">
        <v>0</v>
      </c>
      <c r="R643" s="2" t="inlineStr"/>
    </row>
    <row r="644" ht="15" customHeight="1">
      <c r="A644" t="inlineStr">
        <is>
          <t>A 53886-2019</t>
        </is>
      </c>
      <c r="B644" s="1" t="n">
        <v>43745</v>
      </c>
      <c r="C644" s="1" t="n">
        <v>45795</v>
      </c>
      <c r="D644" t="inlineStr">
        <is>
          <t>JÄMTLANDS LÄN</t>
        </is>
      </c>
      <c r="E644" t="inlineStr">
        <is>
          <t>STRÖMSUND</t>
        </is>
      </c>
      <c r="G644" t="n">
        <v>15.2</v>
      </c>
      <c r="H644" t="n">
        <v>0</v>
      </c>
      <c r="I644" t="n">
        <v>0</v>
      </c>
      <c r="J644" t="n">
        <v>0</v>
      </c>
      <c r="K644" t="n">
        <v>0</v>
      </c>
      <c r="L644" t="n">
        <v>0</v>
      </c>
      <c r="M644" t="n">
        <v>0</v>
      </c>
      <c r="N644" t="n">
        <v>0</v>
      </c>
      <c r="O644" t="n">
        <v>0</v>
      </c>
      <c r="P644" t="n">
        <v>0</v>
      </c>
      <c r="Q644" t="n">
        <v>0</v>
      </c>
      <c r="R644" s="2" t="inlineStr"/>
    </row>
    <row r="645" ht="15" customHeight="1">
      <c r="A645" t="inlineStr">
        <is>
          <t>A 53483-2019</t>
        </is>
      </c>
      <c r="B645" s="1" t="n">
        <v>43748</v>
      </c>
      <c r="C645" s="1" t="n">
        <v>45795</v>
      </c>
      <c r="D645" t="inlineStr">
        <is>
          <t>JÄMTLANDS LÄN</t>
        </is>
      </c>
      <c r="E645" t="inlineStr">
        <is>
          <t>STRÖMSUND</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54235-2019</t>
        </is>
      </c>
      <c r="B646" s="1" t="n">
        <v>43748</v>
      </c>
      <c r="C646" s="1" t="n">
        <v>45795</v>
      </c>
      <c r="D646" t="inlineStr">
        <is>
          <t>JÄMTLANDS LÄN</t>
        </is>
      </c>
      <c r="E646" t="inlineStr">
        <is>
          <t>STRÖMSUND</t>
        </is>
      </c>
      <c r="G646" t="n">
        <v>0.9</v>
      </c>
      <c r="H646" t="n">
        <v>0</v>
      </c>
      <c r="I646" t="n">
        <v>0</v>
      </c>
      <c r="J646" t="n">
        <v>0</v>
      </c>
      <c r="K646" t="n">
        <v>0</v>
      </c>
      <c r="L646" t="n">
        <v>0</v>
      </c>
      <c r="M646" t="n">
        <v>0</v>
      </c>
      <c r="N646" t="n">
        <v>0</v>
      </c>
      <c r="O646" t="n">
        <v>0</v>
      </c>
      <c r="P646" t="n">
        <v>0</v>
      </c>
      <c r="Q646" t="n">
        <v>0</v>
      </c>
      <c r="R646" s="2" t="inlineStr"/>
    </row>
    <row r="647" ht="15" customHeight="1">
      <c r="A647" t="inlineStr">
        <is>
          <t>A 57227-2019</t>
        </is>
      </c>
      <c r="B647" s="1" t="n">
        <v>43748</v>
      </c>
      <c r="C647" s="1" t="n">
        <v>45795</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53898-2019</t>
        </is>
      </c>
      <c r="B648" s="1" t="n">
        <v>43748</v>
      </c>
      <c r="C648" s="1" t="n">
        <v>45795</v>
      </c>
      <c r="D648" t="inlineStr">
        <is>
          <t>JÄMTLANDS LÄN</t>
        </is>
      </c>
      <c r="E648" t="inlineStr">
        <is>
          <t>STRÖMSUND</t>
        </is>
      </c>
      <c r="G648" t="n">
        <v>4.2</v>
      </c>
      <c r="H648" t="n">
        <v>0</v>
      </c>
      <c r="I648" t="n">
        <v>0</v>
      </c>
      <c r="J648" t="n">
        <v>0</v>
      </c>
      <c r="K648" t="n">
        <v>0</v>
      </c>
      <c r="L648" t="n">
        <v>0</v>
      </c>
      <c r="M648" t="n">
        <v>0</v>
      </c>
      <c r="N648" t="n">
        <v>0</v>
      </c>
      <c r="O648" t="n">
        <v>0</v>
      </c>
      <c r="P648" t="n">
        <v>0</v>
      </c>
      <c r="Q648" t="n">
        <v>0</v>
      </c>
      <c r="R648" s="2" t="inlineStr"/>
    </row>
    <row r="649" ht="15" customHeight="1">
      <c r="A649" t="inlineStr">
        <is>
          <t>A 53482-2019</t>
        </is>
      </c>
      <c r="B649" s="1" t="n">
        <v>43748</v>
      </c>
      <c r="C649" s="1" t="n">
        <v>45795</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53895-2019</t>
        </is>
      </c>
      <c r="B650" s="1" t="n">
        <v>43748</v>
      </c>
      <c r="C650" s="1" t="n">
        <v>45795</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54672-2019</t>
        </is>
      </c>
      <c r="B651" s="1" t="n">
        <v>43754</v>
      </c>
      <c r="C651" s="1" t="n">
        <v>45795</v>
      </c>
      <c r="D651" t="inlineStr">
        <is>
          <t>JÄMTLANDS LÄN</t>
        </is>
      </c>
      <c r="E651" t="inlineStr">
        <is>
          <t>STRÖMSUND</t>
        </is>
      </c>
      <c r="F651" t="inlineStr">
        <is>
          <t>SCA</t>
        </is>
      </c>
      <c r="G651" t="n">
        <v>15.7</v>
      </c>
      <c r="H651" t="n">
        <v>0</v>
      </c>
      <c r="I651" t="n">
        <v>0</v>
      </c>
      <c r="J651" t="n">
        <v>0</v>
      </c>
      <c r="K651" t="n">
        <v>0</v>
      </c>
      <c r="L651" t="n">
        <v>0</v>
      </c>
      <c r="M651" t="n">
        <v>0</v>
      </c>
      <c r="N651" t="n">
        <v>0</v>
      </c>
      <c r="O651" t="n">
        <v>0</v>
      </c>
      <c r="P651" t="n">
        <v>0</v>
      </c>
      <c r="Q651" t="n">
        <v>0</v>
      </c>
      <c r="R651" s="2" t="inlineStr"/>
    </row>
    <row r="652" ht="15" customHeight="1">
      <c r="A652" t="inlineStr">
        <is>
          <t>A 55028-2019</t>
        </is>
      </c>
      <c r="B652" s="1" t="n">
        <v>43755</v>
      </c>
      <c r="C652" s="1" t="n">
        <v>45795</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56155-2019</t>
        </is>
      </c>
      <c r="B653" s="1" t="n">
        <v>43756</v>
      </c>
      <c r="C653" s="1" t="n">
        <v>45795</v>
      </c>
      <c r="D653" t="inlineStr">
        <is>
          <t>JÄMTLANDS LÄN</t>
        </is>
      </c>
      <c r="E653" t="inlineStr">
        <is>
          <t>STRÖMSUND</t>
        </is>
      </c>
      <c r="G653" t="n">
        <v>4.7</v>
      </c>
      <c r="H653" t="n">
        <v>0</v>
      </c>
      <c r="I653" t="n">
        <v>0</v>
      </c>
      <c r="J653" t="n">
        <v>0</v>
      </c>
      <c r="K653" t="n">
        <v>0</v>
      </c>
      <c r="L653" t="n">
        <v>0</v>
      </c>
      <c r="M653" t="n">
        <v>0</v>
      </c>
      <c r="N653" t="n">
        <v>0</v>
      </c>
      <c r="O653" t="n">
        <v>0</v>
      </c>
      <c r="P653" t="n">
        <v>0</v>
      </c>
      <c r="Q653" t="n">
        <v>0</v>
      </c>
      <c r="R653" s="2" t="inlineStr"/>
    </row>
    <row r="654" ht="15" customHeight="1">
      <c r="A654" t="inlineStr">
        <is>
          <t>A 23225-2020</t>
        </is>
      </c>
      <c r="B654" s="1" t="n">
        <v>43756</v>
      </c>
      <c r="C654" s="1" t="n">
        <v>45795</v>
      </c>
      <c r="D654" t="inlineStr">
        <is>
          <t>JÄMTLANDS LÄN</t>
        </is>
      </c>
      <c r="E654" t="inlineStr">
        <is>
          <t>STRÖMSUND</t>
        </is>
      </c>
      <c r="G654" t="n">
        <v>4.8</v>
      </c>
      <c r="H654" t="n">
        <v>0</v>
      </c>
      <c r="I654" t="n">
        <v>0</v>
      </c>
      <c r="J654" t="n">
        <v>0</v>
      </c>
      <c r="K654" t="n">
        <v>0</v>
      </c>
      <c r="L654" t="n">
        <v>0</v>
      </c>
      <c r="M654" t="n">
        <v>0</v>
      </c>
      <c r="N654" t="n">
        <v>0</v>
      </c>
      <c r="O654" t="n">
        <v>0</v>
      </c>
      <c r="P654" t="n">
        <v>0</v>
      </c>
      <c r="Q654" t="n">
        <v>0</v>
      </c>
      <c r="R654" s="2" t="inlineStr"/>
    </row>
    <row r="655" ht="15" customHeight="1">
      <c r="A655" t="inlineStr">
        <is>
          <t>A 55663-2019</t>
        </is>
      </c>
      <c r="B655" s="1" t="n">
        <v>43760</v>
      </c>
      <c r="C655" s="1" t="n">
        <v>45795</v>
      </c>
      <c r="D655" t="inlineStr">
        <is>
          <t>JÄMTLANDS LÄN</t>
        </is>
      </c>
      <c r="E655" t="inlineStr">
        <is>
          <t>STRÖMSUND</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55675-2019</t>
        </is>
      </c>
      <c r="B656" s="1" t="n">
        <v>43760</v>
      </c>
      <c r="C656" s="1" t="n">
        <v>45795</v>
      </c>
      <c r="D656" t="inlineStr">
        <is>
          <t>JÄMTLANDS LÄN</t>
        </is>
      </c>
      <c r="E656" t="inlineStr">
        <is>
          <t>STRÖMSUND</t>
        </is>
      </c>
      <c r="G656" t="n">
        <v>0.6</v>
      </c>
      <c r="H656" t="n">
        <v>0</v>
      </c>
      <c r="I656" t="n">
        <v>0</v>
      </c>
      <c r="J656" t="n">
        <v>0</v>
      </c>
      <c r="K656" t="n">
        <v>0</v>
      </c>
      <c r="L656" t="n">
        <v>0</v>
      </c>
      <c r="M656" t="n">
        <v>0</v>
      </c>
      <c r="N656" t="n">
        <v>0</v>
      </c>
      <c r="O656" t="n">
        <v>0</v>
      </c>
      <c r="P656" t="n">
        <v>0</v>
      </c>
      <c r="Q656" t="n">
        <v>0</v>
      </c>
      <c r="R656" s="2" t="inlineStr"/>
    </row>
    <row r="657" ht="15" customHeight="1">
      <c r="A657" t="inlineStr">
        <is>
          <t>A 55728-2019</t>
        </is>
      </c>
      <c r="B657" s="1" t="n">
        <v>43760</v>
      </c>
      <c r="C657" s="1" t="n">
        <v>45795</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55725-2019</t>
        </is>
      </c>
      <c r="B658" s="1" t="n">
        <v>43760</v>
      </c>
      <c r="C658" s="1" t="n">
        <v>45795</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56798-2019</t>
        </is>
      </c>
      <c r="B659" s="1" t="n">
        <v>43763</v>
      </c>
      <c r="C659" s="1" t="n">
        <v>45795</v>
      </c>
      <c r="D659" t="inlineStr">
        <is>
          <t>JÄMTLANDS LÄN</t>
        </is>
      </c>
      <c r="E659" t="inlineStr">
        <is>
          <t>STRÖMSUND</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56797-2019</t>
        </is>
      </c>
      <c r="B660" s="1" t="n">
        <v>43763</v>
      </c>
      <c r="C660" s="1" t="n">
        <v>45795</v>
      </c>
      <c r="D660" t="inlineStr">
        <is>
          <t>JÄMTLANDS LÄN</t>
        </is>
      </c>
      <c r="E660" t="inlineStr">
        <is>
          <t>STRÖMSUND</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56801-2019</t>
        </is>
      </c>
      <c r="B661" s="1" t="n">
        <v>43763</v>
      </c>
      <c r="C661" s="1" t="n">
        <v>45795</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56800-2019</t>
        </is>
      </c>
      <c r="B662" s="1" t="n">
        <v>43763</v>
      </c>
      <c r="C662" s="1" t="n">
        <v>45795</v>
      </c>
      <c r="D662" t="inlineStr">
        <is>
          <t>JÄMTLANDS LÄN</t>
        </is>
      </c>
      <c r="E662" t="inlineStr">
        <is>
          <t>STRÖMSUND</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56799-2019</t>
        </is>
      </c>
      <c r="B663" s="1" t="n">
        <v>43763</v>
      </c>
      <c r="C663" s="1" t="n">
        <v>45795</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56692-2019</t>
        </is>
      </c>
      <c r="B664" s="1" t="n">
        <v>43763</v>
      </c>
      <c r="C664" s="1" t="n">
        <v>45795</v>
      </c>
      <c r="D664" t="inlineStr">
        <is>
          <t>JÄMTLANDS LÄN</t>
        </is>
      </c>
      <c r="E664" t="inlineStr">
        <is>
          <t>STRÖMSUND</t>
        </is>
      </c>
      <c r="G664" t="n">
        <v>0.8</v>
      </c>
      <c r="H664" t="n">
        <v>0</v>
      </c>
      <c r="I664" t="n">
        <v>0</v>
      </c>
      <c r="J664" t="n">
        <v>0</v>
      </c>
      <c r="K664" t="n">
        <v>0</v>
      </c>
      <c r="L664" t="n">
        <v>0</v>
      </c>
      <c r="M664" t="n">
        <v>0</v>
      </c>
      <c r="N664" t="n">
        <v>0</v>
      </c>
      <c r="O664" t="n">
        <v>0</v>
      </c>
      <c r="P664" t="n">
        <v>0</v>
      </c>
      <c r="Q664" t="n">
        <v>0</v>
      </c>
      <c r="R664" s="2" t="inlineStr"/>
    </row>
    <row r="665" ht="15" customHeight="1">
      <c r="A665" t="inlineStr">
        <is>
          <t>A 56808-2019</t>
        </is>
      </c>
      <c r="B665" s="1" t="n">
        <v>43763</v>
      </c>
      <c r="C665" s="1" t="n">
        <v>45795</v>
      </c>
      <c r="D665" t="inlineStr">
        <is>
          <t>JÄMTLANDS LÄN</t>
        </is>
      </c>
      <c r="E665" t="inlineStr">
        <is>
          <t>STRÖMSUND</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56809-2019</t>
        </is>
      </c>
      <c r="B666" s="1" t="n">
        <v>43763</v>
      </c>
      <c r="C666" s="1" t="n">
        <v>45795</v>
      </c>
      <c r="D666" t="inlineStr">
        <is>
          <t>JÄMTLANDS LÄN</t>
        </is>
      </c>
      <c r="E666" t="inlineStr">
        <is>
          <t>STRÖMSUND</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57546-2019</t>
        </is>
      </c>
      <c r="B667" s="1" t="n">
        <v>43767</v>
      </c>
      <c r="C667" s="1" t="n">
        <v>45795</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58662-2019</t>
        </is>
      </c>
      <c r="B668" s="1" t="n">
        <v>43767</v>
      </c>
      <c r="C668" s="1" t="n">
        <v>45795</v>
      </c>
      <c r="D668" t="inlineStr">
        <is>
          <t>JÄMTLANDS LÄN</t>
        </is>
      </c>
      <c r="E668" t="inlineStr">
        <is>
          <t>STRÖMSUND</t>
        </is>
      </c>
      <c r="G668" t="n">
        <v>18.4</v>
      </c>
      <c r="H668" t="n">
        <v>0</v>
      </c>
      <c r="I668" t="n">
        <v>0</v>
      </c>
      <c r="J668" t="n">
        <v>0</v>
      </c>
      <c r="K668" t="n">
        <v>0</v>
      </c>
      <c r="L668" t="n">
        <v>0</v>
      </c>
      <c r="M668" t="n">
        <v>0</v>
      </c>
      <c r="N668" t="n">
        <v>0</v>
      </c>
      <c r="O668" t="n">
        <v>0</v>
      </c>
      <c r="P668" t="n">
        <v>0</v>
      </c>
      <c r="Q668" t="n">
        <v>0</v>
      </c>
      <c r="R668" s="2" t="inlineStr"/>
    </row>
    <row r="669" ht="15" customHeight="1">
      <c r="A669" t="inlineStr">
        <is>
          <t>A 57547-2019</t>
        </is>
      </c>
      <c r="B669" s="1" t="n">
        <v>43767</v>
      </c>
      <c r="C669" s="1" t="n">
        <v>45795</v>
      </c>
      <c r="D669" t="inlineStr">
        <is>
          <t>JÄMTLANDS LÄN</t>
        </is>
      </c>
      <c r="E669" t="inlineStr">
        <is>
          <t>STRÖMSUND</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57552-2019</t>
        </is>
      </c>
      <c r="B670" s="1" t="n">
        <v>43767</v>
      </c>
      <c r="C670" s="1" t="n">
        <v>45795</v>
      </c>
      <c r="D670" t="inlineStr">
        <is>
          <t>JÄMTLANDS LÄN</t>
        </is>
      </c>
      <c r="E670" t="inlineStr">
        <is>
          <t>STRÖMSUND</t>
        </is>
      </c>
      <c r="G670" t="n">
        <v>1.4</v>
      </c>
      <c r="H670" t="n">
        <v>0</v>
      </c>
      <c r="I670" t="n">
        <v>0</v>
      </c>
      <c r="J670" t="n">
        <v>0</v>
      </c>
      <c r="K670" t="n">
        <v>0</v>
      </c>
      <c r="L670" t="n">
        <v>0</v>
      </c>
      <c r="M670" t="n">
        <v>0</v>
      </c>
      <c r="N670" t="n">
        <v>0</v>
      </c>
      <c r="O670" t="n">
        <v>0</v>
      </c>
      <c r="P670" t="n">
        <v>0</v>
      </c>
      <c r="Q670" t="n">
        <v>0</v>
      </c>
      <c r="R670" s="2" t="inlineStr"/>
    </row>
    <row r="671" ht="15" customHeight="1">
      <c r="A671" t="inlineStr">
        <is>
          <t>A 57873-2019</t>
        </is>
      </c>
      <c r="B671" s="1" t="n">
        <v>43768</v>
      </c>
      <c r="C671" s="1" t="n">
        <v>45795</v>
      </c>
      <c r="D671" t="inlineStr">
        <is>
          <t>JÄMTLANDS LÄN</t>
        </is>
      </c>
      <c r="E671" t="inlineStr">
        <is>
          <t>STRÖMSUND</t>
        </is>
      </c>
      <c r="G671" t="n">
        <v>2.5</v>
      </c>
      <c r="H671" t="n">
        <v>0</v>
      </c>
      <c r="I671" t="n">
        <v>0</v>
      </c>
      <c r="J671" t="n">
        <v>0</v>
      </c>
      <c r="K671" t="n">
        <v>0</v>
      </c>
      <c r="L671" t="n">
        <v>0</v>
      </c>
      <c r="M671" t="n">
        <v>0</v>
      </c>
      <c r="N671" t="n">
        <v>0</v>
      </c>
      <c r="O671" t="n">
        <v>0</v>
      </c>
      <c r="P671" t="n">
        <v>0</v>
      </c>
      <c r="Q671" t="n">
        <v>0</v>
      </c>
      <c r="R671" s="2" t="inlineStr"/>
    </row>
    <row r="672" ht="15" customHeight="1">
      <c r="A672" t="inlineStr">
        <is>
          <t>A 57872-2019</t>
        </is>
      </c>
      <c r="B672" s="1" t="n">
        <v>43768</v>
      </c>
      <c r="C672" s="1" t="n">
        <v>45795</v>
      </c>
      <c r="D672" t="inlineStr">
        <is>
          <t>JÄMTLANDS LÄN</t>
        </is>
      </c>
      <c r="E672" t="inlineStr">
        <is>
          <t>STRÖMSUND</t>
        </is>
      </c>
      <c r="G672" t="n">
        <v>47.2</v>
      </c>
      <c r="H672" t="n">
        <v>0</v>
      </c>
      <c r="I672" t="n">
        <v>0</v>
      </c>
      <c r="J672" t="n">
        <v>0</v>
      </c>
      <c r="K672" t="n">
        <v>0</v>
      </c>
      <c r="L672" t="n">
        <v>0</v>
      </c>
      <c r="M672" t="n">
        <v>0</v>
      </c>
      <c r="N672" t="n">
        <v>0</v>
      </c>
      <c r="O672" t="n">
        <v>0</v>
      </c>
      <c r="P672" t="n">
        <v>0</v>
      </c>
      <c r="Q672" t="n">
        <v>0</v>
      </c>
      <c r="R672" s="2" t="inlineStr"/>
    </row>
    <row r="673" ht="15" customHeight="1">
      <c r="A673" t="inlineStr">
        <is>
          <t>A 58844-2019</t>
        </is>
      </c>
      <c r="B673" s="1" t="n">
        <v>43768</v>
      </c>
      <c r="C673" s="1" t="n">
        <v>45795</v>
      </c>
      <c r="D673" t="inlineStr">
        <is>
          <t>JÄMTLANDS LÄN</t>
        </is>
      </c>
      <c r="E673" t="inlineStr">
        <is>
          <t>STRÖMSUND</t>
        </is>
      </c>
      <c r="G673" t="n">
        <v>4.8</v>
      </c>
      <c r="H673" t="n">
        <v>0</v>
      </c>
      <c r="I673" t="n">
        <v>0</v>
      </c>
      <c r="J673" t="n">
        <v>0</v>
      </c>
      <c r="K673" t="n">
        <v>0</v>
      </c>
      <c r="L673" t="n">
        <v>0</v>
      </c>
      <c r="M673" t="n">
        <v>0</v>
      </c>
      <c r="N673" t="n">
        <v>0</v>
      </c>
      <c r="O673" t="n">
        <v>0</v>
      </c>
      <c r="P673" t="n">
        <v>0</v>
      </c>
      <c r="Q673" t="n">
        <v>0</v>
      </c>
      <c r="R673" s="2" t="inlineStr"/>
    </row>
    <row r="674" ht="15" customHeight="1">
      <c r="A674" t="inlineStr">
        <is>
          <t>A 58172-2019</t>
        </is>
      </c>
      <c r="B674" s="1" t="n">
        <v>43769</v>
      </c>
      <c r="C674" s="1" t="n">
        <v>45795</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59543-2019</t>
        </is>
      </c>
      <c r="B675" s="1" t="n">
        <v>43773</v>
      </c>
      <c r="C675" s="1" t="n">
        <v>45795</v>
      </c>
      <c r="D675" t="inlineStr">
        <is>
          <t>JÄMTLANDS LÄN</t>
        </is>
      </c>
      <c r="E675" t="inlineStr">
        <is>
          <t>STRÖMSUND</t>
        </is>
      </c>
      <c r="G675" t="n">
        <v>6.3</v>
      </c>
      <c r="H675" t="n">
        <v>0</v>
      </c>
      <c r="I675" t="n">
        <v>0</v>
      </c>
      <c r="J675" t="n">
        <v>0</v>
      </c>
      <c r="K675" t="n">
        <v>0</v>
      </c>
      <c r="L675" t="n">
        <v>0</v>
      </c>
      <c r="M675" t="n">
        <v>0</v>
      </c>
      <c r="N675" t="n">
        <v>0</v>
      </c>
      <c r="O675" t="n">
        <v>0</v>
      </c>
      <c r="P675" t="n">
        <v>0</v>
      </c>
      <c r="Q675" t="n">
        <v>0</v>
      </c>
      <c r="R675" s="2" t="inlineStr"/>
    </row>
    <row r="676" ht="15" customHeight="1">
      <c r="A676" t="inlineStr">
        <is>
          <t>A 59425-2019</t>
        </is>
      </c>
      <c r="B676" s="1" t="n">
        <v>43775</v>
      </c>
      <c r="C676" s="1" t="n">
        <v>45795</v>
      </c>
      <c r="D676" t="inlineStr">
        <is>
          <t>JÄMTLANDS LÄN</t>
        </is>
      </c>
      <c r="E676" t="inlineStr">
        <is>
          <t>STRÖMSUND</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59456-2019</t>
        </is>
      </c>
      <c r="B677" s="1" t="n">
        <v>43776</v>
      </c>
      <c r="C677" s="1" t="n">
        <v>45795</v>
      </c>
      <c r="D677" t="inlineStr">
        <is>
          <t>JÄMTLANDS LÄN</t>
        </is>
      </c>
      <c r="E677" t="inlineStr">
        <is>
          <t>STRÖMSUND</t>
        </is>
      </c>
      <c r="G677" t="n">
        <v>2.1</v>
      </c>
      <c r="H677" t="n">
        <v>0</v>
      </c>
      <c r="I677" t="n">
        <v>0</v>
      </c>
      <c r="J677" t="n">
        <v>0</v>
      </c>
      <c r="K677" t="n">
        <v>0</v>
      </c>
      <c r="L677" t="n">
        <v>0</v>
      </c>
      <c r="M677" t="n">
        <v>0</v>
      </c>
      <c r="N677" t="n">
        <v>0</v>
      </c>
      <c r="O677" t="n">
        <v>0</v>
      </c>
      <c r="P677" t="n">
        <v>0</v>
      </c>
      <c r="Q677" t="n">
        <v>0</v>
      </c>
      <c r="R677" s="2" t="inlineStr"/>
    </row>
    <row r="678" ht="15" customHeight="1">
      <c r="A678" t="inlineStr">
        <is>
          <t>A 61411-2019</t>
        </is>
      </c>
      <c r="B678" s="1" t="n">
        <v>43780</v>
      </c>
      <c r="C678" s="1" t="n">
        <v>45795</v>
      </c>
      <c r="D678" t="inlineStr">
        <is>
          <t>JÄMTLANDS LÄN</t>
        </is>
      </c>
      <c r="E678" t="inlineStr">
        <is>
          <t>STRÖMSUND</t>
        </is>
      </c>
      <c r="G678" t="n">
        <v>2.3</v>
      </c>
      <c r="H678" t="n">
        <v>0</v>
      </c>
      <c r="I678" t="n">
        <v>0</v>
      </c>
      <c r="J678" t="n">
        <v>0</v>
      </c>
      <c r="K678" t="n">
        <v>0</v>
      </c>
      <c r="L678" t="n">
        <v>0</v>
      </c>
      <c r="M678" t="n">
        <v>0</v>
      </c>
      <c r="N678" t="n">
        <v>0</v>
      </c>
      <c r="O678" t="n">
        <v>0</v>
      </c>
      <c r="P678" t="n">
        <v>0</v>
      </c>
      <c r="Q678" t="n">
        <v>0</v>
      </c>
      <c r="R678" s="2" t="inlineStr"/>
    </row>
    <row r="679" ht="15" customHeight="1">
      <c r="A679" t="inlineStr">
        <is>
          <t>A 61703-2019</t>
        </is>
      </c>
      <c r="B679" s="1" t="n">
        <v>43780</v>
      </c>
      <c r="C679" s="1" t="n">
        <v>45795</v>
      </c>
      <c r="D679" t="inlineStr">
        <is>
          <t>JÄMTLANDS LÄN</t>
        </is>
      </c>
      <c r="E679" t="inlineStr">
        <is>
          <t>STRÖMSUND</t>
        </is>
      </c>
      <c r="G679" t="n">
        <v>4</v>
      </c>
      <c r="H679" t="n">
        <v>0</v>
      </c>
      <c r="I679" t="n">
        <v>0</v>
      </c>
      <c r="J679" t="n">
        <v>0</v>
      </c>
      <c r="K679" t="n">
        <v>0</v>
      </c>
      <c r="L679" t="n">
        <v>0</v>
      </c>
      <c r="M679" t="n">
        <v>0</v>
      </c>
      <c r="N679" t="n">
        <v>0</v>
      </c>
      <c r="O679" t="n">
        <v>0</v>
      </c>
      <c r="P679" t="n">
        <v>0</v>
      </c>
      <c r="Q679" t="n">
        <v>0</v>
      </c>
      <c r="R679" s="2" t="inlineStr"/>
    </row>
    <row r="680" ht="15" customHeight="1">
      <c r="A680" t="inlineStr">
        <is>
          <t>A 61705-2019</t>
        </is>
      </c>
      <c r="B680" s="1" t="n">
        <v>43780</v>
      </c>
      <c r="C680" s="1" t="n">
        <v>45795</v>
      </c>
      <c r="D680" t="inlineStr">
        <is>
          <t>JÄMTLANDS LÄN</t>
        </is>
      </c>
      <c r="E680" t="inlineStr">
        <is>
          <t>STRÖMSUND</t>
        </is>
      </c>
      <c r="G680" t="n">
        <v>6.4</v>
      </c>
      <c r="H680" t="n">
        <v>0</v>
      </c>
      <c r="I680" t="n">
        <v>0</v>
      </c>
      <c r="J680" t="n">
        <v>0</v>
      </c>
      <c r="K680" t="n">
        <v>0</v>
      </c>
      <c r="L680" t="n">
        <v>0</v>
      </c>
      <c r="M680" t="n">
        <v>0</v>
      </c>
      <c r="N680" t="n">
        <v>0</v>
      </c>
      <c r="O680" t="n">
        <v>0</v>
      </c>
      <c r="P680" t="n">
        <v>0</v>
      </c>
      <c r="Q680" t="n">
        <v>0</v>
      </c>
      <c r="R680" s="2" t="inlineStr"/>
    </row>
    <row r="681" ht="15" customHeight="1">
      <c r="A681" t="inlineStr">
        <is>
          <t>A 60569-2019</t>
        </is>
      </c>
      <c r="B681" s="1" t="n">
        <v>43781</v>
      </c>
      <c r="C681" s="1" t="n">
        <v>45795</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60536-2019</t>
        </is>
      </c>
      <c r="B682" s="1" t="n">
        <v>43781</v>
      </c>
      <c r="C682" s="1" t="n">
        <v>45795</v>
      </c>
      <c r="D682" t="inlineStr">
        <is>
          <t>JÄMTLANDS LÄN</t>
        </is>
      </c>
      <c r="E682" t="inlineStr">
        <is>
          <t>STRÖMSUND</t>
        </is>
      </c>
      <c r="G682" t="n">
        <v>0.2</v>
      </c>
      <c r="H682" t="n">
        <v>0</v>
      </c>
      <c r="I682" t="n">
        <v>0</v>
      </c>
      <c r="J682" t="n">
        <v>0</v>
      </c>
      <c r="K682" t="n">
        <v>0</v>
      </c>
      <c r="L682" t="n">
        <v>0</v>
      </c>
      <c r="M682" t="n">
        <v>0</v>
      </c>
      <c r="N682" t="n">
        <v>0</v>
      </c>
      <c r="O682" t="n">
        <v>0</v>
      </c>
      <c r="P682" t="n">
        <v>0</v>
      </c>
      <c r="Q682" t="n">
        <v>0</v>
      </c>
      <c r="R682" s="2" t="inlineStr"/>
    </row>
    <row r="683" ht="15" customHeight="1">
      <c r="A683" t="inlineStr">
        <is>
          <t>A 61122-2019</t>
        </is>
      </c>
      <c r="B683" s="1" t="n">
        <v>43782</v>
      </c>
      <c r="C683" s="1" t="n">
        <v>45795</v>
      </c>
      <c r="D683" t="inlineStr">
        <is>
          <t>JÄMTLANDS LÄN</t>
        </is>
      </c>
      <c r="E683" t="inlineStr">
        <is>
          <t>STRÖMSUND</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62256-2019</t>
        </is>
      </c>
      <c r="B684" s="1" t="n">
        <v>43782</v>
      </c>
      <c r="C684" s="1" t="n">
        <v>45795</v>
      </c>
      <c r="D684" t="inlineStr">
        <is>
          <t>JÄMTLANDS LÄN</t>
        </is>
      </c>
      <c r="E684" t="inlineStr">
        <is>
          <t>STRÖMSUND</t>
        </is>
      </c>
      <c r="G684" t="n">
        <v>1.6</v>
      </c>
      <c r="H684" t="n">
        <v>0</v>
      </c>
      <c r="I684" t="n">
        <v>0</v>
      </c>
      <c r="J684" t="n">
        <v>0</v>
      </c>
      <c r="K684" t="n">
        <v>0</v>
      </c>
      <c r="L684" t="n">
        <v>0</v>
      </c>
      <c r="M684" t="n">
        <v>0</v>
      </c>
      <c r="N684" t="n">
        <v>0</v>
      </c>
      <c r="O684" t="n">
        <v>0</v>
      </c>
      <c r="P684" t="n">
        <v>0</v>
      </c>
      <c r="Q684" t="n">
        <v>0</v>
      </c>
      <c r="R684" s="2" t="inlineStr"/>
    </row>
    <row r="685" ht="15" customHeight="1">
      <c r="A685" t="inlineStr">
        <is>
          <t>A 60955-2019</t>
        </is>
      </c>
      <c r="B685" s="1" t="n">
        <v>43782</v>
      </c>
      <c r="C685" s="1" t="n">
        <v>45795</v>
      </c>
      <c r="D685" t="inlineStr">
        <is>
          <t>JÄMTLANDS LÄN</t>
        </is>
      </c>
      <c r="E685" t="inlineStr">
        <is>
          <t>STRÖMSUND</t>
        </is>
      </c>
      <c r="F685" t="inlineStr">
        <is>
          <t>Holmen skog AB</t>
        </is>
      </c>
      <c r="G685" t="n">
        <v>6.6</v>
      </c>
      <c r="H685" t="n">
        <v>0</v>
      </c>
      <c r="I685" t="n">
        <v>0</v>
      </c>
      <c r="J685" t="n">
        <v>0</v>
      </c>
      <c r="K685" t="n">
        <v>0</v>
      </c>
      <c r="L685" t="n">
        <v>0</v>
      </c>
      <c r="M685" t="n">
        <v>0</v>
      </c>
      <c r="N685" t="n">
        <v>0</v>
      </c>
      <c r="O685" t="n">
        <v>0</v>
      </c>
      <c r="P685" t="n">
        <v>0</v>
      </c>
      <c r="Q685" t="n">
        <v>0</v>
      </c>
      <c r="R685" s="2" t="inlineStr"/>
    </row>
    <row r="686" ht="15" customHeight="1">
      <c r="A686" t="inlineStr">
        <is>
          <t>A 61690-2019</t>
        </is>
      </c>
      <c r="B686" s="1" t="n">
        <v>43784</v>
      </c>
      <c r="C686" s="1" t="n">
        <v>45795</v>
      </c>
      <c r="D686" t="inlineStr">
        <is>
          <t>JÄMTLANDS LÄN</t>
        </is>
      </c>
      <c r="E686" t="inlineStr">
        <is>
          <t>STRÖMSUND</t>
        </is>
      </c>
      <c r="G686" t="n">
        <v>6</v>
      </c>
      <c r="H686" t="n">
        <v>0</v>
      </c>
      <c r="I686" t="n">
        <v>0</v>
      </c>
      <c r="J686" t="n">
        <v>0</v>
      </c>
      <c r="K686" t="n">
        <v>0</v>
      </c>
      <c r="L686" t="n">
        <v>0</v>
      </c>
      <c r="M686" t="n">
        <v>0</v>
      </c>
      <c r="N686" t="n">
        <v>0</v>
      </c>
      <c r="O686" t="n">
        <v>0</v>
      </c>
      <c r="P686" t="n">
        <v>0</v>
      </c>
      <c r="Q686" t="n">
        <v>0</v>
      </c>
      <c r="R686" s="2" t="inlineStr"/>
    </row>
    <row r="687" ht="15" customHeight="1">
      <c r="A687" t="inlineStr">
        <is>
          <t>A 61778-2019</t>
        </is>
      </c>
      <c r="B687" s="1" t="n">
        <v>43784</v>
      </c>
      <c r="C687" s="1" t="n">
        <v>45795</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61833-2019</t>
        </is>
      </c>
      <c r="B688" s="1" t="n">
        <v>43786</v>
      </c>
      <c r="C688" s="1" t="n">
        <v>45795</v>
      </c>
      <c r="D688" t="inlineStr">
        <is>
          <t>JÄMTLANDS LÄN</t>
        </is>
      </c>
      <c r="E688" t="inlineStr">
        <is>
          <t>STRÖMSUND</t>
        </is>
      </c>
      <c r="G688" t="n">
        <v>11.5</v>
      </c>
      <c r="H688" t="n">
        <v>0</v>
      </c>
      <c r="I688" t="n">
        <v>0</v>
      </c>
      <c r="J688" t="n">
        <v>0</v>
      </c>
      <c r="K688" t="n">
        <v>0</v>
      </c>
      <c r="L688" t="n">
        <v>0</v>
      </c>
      <c r="M688" t="n">
        <v>0</v>
      </c>
      <c r="N688" t="n">
        <v>0</v>
      </c>
      <c r="O688" t="n">
        <v>0</v>
      </c>
      <c r="P688" t="n">
        <v>0</v>
      </c>
      <c r="Q688" t="n">
        <v>0</v>
      </c>
      <c r="R688" s="2" t="inlineStr"/>
    </row>
    <row r="689" ht="15" customHeight="1">
      <c r="A689" t="inlineStr">
        <is>
          <t>A 61838-2019</t>
        </is>
      </c>
      <c r="B689" s="1" t="n">
        <v>43786</v>
      </c>
      <c r="C689" s="1" t="n">
        <v>45795</v>
      </c>
      <c r="D689" t="inlineStr">
        <is>
          <t>JÄMTLANDS LÄN</t>
        </is>
      </c>
      <c r="E689" t="inlineStr">
        <is>
          <t>STRÖMSUND</t>
        </is>
      </c>
      <c r="G689" t="n">
        <v>0.8</v>
      </c>
      <c r="H689" t="n">
        <v>0</v>
      </c>
      <c r="I689" t="n">
        <v>0</v>
      </c>
      <c r="J689" t="n">
        <v>0</v>
      </c>
      <c r="K689" t="n">
        <v>0</v>
      </c>
      <c r="L689" t="n">
        <v>0</v>
      </c>
      <c r="M689" t="n">
        <v>0</v>
      </c>
      <c r="N689" t="n">
        <v>0</v>
      </c>
      <c r="O689" t="n">
        <v>0</v>
      </c>
      <c r="P689" t="n">
        <v>0</v>
      </c>
      <c r="Q689" t="n">
        <v>0</v>
      </c>
      <c r="R689" s="2" t="inlineStr"/>
    </row>
    <row r="690" ht="15" customHeight="1">
      <c r="A690" t="inlineStr">
        <is>
          <t>A 61830-2019</t>
        </is>
      </c>
      <c r="B690" s="1" t="n">
        <v>43786</v>
      </c>
      <c r="C690" s="1" t="n">
        <v>45795</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61835-2019</t>
        </is>
      </c>
      <c r="B691" s="1" t="n">
        <v>43786</v>
      </c>
      <c r="C691" s="1" t="n">
        <v>45795</v>
      </c>
      <c r="D691" t="inlineStr">
        <is>
          <t>JÄMTLANDS LÄN</t>
        </is>
      </c>
      <c r="E691" t="inlineStr">
        <is>
          <t>STRÖMSUND</t>
        </is>
      </c>
      <c r="G691" t="n">
        <v>6</v>
      </c>
      <c r="H691" t="n">
        <v>0</v>
      </c>
      <c r="I691" t="n">
        <v>0</v>
      </c>
      <c r="J691" t="n">
        <v>0</v>
      </c>
      <c r="K691" t="n">
        <v>0</v>
      </c>
      <c r="L691" t="n">
        <v>0</v>
      </c>
      <c r="M691" t="n">
        <v>0</v>
      </c>
      <c r="N691" t="n">
        <v>0</v>
      </c>
      <c r="O691" t="n">
        <v>0</v>
      </c>
      <c r="P691" t="n">
        <v>0</v>
      </c>
      <c r="Q691" t="n">
        <v>0</v>
      </c>
      <c r="R691" s="2" t="inlineStr"/>
    </row>
    <row r="692" ht="15" customHeight="1">
      <c r="A692" t="inlineStr">
        <is>
          <t>A 61829-2019</t>
        </is>
      </c>
      <c r="B692" s="1" t="n">
        <v>43786</v>
      </c>
      <c r="C692" s="1" t="n">
        <v>45795</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61834-2019</t>
        </is>
      </c>
      <c r="B693" s="1" t="n">
        <v>43786</v>
      </c>
      <c r="C693" s="1" t="n">
        <v>45795</v>
      </c>
      <c r="D693" t="inlineStr">
        <is>
          <t>JÄMTLANDS LÄN</t>
        </is>
      </c>
      <c r="E693" t="inlineStr">
        <is>
          <t>STRÖMSUND</t>
        </is>
      </c>
      <c r="G693" t="n">
        <v>6.7</v>
      </c>
      <c r="H693" t="n">
        <v>0</v>
      </c>
      <c r="I693" t="n">
        <v>0</v>
      </c>
      <c r="J693" t="n">
        <v>0</v>
      </c>
      <c r="K693" t="n">
        <v>0</v>
      </c>
      <c r="L693" t="n">
        <v>0</v>
      </c>
      <c r="M693" t="n">
        <v>0</v>
      </c>
      <c r="N693" t="n">
        <v>0</v>
      </c>
      <c r="O693" t="n">
        <v>0</v>
      </c>
      <c r="P693" t="n">
        <v>0</v>
      </c>
      <c r="Q693" t="n">
        <v>0</v>
      </c>
      <c r="R693" s="2" t="inlineStr"/>
    </row>
    <row r="694" ht="15" customHeight="1">
      <c r="A694" t="inlineStr">
        <is>
          <t>A 61836-2019</t>
        </is>
      </c>
      <c r="B694" s="1" t="n">
        <v>43786</v>
      </c>
      <c r="C694" s="1" t="n">
        <v>45795</v>
      </c>
      <c r="D694" t="inlineStr">
        <is>
          <t>JÄMTLANDS LÄN</t>
        </is>
      </c>
      <c r="E694" t="inlineStr">
        <is>
          <t>STRÖMSUND</t>
        </is>
      </c>
      <c r="G694" t="n">
        <v>3.1</v>
      </c>
      <c r="H694" t="n">
        <v>0</v>
      </c>
      <c r="I694" t="n">
        <v>0</v>
      </c>
      <c r="J694" t="n">
        <v>0</v>
      </c>
      <c r="K694" t="n">
        <v>0</v>
      </c>
      <c r="L694" t="n">
        <v>0</v>
      </c>
      <c r="M694" t="n">
        <v>0</v>
      </c>
      <c r="N694" t="n">
        <v>0</v>
      </c>
      <c r="O694" t="n">
        <v>0</v>
      </c>
      <c r="P694" t="n">
        <v>0</v>
      </c>
      <c r="Q694" t="n">
        <v>0</v>
      </c>
      <c r="R694" s="2" t="inlineStr"/>
    </row>
    <row r="695" ht="15" customHeight="1">
      <c r="A695" t="inlineStr">
        <is>
          <t>A 61832-2019</t>
        </is>
      </c>
      <c r="B695" s="1" t="n">
        <v>43786</v>
      </c>
      <c r="C695" s="1" t="n">
        <v>45795</v>
      </c>
      <c r="D695" t="inlineStr">
        <is>
          <t>JÄMTLANDS LÄN</t>
        </is>
      </c>
      <c r="E695" t="inlineStr">
        <is>
          <t>STRÖMSUND</t>
        </is>
      </c>
      <c r="G695" t="n">
        <v>19.9</v>
      </c>
      <c r="H695" t="n">
        <v>0</v>
      </c>
      <c r="I695" t="n">
        <v>0</v>
      </c>
      <c r="J695" t="n">
        <v>0</v>
      </c>
      <c r="K695" t="n">
        <v>0</v>
      </c>
      <c r="L695" t="n">
        <v>0</v>
      </c>
      <c r="M695" t="n">
        <v>0</v>
      </c>
      <c r="N695" t="n">
        <v>0</v>
      </c>
      <c r="O695" t="n">
        <v>0</v>
      </c>
      <c r="P695" t="n">
        <v>0</v>
      </c>
      <c r="Q695" t="n">
        <v>0</v>
      </c>
      <c r="R695" s="2" t="inlineStr"/>
    </row>
    <row r="696" ht="15" customHeight="1">
      <c r="A696" t="inlineStr">
        <is>
          <t>A 62492-2019</t>
        </is>
      </c>
      <c r="B696" s="1" t="n">
        <v>43788</v>
      </c>
      <c r="C696" s="1" t="n">
        <v>45795</v>
      </c>
      <c r="D696" t="inlineStr">
        <is>
          <t>JÄMTLANDS LÄN</t>
        </is>
      </c>
      <c r="E696" t="inlineStr">
        <is>
          <t>STRÖMSUND</t>
        </is>
      </c>
      <c r="F696" t="inlineStr">
        <is>
          <t>SCA</t>
        </is>
      </c>
      <c r="G696" t="n">
        <v>6.3</v>
      </c>
      <c r="H696" t="n">
        <v>0</v>
      </c>
      <c r="I696" t="n">
        <v>0</v>
      </c>
      <c r="J696" t="n">
        <v>0</v>
      </c>
      <c r="K696" t="n">
        <v>0</v>
      </c>
      <c r="L696" t="n">
        <v>0</v>
      </c>
      <c r="M696" t="n">
        <v>0</v>
      </c>
      <c r="N696" t="n">
        <v>0</v>
      </c>
      <c r="O696" t="n">
        <v>0</v>
      </c>
      <c r="P696" t="n">
        <v>0</v>
      </c>
      <c r="Q696" t="n">
        <v>0</v>
      </c>
      <c r="R696" s="2" t="inlineStr"/>
    </row>
    <row r="697" ht="15" customHeight="1">
      <c r="A697" t="inlineStr">
        <is>
          <t>A 63715-2019</t>
        </is>
      </c>
      <c r="B697" s="1" t="n">
        <v>43789</v>
      </c>
      <c r="C697" s="1" t="n">
        <v>45795</v>
      </c>
      <c r="D697" t="inlineStr">
        <is>
          <t>JÄMTLANDS LÄN</t>
        </is>
      </c>
      <c r="E697" t="inlineStr">
        <is>
          <t>STRÖMSUND</t>
        </is>
      </c>
      <c r="G697" t="n">
        <v>5.8</v>
      </c>
      <c r="H697" t="n">
        <v>0</v>
      </c>
      <c r="I697" t="n">
        <v>0</v>
      </c>
      <c r="J697" t="n">
        <v>0</v>
      </c>
      <c r="K697" t="n">
        <v>0</v>
      </c>
      <c r="L697" t="n">
        <v>0</v>
      </c>
      <c r="M697" t="n">
        <v>0</v>
      </c>
      <c r="N697" t="n">
        <v>0</v>
      </c>
      <c r="O697" t="n">
        <v>0</v>
      </c>
      <c r="P697" t="n">
        <v>0</v>
      </c>
      <c r="Q697" t="n">
        <v>0</v>
      </c>
      <c r="R697" s="2" t="inlineStr"/>
    </row>
    <row r="698" ht="15" customHeight="1">
      <c r="A698" t="inlineStr">
        <is>
          <t>A 62511-2019</t>
        </is>
      </c>
      <c r="B698" s="1" t="n">
        <v>43789</v>
      </c>
      <c r="C698" s="1" t="n">
        <v>45795</v>
      </c>
      <c r="D698" t="inlineStr">
        <is>
          <t>JÄMTLANDS LÄN</t>
        </is>
      </c>
      <c r="E698" t="inlineStr">
        <is>
          <t>STRÖMSUND</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63927-2019</t>
        </is>
      </c>
      <c r="B699" s="1" t="n">
        <v>43790</v>
      </c>
      <c r="C699" s="1" t="n">
        <v>45795</v>
      </c>
      <c r="D699" t="inlineStr">
        <is>
          <t>JÄMTLANDS LÄN</t>
        </is>
      </c>
      <c r="E699" t="inlineStr">
        <is>
          <t>STRÖMSUND</t>
        </is>
      </c>
      <c r="G699" t="n">
        <v>1</v>
      </c>
      <c r="H699" t="n">
        <v>0</v>
      </c>
      <c r="I699" t="n">
        <v>0</v>
      </c>
      <c r="J699" t="n">
        <v>0</v>
      </c>
      <c r="K699" t="n">
        <v>0</v>
      </c>
      <c r="L699" t="n">
        <v>0</v>
      </c>
      <c r="M699" t="n">
        <v>0</v>
      </c>
      <c r="N699" t="n">
        <v>0</v>
      </c>
      <c r="O699" t="n">
        <v>0</v>
      </c>
      <c r="P699" t="n">
        <v>0</v>
      </c>
      <c r="Q699" t="n">
        <v>0</v>
      </c>
      <c r="R699" s="2" t="inlineStr"/>
    </row>
    <row r="700" ht="15" customHeight="1">
      <c r="A700" t="inlineStr">
        <is>
          <t>A 63918-2019</t>
        </is>
      </c>
      <c r="B700" s="1" t="n">
        <v>43790</v>
      </c>
      <c r="C700" s="1" t="n">
        <v>45795</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63429-2019</t>
        </is>
      </c>
      <c r="B701" s="1" t="n">
        <v>43794</v>
      </c>
      <c r="C701" s="1" t="n">
        <v>45795</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63443-2019</t>
        </is>
      </c>
      <c r="B702" s="1" t="n">
        <v>43794</v>
      </c>
      <c r="C702" s="1" t="n">
        <v>45795</v>
      </c>
      <c r="D702" t="inlineStr">
        <is>
          <t>JÄMTLANDS LÄN</t>
        </is>
      </c>
      <c r="E702" t="inlineStr">
        <is>
          <t>STRÖMSUND</t>
        </is>
      </c>
      <c r="G702" t="n">
        <v>13.8</v>
      </c>
      <c r="H702" t="n">
        <v>0</v>
      </c>
      <c r="I702" t="n">
        <v>0</v>
      </c>
      <c r="J702" t="n">
        <v>0</v>
      </c>
      <c r="K702" t="n">
        <v>0</v>
      </c>
      <c r="L702" t="n">
        <v>0</v>
      </c>
      <c r="M702" t="n">
        <v>0</v>
      </c>
      <c r="N702" t="n">
        <v>0</v>
      </c>
      <c r="O702" t="n">
        <v>0</v>
      </c>
      <c r="P702" t="n">
        <v>0</v>
      </c>
      <c r="Q702" t="n">
        <v>0</v>
      </c>
      <c r="R702" s="2" t="inlineStr"/>
    </row>
    <row r="703" ht="15" customHeight="1">
      <c r="A703" t="inlineStr">
        <is>
          <t>A 63426-2019</t>
        </is>
      </c>
      <c r="B703" s="1" t="n">
        <v>43794</v>
      </c>
      <c r="C703" s="1" t="n">
        <v>45795</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63444-2019</t>
        </is>
      </c>
      <c r="B704" s="1" t="n">
        <v>43794</v>
      </c>
      <c r="C704" s="1" t="n">
        <v>45795</v>
      </c>
      <c r="D704" t="inlineStr">
        <is>
          <t>JÄMTLANDS LÄN</t>
        </is>
      </c>
      <c r="E704" t="inlineStr">
        <is>
          <t>STRÖMSUND</t>
        </is>
      </c>
      <c r="G704" t="n">
        <v>5.6</v>
      </c>
      <c r="H704" t="n">
        <v>0</v>
      </c>
      <c r="I704" t="n">
        <v>0</v>
      </c>
      <c r="J704" t="n">
        <v>0</v>
      </c>
      <c r="K704" t="n">
        <v>0</v>
      </c>
      <c r="L704" t="n">
        <v>0</v>
      </c>
      <c r="M704" t="n">
        <v>0</v>
      </c>
      <c r="N704" t="n">
        <v>0</v>
      </c>
      <c r="O704" t="n">
        <v>0</v>
      </c>
      <c r="P704" t="n">
        <v>0</v>
      </c>
      <c r="Q704" t="n">
        <v>0</v>
      </c>
      <c r="R704" s="2" t="inlineStr"/>
    </row>
    <row r="705" ht="15" customHeight="1">
      <c r="A705" t="inlineStr">
        <is>
          <t>A 64138-2019</t>
        </is>
      </c>
      <c r="B705" s="1" t="n">
        <v>43796</v>
      </c>
      <c r="C705" s="1" t="n">
        <v>45795</v>
      </c>
      <c r="D705" t="inlineStr">
        <is>
          <t>JÄMTLANDS LÄN</t>
        </is>
      </c>
      <c r="E705" t="inlineStr">
        <is>
          <t>STRÖMSUND</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64463-2019</t>
        </is>
      </c>
      <c r="B706" s="1" t="n">
        <v>43797</v>
      </c>
      <c r="C706" s="1" t="n">
        <v>45795</v>
      </c>
      <c r="D706" t="inlineStr">
        <is>
          <t>JÄMTLANDS LÄN</t>
        </is>
      </c>
      <c r="E706" t="inlineStr">
        <is>
          <t>STRÖMSUND</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65415-2019</t>
        </is>
      </c>
      <c r="B707" s="1" t="n">
        <v>43797</v>
      </c>
      <c r="C707" s="1" t="n">
        <v>45795</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65390-2019</t>
        </is>
      </c>
      <c r="B708" s="1" t="n">
        <v>43797</v>
      </c>
      <c r="C708" s="1" t="n">
        <v>45795</v>
      </c>
      <c r="D708" t="inlineStr">
        <is>
          <t>JÄMTLANDS LÄN</t>
        </is>
      </c>
      <c r="E708" t="inlineStr">
        <is>
          <t>STRÖMSUND</t>
        </is>
      </c>
      <c r="G708" t="n">
        <v>0.9</v>
      </c>
      <c r="H708" t="n">
        <v>0</v>
      </c>
      <c r="I708" t="n">
        <v>0</v>
      </c>
      <c r="J708" t="n">
        <v>0</v>
      </c>
      <c r="K708" t="n">
        <v>0</v>
      </c>
      <c r="L708" t="n">
        <v>0</v>
      </c>
      <c r="M708" t="n">
        <v>0</v>
      </c>
      <c r="N708" t="n">
        <v>0</v>
      </c>
      <c r="O708" t="n">
        <v>0</v>
      </c>
      <c r="P708" t="n">
        <v>0</v>
      </c>
      <c r="Q708" t="n">
        <v>0</v>
      </c>
      <c r="R708" s="2" t="inlineStr"/>
    </row>
    <row r="709" ht="15" customHeight="1">
      <c r="A709" t="inlineStr">
        <is>
          <t>A 66574-2019</t>
        </is>
      </c>
      <c r="B709" s="1" t="n">
        <v>43803</v>
      </c>
      <c r="C709" s="1" t="n">
        <v>45795</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65781-2019</t>
        </is>
      </c>
      <c r="B710" s="1" t="n">
        <v>43804</v>
      </c>
      <c r="C710" s="1" t="n">
        <v>45795</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67064-2019</t>
        </is>
      </c>
      <c r="B711" s="1" t="n">
        <v>43805</v>
      </c>
      <c r="C711" s="1" t="n">
        <v>45795</v>
      </c>
      <c r="D711" t="inlineStr">
        <is>
          <t>JÄMTLANDS LÄN</t>
        </is>
      </c>
      <c r="E711" t="inlineStr">
        <is>
          <t>STRÖMSUND</t>
        </is>
      </c>
      <c r="G711" t="n">
        <v>0.8</v>
      </c>
      <c r="H711" t="n">
        <v>0</v>
      </c>
      <c r="I711" t="n">
        <v>0</v>
      </c>
      <c r="J711" t="n">
        <v>0</v>
      </c>
      <c r="K711" t="n">
        <v>0</v>
      </c>
      <c r="L711" t="n">
        <v>0</v>
      </c>
      <c r="M711" t="n">
        <v>0</v>
      </c>
      <c r="N711" t="n">
        <v>0</v>
      </c>
      <c r="O711" t="n">
        <v>0</v>
      </c>
      <c r="P711" t="n">
        <v>0</v>
      </c>
      <c r="Q711" t="n">
        <v>0</v>
      </c>
      <c r="R711" s="2" t="inlineStr"/>
    </row>
    <row r="712" ht="15" customHeight="1">
      <c r="A712" t="inlineStr">
        <is>
          <t>A 66349-2019</t>
        </is>
      </c>
      <c r="B712" s="1" t="n">
        <v>43808</v>
      </c>
      <c r="C712" s="1" t="n">
        <v>45795</v>
      </c>
      <c r="D712" t="inlineStr">
        <is>
          <t>JÄMTLANDS LÄN</t>
        </is>
      </c>
      <c r="E712" t="inlineStr">
        <is>
          <t>STRÖMSUND</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67820-2019</t>
        </is>
      </c>
      <c r="B713" s="1" t="n">
        <v>43815</v>
      </c>
      <c r="C713" s="1" t="n">
        <v>45795</v>
      </c>
      <c r="D713" t="inlineStr">
        <is>
          <t>JÄMTLANDS LÄN</t>
        </is>
      </c>
      <c r="E713" t="inlineStr">
        <is>
          <t>STRÖMSUND</t>
        </is>
      </c>
      <c r="F713" t="inlineStr">
        <is>
          <t>SCA</t>
        </is>
      </c>
      <c r="G713" t="n">
        <v>28.7</v>
      </c>
      <c r="H713" t="n">
        <v>0</v>
      </c>
      <c r="I713" t="n">
        <v>0</v>
      </c>
      <c r="J713" t="n">
        <v>0</v>
      </c>
      <c r="K713" t="n">
        <v>0</v>
      </c>
      <c r="L713" t="n">
        <v>0</v>
      </c>
      <c r="M713" t="n">
        <v>0</v>
      </c>
      <c r="N713" t="n">
        <v>0</v>
      </c>
      <c r="O713" t="n">
        <v>0</v>
      </c>
      <c r="P713" t="n">
        <v>0</v>
      </c>
      <c r="Q713" t="n">
        <v>0</v>
      </c>
      <c r="R713" s="2" t="inlineStr"/>
    </row>
    <row r="714" ht="15" customHeight="1">
      <c r="A714" t="inlineStr">
        <is>
          <t>A 67914-2019</t>
        </is>
      </c>
      <c r="B714" s="1" t="n">
        <v>43816</v>
      </c>
      <c r="C714" s="1" t="n">
        <v>45795</v>
      </c>
      <c r="D714" t="inlineStr">
        <is>
          <t>JÄMTLANDS LÄN</t>
        </is>
      </c>
      <c r="E714" t="inlineStr">
        <is>
          <t>STRÖMSUND</t>
        </is>
      </c>
      <c r="F714" t="inlineStr">
        <is>
          <t>Holmen skog AB</t>
        </is>
      </c>
      <c r="G714" t="n">
        <v>27.7</v>
      </c>
      <c r="H714" t="n">
        <v>0</v>
      </c>
      <c r="I714" t="n">
        <v>0</v>
      </c>
      <c r="J714" t="n">
        <v>0</v>
      </c>
      <c r="K714" t="n">
        <v>0</v>
      </c>
      <c r="L714" t="n">
        <v>0</v>
      </c>
      <c r="M714" t="n">
        <v>0</v>
      </c>
      <c r="N714" t="n">
        <v>0</v>
      </c>
      <c r="O714" t="n">
        <v>0</v>
      </c>
      <c r="P714" t="n">
        <v>0</v>
      </c>
      <c r="Q714" t="n">
        <v>0</v>
      </c>
      <c r="R714" s="2" t="inlineStr"/>
    </row>
    <row r="715" ht="15" customHeight="1">
      <c r="A715" t="inlineStr">
        <is>
          <t>A 68080-2019</t>
        </is>
      </c>
      <c r="B715" s="1" t="n">
        <v>43816</v>
      </c>
      <c r="C715" s="1" t="n">
        <v>45795</v>
      </c>
      <c r="D715" t="inlineStr">
        <is>
          <t>JÄMTLANDS LÄN</t>
        </is>
      </c>
      <c r="E715" t="inlineStr">
        <is>
          <t>STRÖMSUND</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68607-2019</t>
        </is>
      </c>
      <c r="B716" s="1" t="n">
        <v>43818</v>
      </c>
      <c r="C716" s="1" t="n">
        <v>45795</v>
      </c>
      <c r="D716" t="inlineStr">
        <is>
          <t>JÄMTLANDS LÄN</t>
        </is>
      </c>
      <c r="E716" t="inlineStr">
        <is>
          <t>STRÖMSUND</t>
        </is>
      </c>
      <c r="G716" t="n">
        <v>2.5</v>
      </c>
      <c r="H716" t="n">
        <v>0</v>
      </c>
      <c r="I716" t="n">
        <v>0</v>
      </c>
      <c r="J716" t="n">
        <v>0</v>
      </c>
      <c r="K716" t="n">
        <v>0</v>
      </c>
      <c r="L716" t="n">
        <v>0</v>
      </c>
      <c r="M716" t="n">
        <v>0</v>
      </c>
      <c r="N716" t="n">
        <v>0</v>
      </c>
      <c r="O716" t="n">
        <v>0</v>
      </c>
      <c r="P716" t="n">
        <v>0</v>
      </c>
      <c r="Q716" t="n">
        <v>0</v>
      </c>
      <c r="R716" s="2" t="inlineStr"/>
    </row>
    <row r="717" ht="15" customHeight="1">
      <c r="A717" t="inlineStr">
        <is>
          <t>A 68335-2019</t>
        </is>
      </c>
      <c r="B717" s="1" t="n">
        <v>43818</v>
      </c>
      <c r="C717" s="1" t="n">
        <v>45795</v>
      </c>
      <c r="D717" t="inlineStr">
        <is>
          <t>JÄMTLANDS LÄN</t>
        </is>
      </c>
      <c r="E717" t="inlineStr">
        <is>
          <t>STRÖMSUND</t>
        </is>
      </c>
      <c r="G717" t="n">
        <v>3.4</v>
      </c>
      <c r="H717" t="n">
        <v>0</v>
      </c>
      <c r="I717" t="n">
        <v>0</v>
      </c>
      <c r="J717" t="n">
        <v>0</v>
      </c>
      <c r="K717" t="n">
        <v>0</v>
      </c>
      <c r="L717" t="n">
        <v>0</v>
      </c>
      <c r="M717" t="n">
        <v>0</v>
      </c>
      <c r="N717" t="n">
        <v>0</v>
      </c>
      <c r="O717" t="n">
        <v>0</v>
      </c>
      <c r="P717" t="n">
        <v>0</v>
      </c>
      <c r="Q717" t="n">
        <v>0</v>
      </c>
      <c r="R717" s="2" t="inlineStr"/>
    </row>
    <row r="718" ht="15" customHeight="1">
      <c r="A718" t="inlineStr">
        <is>
          <t>A 861-2020</t>
        </is>
      </c>
      <c r="B718" s="1" t="n">
        <v>43838</v>
      </c>
      <c r="C718" s="1" t="n">
        <v>45795</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1034-2020</t>
        </is>
      </c>
      <c r="B719" s="1" t="n">
        <v>43839</v>
      </c>
      <c r="C719" s="1" t="n">
        <v>45795</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1134-2020</t>
        </is>
      </c>
      <c r="B720" s="1" t="n">
        <v>43840</v>
      </c>
      <c r="C720" s="1" t="n">
        <v>45795</v>
      </c>
      <c r="D720" t="inlineStr">
        <is>
          <t>JÄMTLANDS LÄN</t>
        </is>
      </c>
      <c r="E720" t="inlineStr">
        <is>
          <t>STRÖMSUND</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1138-2020</t>
        </is>
      </c>
      <c r="B721" s="1" t="n">
        <v>43840</v>
      </c>
      <c r="C721" s="1" t="n">
        <v>45795</v>
      </c>
      <c r="D721" t="inlineStr">
        <is>
          <t>JÄMTLANDS LÄN</t>
        </is>
      </c>
      <c r="E721" t="inlineStr">
        <is>
          <t>STRÖMSUND</t>
        </is>
      </c>
      <c r="G721" t="n">
        <v>6.5</v>
      </c>
      <c r="H721" t="n">
        <v>0</v>
      </c>
      <c r="I721" t="n">
        <v>0</v>
      </c>
      <c r="J721" t="n">
        <v>0</v>
      </c>
      <c r="K721" t="n">
        <v>0</v>
      </c>
      <c r="L721" t="n">
        <v>0</v>
      </c>
      <c r="M721" t="n">
        <v>0</v>
      </c>
      <c r="N721" t="n">
        <v>0</v>
      </c>
      <c r="O721" t="n">
        <v>0</v>
      </c>
      <c r="P721" t="n">
        <v>0</v>
      </c>
      <c r="Q721" t="n">
        <v>0</v>
      </c>
      <c r="R721" s="2" t="inlineStr"/>
    </row>
    <row r="722" ht="15" customHeight="1">
      <c r="A722" t="inlineStr">
        <is>
          <t>A 1238-2020</t>
        </is>
      </c>
      <c r="B722" s="1" t="n">
        <v>43840</v>
      </c>
      <c r="C722" s="1" t="n">
        <v>45795</v>
      </c>
      <c r="D722" t="inlineStr">
        <is>
          <t>JÄMTLANDS LÄN</t>
        </is>
      </c>
      <c r="E722" t="inlineStr">
        <is>
          <t>STRÖMSUND</t>
        </is>
      </c>
      <c r="G722" t="n">
        <v>20.3</v>
      </c>
      <c r="H722" t="n">
        <v>0</v>
      </c>
      <c r="I722" t="n">
        <v>0</v>
      </c>
      <c r="J722" t="n">
        <v>0</v>
      </c>
      <c r="K722" t="n">
        <v>0</v>
      </c>
      <c r="L722" t="n">
        <v>0</v>
      </c>
      <c r="M722" t="n">
        <v>0</v>
      </c>
      <c r="N722" t="n">
        <v>0</v>
      </c>
      <c r="O722" t="n">
        <v>0</v>
      </c>
      <c r="P722" t="n">
        <v>0</v>
      </c>
      <c r="Q722" t="n">
        <v>0</v>
      </c>
      <c r="R722" s="2" t="inlineStr"/>
    </row>
    <row r="723" ht="15" customHeight="1">
      <c r="A723" t="inlineStr">
        <is>
          <t>A 2250-2020</t>
        </is>
      </c>
      <c r="B723" s="1" t="n">
        <v>43846</v>
      </c>
      <c r="C723" s="1" t="n">
        <v>45795</v>
      </c>
      <c r="D723" t="inlineStr">
        <is>
          <t>JÄMTLANDS LÄN</t>
        </is>
      </c>
      <c r="E723" t="inlineStr">
        <is>
          <t>STRÖMSUND</t>
        </is>
      </c>
      <c r="G723" t="n">
        <v>0.1</v>
      </c>
      <c r="H723" t="n">
        <v>0</v>
      </c>
      <c r="I723" t="n">
        <v>0</v>
      </c>
      <c r="J723" t="n">
        <v>0</v>
      </c>
      <c r="K723" t="n">
        <v>0</v>
      </c>
      <c r="L723" t="n">
        <v>0</v>
      </c>
      <c r="M723" t="n">
        <v>0</v>
      </c>
      <c r="N723" t="n">
        <v>0</v>
      </c>
      <c r="O723" t="n">
        <v>0</v>
      </c>
      <c r="P723" t="n">
        <v>0</v>
      </c>
      <c r="Q723" t="n">
        <v>0</v>
      </c>
      <c r="R723" s="2" t="inlineStr"/>
    </row>
    <row r="724" ht="15" customHeight="1">
      <c r="A724" t="inlineStr">
        <is>
          <t>A 2184-2020</t>
        </is>
      </c>
      <c r="B724" s="1" t="n">
        <v>43846</v>
      </c>
      <c r="C724" s="1" t="n">
        <v>45795</v>
      </c>
      <c r="D724" t="inlineStr">
        <is>
          <t>JÄMTLANDS LÄN</t>
        </is>
      </c>
      <c r="E724" t="inlineStr">
        <is>
          <t>STRÖMSUND</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2705-2020</t>
        </is>
      </c>
      <c r="B725" s="1" t="n">
        <v>43850</v>
      </c>
      <c r="C725" s="1" t="n">
        <v>45795</v>
      </c>
      <c r="D725" t="inlineStr">
        <is>
          <t>JÄMTLANDS LÄN</t>
        </is>
      </c>
      <c r="E725" t="inlineStr">
        <is>
          <t>STRÖMSUND</t>
        </is>
      </c>
      <c r="G725" t="n">
        <v>11.2</v>
      </c>
      <c r="H725" t="n">
        <v>0</v>
      </c>
      <c r="I725" t="n">
        <v>0</v>
      </c>
      <c r="J725" t="n">
        <v>0</v>
      </c>
      <c r="K725" t="n">
        <v>0</v>
      </c>
      <c r="L725" t="n">
        <v>0</v>
      </c>
      <c r="M725" t="n">
        <v>0</v>
      </c>
      <c r="N725" t="n">
        <v>0</v>
      </c>
      <c r="O725" t="n">
        <v>0</v>
      </c>
      <c r="P725" t="n">
        <v>0</v>
      </c>
      <c r="Q725" t="n">
        <v>0</v>
      </c>
      <c r="R725" s="2" t="inlineStr"/>
    </row>
    <row r="726" ht="15" customHeight="1">
      <c r="A726" t="inlineStr">
        <is>
          <t>A 2911-2020</t>
        </is>
      </c>
      <c r="B726" s="1" t="n">
        <v>43850</v>
      </c>
      <c r="C726" s="1" t="n">
        <v>45795</v>
      </c>
      <c r="D726" t="inlineStr">
        <is>
          <t>JÄMTLANDS LÄN</t>
        </is>
      </c>
      <c r="E726" t="inlineStr">
        <is>
          <t>STRÖMSUND</t>
        </is>
      </c>
      <c r="G726" t="n">
        <v>6.4</v>
      </c>
      <c r="H726" t="n">
        <v>0</v>
      </c>
      <c r="I726" t="n">
        <v>0</v>
      </c>
      <c r="J726" t="n">
        <v>0</v>
      </c>
      <c r="K726" t="n">
        <v>0</v>
      </c>
      <c r="L726" t="n">
        <v>0</v>
      </c>
      <c r="M726" t="n">
        <v>0</v>
      </c>
      <c r="N726" t="n">
        <v>0</v>
      </c>
      <c r="O726" t="n">
        <v>0</v>
      </c>
      <c r="P726" t="n">
        <v>0</v>
      </c>
      <c r="Q726" t="n">
        <v>0</v>
      </c>
      <c r="R726" s="2" t="inlineStr"/>
    </row>
    <row r="727" ht="15" customHeight="1">
      <c r="A727" t="inlineStr">
        <is>
          <t>A 5127-2020</t>
        </is>
      </c>
      <c r="B727" s="1" t="n">
        <v>43850</v>
      </c>
      <c r="C727" s="1" t="n">
        <v>45795</v>
      </c>
      <c r="D727" t="inlineStr">
        <is>
          <t>JÄMTLANDS LÄN</t>
        </is>
      </c>
      <c r="E727" t="inlineStr">
        <is>
          <t>STRÖMSUND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5119-2020</t>
        </is>
      </c>
      <c r="B728" s="1" t="n">
        <v>43850</v>
      </c>
      <c r="C728" s="1" t="n">
        <v>45795</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2987-2020</t>
        </is>
      </c>
      <c r="B729" s="1" t="n">
        <v>43850</v>
      </c>
      <c r="C729" s="1" t="n">
        <v>45795</v>
      </c>
      <c r="D729" t="inlineStr">
        <is>
          <t>JÄMTLANDS LÄN</t>
        </is>
      </c>
      <c r="E729" t="inlineStr">
        <is>
          <t>STRÖMSUND</t>
        </is>
      </c>
      <c r="G729" t="n">
        <v>7.3</v>
      </c>
      <c r="H729" t="n">
        <v>0</v>
      </c>
      <c r="I729" t="n">
        <v>0</v>
      </c>
      <c r="J729" t="n">
        <v>0</v>
      </c>
      <c r="K729" t="n">
        <v>0</v>
      </c>
      <c r="L729" t="n">
        <v>0</v>
      </c>
      <c r="M729" t="n">
        <v>0</v>
      </c>
      <c r="N729" t="n">
        <v>0</v>
      </c>
      <c r="O729" t="n">
        <v>0</v>
      </c>
      <c r="P729" t="n">
        <v>0</v>
      </c>
      <c r="Q729" t="n">
        <v>0</v>
      </c>
      <c r="R729" s="2" t="inlineStr"/>
    </row>
    <row r="730" ht="15" customHeight="1">
      <c r="A730" t="inlineStr">
        <is>
          <t>A 5147-2020</t>
        </is>
      </c>
      <c r="B730" s="1" t="n">
        <v>43850</v>
      </c>
      <c r="C730" s="1" t="n">
        <v>45795</v>
      </c>
      <c r="D730" t="inlineStr">
        <is>
          <t>JÄMTLANDS LÄN</t>
        </is>
      </c>
      <c r="E730" t="inlineStr">
        <is>
          <t>STRÖMSUND</t>
        </is>
      </c>
      <c r="G730" t="n">
        <v>10.8</v>
      </c>
      <c r="H730" t="n">
        <v>0</v>
      </c>
      <c r="I730" t="n">
        <v>0</v>
      </c>
      <c r="J730" t="n">
        <v>0</v>
      </c>
      <c r="K730" t="n">
        <v>0</v>
      </c>
      <c r="L730" t="n">
        <v>0</v>
      </c>
      <c r="M730" t="n">
        <v>0</v>
      </c>
      <c r="N730" t="n">
        <v>0</v>
      </c>
      <c r="O730" t="n">
        <v>0</v>
      </c>
      <c r="P730" t="n">
        <v>0</v>
      </c>
      <c r="Q730" t="n">
        <v>0</v>
      </c>
      <c r="R730" s="2" t="inlineStr"/>
    </row>
    <row r="731" ht="15" customHeight="1">
      <c r="A731" t="inlineStr">
        <is>
          <t>A 4654-2020</t>
        </is>
      </c>
      <c r="B731" s="1" t="n">
        <v>43851</v>
      </c>
      <c r="C731" s="1" t="n">
        <v>45795</v>
      </c>
      <c r="D731" t="inlineStr">
        <is>
          <t>JÄMTLANDS LÄN</t>
        </is>
      </c>
      <c r="E731" t="inlineStr">
        <is>
          <t>STRÖMSUND</t>
        </is>
      </c>
      <c r="G731" t="n">
        <v>4</v>
      </c>
      <c r="H731" t="n">
        <v>0</v>
      </c>
      <c r="I731" t="n">
        <v>0</v>
      </c>
      <c r="J731" t="n">
        <v>0</v>
      </c>
      <c r="K731" t="n">
        <v>0</v>
      </c>
      <c r="L731" t="n">
        <v>0</v>
      </c>
      <c r="M731" t="n">
        <v>0</v>
      </c>
      <c r="N731" t="n">
        <v>0</v>
      </c>
      <c r="O731" t="n">
        <v>0</v>
      </c>
      <c r="P731" t="n">
        <v>0</v>
      </c>
      <c r="Q731" t="n">
        <v>0</v>
      </c>
      <c r="R731" s="2" t="inlineStr"/>
    </row>
    <row r="732" ht="15" customHeight="1">
      <c r="A732" t="inlineStr">
        <is>
          <t>A 4898-2020</t>
        </is>
      </c>
      <c r="B732" s="1" t="n">
        <v>43852</v>
      </c>
      <c r="C732" s="1" t="n">
        <v>45795</v>
      </c>
      <c r="D732" t="inlineStr">
        <is>
          <t>JÄMTLANDS LÄN</t>
        </is>
      </c>
      <c r="E732" t="inlineStr">
        <is>
          <t>STRÖMSUND</t>
        </is>
      </c>
      <c r="G732" t="n">
        <v>6.7</v>
      </c>
      <c r="H732" t="n">
        <v>0</v>
      </c>
      <c r="I732" t="n">
        <v>0</v>
      </c>
      <c r="J732" t="n">
        <v>0</v>
      </c>
      <c r="K732" t="n">
        <v>0</v>
      </c>
      <c r="L732" t="n">
        <v>0</v>
      </c>
      <c r="M732" t="n">
        <v>0</v>
      </c>
      <c r="N732" t="n">
        <v>0</v>
      </c>
      <c r="O732" t="n">
        <v>0</v>
      </c>
      <c r="P732" t="n">
        <v>0</v>
      </c>
      <c r="Q732" t="n">
        <v>0</v>
      </c>
      <c r="R732" s="2" t="inlineStr"/>
    </row>
    <row r="733" ht="15" customHeight="1">
      <c r="A733" t="inlineStr">
        <is>
          <t>A 3862-2020</t>
        </is>
      </c>
      <c r="B733" s="1" t="n">
        <v>43854</v>
      </c>
      <c r="C733" s="1" t="n">
        <v>45795</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3895-2020</t>
        </is>
      </c>
      <c r="B734" s="1" t="n">
        <v>43854</v>
      </c>
      <c r="C734" s="1" t="n">
        <v>45795</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3988-2020</t>
        </is>
      </c>
      <c r="B735" s="1" t="n">
        <v>43856</v>
      </c>
      <c r="C735" s="1" t="n">
        <v>45795</v>
      </c>
      <c r="D735" t="inlineStr">
        <is>
          <t>JÄMTLANDS LÄN</t>
        </is>
      </c>
      <c r="E735" t="inlineStr">
        <is>
          <t>STRÖMSUND</t>
        </is>
      </c>
      <c r="G735" t="n">
        <v>12.4</v>
      </c>
      <c r="H735" t="n">
        <v>0</v>
      </c>
      <c r="I735" t="n">
        <v>0</v>
      </c>
      <c r="J735" t="n">
        <v>0</v>
      </c>
      <c r="K735" t="n">
        <v>0</v>
      </c>
      <c r="L735" t="n">
        <v>0</v>
      </c>
      <c r="M735" t="n">
        <v>0</v>
      </c>
      <c r="N735" t="n">
        <v>0</v>
      </c>
      <c r="O735" t="n">
        <v>0</v>
      </c>
      <c r="P735" t="n">
        <v>0</v>
      </c>
      <c r="Q735" t="n">
        <v>0</v>
      </c>
      <c r="R735" s="2" t="inlineStr"/>
    </row>
    <row r="736" ht="15" customHeight="1">
      <c r="A736" t="inlineStr">
        <is>
          <t>A 4905-2020</t>
        </is>
      </c>
      <c r="B736" s="1" t="n">
        <v>43859</v>
      </c>
      <c r="C736" s="1" t="n">
        <v>45795</v>
      </c>
      <c r="D736" t="inlineStr">
        <is>
          <t>JÄMTLANDS LÄN</t>
        </is>
      </c>
      <c r="E736" t="inlineStr">
        <is>
          <t>STRÖMSUND</t>
        </is>
      </c>
      <c r="G736" t="n">
        <v>22.3</v>
      </c>
      <c r="H736" t="n">
        <v>0</v>
      </c>
      <c r="I736" t="n">
        <v>0</v>
      </c>
      <c r="J736" t="n">
        <v>0</v>
      </c>
      <c r="K736" t="n">
        <v>0</v>
      </c>
      <c r="L736" t="n">
        <v>0</v>
      </c>
      <c r="M736" t="n">
        <v>0</v>
      </c>
      <c r="N736" t="n">
        <v>0</v>
      </c>
      <c r="O736" t="n">
        <v>0</v>
      </c>
      <c r="P736" t="n">
        <v>0</v>
      </c>
      <c r="Q736" t="n">
        <v>0</v>
      </c>
      <c r="R736" s="2" t="inlineStr"/>
    </row>
    <row r="737" ht="15" customHeight="1">
      <c r="A737" t="inlineStr">
        <is>
          <t>A 5915-2020</t>
        </is>
      </c>
      <c r="B737" s="1" t="n">
        <v>43861</v>
      </c>
      <c r="C737" s="1" t="n">
        <v>45795</v>
      </c>
      <c r="D737" t="inlineStr">
        <is>
          <t>JÄMTLANDS LÄN</t>
        </is>
      </c>
      <c r="E737" t="inlineStr">
        <is>
          <t>STRÖMSUND</t>
        </is>
      </c>
      <c r="G737" t="n">
        <v>10.3</v>
      </c>
      <c r="H737" t="n">
        <v>0</v>
      </c>
      <c r="I737" t="n">
        <v>0</v>
      </c>
      <c r="J737" t="n">
        <v>0</v>
      </c>
      <c r="K737" t="n">
        <v>0</v>
      </c>
      <c r="L737" t="n">
        <v>0</v>
      </c>
      <c r="M737" t="n">
        <v>0</v>
      </c>
      <c r="N737" t="n">
        <v>0</v>
      </c>
      <c r="O737" t="n">
        <v>0</v>
      </c>
      <c r="P737" t="n">
        <v>0</v>
      </c>
      <c r="Q737" t="n">
        <v>0</v>
      </c>
      <c r="R737" s="2" t="inlineStr"/>
    </row>
    <row r="738" ht="15" customHeight="1">
      <c r="A738" t="inlineStr">
        <is>
          <t>A 6146-2020</t>
        </is>
      </c>
      <c r="B738" s="1" t="n">
        <v>43865</v>
      </c>
      <c r="C738" s="1" t="n">
        <v>45795</v>
      </c>
      <c r="D738" t="inlineStr">
        <is>
          <t>JÄMTLANDS LÄN</t>
        </is>
      </c>
      <c r="E738" t="inlineStr">
        <is>
          <t>STRÖMSUND</t>
        </is>
      </c>
      <c r="G738" t="n">
        <v>1.9</v>
      </c>
      <c r="H738" t="n">
        <v>0</v>
      </c>
      <c r="I738" t="n">
        <v>0</v>
      </c>
      <c r="J738" t="n">
        <v>0</v>
      </c>
      <c r="K738" t="n">
        <v>0</v>
      </c>
      <c r="L738" t="n">
        <v>0</v>
      </c>
      <c r="M738" t="n">
        <v>0</v>
      </c>
      <c r="N738" t="n">
        <v>0</v>
      </c>
      <c r="O738" t="n">
        <v>0</v>
      </c>
      <c r="P738" t="n">
        <v>0</v>
      </c>
      <c r="Q738" t="n">
        <v>0</v>
      </c>
      <c r="R738" s="2" t="inlineStr"/>
    </row>
    <row r="739" ht="15" customHeight="1">
      <c r="A739" t="inlineStr">
        <is>
          <t>A 7192-2020</t>
        </is>
      </c>
      <c r="B739" s="1" t="n">
        <v>43871</v>
      </c>
      <c r="C739" s="1" t="n">
        <v>45795</v>
      </c>
      <c r="D739" t="inlineStr">
        <is>
          <t>JÄMTLANDS LÄN</t>
        </is>
      </c>
      <c r="E739" t="inlineStr">
        <is>
          <t>STRÖMSUND</t>
        </is>
      </c>
      <c r="G739" t="n">
        <v>11.4</v>
      </c>
      <c r="H739" t="n">
        <v>0</v>
      </c>
      <c r="I739" t="n">
        <v>0</v>
      </c>
      <c r="J739" t="n">
        <v>0</v>
      </c>
      <c r="K739" t="n">
        <v>0</v>
      </c>
      <c r="L739" t="n">
        <v>0</v>
      </c>
      <c r="M739" t="n">
        <v>0</v>
      </c>
      <c r="N739" t="n">
        <v>0</v>
      </c>
      <c r="O739" t="n">
        <v>0</v>
      </c>
      <c r="P739" t="n">
        <v>0</v>
      </c>
      <c r="Q739" t="n">
        <v>0</v>
      </c>
      <c r="R739" s="2" t="inlineStr"/>
    </row>
    <row r="740" ht="15" customHeight="1">
      <c r="A740" t="inlineStr">
        <is>
          <t>A 7630-2020</t>
        </is>
      </c>
      <c r="B740" s="1" t="n">
        <v>43871</v>
      </c>
      <c r="C740" s="1" t="n">
        <v>45795</v>
      </c>
      <c r="D740" t="inlineStr">
        <is>
          <t>JÄMTLANDS LÄN</t>
        </is>
      </c>
      <c r="E740" t="inlineStr">
        <is>
          <t>STRÖMSUND</t>
        </is>
      </c>
      <c r="G740" t="n">
        <v>3</v>
      </c>
      <c r="H740" t="n">
        <v>0</v>
      </c>
      <c r="I740" t="n">
        <v>0</v>
      </c>
      <c r="J740" t="n">
        <v>0</v>
      </c>
      <c r="K740" t="n">
        <v>0</v>
      </c>
      <c r="L740" t="n">
        <v>0</v>
      </c>
      <c r="M740" t="n">
        <v>0</v>
      </c>
      <c r="N740" t="n">
        <v>0</v>
      </c>
      <c r="O740" t="n">
        <v>0</v>
      </c>
      <c r="P740" t="n">
        <v>0</v>
      </c>
      <c r="Q740" t="n">
        <v>0</v>
      </c>
      <c r="R740" s="2" t="inlineStr"/>
    </row>
    <row r="741" ht="15" customHeight="1">
      <c r="A741" t="inlineStr">
        <is>
          <t>A 7963-2020</t>
        </is>
      </c>
      <c r="B741" s="1" t="n">
        <v>43872</v>
      </c>
      <c r="C741" s="1" t="n">
        <v>45795</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7974-2020</t>
        </is>
      </c>
      <c r="B742" s="1" t="n">
        <v>43873</v>
      </c>
      <c r="C742" s="1" t="n">
        <v>45795</v>
      </c>
      <c r="D742" t="inlineStr">
        <is>
          <t>JÄMTLANDS LÄN</t>
        </is>
      </c>
      <c r="E742" t="inlineStr">
        <is>
          <t>STRÖMSUND</t>
        </is>
      </c>
      <c r="G742" t="n">
        <v>24.1</v>
      </c>
      <c r="H742" t="n">
        <v>0</v>
      </c>
      <c r="I742" t="n">
        <v>0</v>
      </c>
      <c r="J742" t="n">
        <v>0</v>
      </c>
      <c r="K742" t="n">
        <v>0</v>
      </c>
      <c r="L742" t="n">
        <v>0</v>
      </c>
      <c r="M742" t="n">
        <v>0</v>
      </c>
      <c r="N742" t="n">
        <v>0</v>
      </c>
      <c r="O742" t="n">
        <v>0</v>
      </c>
      <c r="P742" t="n">
        <v>0</v>
      </c>
      <c r="Q742" t="n">
        <v>0</v>
      </c>
      <c r="R742" s="2" t="inlineStr"/>
    </row>
    <row r="743" ht="15" customHeight="1">
      <c r="A743" t="inlineStr">
        <is>
          <t>A 8482-2020</t>
        </is>
      </c>
      <c r="B743" s="1" t="n">
        <v>43875</v>
      </c>
      <c r="C743" s="1" t="n">
        <v>45795</v>
      </c>
      <c r="D743" t="inlineStr">
        <is>
          <t>JÄMTLANDS LÄN</t>
        </is>
      </c>
      <c r="E743" t="inlineStr">
        <is>
          <t>STRÖMSUND</t>
        </is>
      </c>
      <c r="G743" t="n">
        <v>25.5</v>
      </c>
      <c r="H743" t="n">
        <v>0</v>
      </c>
      <c r="I743" t="n">
        <v>0</v>
      </c>
      <c r="J743" t="n">
        <v>0</v>
      </c>
      <c r="K743" t="n">
        <v>0</v>
      </c>
      <c r="L743" t="n">
        <v>0</v>
      </c>
      <c r="M743" t="n">
        <v>0</v>
      </c>
      <c r="N743" t="n">
        <v>0</v>
      </c>
      <c r="O743" t="n">
        <v>0</v>
      </c>
      <c r="P743" t="n">
        <v>0</v>
      </c>
      <c r="Q743" t="n">
        <v>0</v>
      </c>
      <c r="R743" s="2" t="inlineStr"/>
    </row>
    <row r="744" ht="15" customHeight="1">
      <c r="A744" t="inlineStr">
        <is>
          <t>A 8775-2020</t>
        </is>
      </c>
      <c r="B744" s="1" t="n">
        <v>43878</v>
      </c>
      <c r="C744" s="1" t="n">
        <v>45795</v>
      </c>
      <c r="D744" t="inlineStr">
        <is>
          <t>JÄMTLANDS LÄN</t>
        </is>
      </c>
      <c r="E744" t="inlineStr">
        <is>
          <t>STRÖMSUND</t>
        </is>
      </c>
      <c r="G744" t="n">
        <v>4.2</v>
      </c>
      <c r="H744" t="n">
        <v>0</v>
      </c>
      <c r="I744" t="n">
        <v>0</v>
      </c>
      <c r="J744" t="n">
        <v>0</v>
      </c>
      <c r="K744" t="n">
        <v>0</v>
      </c>
      <c r="L744" t="n">
        <v>0</v>
      </c>
      <c r="M744" t="n">
        <v>0</v>
      </c>
      <c r="N744" t="n">
        <v>0</v>
      </c>
      <c r="O744" t="n">
        <v>0</v>
      </c>
      <c r="P744" t="n">
        <v>0</v>
      </c>
      <c r="Q744" t="n">
        <v>0</v>
      </c>
      <c r="R744" s="2" t="inlineStr"/>
    </row>
    <row r="745" ht="15" customHeight="1">
      <c r="A745" t="inlineStr">
        <is>
          <t>A 12609-2020</t>
        </is>
      </c>
      <c r="B745" s="1" t="n">
        <v>43899</v>
      </c>
      <c r="C745" s="1" t="n">
        <v>45795</v>
      </c>
      <c r="D745" t="inlineStr">
        <is>
          <t>JÄMTLANDS LÄN</t>
        </is>
      </c>
      <c r="E745" t="inlineStr">
        <is>
          <t>STRÖMSUND</t>
        </is>
      </c>
      <c r="F745" t="inlineStr">
        <is>
          <t>Kyrkan</t>
        </is>
      </c>
      <c r="G745" t="n">
        <v>1.6</v>
      </c>
      <c r="H745" t="n">
        <v>0</v>
      </c>
      <c r="I745" t="n">
        <v>0</v>
      </c>
      <c r="J745" t="n">
        <v>0</v>
      </c>
      <c r="K745" t="n">
        <v>0</v>
      </c>
      <c r="L745" t="n">
        <v>0</v>
      </c>
      <c r="M745" t="n">
        <v>0</v>
      </c>
      <c r="N745" t="n">
        <v>0</v>
      </c>
      <c r="O745" t="n">
        <v>0</v>
      </c>
      <c r="P745" t="n">
        <v>0</v>
      </c>
      <c r="Q745" t="n">
        <v>0</v>
      </c>
      <c r="R745" s="2" t="inlineStr"/>
    </row>
    <row r="746" ht="15" customHeight="1">
      <c r="A746" t="inlineStr">
        <is>
          <t>A 13233-2020</t>
        </is>
      </c>
      <c r="B746" s="1" t="n">
        <v>43901</v>
      </c>
      <c r="C746" s="1" t="n">
        <v>45795</v>
      </c>
      <c r="D746" t="inlineStr">
        <is>
          <t>JÄMTLANDS LÄN</t>
        </is>
      </c>
      <c r="E746" t="inlineStr">
        <is>
          <t>STRÖMSUND</t>
        </is>
      </c>
      <c r="G746" t="n">
        <v>6.9</v>
      </c>
      <c r="H746" t="n">
        <v>0</v>
      </c>
      <c r="I746" t="n">
        <v>0</v>
      </c>
      <c r="J746" t="n">
        <v>0</v>
      </c>
      <c r="K746" t="n">
        <v>0</v>
      </c>
      <c r="L746" t="n">
        <v>0</v>
      </c>
      <c r="M746" t="n">
        <v>0</v>
      </c>
      <c r="N746" t="n">
        <v>0</v>
      </c>
      <c r="O746" t="n">
        <v>0</v>
      </c>
      <c r="P746" t="n">
        <v>0</v>
      </c>
      <c r="Q746" t="n">
        <v>0</v>
      </c>
      <c r="R746" s="2" t="inlineStr"/>
    </row>
    <row r="747" ht="15" customHeight="1">
      <c r="A747" t="inlineStr">
        <is>
          <t>A 13241-2020</t>
        </is>
      </c>
      <c r="B747" s="1" t="n">
        <v>43901</v>
      </c>
      <c r="C747" s="1" t="n">
        <v>45795</v>
      </c>
      <c r="D747" t="inlineStr">
        <is>
          <t>JÄMTLANDS LÄN</t>
        </is>
      </c>
      <c r="E747" t="inlineStr">
        <is>
          <t>STRÖMSUND</t>
        </is>
      </c>
      <c r="G747" t="n">
        <v>4</v>
      </c>
      <c r="H747" t="n">
        <v>0</v>
      </c>
      <c r="I747" t="n">
        <v>0</v>
      </c>
      <c r="J747" t="n">
        <v>0</v>
      </c>
      <c r="K747" t="n">
        <v>0</v>
      </c>
      <c r="L747" t="n">
        <v>0</v>
      </c>
      <c r="M747" t="n">
        <v>0</v>
      </c>
      <c r="N747" t="n">
        <v>0</v>
      </c>
      <c r="O747" t="n">
        <v>0</v>
      </c>
      <c r="P747" t="n">
        <v>0</v>
      </c>
      <c r="Q747" t="n">
        <v>0</v>
      </c>
      <c r="R747" s="2" t="inlineStr"/>
    </row>
    <row r="748" ht="15" customHeight="1">
      <c r="A748" t="inlineStr">
        <is>
          <t>A 14259-2020</t>
        </is>
      </c>
      <c r="B748" s="1" t="n">
        <v>43901</v>
      </c>
      <c r="C748" s="1" t="n">
        <v>45795</v>
      </c>
      <c r="D748" t="inlineStr">
        <is>
          <t>JÄMTLANDS LÄN</t>
        </is>
      </c>
      <c r="E748" t="inlineStr">
        <is>
          <t>STRÖMSUND</t>
        </is>
      </c>
      <c r="G748" t="n">
        <v>17.8</v>
      </c>
      <c r="H748" t="n">
        <v>0</v>
      </c>
      <c r="I748" t="n">
        <v>0</v>
      </c>
      <c r="J748" t="n">
        <v>0</v>
      </c>
      <c r="K748" t="n">
        <v>0</v>
      </c>
      <c r="L748" t="n">
        <v>0</v>
      </c>
      <c r="M748" t="n">
        <v>0</v>
      </c>
      <c r="N748" t="n">
        <v>0</v>
      </c>
      <c r="O748" t="n">
        <v>0</v>
      </c>
      <c r="P748" t="n">
        <v>0</v>
      </c>
      <c r="Q748" t="n">
        <v>0</v>
      </c>
      <c r="R748" s="2" t="inlineStr"/>
    </row>
    <row r="749" ht="15" customHeight="1">
      <c r="A749" t="inlineStr">
        <is>
          <t>A 14904-2020</t>
        </is>
      </c>
      <c r="B749" s="1" t="n">
        <v>43906</v>
      </c>
      <c r="C749" s="1" t="n">
        <v>45795</v>
      </c>
      <c r="D749" t="inlineStr">
        <is>
          <t>JÄMTLANDS LÄN</t>
        </is>
      </c>
      <c r="E749" t="inlineStr">
        <is>
          <t>STRÖMSUND</t>
        </is>
      </c>
      <c r="G749" t="n">
        <v>7.5</v>
      </c>
      <c r="H749" t="n">
        <v>0</v>
      </c>
      <c r="I749" t="n">
        <v>0</v>
      </c>
      <c r="J749" t="n">
        <v>0</v>
      </c>
      <c r="K749" t="n">
        <v>0</v>
      </c>
      <c r="L749" t="n">
        <v>0</v>
      </c>
      <c r="M749" t="n">
        <v>0</v>
      </c>
      <c r="N749" t="n">
        <v>0</v>
      </c>
      <c r="O749" t="n">
        <v>0</v>
      </c>
      <c r="P749" t="n">
        <v>0</v>
      </c>
      <c r="Q749" t="n">
        <v>0</v>
      </c>
      <c r="R749" s="2" t="inlineStr"/>
    </row>
    <row r="750" ht="15" customHeight="1">
      <c r="A750" t="inlineStr">
        <is>
          <t>A 16335-2020</t>
        </is>
      </c>
      <c r="B750" s="1" t="n">
        <v>43917</v>
      </c>
      <c r="C750" s="1" t="n">
        <v>45795</v>
      </c>
      <c r="D750" t="inlineStr">
        <is>
          <t>JÄMTLANDS LÄN</t>
        </is>
      </c>
      <c r="E750" t="inlineStr">
        <is>
          <t>STRÖMSUND</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17063-2020</t>
        </is>
      </c>
      <c r="B751" s="1" t="n">
        <v>43921</v>
      </c>
      <c r="C751" s="1" t="n">
        <v>45795</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18731-2020</t>
        </is>
      </c>
      <c r="B752" s="1" t="n">
        <v>43930</v>
      </c>
      <c r="C752" s="1" t="n">
        <v>45795</v>
      </c>
      <c r="D752" t="inlineStr">
        <is>
          <t>JÄMTLANDS LÄN</t>
        </is>
      </c>
      <c r="E752" t="inlineStr">
        <is>
          <t>STRÖMSUND</t>
        </is>
      </c>
      <c r="G752" t="n">
        <v>0.9</v>
      </c>
      <c r="H752" t="n">
        <v>0</v>
      </c>
      <c r="I752" t="n">
        <v>0</v>
      </c>
      <c r="J752" t="n">
        <v>0</v>
      </c>
      <c r="K752" t="n">
        <v>0</v>
      </c>
      <c r="L752" t="n">
        <v>0</v>
      </c>
      <c r="M752" t="n">
        <v>0</v>
      </c>
      <c r="N752" t="n">
        <v>0</v>
      </c>
      <c r="O752" t="n">
        <v>0</v>
      </c>
      <c r="P752" t="n">
        <v>0</v>
      </c>
      <c r="Q752" t="n">
        <v>0</v>
      </c>
      <c r="R752" s="2" t="inlineStr"/>
    </row>
    <row r="753" ht="15" customHeight="1">
      <c r="A753" t="inlineStr">
        <is>
          <t>A 18780-2020</t>
        </is>
      </c>
      <c r="B753" s="1" t="n">
        <v>43930</v>
      </c>
      <c r="C753" s="1" t="n">
        <v>45795</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19089-2020</t>
        </is>
      </c>
      <c r="B754" s="1" t="n">
        <v>43935</v>
      </c>
      <c r="C754" s="1" t="n">
        <v>45795</v>
      </c>
      <c r="D754" t="inlineStr">
        <is>
          <t>JÄMTLANDS LÄN</t>
        </is>
      </c>
      <c r="E754" t="inlineStr">
        <is>
          <t>STRÖMSUND</t>
        </is>
      </c>
      <c r="G754" t="n">
        <v>15</v>
      </c>
      <c r="H754" t="n">
        <v>0</v>
      </c>
      <c r="I754" t="n">
        <v>0</v>
      </c>
      <c r="J754" t="n">
        <v>0</v>
      </c>
      <c r="K754" t="n">
        <v>0</v>
      </c>
      <c r="L754" t="n">
        <v>0</v>
      </c>
      <c r="M754" t="n">
        <v>0</v>
      </c>
      <c r="N754" t="n">
        <v>0</v>
      </c>
      <c r="O754" t="n">
        <v>0</v>
      </c>
      <c r="P754" t="n">
        <v>0</v>
      </c>
      <c r="Q754" t="n">
        <v>0</v>
      </c>
      <c r="R754" s="2" t="inlineStr"/>
    </row>
    <row r="755" ht="15" customHeight="1">
      <c r="A755" t="inlineStr">
        <is>
          <t>A 19842-2020</t>
        </is>
      </c>
      <c r="B755" s="1" t="n">
        <v>43942</v>
      </c>
      <c r="C755" s="1" t="n">
        <v>45795</v>
      </c>
      <c r="D755" t="inlineStr">
        <is>
          <t>JÄMTLANDS LÄN</t>
        </is>
      </c>
      <c r="E755" t="inlineStr">
        <is>
          <t>STRÖMSUND</t>
        </is>
      </c>
      <c r="G755" t="n">
        <v>20.3</v>
      </c>
      <c r="H755" t="n">
        <v>0</v>
      </c>
      <c r="I755" t="n">
        <v>0</v>
      </c>
      <c r="J755" t="n">
        <v>0</v>
      </c>
      <c r="K755" t="n">
        <v>0</v>
      </c>
      <c r="L755" t="n">
        <v>0</v>
      </c>
      <c r="M755" t="n">
        <v>0</v>
      </c>
      <c r="N755" t="n">
        <v>0</v>
      </c>
      <c r="O755" t="n">
        <v>0</v>
      </c>
      <c r="P755" t="n">
        <v>0</v>
      </c>
      <c r="Q755" t="n">
        <v>0</v>
      </c>
      <c r="R755" s="2" t="inlineStr"/>
    </row>
    <row r="756" ht="15" customHeight="1">
      <c r="A756" t="inlineStr">
        <is>
          <t>A 20816-2020</t>
        </is>
      </c>
      <c r="B756" s="1" t="n">
        <v>43949</v>
      </c>
      <c r="C756" s="1" t="n">
        <v>45795</v>
      </c>
      <c r="D756" t="inlineStr">
        <is>
          <t>JÄMTLANDS LÄN</t>
        </is>
      </c>
      <c r="E756" t="inlineStr">
        <is>
          <t>STRÖMSUND</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20812-2020</t>
        </is>
      </c>
      <c r="B757" s="1" t="n">
        <v>43950</v>
      </c>
      <c r="C757" s="1" t="n">
        <v>45795</v>
      </c>
      <c r="D757" t="inlineStr">
        <is>
          <t>JÄMTLANDS LÄN</t>
        </is>
      </c>
      <c r="E757" t="inlineStr">
        <is>
          <t>STRÖMSUND</t>
        </is>
      </c>
      <c r="G757" t="n">
        <v>6.1</v>
      </c>
      <c r="H757" t="n">
        <v>0</v>
      </c>
      <c r="I757" t="n">
        <v>0</v>
      </c>
      <c r="J757" t="n">
        <v>0</v>
      </c>
      <c r="K757" t="n">
        <v>0</v>
      </c>
      <c r="L757" t="n">
        <v>0</v>
      </c>
      <c r="M757" t="n">
        <v>0</v>
      </c>
      <c r="N757" t="n">
        <v>0</v>
      </c>
      <c r="O757" t="n">
        <v>0</v>
      </c>
      <c r="P757" t="n">
        <v>0</v>
      </c>
      <c r="Q757" t="n">
        <v>0</v>
      </c>
      <c r="R757" s="2" t="inlineStr"/>
    </row>
    <row r="758" ht="15" customHeight="1">
      <c r="A758" t="inlineStr">
        <is>
          <t>A 21939-2020</t>
        </is>
      </c>
      <c r="B758" s="1" t="n">
        <v>43955</v>
      </c>
      <c r="C758" s="1" t="n">
        <v>45795</v>
      </c>
      <c r="D758" t="inlineStr">
        <is>
          <t>JÄMTLANDS LÄN</t>
        </is>
      </c>
      <c r="E758" t="inlineStr">
        <is>
          <t>STRÖMSUND</t>
        </is>
      </c>
      <c r="G758" t="n">
        <v>4.5</v>
      </c>
      <c r="H758" t="n">
        <v>0</v>
      </c>
      <c r="I758" t="n">
        <v>0</v>
      </c>
      <c r="J758" t="n">
        <v>0</v>
      </c>
      <c r="K758" t="n">
        <v>0</v>
      </c>
      <c r="L758" t="n">
        <v>0</v>
      </c>
      <c r="M758" t="n">
        <v>0</v>
      </c>
      <c r="N758" t="n">
        <v>0</v>
      </c>
      <c r="O758" t="n">
        <v>0</v>
      </c>
      <c r="P758" t="n">
        <v>0</v>
      </c>
      <c r="Q758" t="n">
        <v>0</v>
      </c>
      <c r="R758" s="2" t="inlineStr"/>
    </row>
    <row r="759" ht="15" customHeight="1">
      <c r="A759" t="inlineStr">
        <is>
          <t>A 21602-2020</t>
        </is>
      </c>
      <c r="B759" s="1" t="n">
        <v>43957</v>
      </c>
      <c r="C759" s="1" t="n">
        <v>45795</v>
      </c>
      <c r="D759" t="inlineStr">
        <is>
          <t>JÄMTLANDS LÄN</t>
        </is>
      </c>
      <c r="E759" t="inlineStr">
        <is>
          <t>STRÖMSUND</t>
        </is>
      </c>
      <c r="G759" t="n">
        <v>15.4</v>
      </c>
      <c r="H759" t="n">
        <v>0</v>
      </c>
      <c r="I759" t="n">
        <v>0</v>
      </c>
      <c r="J759" t="n">
        <v>0</v>
      </c>
      <c r="K759" t="n">
        <v>0</v>
      </c>
      <c r="L759" t="n">
        <v>0</v>
      </c>
      <c r="M759" t="n">
        <v>0</v>
      </c>
      <c r="N759" t="n">
        <v>0</v>
      </c>
      <c r="O759" t="n">
        <v>0</v>
      </c>
      <c r="P759" t="n">
        <v>0</v>
      </c>
      <c r="Q759" t="n">
        <v>0</v>
      </c>
      <c r="R759" s="2" t="inlineStr"/>
    </row>
    <row r="760" ht="15" customHeight="1">
      <c r="A760" t="inlineStr">
        <is>
          <t>A 21773-2020</t>
        </is>
      </c>
      <c r="B760" s="1" t="n">
        <v>43957</v>
      </c>
      <c r="C760" s="1" t="n">
        <v>45795</v>
      </c>
      <c r="D760" t="inlineStr">
        <is>
          <t>JÄMTLANDS LÄN</t>
        </is>
      </c>
      <c r="E760" t="inlineStr">
        <is>
          <t>STRÖMSUND</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21971-2020</t>
        </is>
      </c>
      <c r="B761" s="1" t="n">
        <v>43958</v>
      </c>
      <c r="C761" s="1" t="n">
        <v>45795</v>
      </c>
      <c r="D761" t="inlineStr">
        <is>
          <t>JÄMTLANDS LÄN</t>
        </is>
      </c>
      <c r="E761" t="inlineStr">
        <is>
          <t>STRÖMSUND</t>
        </is>
      </c>
      <c r="F761" t="inlineStr">
        <is>
          <t>SCA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22092-2020</t>
        </is>
      </c>
      <c r="B762" s="1" t="n">
        <v>43959</v>
      </c>
      <c r="C762" s="1" t="n">
        <v>45795</v>
      </c>
      <c r="D762" t="inlineStr">
        <is>
          <t>JÄMTLANDS LÄN</t>
        </is>
      </c>
      <c r="E762" t="inlineStr">
        <is>
          <t>STRÖMSUND</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22699-2020</t>
        </is>
      </c>
      <c r="B763" s="1" t="n">
        <v>43963</v>
      </c>
      <c r="C763" s="1" t="n">
        <v>45795</v>
      </c>
      <c r="D763" t="inlineStr">
        <is>
          <t>JÄMTLANDS LÄN</t>
        </is>
      </c>
      <c r="E763" t="inlineStr">
        <is>
          <t>STRÖMSUND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22905-2020</t>
        </is>
      </c>
      <c r="B764" s="1" t="n">
        <v>43964</v>
      </c>
      <c r="C764" s="1" t="n">
        <v>45795</v>
      </c>
      <c r="D764" t="inlineStr">
        <is>
          <t>JÄMTLANDS LÄN</t>
        </is>
      </c>
      <c r="E764" t="inlineStr">
        <is>
          <t>STRÖMSUND</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22906-2020</t>
        </is>
      </c>
      <c r="B765" s="1" t="n">
        <v>43964</v>
      </c>
      <c r="C765" s="1" t="n">
        <v>45795</v>
      </c>
      <c r="D765" t="inlineStr">
        <is>
          <t>JÄMTLANDS LÄN</t>
        </is>
      </c>
      <c r="E765" t="inlineStr">
        <is>
          <t>STRÖMSUND</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22912-2020</t>
        </is>
      </c>
      <c r="B766" s="1" t="n">
        <v>43964</v>
      </c>
      <c r="C766" s="1" t="n">
        <v>45795</v>
      </c>
      <c r="D766" t="inlineStr">
        <is>
          <t>JÄMTLANDS LÄN</t>
        </is>
      </c>
      <c r="E766" t="inlineStr">
        <is>
          <t>STRÖMSUND</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23412-2020</t>
        </is>
      </c>
      <c r="B767" s="1" t="n">
        <v>43969</v>
      </c>
      <c r="C767" s="1" t="n">
        <v>45795</v>
      </c>
      <c r="D767" t="inlineStr">
        <is>
          <t>JÄMTLANDS LÄN</t>
        </is>
      </c>
      <c r="E767" t="inlineStr">
        <is>
          <t>STRÖMSUND</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23647-2020</t>
        </is>
      </c>
      <c r="B768" s="1" t="n">
        <v>43969</v>
      </c>
      <c r="C768" s="1" t="n">
        <v>45795</v>
      </c>
      <c r="D768" t="inlineStr">
        <is>
          <t>JÄMTLANDS LÄN</t>
        </is>
      </c>
      <c r="E768" t="inlineStr">
        <is>
          <t>STRÖMSUND</t>
        </is>
      </c>
      <c r="F768" t="inlineStr">
        <is>
          <t>SCA</t>
        </is>
      </c>
      <c r="G768" t="n">
        <v>6.1</v>
      </c>
      <c r="H768" t="n">
        <v>0</v>
      </c>
      <c r="I768" t="n">
        <v>0</v>
      </c>
      <c r="J768" t="n">
        <v>0</v>
      </c>
      <c r="K768" t="n">
        <v>0</v>
      </c>
      <c r="L768" t="n">
        <v>0</v>
      </c>
      <c r="M768" t="n">
        <v>0</v>
      </c>
      <c r="N768" t="n">
        <v>0</v>
      </c>
      <c r="O768" t="n">
        <v>0</v>
      </c>
      <c r="P768" t="n">
        <v>0</v>
      </c>
      <c r="Q768" t="n">
        <v>0</v>
      </c>
      <c r="R768" s="2" t="inlineStr"/>
    </row>
    <row r="769" ht="15" customHeight="1">
      <c r="A769" t="inlineStr">
        <is>
          <t>A 24054-2020</t>
        </is>
      </c>
      <c r="B769" s="1" t="n">
        <v>43971</v>
      </c>
      <c r="C769" s="1" t="n">
        <v>45795</v>
      </c>
      <c r="D769" t="inlineStr">
        <is>
          <t>JÄMTLANDS LÄN</t>
        </is>
      </c>
      <c r="E769" t="inlineStr">
        <is>
          <t>STRÖMSUND</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24064-2020</t>
        </is>
      </c>
      <c r="B770" s="1" t="n">
        <v>43971</v>
      </c>
      <c r="C770" s="1" t="n">
        <v>45795</v>
      </c>
      <c r="D770" t="inlineStr">
        <is>
          <t>JÄMTLANDS LÄN</t>
        </is>
      </c>
      <c r="E770" t="inlineStr">
        <is>
          <t>STRÖMSUND</t>
        </is>
      </c>
      <c r="F770" t="inlineStr">
        <is>
          <t>SCA</t>
        </is>
      </c>
      <c r="G770" t="n">
        <v>15.3</v>
      </c>
      <c r="H770" t="n">
        <v>0</v>
      </c>
      <c r="I770" t="n">
        <v>0</v>
      </c>
      <c r="J770" t="n">
        <v>0</v>
      </c>
      <c r="K770" t="n">
        <v>0</v>
      </c>
      <c r="L770" t="n">
        <v>0</v>
      </c>
      <c r="M770" t="n">
        <v>0</v>
      </c>
      <c r="N770" t="n">
        <v>0</v>
      </c>
      <c r="O770" t="n">
        <v>0</v>
      </c>
      <c r="P770" t="n">
        <v>0</v>
      </c>
      <c r="Q770" t="n">
        <v>0</v>
      </c>
      <c r="R770" s="2" t="inlineStr"/>
    </row>
    <row r="771" ht="15" customHeight="1">
      <c r="A771" t="inlineStr">
        <is>
          <t>A 24335-2020</t>
        </is>
      </c>
      <c r="B771" s="1" t="n">
        <v>43971</v>
      </c>
      <c r="C771" s="1" t="n">
        <v>45795</v>
      </c>
      <c r="D771" t="inlineStr">
        <is>
          <t>JÄMTLANDS LÄN</t>
        </is>
      </c>
      <c r="E771" t="inlineStr">
        <is>
          <t>STRÖMSUND</t>
        </is>
      </c>
      <c r="G771" t="n">
        <v>14.3</v>
      </c>
      <c r="H771" t="n">
        <v>0</v>
      </c>
      <c r="I771" t="n">
        <v>0</v>
      </c>
      <c r="J771" t="n">
        <v>0</v>
      </c>
      <c r="K771" t="n">
        <v>0</v>
      </c>
      <c r="L771" t="n">
        <v>0</v>
      </c>
      <c r="M771" t="n">
        <v>0</v>
      </c>
      <c r="N771" t="n">
        <v>0</v>
      </c>
      <c r="O771" t="n">
        <v>0</v>
      </c>
      <c r="P771" t="n">
        <v>0</v>
      </c>
      <c r="Q771" t="n">
        <v>0</v>
      </c>
      <c r="R771" s="2" t="inlineStr"/>
    </row>
    <row r="772" ht="15" customHeight="1">
      <c r="A772" t="inlineStr">
        <is>
          <t>A 24117-2020</t>
        </is>
      </c>
      <c r="B772" s="1" t="n">
        <v>43973</v>
      </c>
      <c r="C772" s="1" t="n">
        <v>45795</v>
      </c>
      <c r="D772" t="inlineStr">
        <is>
          <t>JÄMTLANDS LÄN</t>
        </is>
      </c>
      <c r="E772" t="inlineStr">
        <is>
          <t>STRÖMSUND</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24414-2020</t>
        </is>
      </c>
      <c r="B773" s="1" t="n">
        <v>43976</v>
      </c>
      <c r="C773" s="1" t="n">
        <v>45795</v>
      </c>
      <c r="D773" t="inlineStr">
        <is>
          <t>JÄMTLANDS LÄN</t>
        </is>
      </c>
      <c r="E773" t="inlineStr">
        <is>
          <t>STRÖMSUND</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24379-2020</t>
        </is>
      </c>
      <c r="B774" s="1" t="n">
        <v>43976</v>
      </c>
      <c r="C774" s="1" t="n">
        <v>45795</v>
      </c>
      <c r="D774" t="inlineStr">
        <is>
          <t>JÄMTLANDS LÄN</t>
        </is>
      </c>
      <c r="E774" t="inlineStr">
        <is>
          <t>STRÖMSUND</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24415-2020</t>
        </is>
      </c>
      <c r="B775" s="1" t="n">
        <v>43976</v>
      </c>
      <c r="C775" s="1" t="n">
        <v>45795</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24384-2020</t>
        </is>
      </c>
      <c r="B776" s="1" t="n">
        <v>43976</v>
      </c>
      <c r="C776" s="1" t="n">
        <v>45795</v>
      </c>
      <c r="D776" t="inlineStr">
        <is>
          <t>JÄMTLANDS LÄN</t>
        </is>
      </c>
      <c r="E776" t="inlineStr">
        <is>
          <t>STRÖMSUND</t>
        </is>
      </c>
      <c r="G776" t="n">
        <v>1.1</v>
      </c>
      <c r="H776" t="n">
        <v>0</v>
      </c>
      <c r="I776" t="n">
        <v>0</v>
      </c>
      <c r="J776" t="n">
        <v>0</v>
      </c>
      <c r="K776" t="n">
        <v>0</v>
      </c>
      <c r="L776" t="n">
        <v>0</v>
      </c>
      <c r="M776" t="n">
        <v>0</v>
      </c>
      <c r="N776" t="n">
        <v>0</v>
      </c>
      <c r="O776" t="n">
        <v>0</v>
      </c>
      <c r="P776" t="n">
        <v>0</v>
      </c>
      <c r="Q776" t="n">
        <v>0</v>
      </c>
      <c r="R776" s="2" t="inlineStr"/>
    </row>
    <row r="777" ht="15" customHeight="1">
      <c r="A777" t="inlineStr">
        <is>
          <t>A 24413-2020</t>
        </is>
      </c>
      <c r="B777" s="1" t="n">
        <v>43976</v>
      </c>
      <c r="C777" s="1" t="n">
        <v>45795</v>
      </c>
      <c r="D777" t="inlineStr">
        <is>
          <t>JÄMTLANDS LÄN</t>
        </is>
      </c>
      <c r="E777" t="inlineStr">
        <is>
          <t>STRÖMSUND</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25109-2020</t>
        </is>
      </c>
      <c r="B778" s="1" t="n">
        <v>43979</v>
      </c>
      <c r="C778" s="1" t="n">
        <v>45795</v>
      </c>
      <c r="D778" t="inlineStr">
        <is>
          <t>JÄMTLANDS LÄN</t>
        </is>
      </c>
      <c r="E778" t="inlineStr">
        <is>
          <t>STRÖMSUND</t>
        </is>
      </c>
      <c r="F778" t="inlineStr">
        <is>
          <t>SCA</t>
        </is>
      </c>
      <c r="G778" t="n">
        <v>10.7</v>
      </c>
      <c r="H778" t="n">
        <v>0</v>
      </c>
      <c r="I778" t="n">
        <v>0</v>
      </c>
      <c r="J778" t="n">
        <v>0</v>
      </c>
      <c r="K778" t="n">
        <v>0</v>
      </c>
      <c r="L778" t="n">
        <v>0</v>
      </c>
      <c r="M778" t="n">
        <v>0</v>
      </c>
      <c r="N778" t="n">
        <v>0</v>
      </c>
      <c r="O778" t="n">
        <v>0</v>
      </c>
      <c r="P778" t="n">
        <v>0</v>
      </c>
      <c r="Q778" t="n">
        <v>0</v>
      </c>
      <c r="R778" s="2" t="inlineStr"/>
    </row>
    <row r="779" ht="15" customHeight="1">
      <c r="A779" t="inlineStr">
        <is>
          <t>A 25107-2020</t>
        </is>
      </c>
      <c r="B779" s="1" t="n">
        <v>43979</v>
      </c>
      <c r="C779" s="1" t="n">
        <v>45795</v>
      </c>
      <c r="D779" t="inlineStr">
        <is>
          <t>JÄMTLANDS LÄN</t>
        </is>
      </c>
      <c r="E779" t="inlineStr">
        <is>
          <t>STRÖMSUND</t>
        </is>
      </c>
      <c r="F779" t="inlineStr">
        <is>
          <t>SCA</t>
        </is>
      </c>
      <c r="G779" t="n">
        <v>0.2</v>
      </c>
      <c r="H779" t="n">
        <v>0</v>
      </c>
      <c r="I779" t="n">
        <v>0</v>
      </c>
      <c r="J779" t="n">
        <v>0</v>
      </c>
      <c r="K779" t="n">
        <v>0</v>
      </c>
      <c r="L779" t="n">
        <v>0</v>
      </c>
      <c r="M779" t="n">
        <v>0</v>
      </c>
      <c r="N779" t="n">
        <v>0</v>
      </c>
      <c r="O779" t="n">
        <v>0</v>
      </c>
      <c r="P779" t="n">
        <v>0</v>
      </c>
      <c r="Q779" t="n">
        <v>0</v>
      </c>
      <c r="R779" s="2" t="inlineStr"/>
    </row>
    <row r="780" ht="15" customHeight="1">
      <c r="A780" t="inlineStr">
        <is>
          <t>A 25396-2020</t>
        </is>
      </c>
      <c r="B780" s="1" t="n">
        <v>43980</v>
      </c>
      <c r="C780" s="1" t="n">
        <v>45795</v>
      </c>
      <c r="D780" t="inlineStr">
        <is>
          <t>JÄMTLANDS LÄN</t>
        </is>
      </c>
      <c r="E780" t="inlineStr">
        <is>
          <t>STRÖMSUND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25375-2020</t>
        </is>
      </c>
      <c r="B781" s="1" t="n">
        <v>43980</v>
      </c>
      <c r="C781" s="1" t="n">
        <v>45795</v>
      </c>
      <c r="D781" t="inlineStr">
        <is>
          <t>JÄMTLANDS LÄN</t>
        </is>
      </c>
      <c r="E781" t="inlineStr">
        <is>
          <t>STRÖMSUND</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25390-2020</t>
        </is>
      </c>
      <c r="B782" s="1" t="n">
        <v>43980</v>
      </c>
      <c r="C782" s="1" t="n">
        <v>45795</v>
      </c>
      <c r="D782" t="inlineStr">
        <is>
          <t>JÄMTLANDS LÄN</t>
        </is>
      </c>
      <c r="E782" t="inlineStr">
        <is>
          <t>STRÖMSUND</t>
        </is>
      </c>
      <c r="F782" t="inlineStr">
        <is>
          <t>SCA</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25388-2020</t>
        </is>
      </c>
      <c r="B783" s="1" t="n">
        <v>43980</v>
      </c>
      <c r="C783" s="1" t="n">
        <v>45795</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25398-2020</t>
        </is>
      </c>
      <c r="B784" s="1" t="n">
        <v>43980</v>
      </c>
      <c r="C784" s="1" t="n">
        <v>45795</v>
      </c>
      <c r="D784" t="inlineStr">
        <is>
          <t>JÄMTLANDS LÄN</t>
        </is>
      </c>
      <c r="E784" t="inlineStr">
        <is>
          <t>STRÖMSUND</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25381-2020</t>
        </is>
      </c>
      <c r="B785" s="1" t="n">
        <v>43980</v>
      </c>
      <c r="C785" s="1" t="n">
        <v>45795</v>
      </c>
      <c r="D785" t="inlineStr">
        <is>
          <t>JÄMTLANDS LÄN</t>
        </is>
      </c>
      <c r="E785" t="inlineStr">
        <is>
          <t>STRÖMSUND</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25392-2020</t>
        </is>
      </c>
      <c r="B786" s="1" t="n">
        <v>43980</v>
      </c>
      <c r="C786" s="1" t="n">
        <v>45795</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25680-2020</t>
        </is>
      </c>
      <c r="B787" s="1" t="n">
        <v>43983</v>
      </c>
      <c r="C787" s="1" t="n">
        <v>45795</v>
      </c>
      <c r="D787" t="inlineStr">
        <is>
          <t>JÄMTLANDS LÄN</t>
        </is>
      </c>
      <c r="E787" t="inlineStr">
        <is>
          <t>STRÖMSUND</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25892-2020</t>
        </is>
      </c>
      <c r="B788" s="1" t="n">
        <v>43984</v>
      </c>
      <c r="C788" s="1" t="n">
        <v>45795</v>
      </c>
      <c r="D788" t="inlineStr">
        <is>
          <t>JÄMTLANDS LÄN</t>
        </is>
      </c>
      <c r="E788" t="inlineStr">
        <is>
          <t>STRÖMSUND</t>
        </is>
      </c>
      <c r="G788" t="n">
        <v>3.5</v>
      </c>
      <c r="H788" t="n">
        <v>0</v>
      </c>
      <c r="I788" t="n">
        <v>0</v>
      </c>
      <c r="J788" t="n">
        <v>0</v>
      </c>
      <c r="K788" t="n">
        <v>0</v>
      </c>
      <c r="L788" t="n">
        <v>0</v>
      </c>
      <c r="M788" t="n">
        <v>0</v>
      </c>
      <c r="N788" t="n">
        <v>0</v>
      </c>
      <c r="O788" t="n">
        <v>0</v>
      </c>
      <c r="P788" t="n">
        <v>0</v>
      </c>
      <c r="Q788" t="n">
        <v>0</v>
      </c>
      <c r="R788" s="2" t="inlineStr"/>
    </row>
    <row r="789" ht="15" customHeight="1">
      <c r="A789" t="inlineStr">
        <is>
          <t>A 25913-2020</t>
        </is>
      </c>
      <c r="B789" s="1" t="n">
        <v>43984</v>
      </c>
      <c r="C789" s="1" t="n">
        <v>45795</v>
      </c>
      <c r="D789" t="inlineStr">
        <is>
          <t>JÄMTLANDS LÄN</t>
        </is>
      </c>
      <c r="E789" t="inlineStr">
        <is>
          <t>STRÖMSUND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25997-2020</t>
        </is>
      </c>
      <c r="B790" s="1" t="n">
        <v>43985</v>
      </c>
      <c r="C790" s="1" t="n">
        <v>45795</v>
      </c>
      <c r="D790" t="inlineStr">
        <is>
          <t>JÄMTLANDS LÄN</t>
        </is>
      </c>
      <c r="E790" t="inlineStr">
        <is>
          <t>STRÖMSUND</t>
        </is>
      </c>
      <c r="G790" t="n">
        <v>2.4</v>
      </c>
      <c r="H790" t="n">
        <v>0</v>
      </c>
      <c r="I790" t="n">
        <v>0</v>
      </c>
      <c r="J790" t="n">
        <v>0</v>
      </c>
      <c r="K790" t="n">
        <v>0</v>
      </c>
      <c r="L790" t="n">
        <v>0</v>
      </c>
      <c r="M790" t="n">
        <v>0</v>
      </c>
      <c r="N790" t="n">
        <v>0</v>
      </c>
      <c r="O790" t="n">
        <v>0</v>
      </c>
      <c r="P790" t="n">
        <v>0</v>
      </c>
      <c r="Q790" t="n">
        <v>0</v>
      </c>
      <c r="R790" s="2" t="inlineStr"/>
    </row>
    <row r="791" ht="15" customHeight="1">
      <c r="A791" t="inlineStr">
        <is>
          <t>A 26190-2020</t>
        </is>
      </c>
      <c r="B791" s="1" t="n">
        <v>43985</v>
      </c>
      <c r="C791" s="1" t="n">
        <v>45795</v>
      </c>
      <c r="D791" t="inlineStr">
        <is>
          <t>JÄMTLANDS LÄN</t>
        </is>
      </c>
      <c r="E791" t="inlineStr">
        <is>
          <t>STRÖMSUND</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26669-2020</t>
        </is>
      </c>
      <c r="B792" s="1" t="n">
        <v>43989</v>
      </c>
      <c r="C792" s="1" t="n">
        <v>45795</v>
      </c>
      <c r="D792" t="inlineStr">
        <is>
          <t>JÄMTLANDS LÄN</t>
        </is>
      </c>
      <c r="E792" t="inlineStr">
        <is>
          <t>STRÖMSUND</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26670-2020</t>
        </is>
      </c>
      <c r="B793" s="1" t="n">
        <v>43989</v>
      </c>
      <c r="C793" s="1" t="n">
        <v>45795</v>
      </c>
      <c r="D793" t="inlineStr">
        <is>
          <t>JÄMTLANDS LÄN</t>
        </is>
      </c>
      <c r="E793" t="inlineStr">
        <is>
          <t>STRÖMSUND</t>
        </is>
      </c>
      <c r="G793" t="n">
        <v>2.3</v>
      </c>
      <c r="H793" t="n">
        <v>0</v>
      </c>
      <c r="I793" t="n">
        <v>0</v>
      </c>
      <c r="J793" t="n">
        <v>0</v>
      </c>
      <c r="K793" t="n">
        <v>0</v>
      </c>
      <c r="L793" t="n">
        <v>0</v>
      </c>
      <c r="M793" t="n">
        <v>0</v>
      </c>
      <c r="N793" t="n">
        <v>0</v>
      </c>
      <c r="O793" t="n">
        <v>0</v>
      </c>
      <c r="P793" t="n">
        <v>0</v>
      </c>
      <c r="Q793" t="n">
        <v>0</v>
      </c>
      <c r="R793" s="2" t="inlineStr"/>
    </row>
    <row r="794" ht="15" customHeight="1">
      <c r="A794" t="inlineStr">
        <is>
          <t>A 27415-2020</t>
        </is>
      </c>
      <c r="B794" s="1" t="n">
        <v>43992</v>
      </c>
      <c r="C794" s="1" t="n">
        <v>45795</v>
      </c>
      <c r="D794" t="inlineStr">
        <is>
          <t>JÄMTLANDS LÄN</t>
        </is>
      </c>
      <c r="E794" t="inlineStr">
        <is>
          <t>STRÖMSUND</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27709-2020</t>
        </is>
      </c>
      <c r="B795" s="1" t="n">
        <v>43994</v>
      </c>
      <c r="C795" s="1" t="n">
        <v>45795</v>
      </c>
      <c r="D795" t="inlineStr">
        <is>
          <t>JÄMTLANDS LÄN</t>
        </is>
      </c>
      <c r="E795" t="inlineStr">
        <is>
          <t>STRÖMSUND</t>
        </is>
      </c>
      <c r="G795" t="n">
        <v>2.9</v>
      </c>
      <c r="H795" t="n">
        <v>0</v>
      </c>
      <c r="I795" t="n">
        <v>0</v>
      </c>
      <c r="J795" t="n">
        <v>0</v>
      </c>
      <c r="K795" t="n">
        <v>0</v>
      </c>
      <c r="L795" t="n">
        <v>0</v>
      </c>
      <c r="M795" t="n">
        <v>0</v>
      </c>
      <c r="N795" t="n">
        <v>0</v>
      </c>
      <c r="O795" t="n">
        <v>0</v>
      </c>
      <c r="P795" t="n">
        <v>0</v>
      </c>
      <c r="Q795" t="n">
        <v>0</v>
      </c>
      <c r="R795" s="2" t="inlineStr"/>
    </row>
    <row r="796" ht="15" customHeight="1">
      <c r="A796" t="inlineStr">
        <is>
          <t>A 28196-2020</t>
        </is>
      </c>
      <c r="B796" s="1" t="n">
        <v>43997</v>
      </c>
      <c r="C796" s="1" t="n">
        <v>45795</v>
      </c>
      <c r="D796" t="inlineStr">
        <is>
          <t>JÄMTLANDS LÄN</t>
        </is>
      </c>
      <c r="E796" t="inlineStr">
        <is>
          <t>STRÖMSUND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28765-2020</t>
        </is>
      </c>
      <c r="B797" s="1" t="n">
        <v>43999</v>
      </c>
      <c r="C797" s="1" t="n">
        <v>45795</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29046-2020</t>
        </is>
      </c>
      <c r="B798" s="1" t="n">
        <v>44000</v>
      </c>
      <c r="C798" s="1" t="n">
        <v>45795</v>
      </c>
      <c r="D798" t="inlineStr">
        <is>
          <t>JÄMTLANDS LÄN</t>
        </is>
      </c>
      <c r="E798" t="inlineStr">
        <is>
          <t>STRÖMSUND</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30804-2020</t>
        </is>
      </c>
      <c r="B799" s="1" t="n">
        <v>44010</v>
      </c>
      <c r="C799" s="1" t="n">
        <v>45795</v>
      </c>
      <c r="D799" t="inlineStr">
        <is>
          <t>JÄMTLANDS LÄN</t>
        </is>
      </c>
      <c r="E799" t="inlineStr">
        <is>
          <t>STRÖMSUND</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30981-2020</t>
        </is>
      </c>
      <c r="B800" s="1" t="n">
        <v>44011</v>
      </c>
      <c r="C800" s="1" t="n">
        <v>45795</v>
      </c>
      <c r="D800" t="inlineStr">
        <is>
          <t>JÄMTLANDS LÄN</t>
        </is>
      </c>
      <c r="E800" t="inlineStr">
        <is>
          <t>STRÖMSUND</t>
        </is>
      </c>
      <c r="G800" t="n">
        <v>6.7</v>
      </c>
      <c r="H800" t="n">
        <v>0</v>
      </c>
      <c r="I800" t="n">
        <v>0</v>
      </c>
      <c r="J800" t="n">
        <v>0</v>
      </c>
      <c r="K800" t="n">
        <v>0</v>
      </c>
      <c r="L800" t="n">
        <v>0</v>
      </c>
      <c r="M800" t="n">
        <v>0</v>
      </c>
      <c r="N800" t="n">
        <v>0</v>
      </c>
      <c r="O800" t="n">
        <v>0</v>
      </c>
      <c r="P800" t="n">
        <v>0</v>
      </c>
      <c r="Q800" t="n">
        <v>0</v>
      </c>
      <c r="R800" s="2" t="inlineStr"/>
    </row>
    <row r="801" ht="15" customHeight="1">
      <c r="A801" t="inlineStr">
        <is>
          <t>A 31077-2020</t>
        </is>
      </c>
      <c r="B801" s="1" t="n">
        <v>44011</v>
      </c>
      <c r="C801" s="1" t="n">
        <v>45795</v>
      </c>
      <c r="D801" t="inlineStr">
        <is>
          <t>JÄMTLANDS LÄN</t>
        </is>
      </c>
      <c r="E801" t="inlineStr">
        <is>
          <t>STRÖMSUND</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31337-2020</t>
        </is>
      </c>
      <c r="B802" s="1" t="n">
        <v>44012</v>
      </c>
      <c r="C802" s="1" t="n">
        <v>45795</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31465-2020</t>
        </is>
      </c>
      <c r="B803" s="1" t="n">
        <v>44013</v>
      </c>
      <c r="C803" s="1" t="n">
        <v>45795</v>
      </c>
      <c r="D803" t="inlineStr">
        <is>
          <t>JÄMTLANDS LÄN</t>
        </is>
      </c>
      <c r="E803" t="inlineStr">
        <is>
          <t>STRÖMSUND</t>
        </is>
      </c>
      <c r="G803" t="n">
        <v>0.2</v>
      </c>
      <c r="H803" t="n">
        <v>0</v>
      </c>
      <c r="I803" t="n">
        <v>0</v>
      </c>
      <c r="J803" t="n">
        <v>0</v>
      </c>
      <c r="K803" t="n">
        <v>0</v>
      </c>
      <c r="L803" t="n">
        <v>0</v>
      </c>
      <c r="M803" t="n">
        <v>0</v>
      </c>
      <c r="N803" t="n">
        <v>0</v>
      </c>
      <c r="O803" t="n">
        <v>0</v>
      </c>
      <c r="P803" t="n">
        <v>0</v>
      </c>
      <c r="Q803" t="n">
        <v>0</v>
      </c>
      <c r="R803" s="2" t="inlineStr"/>
    </row>
    <row r="804" ht="15" customHeight="1">
      <c r="A804" t="inlineStr">
        <is>
          <t>A 31663-2020</t>
        </is>
      </c>
      <c r="B804" s="1" t="n">
        <v>44013</v>
      </c>
      <c r="C804" s="1" t="n">
        <v>45795</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31634-2020</t>
        </is>
      </c>
      <c r="B805" s="1" t="n">
        <v>44013</v>
      </c>
      <c r="C805" s="1" t="n">
        <v>45795</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31658-2020</t>
        </is>
      </c>
      <c r="B806" s="1" t="n">
        <v>44013</v>
      </c>
      <c r="C806" s="1" t="n">
        <v>45795</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31990-2020</t>
        </is>
      </c>
      <c r="B807" s="1" t="n">
        <v>44014</v>
      </c>
      <c r="C807" s="1" t="n">
        <v>45795</v>
      </c>
      <c r="D807" t="inlineStr">
        <is>
          <t>JÄMTLANDS LÄN</t>
        </is>
      </c>
      <c r="E807" t="inlineStr">
        <is>
          <t>STRÖMSUND</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31991-2020</t>
        </is>
      </c>
      <c r="B808" s="1" t="n">
        <v>44014</v>
      </c>
      <c r="C808" s="1" t="n">
        <v>45795</v>
      </c>
      <c r="D808" t="inlineStr">
        <is>
          <t>JÄMTLANDS LÄN</t>
        </is>
      </c>
      <c r="E808" t="inlineStr">
        <is>
          <t>STRÖMSUND</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32315-2020</t>
        </is>
      </c>
      <c r="B809" s="1" t="n">
        <v>44015</v>
      </c>
      <c r="C809" s="1" t="n">
        <v>45795</v>
      </c>
      <c r="D809" t="inlineStr">
        <is>
          <t>JÄMTLANDS LÄN</t>
        </is>
      </c>
      <c r="E809" t="inlineStr">
        <is>
          <t>STRÖMSUND</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32307-2020</t>
        </is>
      </c>
      <c r="B810" s="1" t="n">
        <v>44015</v>
      </c>
      <c r="C810" s="1" t="n">
        <v>45795</v>
      </c>
      <c r="D810" t="inlineStr">
        <is>
          <t>JÄMTLANDS LÄN</t>
        </is>
      </c>
      <c r="E810" t="inlineStr">
        <is>
          <t>STRÖMSUND</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32316-2020</t>
        </is>
      </c>
      <c r="B811" s="1" t="n">
        <v>44015</v>
      </c>
      <c r="C811" s="1" t="n">
        <v>45795</v>
      </c>
      <c r="D811" t="inlineStr">
        <is>
          <t>JÄMTLANDS LÄN</t>
        </is>
      </c>
      <c r="E811" t="inlineStr">
        <is>
          <t>STRÖMSUND</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32326-2020</t>
        </is>
      </c>
      <c r="B812" s="1" t="n">
        <v>44015</v>
      </c>
      <c r="C812" s="1" t="n">
        <v>45795</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32199-2020</t>
        </is>
      </c>
      <c r="B813" s="1" t="n">
        <v>44015</v>
      </c>
      <c r="C813" s="1" t="n">
        <v>45795</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32783-2020</t>
        </is>
      </c>
      <c r="B814" s="1" t="n">
        <v>44019</v>
      </c>
      <c r="C814" s="1" t="n">
        <v>45795</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33135-2020</t>
        </is>
      </c>
      <c r="B815" s="1" t="n">
        <v>44019</v>
      </c>
      <c r="C815" s="1" t="n">
        <v>45795</v>
      </c>
      <c r="D815" t="inlineStr">
        <is>
          <t>JÄMTLANDS LÄN</t>
        </is>
      </c>
      <c r="E815" t="inlineStr">
        <is>
          <t>STRÖMSUND</t>
        </is>
      </c>
      <c r="G815" t="n">
        <v>0.4</v>
      </c>
      <c r="H815" t="n">
        <v>0</v>
      </c>
      <c r="I815" t="n">
        <v>0</v>
      </c>
      <c r="J815" t="n">
        <v>0</v>
      </c>
      <c r="K815" t="n">
        <v>0</v>
      </c>
      <c r="L815" t="n">
        <v>0</v>
      </c>
      <c r="M815" t="n">
        <v>0</v>
      </c>
      <c r="N815" t="n">
        <v>0</v>
      </c>
      <c r="O815" t="n">
        <v>0</v>
      </c>
      <c r="P815" t="n">
        <v>0</v>
      </c>
      <c r="Q815" t="n">
        <v>0</v>
      </c>
      <c r="R815" s="2" t="inlineStr"/>
    </row>
    <row r="816" ht="15" customHeight="1">
      <c r="A816" t="inlineStr">
        <is>
          <t>A 32763-2020</t>
        </is>
      </c>
      <c r="B816" s="1" t="n">
        <v>44019</v>
      </c>
      <c r="C816" s="1" t="n">
        <v>45795</v>
      </c>
      <c r="D816" t="inlineStr">
        <is>
          <t>JÄMTLANDS LÄN</t>
        </is>
      </c>
      <c r="E816" t="inlineStr">
        <is>
          <t>STRÖMSUND</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33006-2020</t>
        </is>
      </c>
      <c r="B817" s="1" t="n">
        <v>44020</v>
      </c>
      <c r="C817" s="1" t="n">
        <v>45795</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33017-2020</t>
        </is>
      </c>
      <c r="B818" s="1" t="n">
        <v>44020</v>
      </c>
      <c r="C818" s="1" t="n">
        <v>45795</v>
      </c>
      <c r="D818" t="inlineStr">
        <is>
          <t>JÄMTLANDS LÄN</t>
        </is>
      </c>
      <c r="E818" t="inlineStr">
        <is>
          <t>STRÖMSUND</t>
        </is>
      </c>
      <c r="F818" t="inlineStr">
        <is>
          <t>Sveaskog</t>
        </is>
      </c>
      <c r="G818" t="n">
        <v>20.8</v>
      </c>
      <c r="H818" t="n">
        <v>0</v>
      </c>
      <c r="I818" t="n">
        <v>0</v>
      </c>
      <c r="J818" t="n">
        <v>0</v>
      </c>
      <c r="K818" t="n">
        <v>0</v>
      </c>
      <c r="L818" t="n">
        <v>0</v>
      </c>
      <c r="M818" t="n">
        <v>0</v>
      </c>
      <c r="N818" t="n">
        <v>0</v>
      </c>
      <c r="O818" t="n">
        <v>0</v>
      </c>
      <c r="P818" t="n">
        <v>0</v>
      </c>
      <c r="Q818" t="n">
        <v>0</v>
      </c>
      <c r="R818" s="2" t="inlineStr"/>
    </row>
    <row r="819" ht="15" customHeight="1">
      <c r="A819" t="inlineStr">
        <is>
          <t>A 33007-2020</t>
        </is>
      </c>
      <c r="B819" s="1" t="n">
        <v>44020</v>
      </c>
      <c r="C819" s="1" t="n">
        <v>45795</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33205-2020</t>
        </is>
      </c>
      <c r="B820" s="1" t="n">
        <v>44021</v>
      </c>
      <c r="C820" s="1" t="n">
        <v>45795</v>
      </c>
      <c r="D820" t="inlineStr">
        <is>
          <t>JÄMTLANDS LÄN</t>
        </is>
      </c>
      <c r="E820" t="inlineStr">
        <is>
          <t>STRÖMSUND</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33207-2020</t>
        </is>
      </c>
      <c r="B821" s="1" t="n">
        <v>44021</v>
      </c>
      <c r="C821" s="1" t="n">
        <v>45795</v>
      </c>
      <c r="D821" t="inlineStr">
        <is>
          <t>JÄMTLANDS LÄN</t>
        </is>
      </c>
      <c r="E821" t="inlineStr">
        <is>
          <t>STRÖMSUND</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33460-2020</t>
        </is>
      </c>
      <c r="B822" s="1" t="n">
        <v>44022</v>
      </c>
      <c r="C822" s="1" t="n">
        <v>45795</v>
      </c>
      <c r="D822" t="inlineStr">
        <is>
          <t>JÄMTLANDS LÄN</t>
        </is>
      </c>
      <c r="E822" t="inlineStr">
        <is>
          <t>STRÖMSUND</t>
        </is>
      </c>
      <c r="F822" t="inlineStr">
        <is>
          <t>SCA</t>
        </is>
      </c>
      <c r="G822" t="n">
        <v>10.5</v>
      </c>
      <c r="H822" t="n">
        <v>0</v>
      </c>
      <c r="I822" t="n">
        <v>0</v>
      </c>
      <c r="J822" t="n">
        <v>0</v>
      </c>
      <c r="K822" t="n">
        <v>0</v>
      </c>
      <c r="L822" t="n">
        <v>0</v>
      </c>
      <c r="M822" t="n">
        <v>0</v>
      </c>
      <c r="N822" t="n">
        <v>0</v>
      </c>
      <c r="O822" t="n">
        <v>0</v>
      </c>
      <c r="P822" t="n">
        <v>0</v>
      </c>
      <c r="Q822" t="n">
        <v>0</v>
      </c>
      <c r="R822" s="2" t="inlineStr"/>
    </row>
    <row r="823" ht="15" customHeight="1">
      <c r="A823" t="inlineStr">
        <is>
          <t>A 33439-2020</t>
        </is>
      </c>
      <c r="B823" s="1" t="n">
        <v>44022</v>
      </c>
      <c r="C823" s="1" t="n">
        <v>45795</v>
      </c>
      <c r="D823" t="inlineStr">
        <is>
          <t>JÄMTLANDS LÄN</t>
        </is>
      </c>
      <c r="E823" t="inlineStr">
        <is>
          <t>STRÖMSUND</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33446-2020</t>
        </is>
      </c>
      <c r="B824" s="1" t="n">
        <v>44022</v>
      </c>
      <c r="C824" s="1" t="n">
        <v>45795</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33632-2020</t>
        </is>
      </c>
      <c r="B825" s="1" t="n">
        <v>44025</v>
      </c>
      <c r="C825" s="1" t="n">
        <v>45795</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33617-2020</t>
        </is>
      </c>
      <c r="B826" s="1" t="n">
        <v>44025</v>
      </c>
      <c r="C826" s="1" t="n">
        <v>45795</v>
      </c>
      <c r="D826" t="inlineStr">
        <is>
          <t>JÄMTLANDS LÄN</t>
        </is>
      </c>
      <c r="E826" t="inlineStr">
        <is>
          <t>STRÖMSUND</t>
        </is>
      </c>
      <c r="F826" t="inlineStr">
        <is>
          <t>SCA</t>
        </is>
      </c>
      <c r="G826" t="n">
        <v>135.3</v>
      </c>
      <c r="H826" t="n">
        <v>0</v>
      </c>
      <c r="I826" t="n">
        <v>0</v>
      </c>
      <c r="J826" t="n">
        <v>0</v>
      </c>
      <c r="K826" t="n">
        <v>0</v>
      </c>
      <c r="L826" t="n">
        <v>0</v>
      </c>
      <c r="M826" t="n">
        <v>0</v>
      </c>
      <c r="N826" t="n">
        <v>0</v>
      </c>
      <c r="O826" t="n">
        <v>0</v>
      </c>
      <c r="P826" t="n">
        <v>0</v>
      </c>
      <c r="Q826" t="n">
        <v>0</v>
      </c>
      <c r="R826" s="2" t="inlineStr"/>
    </row>
    <row r="827" ht="15" customHeight="1">
      <c r="A827" t="inlineStr">
        <is>
          <t>A 34079-2020</t>
        </is>
      </c>
      <c r="B827" s="1" t="n">
        <v>44028</v>
      </c>
      <c r="C827" s="1" t="n">
        <v>45795</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34084-2020</t>
        </is>
      </c>
      <c r="B828" s="1" t="n">
        <v>44028</v>
      </c>
      <c r="C828" s="1" t="n">
        <v>45795</v>
      </c>
      <c r="D828" t="inlineStr">
        <is>
          <t>JÄMTLANDS LÄN</t>
        </is>
      </c>
      <c r="E828" t="inlineStr">
        <is>
          <t>STRÖMSUND</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34080-2020</t>
        </is>
      </c>
      <c r="B829" s="1" t="n">
        <v>44028</v>
      </c>
      <c r="C829" s="1" t="n">
        <v>45795</v>
      </c>
      <c r="D829" t="inlineStr">
        <is>
          <t>JÄMTLANDS LÄN</t>
        </is>
      </c>
      <c r="E829" t="inlineStr">
        <is>
          <t>STRÖMSUND</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33959-2020</t>
        </is>
      </c>
      <c r="B830" s="1" t="n">
        <v>44028</v>
      </c>
      <c r="C830" s="1" t="n">
        <v>45795</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34082-2020</t>
        </is>
      </c>
      <c r="B831" s="1" t="n">
        <v>44028</v>
      </c>
      <c r="C831" s="1" t="n">
        <v>45795</v>
      </c>
      <c r="D831" t="inlineStr">
        <is>
          <t>JÄMTLANDS LÄN</t>
        </is>
      </c>
      <c r="E831" t="inlineStr">
        <is>
          <t>STRÖMSUND</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34086-2020</t>
        </is>
      </c>
      <c r="B832" s="1" t="n">
        <v>44028</v>
      </c>
      <c r="C832" s="1" t="n">
        <v>45795</v>
      </c>
      <c r="D832" t="inlineStr">
        <is>
          <t>JÄMTLANDS LÄN</t>
        </is>
      </c>
      <c r="E832" t="inlineStr">
        <is>
          <t>STRÖMSUND</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34078-2020</t>
        </is>
      </c>
      <c r="B833" s="1" t="n">
        <v>44028</v>
      </c>
      <c r="C833" s="1" t="n">
        <v>45795</v>
      </c>
      <c r="D833" t="inlineStr">
        <is>
          <t>JÄMTLANDS LÄN</t>
        </is>
      </c>
      <c r="E833" t="inlineStr">
        <is>
          <t>STRÖMSUND</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34083-2020</t>
        </is>
      </c>
      <c r="B834" s="1" t="n">
        <v>44028</v>
      </c>
      <c r="C834" s="1" t="n">
        <v>45795</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34162-2020</t>
        </is>
      </c>
      <c r="B835" s="1" t="n">
        <v>44029</v>
      </c>
      <c r="C835" s="1" t="n">
        <v>45795</v>
      </c>
      <c r="D835" t="inlineStr">
        <is>
          <t>JÄMTLANDS LÄN</t>
        </is>
      </c>
      <c r="E835" t="inlineStr">
        <is>
          <t>STRÖMSUND</t>
        </is>
      </c>
      <c r="F835" t="inlineStr">
        <is>
          <t>Sveaskog</t>
        </is>
      </c>
      <c r="G835" t="n">
        <v>3</v>
      </c>
      <c r="H835" t="n">
        <v>0</v>
      </c>
      <c r="I835" t="n">
        <v>0</v>
      </c>
      <c r="J835" t="n">
        <v>0</v>
      </c>
      <c r="K835" t="n">
        <v>0</v>
      </c>
      <c r="L835" t="n">
        <v>0</v>
      </c>
      <c r="M835" t="n">
        <v>0</v>
      </c>
      <c r="N835" t="n">
        <v>0</v>
      </c>
      <c r="O835" t="n">
        <v>0</v>
      </c>
      <c r="P835" t="n">
        <v>0</v>
      </c>
      <c r="Q835" t="n">
        <v>0</v>
      </c>
      <c r="R835" s="2" t="inlineStr"/>
    </row>
    <row r="836" ht="15" customHeight="1">
      <c r="A836" t="inlineStr">
        <is>
          <t>A 34280-2020</t>
        </is>
      </c>
      <c r="B836" s="1" t="n">
        <v>44029</v>
      </c>
      <c r="C836" s="1" t="n">
        <v>45795</v>
      </c>
      <c r="D836" t="inlineStr">
        <is>
          <t>JÄMTLANDS LÄN</t>
        </is>
      </c>
      <c r="E836" t="inlineStr">
        <is>
          <t>STRÖMSUND</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34292-2020</t>
        </is>
      </c>
      <c r="B837" s="1" t="n">
        <v>44029</v>
      </c>
      <c r="C837" s="1" t="n">
        <v>45795</v>
      </c>
      <c r="D837" t="inlineStr">
        <is>
          <t>JÄMTLANDS LÄN</t>
        </is>
      </c>
      <c r="E837" t="inlineStr">
        <is>
          <t>STRÖMSUND</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34289-2020</t>
        </is>
      </c>
      <c r="B838" s="1" t="n">
        <v>44029</v>
      </c>
      <c r="C838" s="1" t="n">
        <v>45795</v>
      </c>
      <c r="D838" t="inlineStr">
        <is>
          <t>JÄMTLANDS LÄN</t>
        </is>
      </c>
      <c r="E838" t="inlineStr">
        <is>
          <t>STRÖMSUND</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34658-2020</t>
        </is>
      </c>
      <c r="B839" s="1" t="n">
        <v>44034</v>
      </c>
      <c r="C839" s="1" t="n">
        <v>45795</v>
      </c>
      <c r="D839" t="inlineStr">
        <is>
          <t>JÄMTLANDS LÄN</t>
        </is>
      </c>
      <c r="E839" t="inlineStr">
        <is>
          <t>STRÖMSUND</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34796-2020</t>
        </is>
      </c>
      <c r="B840" s="1" t="n">
        <v>44035</v>
      </c>
      <c r="C840" s="1" t="n">
        <v>45795</v>
      </c>
      <c r="D840" t="inlineStr">
        <is>
          <t>JÄMTLANDS LÄN</t>
        </is>
      </c>
      <c r="E840" t="inlineStr">
        <is>
          <t>STRÖMSUND</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34855-2020</t>
        </is>
      </c>
      <c r="B841" s="1" t="n">
        <v>44036</v>
      </c>
      <c r="C841" s="1" t="n">
        <v>45795</v>
      </c>
      <c r="D841" t="inlineStr">
        <is>
          <t>JÄMTLANDS LÄN</t>
        </is>
      </c>
      <c r="E841" t="inlineStr">
        <is>
          <t>STRÖMSUND</t>
        </is>
      </c>
      <c r="G841" t="n">
        <v>20.2</v>
      </c>
      <c r="H841" t="n">
        <v>0</v>
      </c>
      <c r="I841" t="n">
        <v>0</v>
      </c>
      <c r="J841" t="n">
        <v>0</v>
      </c>
      <c r="K841" t="n">
        <v>0</v>
      </c>
      <c r="L841" t="n">
        <v>0</v>
      </c>
      <c r="M841" t="n">
        <v>0</v>
      </c>
      <c r="N841" t="n">
        <v>0</v>
      </c>
      <c r="O841" t="n">
        <v>0</v>
      </c>
      <c r="P841" t="n">
        <v>0</v>
      </c>
      <c r="Q841" t="n">
        <v>0</v>
      </c>
      <c r="R841" s="2" t="inlineStr"/>
    </row>
    <row r="842" ht="15" customHeight="1">
      <c r="A842" t="inlineStr">
        <is>
          <t>A 34952-2020</t>
        </is>
      </c>
      <c r="B842" s="1" t="n">
        <v>44038</v>
      </c>
      <c r="C842" s="1" t="n">
        <v>45795</v>
      </c>
      <c r="D842" t="inlineStr">
        <is>
          <t>JÄMTLANDS LÄN</t>
        </is>
      </c>
      <c r="E842" t="inlineStr">
        <is>
          <t>STRÖMSUND</t>
        </is>
      </c>
      <c r="G842" t="n">
        <v>26.1</v>
      </c>
      <c r="H842" t="n">
        <v>0</v>
      </c>
      <c r="I842" t="n">
        <v>0</v>
      </c>
      <c r="J842" t="n">
        <v>0</v>
      </c>
      <c r="K842" t="n">
        <v>0</v>
      </c>
      <c r="L842" t="n">
        <v>0</v>
      </c>
      <c r="M842" t="n">
        <v>0</v>
      </c>
      <c r="N842" t="n">
        <v>0</v>
      </c>
      <c r="O842" t="n">
        <v>0</v>
      </c>
      <c r="P842" t="n">
        <v>0</v>
      </c>
      <c r="Q842" t="n">
        <v>0</v>
      </c>
      <c r="R842" s="2" t="inlineStr"/>
    </row>
    <row r="843" ht="15" customHeight="1">
      <c r="A843" t="inlineStr">
        <is>
          <t>A 35393-2020</t>
        </is>
      </c>
      <c r="B843" s="1" t="n">
        <v>44042</v>
      </c>
      <c r="C843" s="1" t="n">
        <v>45795</v>
      </c>
      <c r="D843" t="inlineStr">
        <is>
          <t>JÄMTLANDS LÄN</t>
        </is>
      </c>
      <c r="E843" t="inlineStr">
        <is>
          <t>STRÖMSUND</t>
        </is>
      </c>
      <c r="G843" t="n">
        <v>0.8</v>
      </c>
      <c r="H843" t="n">
        <v>0</v>
      </c>
      <c r="I843" t="n">
        <v>0</v>
      </c>
      <c r="J843" t="n">
        <v>0</v>
      </c>
      <c r="K843" t="n">
        <v>0</v>
      </c>
      <c r="L843" t="n">
        <v>0</v>
      </c>
      <c r="M843" t="n">
        <v>0</v>
      </c>
      <c r="N843" t="n">
        <v>0</v>
      </c>
      <c r="O843" t="n">
        <v>0</v>
      </c>
      <c r="P843" t="n">
        <v>0</v>
      </c>
      <c r="Q843" t="n">
        <v>0</v>
      </c>
      <c r="R843" s="2" t="inlineStr"/>
    </row>
    <row r="844" ht="15" customHeight="1">
      <c r="A844" t="inlineStr">
        <is>
          <t>A 35605-2020</t>
        </is>
      </c>
      <c r="B844" s="1" t="n">
        <v>44043</v>
      </c>
      <c r="C844" s="1" t="n">
        <v>45795</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35658-2020</t>
        </is>
      </c>
      <c r="B845" s="1" t="n">
        <v>44046</v>
      </c>
      <c r="C845" s="1" t="n">
        <v>45795</v>
      </c>
      <c r="D845" t="inlineStr">
        <is>
          <t>JÄMTLANDS LÄN</t>
        </is>
      </c>
      <c r="E845" t="inlineStr">
        <is>
          <t>STRÖMSUND</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36504-2020</t>
        </is>
      </c>
      <c r="B846" s="1" t="n">
        <v>44050</v>
      </c>
      <c r="C846" s="1" t="n">
        <v>45795</v>
      </c>
      <c r="D846" t="inlineStr">
        <is>
          <t>JÄMTLANDS LÄN</t>
        </is>
      </c>
      <c r="E846" t="inlineStr">
        <is>
          <t>STRÖMSUND</t>
        </is>
      </c>
      <c r="F846" t="inlineStr">
        <is>
          <t>Holmen skog AB</t>
        </is>
      </c>
      <c r="G846" t="n">
        <v>3.2</v>
      </c>
      <c r="H846" t="n">
        <v>0</v>
      </c>
      <c r="I846" t="n">
        <v>0</v>
      </c>
      <c r="J846" t="n">
        <v>0</v>
      </c>
      <c r="K846" t="n">
        <v>0</v>
      </c>
      <c r="L846" t="n">
        <v>0</v>
      </c>
      <c r="M846" t="n">
        <v>0</v>
      </c>
      <c r="N846" t="n">
        <v>0</v>
      </c>
      <c r="O846" t="n">
        <v>0</v>
      </c>
      <c r="P846" t="n">
        <v>0</v>
      </c>
      <c r="Q846" t="n">
        <v>0</v>
      </c>
      <c r="R846" s="2" t="inlineStr"/>
    </row>
    <row r="847" ht="15" customHeight="1">
      <c r="A847" t="inlineStr">
        <is>
          <t>A 36574-2020</t>
        </is>
      </c>
      <c r="B847" s="1" t="n">
        <v>44050</v>
      </c>
      <c r="C847" s="1" t="n">
        <v>45795</v>
      </c>
      <c r="D847" t="inlineStr">
        <is>
          <t>JÄMTLANDS LÄN</t>
        </is>
      </c>
      <c r="E847" t="inlineStr">
        <is>
          <t>STRÖMSUND</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36787-2020</t>
        </is>
      </c>
      <c r="B848" s="1" t="n">
        <v>44053</v>
      </c>
      <c r="C848" s="1" t="n">
        <v>45795</v>
      </c>
      <c r="D848" t="inlineStr">
        <is>
          <t>JÄMTLANDS LÄN</t>
        </is>
      </c>
      <c r="E848" t="inlineStr">
        <is>
          <t>STRÖMSUND</t>
        </is>
      </c>
      <c r="F848" t="inlineStr">
        <is>
          <t>Holmen skog AB</t>
        </is>
      </c>
      <c r="G848" t="n">
        <v>5.3</v>
      </c>
      <c r="H848" t="n">
        <v>0</v>
      </c>
      <c r="I848" t="n">
        <v>0</v>
      </c>
      <c r="J848" t="n">
        <v>0</v>
      </c>
      <c r="K848" t="n">
        <v>0</v>
      </c>
      <c r="L848" t="n">
        <v>0</v>
      </c>
      <c r="M848" t="n">
        <v>0</v>
      </c>
      <c r="N848" t="n">
        <v>0</v>
      </c>
      <c r="O848" t="n">
        <v>0</v>
      </c>
      <c r="P848" t="n">
        <v>0</v>
      </c>
      <c r="Q848" t="n">
        <v>0</v>
      </c>
      <c r="R848" s="2" t="inlineStr"/>
    </row>
    <row r="849" ht="15" customHeight="1">
      <c r="A849" t="inlineStr">
        <is>
          <t>A 36963-2020</t>
        </is>
      </c>
      <c r="B849" s="1" t="n">
        <v>44053</v>
      </c>
      <c r="C849" s="1" t="n">
        <v>45795</v>
      </c>
      <c r="D849" t="inlineStr">
        <is>
          <t>JÄMTLANDS LÄN</t>
        </is>
      </c>
      <c r="E849" t="inlineStr">
        <is>
          <t>STRÖMSUND</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37308-2020</t>
        </is>
      </c>
      <c r="B850" s="1" t="n">
        <v>44055</v>
      </c>
      <c r="C850" s="1" t="n">
        <v>45795</v>
      </c>
      <c r="D850" t="inlineStr">
        <is>
          <t>JÄMTLANDS LÄN</t>
        </is>
      </c>
      <c r="E850" t="inlineStr">
        <is>
          <t>STRÖMSUND</t>
        </is>
      </c>
      <c r="F850" t="inlineStr">
        <is>
          <t>Holmen skog AB</t>
        </is>
      </c>
      <c r="G850" t="n">
        <v>1.3</v>
      </c>
      <c r="H850" t="n">
        <v>0</v>
      </c>
      <c r="I850" t="n">
        <v>0</v>
      </c>
      <c r="J850" t="n">
        <v>0</v>
      </c>
      <c r="K850" t="n">
        <v>0</v>
      </c>
      <c r="L850" t="n">
        <v>0</v>
      </c>
      <c r="M850" t="n">
        <v>0</v>
      </c>
      <c r="N850" t="n">
        <v>0</v>
      </c>
      <c r="O850" t="n">
        <v>0</v>
      </c>
      <c r="P850" t="n">
        <v>0</v>
      </c>
      <c r="Q850" t="n">
        <v>0</v>
      </c>
      <c r="R850" s="2" t="inlineStr"/>
    </row>
    <row r="851" ht="15" customHeight="1">
      <c r="A851" t="inlineStr">
        <is>
          <t>A 37501-2020</t>
        </is>
      </c>
      <c r="B851" s="1" t="n">
        <v>44055</v>
      </c>
      <c r="C851" s="1" t="n">
        <v>45795</v>
      </c>
      <c r="D851" t="inlineStr">
        <is>
          <t>JÄMTLANDS LÄN</t>
        </is>
      </c>
      <c r="E851" t="inlineStr">
        <is>
          <t>STRÖMSUND</t>
        </is>
      </c>
      <c r="G851" t="n">
        <v>1.1</v>
      </c>
      <c r="H851" t="n">
        <v>0</v>
      </c>
      <c r="I851" t="n">
        <v>0</v>
      </c>
      <c r="J851" t="n">
        <v>0</v>
      </c>
      <c r="K851" t="n">
        <v>0</v>
      </c>
      <c r="L851" t="n">
        <v>0</v>
      </c>
      <c r="M851" t="n">
        <v>0</v>
      </c>
      <c r="N851" t="n">
        <v>0</v>
      </c>
      <c r="O851" t="n">
        <v>0</v>
      </c>
      <c r="P851" t="n">
        <v>0</v>
      </c>
      <c r="Q851" t="n">
        <v>0</v>
      </c>
      <c r="R851" s="2" t="inlineStr"/>
    </row>
    <row r="852" ht="15" customHeight="1">
      <c r="A852" t="inlineStr">
        <is>
          <t>A 37878-2020</t>
        </is>
      </c>
      <c r="B852" s="1" t="n">
        <v>44057</v>
      </c>
      <c r="C852" s="1" t="n">
        <v>45795</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38019-2020</t>
        </is>
      </c>
      <c r="B853" s="1" t="n">
        <v>44057</v>
      </c>
      <c r="C853" s="1" t="n">
        <v>45795</v>
      </c>
      <c r="D853" t="inlineStr">
        <is>
          <t>JÄMTLANDS LÄN</t>
        </is>
      </c>
      <c r="E853" t="inlineStr">
        <is>
          <t>STRÖMSUND</t>
        </is>
      </c>
      <c r="G853" t="n">
        <v>0.2</v>
      </c>
      <c r="H853" t="n">
        <v>0</v>
      </c>
      <c r="I853" t="n">
        <v>0</v>
      </c>
      <c r="J853" t="n">
        <v>0</v>
      </c>
      <c r="K853" t="n">
        <v>0</v>
      </c>
      <c r="L853" t="n">
        <v>0</v>
      </c>
      <c r="M853" t="n">
        <v>0</v>
      </c>
      <c r="N853" t="n">
        <v>0</v>
      </c>
      <c r="O853" t="n">
        <v>0</v>
      </c>
      <c r="P853" t="n">
        <v>0</v>
      </c>
      <c r="Q853" t="n">
        <v>0</v>
      </c>
      <c r="R853" s="2" t="inlineStr"/>
    </row>
    <row r="854" ht="15" customHeight="1">
      <c r="A854" t="inlineStr">
        <is>
          <t>A 38029-2020</t>
        </is>
      </c>
      <c r="B854" s="1" t="n">
        <v>44057</v>
      </c>
      <c r="C854" s="1" t="n">
        <v>45795</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38070-2020</t>
        </is>
      </c>
      <c r="B855" s="1" t="n">
        <v>44057</v>
      </c>
      <c r="C855" s="1" t="n">
        <v>45795</v>
      </c>
      <c r="D855" t="inlineStr">
        <is>
          <t>JÄMTLANDS LÄN</t>
        </is>
      </c>
      <c r="E855" t="inlineStr">
        <is>
          <t>STRÖMSUND</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38071-2020</t>
        </is>
      </c>
      <c r="B856" s="1" t="n">
        <v>44057</v>
      </c>
      <c r="C856" s="1" t="n">
        <v>45795</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38266-2020</t>
        </is>
      </c>
      <c r="B857" s="1" t="n">
        <v>44060</v>
      </c>
      <c r="C857" s="1" t="n">
        <v>45795</v>
      </c>
      <c r="D857" t="inlineStr">
        <is>
          <t>JÄMTLANDS LÄN</t>
        </is>
      </c>
      <c r="E857" t="inlineStr">
        <is>
          <t>STRÖMSUND</t>
        </is>
      </c>
      <c r="G857" t="n">
        <v>2.5</v>
      </c>
      <c r="H857" t="n">
        <v>0</v>
      </c>
      <c r="I857" t="n">
        <v>0</v>
      </c>
      <c r="J857" t="n">
        <v>0</v>
      </c>
      <c r="K857" t="n">
        <v>0</v>
      </c>
      <c r="L857" t="n">
        <v>0</v>
      </c>
      <c r="M857" t="n">
        <v>0</v>
      </c>
      <c r="N857" t="n">
        <v>0</v>
      </c>
      <c r="O857" t="n">
        <v>0</v>
      </c>
      <c r="P857" t="n">
        <v>0</v>
      </c>
      <c r="Q857" t="n">
        <v>0</v>
      </c>
      <c r="R857" s="2" t="inlineStr"/>
    </row>
    <row r="858" ht="15" customHeight="1">
      <c r="A858" t="inlineStr">
        <is>
          <t>A 38261-2020</t>
        </is>
      </c>
      <c r="B858" s="1" t="n">
        <v>44060</v>
      </c>
      <c r="C858" s="1" t="n">
        <v>45795</v>
      </c>
      <c r="D858" t="inlineStr">
        <is>
          <t>JÄMTLANDS LÄN</t>
        </is>
      </c>
      <c r="E858" t="inlineStr">
        <is>
          <t>STRÖMSUND</t>
        </is>
      </c>
      <c r="G858" t="n">
        <v>2.8</v>
      </c>
      <c r="H858" t="n">
        <v>0</v>
      </c>
      <c r="I858" t="n">
        <v>0</v>
      </c>
      <c r="J858" t="n">
        <v>0</v>
      </c>
      <c r="K858" t="n">
        <v>0</v>
      </c>
      <c r="L858" t="n">
        <v>0</v>
      </c>
      <c r="M858" t="n">
        <v>0</v>
      </c>
      <c r="N858" t="n">
        <v>0</v>
      </c>
      <c r="O858" t="n">
        <v>0</v>
      </c>
      <c r="P858" t="n">
        <v>0</v>
      </c>
      <c r="Q858" t="n">
        <v>0</v>
      </c>
      <c r="R858" s="2" t="inlineStr"/>
    </row>
    <row r="859" ht="15" customHeight="1">
      <c r="A859" t="inlineStr">
        <is>
          <t>A 38268-2020</t>
        </is>
      </c>
      <c r="B859" s="1" t="n">
        <v>44060</v>
      </c>
      <c r="C859" s="1" t="n">
        <v>45795</v>
      </c>
      <c r="D859" t="inlineStr">
        <is>
          <t>JÄMTLANDS LÄN</t>
        </is>
      </c>
      <c r="E859" t="inlineStr">
        <is>
          <t>STRÖMSUND</t>
        </is>
      </c>
      <c r="G859" t="n">
        <v>6.4</v>
      </c>
      <c r="H859" t="n">
        <v>0</v>
      </c>
      <c r="I859" t="n">
        <v>0</v>
      </c>
      <c r="J859" t="n">
        <v>0</v>
      </c>
      <c r="K859" t="n">
        <v>0</v>
      </c>
      <c r="L859" t="n">
        <v>0</v>
      </c>
      <c r="M859" t="n">
        <v>0</v>
      </c>
      <c r="N859" t="n">
        <v>0</v>
      </c>
      <c r="O859" t="n">
        <v>0</v>
      </c>
      <c r="P859" t="n">
        <v>0</v>
      </c>
      <c r="Q859" t="n">
        <v>0</v>
      </c>
      <c r="R859" s="2" t="inlineStr"/>
    </row>
    <row r="860" ht="15" customHeight="1">
      <c r="A860" t="inlineStr">
        <is>
          <t>A 38484-2020</t>
        </is>
      </c>
      <c r="B860" s="1" t="n">
        <v>44060</v>
      </c>
      <c r="C860" s="1" t="n">
        <v>45795</v>
      </c>
      <c r="D860" t="inlineStr">
        <is>
          <t>JÄMTLANDS LÄN</t>
        </is>
      </c>
      <c r="E860" t="inlineStr">
        <is>
          <t>STRÖMSUND</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38467-2020</t>
        </is>
      </c>
      <c r="B861" s="1" t="n">
        <v>44060</v>
      </c>
      <c r="C861" s="1" t="n">
        <v>45795</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38485-2020</t>
        </is>
      </c>
      <c r="B862" s="1" t="n">
        <v>44060</v>
      </c>
      <c r="C862" s="1" t="n">
        <v>45795</v>
      </c>
      <c r="D862" t="inlineStr">
        <is>
          <t>JÄMTLANDS LÄN</t>
        </is>
      </c>
      <c r="E862" t="inlineStr">
        <is>
          <t>STRÖMSUND</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38779-2020</t>
        </is>
      </c>
      <c r="B863" s="1" t="n">
        <v>44061</v>
      </c>
      <c r="C863" s="1" t="n">
        <v>45795</v>
      </c>
      <c r="D863" t="inlineStr">
        <is>
          <t>JÄMTLANDS LÄN</t>
        </is>
      </c>
      <c r="E863" t="inlineStr">
        <is>
          <t>STRÖMSUND</t>
        </is>
      </c>
      <c r="F863" t="inlineStr">
        <is>
          <t>SCA</t>
        </is>
      </c>
      <c r="G863" t="n">
        <v>34.2</v>
      </c>
      <c r="H863" t="n">
        <v>0</v>
      </c>
      <c r="I863" t="n">
        <v>0</v>
      </c>
      <c r="J863" t="n">
        <v>0</v>
      </c>
      <c r="K863" t="n">
        <v>0</v>
      </c>
      <c r="L863" t="n">
        <v>0</v>
      </c>
      <c r="M863" t="n">
        <v>0</v>
      </c>
      <c r="N863" t="n">
        <v>0</v>
      </c>
      <c r="O863" t="n">
        <v>0</v>
      </c>
      <c r="P863" t="n">
        <v>0</v>
      </c>
      <c r="Q863" t="n">
        <v>0</v>
      </c>
      <c r="R863" s="2" t="inlineStr"/>
    </row>
    <row r="864" ht="15" customHeight="1">
      <c r="A864" t="inlineStr">
        <is>
          <t>A 38781-2020</t>
        </is>
      </c>
      <c r="B864" s="1" t="n">
        <v>44061</v>
      </c>
      <c r="C864" s="1" t="n">
        <v>45795</v>
      </c>
      <c r="D864" t="inlineStr">
        <is>
          <t>JÄMTLANDS LÄN</t>
        </is>
      </c>
      <c r="E864" t="inlineStr">
        <is>
          <t>STRÖMSUND</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38780-2020</t>
        </is>
      </c>
      <c r="B865" s="1" t="n">
        <v>44061</v>
      </c>
      <c r="C865" s="1" t="n">
        <v>45795</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38782-2020</t>
        </is>
      </c>
      <c r="B866" s="1" t="n">
        <v>44061</v>
      </c>
      <c r="C866" s="1" t="n">
        <v>45795</v>
      </c>
      <c r="D866" t="inlineStr">
        <is>
          <t>JÄMTLANDS LÄN</t>
        </is>
      </c>
      <c r="E866" t="inlineStr">
        <is>
          <t>STRÖMSUND</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39396-2020</t>
        </is>
      </c>
      <c r="B867" s="1" t="n">
        <v>44064</v>
      </c>
      <c r="C867" s="1" t="n">
        <v>45795</v>
      </c>
      <c r="D867" t="inlineStr">
        <is>
          <t>JÄMTLANDS LÄN</t>
        </is>
      </c>
      <c r="E867" t="inlineStr">
        <is>
          <t>STRÖMSUND</t>
        </is>
      </c>
      <c r="F867" t="inlineStr">
        <is>
          <t>Holmen skog AB</t>
        </is>
      </c>
      <c r="G867" t="n">
        <v>7.2</v>
      </c>
      <c r="H867" t="n">
        <v>0</v>
      </c>
      <c r="I867" t="n">
        <v>0</v>
      </c>
      <c r="J867" t="n">
        <v>0</v>
      </c>
      <c r="K867" t="n">
        <v>0</v>
      </c>
      <c r="L867" t="n">
        <v>0</v>
      </c>
      <c r="M867" t="n">
        <v>0</v>
      </c>
      <c r="N867" t="n">
        <v>0</v>
      </c>
      <c r="O867" t="n">
        <v>0</v>
      </c>
      <c r="P867" t="n">
        <v>0</v>
      </c>
      <c r="Q867" t="n">
        <v>0</v>
      </c>
      <c r="R867" s="2" t="inlineStr"/>
    </row>
    <row r="868" ht="15" customHeight="1">
      <c r="A868" t="inlineStr">
        <is>
          <t>A 39390-2020</t>
        </is>
      </c>
      <c r="B868" s="1" t="n">
        <v>44064</v>
      </c>
      <c r="C868" s="1" t="n">
        <v>45795</v>
      </c>
      <c r="D868" t="inlineStr">
        <is>
          <t>JÄMTLANDS LÄN</t>
        </is>
      </c>
      <c r="E868" t="inlineStr">
        <is>
          <t>STRÖMSUND</t>
        </is>
      </c>
      <c r="G868" t="n">
        <v>1.7</v>
      </c>
      <c r="H868" t="n">
        <v>0</v>
      </c>
      <c r="I868" t="n">
        <v>0</v>
      </c>
      <c r="J868" t="n">
        <v>0</v>
      </c>
      <c r="K868" t="n">
        <v>0</v>
      </c>
      <c r="L868" t="n">
        <v>0</v>
      </c>
      <c r="M868" t="n">
        <v>0</v>
      </c>
      <c r="N868" t="n">
        <v>0</v>
      </c>
      <c r="O868" t="n">
        <v>0</v>
      </c>
      <c r="P868" t="n">
        <v>0</v>
      </c>
      <c r="Q868" t="n">
        <v>0</v>
      </c>
      <c r="R868" s="2" t="inlineStr"/>
    </row>
    <row r="869" ht="15" customHeight="1">
      <c r="A869" t="inlineStr">
        <is>
          <t>A 39397-2020</t>
        </is>
      </c>
      <c r="B869" s="1" t="n">
        <v>44064</v>
      </c>
      <c r="C869" s="1" t="n">
        <v>45795</v>
      </c>
      <c r="D869" t="inlineStr">
        <is>
          <t>JÄMTLANDS LÄN</t>
        </is>
      </c>
      <c r="E869" t="inlineStr">
        <is>
          <t>STRÖMSUND</t>
        </is>
      </c>
      <c r="G869" t="n">
        <v>6.1</v>
      </c>
      <c r="H869" t="n">
        <v>0</v>
      </c>
      <c r="I869" t="n">
        <v>0</v>
      </c>
      <c r="J869" t="n">
        <v>0</v>
      </c>
      <c r="K869" t="n">
        <v>0</v>
      </c>
      <c r="L869" t="n">
        <v>0</v>
      </c>
      <c r="M869" t="n">
        <v>0</v>
      </c>
      <c r="N869" t="n">
        <v>0</v>
      </c>
      <c r="O869" t="n">
        <v>0</v>
      </c>
      <c r="P869" t="n">
        <v>0</v>
      </c>
      <c r="Q869" t="n">
        <v>0</v>
      </c>
      <c r="R869" s="2" t="inlineStr"/>
    </row>
    <row r="870" ht="15" customHeight="1">
      <c r="A870" t="inlineStr">
        <is>
          <t>A 39648-2020</t>
        </is>
      </c>
      <c r="B870" s="1" t="n">
        <v>44065</v>
      </c>
      <c r="C870" s="1" t="n">
        <v>45795</v>
      </c>
      <c r="D870" t="inlineStr">
        <is>
          <t>JÄMTLANDS LÄN</t>
        </is>
      </c>
      <c r="E870" t="inlineStr">
        <is>
          <t>STRÖMSUND</t>
        </is>
      </c>
      <c r="G870" t="n">
        <v>1</v>
      </c>
      <c r="H870" t="n">
        <v>0</v>
      </c>
      <c r="I870" t="n">
        <v>0</v>
      </c>
      <c r="J870" t="n">
        <v>0</v>
      </c>
      <c r="K870" t="n">
        <v>0</v>
      </c>
      <c r="L870" t="n">
        <v>0</v>
      </c>
      <c r="M870" t="n">
        <v>0</v>
      </c>
      <c r="N870" t="n">
        <v>0</v>
      </c>
      <c r="O870" t="n">
        <v>0</v>
      </c>
      <c r="P870" t="n">
        <v>0</v>
      </c>
      <c r="Q870" t="n">
        <v>0</v>
      </c>
      <c r="R870" s="2" t="inlineStr"/>
    </row>
    <row r="871" ht="15" customHeight="1">
      <c r="A871" t="inlineStr">
        <is>
          <t>A 40080-2020</t>
        </is>
      </c>
      <c r="B871" s="1" t="n">
        <v>44067</v>
      </c>
      <c r="C871" s="1" t="n">
        <v>45795</v>
      </c>
      <c r="D871" t="inlineStr">
        <is>
          <t>JÄMTLANDS LÄN</t>
        </is>
      </c>
      <c r="E871" t="inlineStr">
        <is>
          <t>STRÖMSUND</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40519-2020</t>
        </is>
      </c>
      <c r="B872" s="1" t="n">
        <v>44069</v>
      </c>
      <c r="C872" s="1" t="n">
        <v>45795</v>
      </c>
      <c r="D872" t="inlineStr">
        <is>
          <t>JÄMTLANDS LÄN</t>
        </is>
      </c>
      <c r="E872" t="inlineStr">
        <is>
          <t>STRÖMSUND</t>
        </is>
      </c>
      <c r="G872" t="n">
        <v>11.7</v>
      </c>
      <c r="H872" t="n">
        <v>0</v>
      </c>
      <c r="I872" t="n">
        <v>0</v>
      </c>
      <c r="J872" t="n">
        <v>0</v>
      </c>
      <c r="K872" t="n">
        <v>0</v>
      </c>
      <c r="L872" t="n">
        <v>0</v>
      </c>
      <c r="M872" t="n">
        <v>0</v>
      </c>
      <c r="N872" t="n">
        <v>0</v>
      </c>
      <c r="O872" t="n">
        <v>0</v>
      </c>
      <c r="P872" t="n">
        <v>0</v>
      </c>
      <c r="Q872" t="n">
        <v>0</v>
      </c>
      <c r="R872" s="2" t="inlineStr"/>
    </row>
    <row r="873" ht="15" customHeight="1">
      <c r="A873" t="inlineStr">
        <is>
          <t>A 41368-2020</t>
        </is>
      </c>
      <c r="B873" s="1" t="n">
        <v>44071</v>
      </c>
      <c r="C873" s="1" t="n">
        <v>45795</v>
      </c>
      <c r="D873" t="inlineStr">
        <is>
          <t>JÄMTLANDS LÄN</t>
        </is>
      </c>
      <c r="E873" t="inlineStr">
        <is>
          <t>STRÖMSUND</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41451-2020</t>
        </is>
      </c>
      <c r="B874" s="1" t="n">
        <v>44073</v>
      </c>
      <c r="C874" s="1" t="n">
        <v>45795</v>
      </c>
      <c r="D874" t="inlineStr">
        <is>
          <t>JÄMTLANDS LÄN</t>
        </is>
      </c>
      <c r="E874" t="inlineStr">
        <is>
          <t>STRÖMSUND</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41450-2020</t>
        </is>
      </c>
      <c r="B875" s="1" t="n">
        <v>44073</v>
      </c>
      <c r="C875" s="1" t="n">
        <v>45795</v>
      </c>
      <c r="D875" t="inlineStr">
        <is>
          <t>JÄMTLANDS LÄN</t>
        </is>
      </c>
      <c r="E875" t="inlineStr">
        <is>
          <t>STRÖMSUND</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41454-2020</t>
        </is>
      </c>
      <c r="B876" s="1" t="n">
        <v>44073</v>
      </c>
      <c r="C876" s="1" t="n">
        <v>45795</v>
      </c>
      <c r="D876" t="inlineStr">
        <is>
          <t>JÄMTLANDS LÄN</t>
        </is>
      </c>
      <c r="E876" t="inlineStr">
        <is>
          <t>STRÖMSUND</t>
        </is>
      </c>
      <c r="F876" t="inlineStr">
        <is>
          <t>SCA</t>
        </is>
      </c>
      <c r="G876" t="n">
        <v>11.8</v>
      </c>
      <c r="H876" t="n">
        <v>0</v>
      </c>
      <c r="I876" t="n">
        <v>0</v>
      </c>
      <c r="J876" t="n">
        <v>0</v>
      </c>
      <c r="K876" t="n">
        <v>0</v>
      </c>
      <c r="L876" t="n">
        <v>0</v>
      </c>
      <c r="M876" t="n">
        <v>0</v>
      </c>
      <c r="N876" t="n">
        <v>0</v>
      </c>
      <c r="O876" t="n">
        <v>0</v>
      </c>
      <c r="P876" t="n">
        <v>0</v>
      </c>
      <c r="Q876" t="n">
        <v>0</v>
      </c>
      <c r="R876" s="2" t="inlineStr"/>
    </row>
    <row r="877" ht="15" customHeight="1">
      <c r="A877" t="inlineStr">
        <is>
          <t>A 41892-2020</t>
        </is>
      </c>
      <c r="B877" s="1" t="n">
        <v>44074</v>
      </c>
      <c r="C877" s="1" t="n">
        <v>45795</v>
      </c>
      <c r="D877" t="inlineStr">
        <is>
          <t>JÄMTLANDS LÄN</t>
        </is>
      </c>
      <c r="E877" t="inlineStr">
        <is>
          <t>STRÖMSUND</t>
        </is>
      </c>
      <c r="F877" t="inlineStr">
        <is>
          <t>SCA</t>
        </is>
      </c>
      <c r="G877" t="n">
        <v>12.2</v>
      </c>
      <c r="H877" t="n">
        <v>0</v>
      </c>
      <c r="I877" t="n">
        <v>0</v>
      </c>
      <c r="J877" t="n">
        <v>0</v>
      </c>
      <c r="K877" t="n">
        <v>0</v>
      </c>
      <c r="L877" t="n">
        <v>0</v>
      </c>
      <c r="M877" t="n">
        <v>0</v>
      </c>
      <c r="N877" t="n">
        <v>0</v>
      </c>
      <c r="O877" t="n">
        <v>0</v>
      </c>
      <c r="P877" t="n">
        <v>0</v>
      </c>
      <c r="Q877" t="n">
        <v>0</v>
      </c>
      <c r="R877" s="2" t="inlineStr"/>
    </row>
    <row r="878" ht="15" customHeight="1">
      <c r="A878" t="inlineStr">
        <is>
          <t>A 41490-2020</t>
        </is>
      </c>
      <c r="B878" s="1" t="n">
        <v>44074</v>
      </c>
      <c r="C878" s="1" t="n">
        <v>45795</v>
      </c>
      <c r="D878" t="inlineStr">
        <is>
          <t>JÄMTLANDS LÄN</t>
        </is>
      </c>
      <c r="E878" t="inlineStr">
        <is>
          <t>STRÖMSUND</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43447-2020</t>
        </is>
      </c>
      <c r="B879" s="1" t="n">
        <v>44081</v>
      </c>
      <c r="C879" s="1" t="n">
        <v>45795</v>
      </c>
      <c r="D879" t="inlineStr">
        <is>
          <t>JÄMTLANDS LÄN</t>
        </is>
      </c>
      <c r="E879" t="inlineStr">
        <is>
          <t>STRÖMSUND</t>
        </is>
      </c>
      <c r="F879" t="inlineStr">
        <is>
          <t>SCA</t>
        </is>
      </c>
      <c r="G879" t="n">
        <v>24.7</v>
      </c>
      <c r="H879" t="n">
        <v>0</v>
      </c>
      <c r="I879" t="n">
        <v>0</v>
      </c>
      <c r="J879" t="n">
        <v>0</v>
      </c>
      <c r="K879" t="n">
        <v>0</v>
      </c>
      <c r="L879" t="n">
        <v>0</v>
      </c>
      <c r="M879" t="n">
        <v>0</v>
      </c>
      <c r="N879" t="n">
        <v>0</v>
      </c>
      <c r="O879" t="n">
        <v>0</v>
      </c>
      <c r="P879" t="n">
        <v>0</v>
      </c>
      <c r="Q879" t="n">
        <v>0</v>
      </c>
      <c r="R879" s="2" t="inlineStr"/>
    </row>
    <row r="880" ht="15" customHeight="1">
      <c r="A880" t="inlineStr">
        <is>
          <t>A 43448-2020</t>
        </is>
      </c>
      <c r="B880" s="1" t="n">
        <v>44081</v>
      </c>
      <c r="C880" s="1" t="n">
        <v>45795</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44009-2020</t>
        </is>
      </c>
      <c r="B881" s="1" t="n">
        <v>44083</v>
      </c>
      <c r="C881" s="1" t="n">
        <v>45795</v>
      </c>
      <c r="D881" t="inlineStr">
        <is>
          <t>JÄMTLANDS LÄN</t>
        </is>
      </c>
      <c r="E881" t="inlineStr">
        <is>
          <t>STRÖMSUND</t>
        </is>
      </c>
      <c r="G881" t="n">
        <v>3.2</v>
      </c>
      <c r="H881" t="n">
        <v>0</v>
      </c>
      <c r="I881" t="n">
        <v>0</v>
      </c>
      <c r="J881" t="n">
        <v>0</v>
      </c>
      <c r="K881" t="n">
        <v>0</v>
      </c>
      <c r="L881" t="n">
        <v>0</v>
      </c>
      <c r="M881" t="n">
        <v>0</v>
      </c>
      <c r="N881" t="n">
        <v>0</v>
      </c>
      <c r="O881" t="n">
        <v>0</v>
      </c>
      <c r="P881" t="n">
        <v>0</v>
      </c>
      <c r="Q881" t="n">
        <v>0</v>
      </c>
      <c r="R881" s="2" t="inlineStr"/>
    </row>
    <row r="882" ht="15" customHeight="1">
      <c r="A882" t="inlineStr">
        <is>
          <t>A 44197-2020</t>
        </is>
      </c>
      <c r="B882" s="1" t="n">
        <v>44083</v>
      </c>
      <c r="C882" s="1" t="n">
        <v>45795</v>
      </c>
      <c r="D882" t="inlineStr">
        <is>
          <t>JÄMTLANDS LÄN</t>
        </is>
      </c>
      <c r="E882" t="inlineStr">
        <is>
          <t>STRÖMSUND</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44989-2020</t>
        </is>
      </c>
      <c r="B883" s="1" t="n">
        <v>44083</v>
      </c>
      <c r="C883" s="1" t="n">
        <v>45795</v>
      </c>
      <c r="D883" t="inlineStr">
        <is>
          <t>JÄMTLANDS LÄN</t>
        </is>
      </c>
      <c r="E883" t="inlineStr">
        <is>
          <t>STRÖMSUND</t>
        </is>
      </c>
      <c r="G883" t="n">
        <v>8</v>
      </c>
      <c r="H883" t="n">
        <v>0</v>
      </c>
      <c r="I883" t="n">
        <v>0</v>
      </c>
      <c r="J883" t="n">
        <v>0</v>
      </c>
      <c r="K883" t="n">
        <v>0</v>
      </c>
      <c r="L883" t="n">
        <v>0</v>
      </c>
      <c r="M883" t="n">
        <v>0</v>
      </c>
      <c r="N883" t="n">
        <v>0</v>
      </c>
      <c r="O883" t="n">
        <v>0</v>
      </c>
      <c r="P883" t="n">
        <v>0</v>
      </c>
      <c r="Q883" t="n">
        <v>0</v>
      </c>
      <c r="R883" s="2" t="inlineStr"/>
    </row>
    <row r="884" ht="15" customHeight="1">
      <c r="A884" t="inlineStr">
        <is>
          <t>A 44992-2020</t>
        </is>
      </c>
      <c r="B884" s="1" t="n">
        <v>44083</v>
      </c>
      <c r="C884" s="1" t="n">
        <v>45795</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46425-2020</t>
        </is>
      </c>
      <c r="B885" s="1" t="n">
        <v>44095</v>
      </c>
      <c r="C885" s="1" t="n">
        <v>45795</v>
      </c>
      <c r="D885" t="inlineStr">
        <is>
          <t>JÄMTLANDS LÄN</t>
        </is>
      </c>
      <c r="E885" t="inlineStr">
        <is>
          <t>STRÖMSUND</t>
        </is>
      </c>
      <c r="F885" t="inlineStr">
        <is>
          <t>Sveaskog</t>
        </is>
      </c>
      <c r="G885" t="n">
        <v>4.4</v>
      </c>
      <c r="H885" t="n">
        <v>0</v>
      </c>
      <c r="I885" t="n">
        <v>0</v>
      </c>
      <c r="J885" t="n">
        <v>0</v>
      </c>
      <c r="K885" t="n">
        <v>0</v>
      </c>
      <c r="L885" t="n">
        <v>0</v>
      </c>
      <c r="M885" t="n">
        <v>0</v>
      </c>
      <c r="N885" t="n">
        <v>0</v>
      </c>
      <c r="O885" t="n">
        <v>0</v>
      </c>
      <c r="P885" t="n">
        <v>0</v>
      </c>
      <c r="Q885" t="n">
        <v>0</v>
      </c>
      <c r="R885" s="2" t="inlineStr"/>
    </row>
    <row r="886" ht="15" customHeight="1">
      <c r="A886" t="inlineStr">
        <is>
          <t>A 46540-2020</t>
        </is>
      </c>
      <c r="B886" s="1" t="n">
        <v>44095</v>
      </c>
      <c r="C886" s="1" t="n">
        <v>45795</v>
      </c>
      <c r="D886" t="inlineStr">
        <is>
          <t>JÄMTLANDS LÄN</t>
        </is>
      </c>
      <c r="E886" t="inlineStr">
        <is>
          <t>STRÖMSUND</t>
        </is>
      </c>
      <c r="F886" t="inlineStr">
        <is>
          <t>Holmen skog AB</t>
        </is>
      </c>
      <c r="G886" t="n">
        <v>10.8</v>
      </c>
      <c r="H886" t="n">
        <v>0</v>
      </c>
      <c r="I886" t="n">
        <v>0</v>
      </c>
      <c r="J886" t="n">
        <v>0</v>
      </c>
      <c r="K886" t="n">
        <v>0</v>
      </c>
      <c r="L886" t="n">
        <v>0</v>
      </c>
      <c r="M886" t="n">
        <v>0</v>
      </c>
      <c r="N886" t="n">
        <v>0</v>
      </c>
      <c r="O886" t="n">
        <v>0</v>
      </c>
      <c r="P886" t="n">
        <v>0</v>
      </c>
      <c r="Q886" t="n">
        <v>0</v>
      </c>
      <c r="R886" s="2" t="inlineStr"/>
    </row>
    <row r="887" ht="15" customHeight="1">
      <c r="A887" t="inlineStr">
        <is>
          <t>A 46426-2020</t>
        </is>
      </c>
      <c r="B887" s="1" t="n">
        <v>44095</v>
      </c>
      <c r="C887" s="1" t="n">
        <v>45795</v>
      </c>
      <c r="D887" t="inlineStr">
        <is>
          <t>JÄMTLANDS LÄN</t>
        </is>
      </c>
      <c r="E887" t="inlineStr">
        <is>
          <t>STRÖMSUND</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47126-2020</t>
        </is>
      </c>
      <c r="B888" s="1" t="n">
        <v>44096</v>
      </c>
      <c r="C888" s="1" t="n">
        <v>45795</v>
      </c>
      <c r="D888" t="inlineStr">
        <is>
          <t>JÄMTLANDS LÄN</t>
        </is>
      </c>
      <c r="E888" t="inlineStr">
        <is>
          <t>STRÖMSUND</t>
        </is>
      </c>
      <c r="F888" t="inlineStr">
        <is>
          <t>SCA</t>
        </is>
      </c>
      <c r="G888" t="n">
        <v>8.1</v>
      </c>
      <c r="H888" t="n">
        <v>0</v>
      </c>
      <c r="I888" t="n">
        <v>0</v>
      </c>
      <c r="J888" t="n">
        <v>0</v>
      </c>
      <c r="K888" t="n">
        <v>0</v>
      </c>
      <c r="L888" t="n">
        <v>0</v>
      </c>
      <c r="M888" t="n">
        <v>0</v>
      </c>
      <c r="N888" t="n">
        <v>0</v>
      </c>
      <c r="O888" t="n">
        <v>0</v>
      </c>
      <c r="P888" t="n">
        <v>0</v>
      </c>
      <c r="Q888" t="n">
        <v>0</v>
      </c>
      <c r="R888" s="2" t="inlineStr"/>
    </row>
    <row r="889" ht="15" customHeight="1">
      <c r="A889" t="inlineStr">
        <is>
          <t>A 47504-2020</t>
        </is>
      </c>
      <c r="B889" s="1" t="n">
        <v>44098</v>
      </c>
      <c r="C889" s="1" t="n">
        <v>45795</v>
      </c>
      <c r="D889" t="inlineStr">
        <is>
          <t>JÄMTLANDS LÄN</t>
        </is>
      </c>
      <c r="E889" t="inlineStr">
        <is>
          <t>STRÖMSUND</t>
        </is>
      </c>
      <c r="F889" t="inlineStr">
        <is>
          <t>Holmen skog AB</t>
        </is>
      </c>
      <c r="G889" t="n">
        <v>6.6</v>
      </c>
      <c r="H889" t="n">
        <v>0</v>
      </c>
      <c r="I889" t="n">
        <v>0</v>
      </c>
      <c r="J889" t="n">
        <v>0</v>
      </c>
      <c r="K889" t="n">
        <v>0</v>
      </c>
      <c r="L889" t="n">
        <v>0</v>
      </c>
      <c r="M889" t="n">
        <v>0</v>
      </c>
      <c r="N889" t="n">
        <v>0</v>
      </c>
      <c r="O889" t="n">
        <v>0</v>
      </c>
      <c r="P889" t="n">
        <v>0</v>
      </c>
      <c r="Q889" t="n">
        <v>0</v>
      </c>
      <c r="R889" s="2" t="inlineStr"/>
    </row>
    <row r="890" ht="15" customHeight="1">
      <c r="A890" t="inlineStr">
        <is>
          <t>A 48227-2020</t>
        </is>
      </c>
      <c r="B890" s="1" t="n">
        <v>44102</v>
      </c>
      <c r="C890" s="1" t="n">
        <v>45795</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48224-2020</t>
        </is>
      </c>
      <c r="B891" s="1" t="n">
        <v>44102</v>
      </c>
      <c r="C891" s="1" t="n">
        <v>45795</v>
      </c>
      <c r="D891" t="inlineStr">
        <is>
          <t>JÄMTLANDS LÄN</t>
        </is>
      </c>
      <c r="E891" t="inlineStr">
        <is>
          <t>STRÖMSUND</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49772-2020</t>
        </is>
      </c>
      <c r="B892" s="1" t="n">
        <v>44103</v>
      </c>
      <c r="C892" s="1" t="n">
        <v>45795</v>
      </c>
      <c r="D892" t="inlineStr">
        <is>
          <t>JÄMTLANDS LÄN</t>
        </is>
      </c>
      <c r="E892" t="inlineStr">
        <is>
          <t>STRÖMSUND</t>
        </is>
      </c>
      <c r="G892" t="n">
        <v>7.6</v>
      </c>
      <c r="H892" t="n">
        <v>0</v>
      </c>
      <c r="I892" t="n">
        <v>0</v>
      </c>
      <c r="J892" t="n">
        <v>0</v>
      </c>
      <c r="K892" t="n">
        <v>0</v>
      </c>
      <c r="L892" t="n">
        <v>0</v>
      </c>
      <c r="M892" t="n">
        <v>0</v>
      </c>
      <c r="N892" t="n">
        <v>0</v>
      </c>
      <c r="O892" t="n">
        <v>0</v>
      </c>
      <c r="P892" t="n">
        <v>0</v>
      </c>
      <c r="Q892" t="n">
        <v>0</v>
      </c>
      <c r="R892" s="2" t="inlineStr"/>
    </row>
    <row r="893" ht="15" customHeight="1">
      <c r="A893" t="inlineStr">
        <is>
          <t>A 49156-2020</t>
        </is>
      </c>
      <c r="B893" s="1" t="n">
        <v>44104</v>
      </c>
      <c r="C893" s="1" t="n">
        <v>45795</v>
      </c>
      <c r="D893" t="inlineStr">
        <is>
          <t>JÄMTLANDS LÄN</t>
        </is>
      </c>
      <c r="E893" t="inlineStr">
        <is>
          <t>STRÖMSUND</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49161-2020</t>
        </is>
      </c>
      <c r="B894" s="1" t="n">
        <v>44104</v>
      </c>
      <c r="C894" s="1" t="n">
        <v>45795</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49152-2020</t>
        </is>
      </c>
      <c r="B895" s="1" t="n">
        <v>44104</v>
      </c>
      <c r="C895" s="1" t="n">
        <v>45795</v>
      </c>
      <c r="D895" t="inlineStr">
        <is>
          <t>JÄMTLANDS LÄN</t>
        </is>
      </c>
      <c r="E895" t="inlineStr">
        <is>
          <t>STRÖMSUND</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49167-2020</t>
        </is>
      </c>
      <c r="B896" s="1" t="n">
        <v>44104</v>
      </c>
      <c r="C896" s="1" t="n">
        <v>45795</v>
      </c>
      <c r="D896" t="inlineStr">
        <is>
          <t>JÄMTLANDS LÄN</t>
        </is>
      </c>
      <c r="E896" t="inlineStr">
        <is>
          <t>STRÖMSUND</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49511-2020</t>
        </is>
      </c>
      <c r="B897" s="1" t="n">
        <v>44105</v>
      </c>
      <c r="C897" s="1" t="n">
        <v>45795</v>
      </c>
      <c r="D897" t="inlineStr">
        <is>
          <t>JÄMTLANDS LÄN</t>
        </is>
      </c>
      <c r="E897" t="inlineStr">
        <is>
          <t>STRÖMSUND</t>
        </is>
      </c>
      <c r="F897" t="inlineStr">
        <is>
          <t>SCA</t>
        </is>
      </c>
      <c r="G897" t="n">
        <v>13.6</v>
      </c>
      <c r="H897" t="n">
        <v>0</v>
      </c>
      <c r="I897" t="n">
        <v>0</v>
      </c>
      <c r="J897" t="n">
        <v>0</v>
      </c>
      <c r="K897" t="n">
        <v>0</v>
      </c>
      <c r="L897" t="n">
        <v>0</v>
      </c>
      <c r="M897" t="n">
        <v>0</v>
      </c>
      <c r="N897" t="n">
        <v>0</v>
      </c>
      <c r="O897" t="n">
        <v>0</v>
      </c>
      <c r="P897" t="n">
        <v>0</v>
      </c>
      <c r="Q897" t="n">
        <v>0</v>
      </c>
      <c r="R897" s="2" t="inlineStr"/>
    </row>
    <row r="898" ht="15" customHeight="1">
      <c r="A898" t="inlineStr">
        <is>
          <t>A 49510-2020</t>
        </is>
      </c>
      <c r="B898" s="1" t="n">
        <v>44105</v>
      </c>
      <c r="C898" s="1" t="n">
        <v>45795</v>
      </c>
      <c r="D898" t="inlineStr">
        <is>
          <t>JÄMTLANDS LÄN</t>
        </is>
      </c>
      <c r="E898" t="inlineStr">
        <is>
          <t>STRÖMSUND</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49997-2020</t>
        </is>
      </c>
      <c r="B899" s="1" t="n">
        <v>44109</v>
      </c>
      <c r="C899" s="1" t="n">
        <v>45795</v>
      </c>
      <c r="D899" t="inlineStr">
        <is>
          <t>JÄMTLANDS LÄN</t>
        </is>
      </c>
      <c r="E899" t="inlineStr">
        <is>
          <t>STRÖMSUND</t>
        </is>
      </c>
      <c r="G899" t="n">
        <v>1.2</v>
      </c>
      <c r="H899" t="n">
        <v>0</v>
      </c>
      <c r="I899" t="n">
        <v>0</v>
      </c>
      <c r="J899" t="n">
        <v>0</v>
      </c>
      <c r="K899" t="n">
        <v>0</v>
      </c>
      <c r="L899" t="n">
        <v>0</v>
      </c>
      <c r="M899" t="n">
        <v>0</v>
      </c>
      <c r="N899" t="n">
        <v>0</v>
      </c>
      <c r="O899" t="n">
        <v>0</v>
      </c>
      <c r="P899" t="n">
        <v>0</v>
      </c>
      <c r="Q899" t="n">
        <v>0</v>
      </c>
      <c r="R899" s="2" t="inlineStr"/>
    </row>
    <row r="900" ht="15" customHeight="1">
      <c r="A900" t="inlineStr">
        <is>
          <t>A 50645-2020</t>
        </is>
      </c>
      <c r="B900" s="1" t="n">
        <v>44110</v>
      </c>
      <c r="C900" s="1" t="n">
        <v>45795</v>
      </c>
      <c r="D900" t="inlineStr">
        <is>
          <t>JÄMTLANDS LÄN</t>
        </is>
      </c>
      <c r="E900" t="inlineStr">
        <is>
          <t>STRÖMSUND</t>
        </is>
      </c>
      <c r="F900" t="inlineStr">
        <is>
          <t>SCA</t>
        </is>
      </c>
      <c r="G900" t="n">
        <v>8.4</v>
      </c>
      <c r="H900" t="n">
        <v>0</v>
      </c>
      <c r="I900" t="n">
        <v>0</v>
      </c>
      <c r="J900" t="n">
        <v>0</v>
      </c>
      <c r="K900" t="n">
        <v>0</v>
      </c>
      <c r="L900" t="n">
        <v>0</v>
      </c>
      <c r="M900" t="n">
        <v>0</v>
      </c>
      <c r="N900" t="n">
        <v>0</v>
      </c>
      <c r="O900" t="n">
        <v>0</v>
      </c>
      <c r="P900" t="n">
        <v>0</v>
      </c>
      <c r="Q900" t="n">
        <v>0</v>
      </c>
      <c r="R900" s="2" t="inlineStr"/>
    </row>
    <row r="901" ht="15" customHeight="1">
      <c r="A901" t="inlineStr">
        <is>
          <t>A 51042-2020</t>
        </is>
      </c>
      <c r="B901" s="1" t="n">
        <v>44112</v>
      </c>
      <c r="C901" s="1" t="n">
        <v>45795</v>
      </c>
      <c r="D901" t="inlineStr">
        <is>
          <t>JÄMTLANDS LÄN</t>
        </is>
      </c>
      <c r="E901" t="inlineStr">
        <is>
          <t>STRÖMSUND</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51670-2020</t>
        </is>
      </c>
      <c r="B902" s="1" t="n">
        <v>44113</v>
      </c>
      <c r="C902" s="1" t="n">
        <v>45795</v>
      </c>
      <c r="D902" t="inlineStr">
        <is>
          <t>JÄMTLANDS LÄN</t>
        </is>
      </c>
      <c r="E902" t="inlineStr">
        <is>
          <t>STRÖMSUND</t>
        </is>
      </c>
      <c r="G902" t="n">
        <v>2.9</v>
      </c>
      <c r="H902" t="n">
        <v>0</v>
      </c>
      <c r="I902" t="n">
        <v>0</v>
      </c>
      <c r="J902" t="n">
        <v>0</v>
      </c>
      <c r="K902" t="n">
        <v>0</v>
      </c>
      <c r="L902" t="n">
        <v>0</v>
      </c>
      <c r="M902" t="n">
        <v>0</v>
      </c>
      <c r="N902" t="n">
        <v>0</v>
      </c>
      <c r="O902" t="n">
        <v>0</v>
      </c>
      <c r="P902" t="n">
        <v>0</v>
      </c>
      <c r="Q902" t="n">
        <v>0</v>
      </c>
      <c r="R902" s="2" t="inlineStr"/>
    </row>
    <row r="903" ht="15" customHeight="1">
      <c r="A903" t="inlineStr">
        <is>
          <t>A 51689-2020</t>
        </is>
      </c>
      <c r="B903" s="1" t="n">
        <v>44113</v>
      </c>
      <c r="C903" s="1" t="n">
        <v>45795</v>
      </c>
      <c r="D903" t="inlineStr">
        <is>
          <t>JÄMTLANDS LÄN</t>
        </is>
      </c>
      <c r="E903" t="inlineStr">
        <is>
          <t>STRÖMSUND</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52030-2020</t>
        </is>
      </c>
      <c r="B904" s="1" t="n">
        <v>44116</v>
      </c>
      <c r="C904" s="1" t="n">
        <v>45795</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52622-2020</t>
        </is>
      </c>
      <c r="B905" s="1" t="n">
        <v>44118</v>
      </c>
      <c r="C905" s="1" t="n">
        <v>45795</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53293-2020</t>
        </is>
      </c>
      <c r="B906" s="1" t="n">
        <v>44123</v>
      </c>
      <c r="C906" s="1" t="n">
        <v>45795</v>
      </c>
      <c r="D906" t="inlineStr">
        <is>
          <t>JÄMTLANDS LÄN</t>
        </is>
      </c>
      <c r="E906" t="inlineStr">
        <is>
          <t>STRÖMSUND</t>
        </is>
      </c>
      <c r="F906" t="inlineStr">
        <is>
          <t>Holmen skog AB</t>
        </is>
      </c>
      <c r="G906" t="n">
        <v>4.2</v>
      </c>
      <c r="H906" t="n">
        <v>0</v>
      </c>
      <c r="I906" t="n">
        <v>0</v>
      </c>
      <c r="J906" t="n">
        <v>0</v>
      </c>
      <c r="K906" t="n">
        <v>0</v>
      </c>
      <c r="L906" t="n">
        <v>0</v>
      </c>
      <c r="M906" t="n">
        <v>0</v>
      </c>
      <c r="N906" t="n">
        <v>0</v>
      </c>
      <c r="O906" t="n">
        <v>0</v>
      </c>
      <c r="P906" t="n">
        <v>0</v>
      </c>
      <c r="Q906" t="n">
        <v>0</v>
      </c>
      <c r="R906" s="2" t="inlineStr"/>
    </row>
    <row r="907" ht="15" customHeight="1">
      <c r="A907" t="inlineStr">
        <is>
          <t>A 55342-2020</t>
        </is>
      </c>
      <c r="B907" s="1" t="n">
        <v>44130</v>
      </c>
      <c r="C907" s="1" t="n">
        <v>45795</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55708-2020</t>
        </is>
      </c>
      <c r="B908" s="1" t="n">
        <v>44131</v>
      </c>
      <c r="C908" s="1" t="n">
        <v>45795</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56251-2020</t>
        </is>
      </c>
      <c r="B909" s="1" t="n">
        <v>44134</v>
      </c>
      <c r="C909" s="1" t="n">
        <v>45795</v>
      </c>
      <c r="D909" t="inlineStr">
        <is>
          <t>JÄMTLANDS LÄN</t>
        </is>
      </c>
      <c r="E909" t="inlineStr">
        <is>
          <t>STRÖMSUND</t>
        </is>
      </c>
      <c r="F909" t="inlineStr">
        <is>
          <t>Holmen skog AB</t>
        </is>
      </c>
      <c r="G909" t="n">
        <v>7.3</v>
      </c>
      <c r="H909" t="n">
        <v>0</v>
      </c>
      <c r="I909" t="n">
        <v>0</v>
      </c>
      <c r="J909" t="n">
        <v>0</v>
      </c>
      <c r="K909" t="n">
        <v>0</v>
      </c>
      <c r="L909" t="n">
        <v>0</v>
      </c>
      <c r="M909" t="n">
        <v>0</v>
      </c>
      <c r="N909" t="n">
        <v>0</v>
      </c>
      <c r="O909" t="n">
        <v>0</v>
      </c>
      <c r="P909" t="n">
        <v>0</v>
      </c>
      <c r="Q909" t="n">
        <v>0</v>
      </c>
      <c r="R909" s="2" t="inlineStr"/>
    </row>
    <row r="910" ht="15" customHeight="1">
      <c r="A910" t="inlineStr">
        <is>
          <t>A 56290-2020</t>
        </is>
      </c>
      <c r="B910" s="1" t="n">
        <v>44134</v>
      </c>
      <c r="C910" s="1" t="n">
        <v>45795</v>
      </c>
      <c r="D910" t="inlineStr">
        <is>
          <t>JÄMTLANDS LÄN</t>
        </is>
      </c>
      <c r="E910" t="inlineStr">
        <is>
          <t>STRÖMSUND</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56493-2020</t>
        </is>
      </c>
      <c r="B911" s="1" t="n">
        <v>44137</v>
      </c>
      <c r="C911" s="1" t="n">
        <v>45795</v>
      </c>
      <c r="D911" t="inlineStr">
        <is>
          <t>JÄMTLANDS LÄN</t>
        </is>
      </c>
      <c r="E911" t="inlineStr">
        <is>
          <t>STRÖMSUND</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56966-2020</t>
        </is>
      </c>
      <c r="B912" s="1" t="n">
        <v>44137</v>
      </c>
      <c r="C912" s="1" t="n">
        <v>45795</v>
      </c>
      <c r="D912" t="inlineStr">
        <is>
          <t>JÄMTLANDS LÄN</t>
        </is>
      </c>
      <c r="E912" t="inlineStr">
        <is>
          <t>STRÖMSUND</t>
        </is>
      </c>
      <c r="G912" t="n">
        <v>2.6</v>
      </c>
      <c r="H912" t="n">
        <v>0</v>
      </c>
      <c r="I912" t="n">
        <v>0</v>
      </c>
      <c r="J912" t="n">
        <v>0</v>
      </c>
      <c r="K912" t="n">
        <v>0</v>
      </c>
      <c r="L912" t="n">
        <v>0</v>
      </c>
      <c r="M912" t="n">
        <v>0</v>
      </c>
      <c r="N912" t="n">
        <v>0</v>
      </c>
      <c r="O912" t="n">
        <v>0</v>
      </c>
      <c r="P912" t="n">
        <v>0</v>
      </c>
      <c r="Q912" t="n">
        <v>0</v>
      </c>
      <c r="R912" s="2" t="inlineStr"/>
    </row>
    <row r="913" ht="15" customHeight="1">
      <c r="A913" t="inlineStr">
        <is>
          <t>A 57336-2020</t>
        </is>
      </c>
      <c r="B913" s="1" t="n">
        <v>44139</v>
      </c>
      <c r="C913" s="1" t="n">
        <v>45795</v>
      </c>
      <c r="D913" t="inlineStr">
        <is>
          <t>JÄMTLANDS LÄN</t>
        </is>
      </c>
      <c r="E913" t="inlineStr">
        <is>
          <t>STRÖMSUND</t>
        </is>
      </c>
      <c r="G913" t="n">
        <v>2</v>
      </c>
      <c r="H913" t="n">
        <v>0</v>
      </c>
      <c r="I913" t="n">
        <v>0</v>
      </c>
      <c r="J913" t="n">
        <v>0</v>
      </c>
      <c r="K913" t="n">
        <v>0</v>
      </c>
      <c r="L913" t="n">
        <v>0</v>
      </c>
      <c r="M913" t="n">
        <v>0</v>
      </c>
      <c r="N913" t="n">
        <v>0</v>
      </c>
      <c r="O913" t="n">
        <v>0</v>
      </c>
      <c r="P913" t="n">
        <v>0</v>
      </c>
      <c r="Q913" t="n">
        <v>0</v>
      </c>
      <c r="R913" s="2" t="inlineStr"/>
    </row>
    <row r="914" ht="15" customHeight="1">
      <c r="A914" t="inlineStr">
        <is>
          <t>A 57511-2020</t>
        </is>
      </c>
      <c r="B914" s="1" t="n">
        <v>44140</v>
      </c>
      <c r="C914" s="1" t="n">
        <v>45795</v>
      </c>
      <c r="D914" t="inlineStr">
        <is>
          <t>JÄMTLANDS LÄN</t>
        </is>
      </c>
      <c r="E914" t="inlineStr">
        <is>
          <t>STRÖMSUND</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57550-2020</t>
        </is>
      </c>
      <c r="B915" s="1" t="n">
        <v>44140</v>
      </c>
      <c r="C915" s="1" t="n">
        <v>45795</v>
      </c>
      <c r="D915" t="inlineStr">
        <is>
          <t>JÄMTLANDS LÄN</t>
        </is>
      </c>
      <c r="E915" t="inlineStr">
        <is>
          <t>STRÖMSUND</t>
        </is>
      </c>
      <c r="F915" t="inlineStr">
        <is>
          <t>Holmen skog AB</t>
        </is>
      </c>
      <c r="G915" t="n">
        <v>7.1</v>
      </c>
      <c r="H915" t="n">
        <v>0</v>
      </c>
      <c r="I915" t="n">
        <v>0</v>
      </c>
      <c r="J915" t="n">
        <v>0</v>
      </c>
      <c r="K915" t="n">
        <v>0</v>
      </c>
      <c r="L915" t="n">
        <v>0</v>
      </c>
      <c r="M915" t="n">
        <v>0</v>
      </c>
      <c r="N915" t="n">
        <v>0</v>
      </c>
      <c r="O915" t="n">
        <v>0</v>
      </c>
      <c r="P915" t="n">
        <v>0</v>
      </c>
      <c r="Q915" t="n">
        <v>0</v>
      </c>
      <c r="R915" s="2" t="inlineStr"/>
    </row>
    <row r="916" ht="15" customHeight="1">
      <c r="A916" t="inlineStr">
        <is>
          <t>A 57423-2020</t>
        </is>
      </c>
      <c r="B916" s="1" t="n">
        <v>44140</v>
      </c>
      <c r="C916" s="1" t="n">
        <v>45795</v>
      </c>
      <c r="D916" t="inlineStr">
        <is>
          <t>JÄMTLANDS LÄN</t>
        </is>
      </c>
      <c r="E916" t="inlineStr">
        <is>
          <t>STRÖMSUND</t>
        </is>
      </c>
      <c r="F916" t="inlineStr">
        <is>
          <t>Holmen skog AB</t>
        </is>
      </c>
      <c r="G916" t="n">
        <v>2.6</v>
      </c>
      <c r="H916" t="n">
        <v>0</v>
      </c>
      <c r="I916" t="n">
        <v>0</v>
      </c>
      <c r="J916" t="n">
        <v>0</v>
      </c>
      <c r="K916" t="n">
        <v>0</v>
      </c>
      <c r="L916" t="n">
        <v>0</v>
      </c>
      <c r="M916" t="n">
        <v>0</v>
      </c>
      <c r="N916" t="n">
        <v>0</v>
      </c>
      <c r="O916" t="n">
        <v>0</v>
      </c>
      <c r="P916" t="n">
        <v>0</v>
      </c>
      <c r="Q916" t="n">
        <v>0</v>
      </c>
      <c r="R916" s="2" t="inlineStr"/>
    </row>
    <row r="917" ht="15" customHeight="1">
      <c r="A917" t="inlineStr">
        <is>
          <t>A 57808-2020</t>
        </is>
      </c>
      <c r="B917" s="1" t="n">
        <v>44141</v>
      </c>
      <c r="C917" s="1" t="n">
        <v>45795</v>
      </c>
      <c r="D917" t="inlineStr">
        <is>
          <t>JÄMTLANDS LÄN</t>
        </is>
      </c>
      <c r="E917" t="inlineStr">
        <is>
          <t>STRÖMSUND</t>
        </is>
      </c>
      <c r="G917" t="n">
        <v>6.8</v>
      </c>
      <c r="H917" t="n">
        <v>0</v>
      </c>
      <c r="I917" t="n">
        <v>0</v>
      </c>
      <c r="J917" t="n">
        <v>0</v>
      </c>
      <c r="K917" t="n">
        <v>0</v>
      </c>
      <c r="L917" t="n">
        <v>0</v>
      </c>
      <c r="M917" t="n">
        <v>0</v>
      </c>
      <c r="N917" t="n">
        <v>0</v>
      </c>
      <c r="O917" t="n">
        <v>0</v>
      </c>
      <c r="P917" t="n">
        <v>0</v>
      </c>
      <c r="Q917" t="n">
        <v>0</v>
      </c>
      <c r="R917" s="2" t="inlineStr"/>
    </row>
    <row r="918" ht="15" customHeight="1">
      <c r="A918" t="inlineStr">
        <is>
          <t>A 58219-2020</t>
        </is>
      </c>
      <c r="B918" s="1" t="n">
        <v>44144</v>
      </c>
      <c r="C918" s="1" t="n">
        <v>45795</v>
      </c>
      <c r="D918" t="inlineStr">
        <is>
          <t>JÄMTLANDS LÄN</t>
        </is>
      </c>
      <c r="E918" t="inlineStr">
        <is>
          <t>STRÖMSUND</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59012-2020</t>
        </is>
      </c>
      <c r="B919" s="1" t="n">
        <v>44146</v>
      </c>
      <c r="C919" s="1" t="n">
        <v>45795</v>
      </c>
      <c r="D919" t="inlineStr">
        <is>
          <t>JÄMTLANDS LÄN</t>
        </is>
      </c>
      <c r="E919" t="inlineStr">
        <is>
          <t>STRÖMSUND</t>
        </is>
      </c>
      <c r="F919" t="inlineStr">
        <is>
          <t>SCA</t>
        </is>
      </c>
      <c r="G919" t="n">
        <v>15.5</v>
      </c>
      <c r="H919" t="n">
        <v>0</v>
      </c>
      <c r="I919" t="n">
        <v>0</v>
      </c>
      <c r="J919" t="n">
        <v>0</v>
      </c>
      <c r="K919" t="n">
        <v>0</v>
      </c>
      <c r="L919" t="n">
        <v>0</v>
      </c>
      <c r="M919" t="n">
        <v>0</v>
      </c>
      <c r="N919" t="n">
        <v>0</v>
      </c>
      <c r="O919" t="n">
        <v>0</v>
      </c>
      <c r="P919" t="n">
        <v>0</v>
      </c>
      <c r="Q919" t="n">
        <v>0</v>
      </c>
      <c r="R919" s="2" t="inlineStr"/>
    </row>
    <row r="920" ht="15" customHeight="1">
      <c r="A920" t="inlineStr">
        <is>
          <t>A 59330-2020</t>
        </is>
      </c>
      <c r="B920" s="1" t="n">
        <v>44147</v>
      </c>
      <c r="C920" s="1" t="n">
        <v>45795</v>
      </c>
      <c r="D920" t="inlineStr">
        <is>
          <t>JÄMTLANDS LÄN</t>
        </is>
      </c>
      <c r="E920" t="inlineStr">
        <is>
          <t>STRÖMSUND</t>
        </is>
      </c>
      <c r="G920" t="n">
        <v>0.6</v>
      </c>
      <c r="H920" t="n">
        <v>0</v>
      </c>
      <c r="I920" t="n">
        <v>0</v>
      </c>
      <c r="J920" t="n">
        <v>0</v>
      </c>
      <c r="K920" t="n">
        <v>0</v>
      </c>
      <c r="L920" t="n">
        <v>0</v>
      </c>
      <c r="M920" t="n">
        <v>0</v>
      </c>
      <c r="N920" t="n">
        <v>0</v>
      </c>
      <c r="O920" t="n">
        <v>0</v>
      </c>
      <c r="P920" t="n">
        <v>0</v>
      </c>
      <c r="Q920" t="n">
        <v>0</v>
      </c>
      <c r="R920" s="2" t="inlineStr"/>
    </row>
    <row r="921" ht="15" customHeight="1">
      <c r="A921" t="inlineStr">
        <is>
          <t>A 60256-2020</t>
        </is>
      </c>
      <c r="B921" s="1" t="n">
        <v>44151</v>
      </c>
      <c r="C921" s="1" t="n">
        <v>45795</v>
      </c>
      <c r="D921" t="inlineStr">
        <is>
          <t>JÄMTLANDS LÄN</t>
        </is>
      </c>
      <c r="E921" t="inlineStr">
        <is>
          <t>STRÖMSUND</t>
        </is>
      </c>
      <c r="G921" t="n">
        <v>0.3</v>
      </c>
      <c r="H921" t="n">
        <v>0</v>
      </c>
      <c r="I921" t="n">
        <v>0</v>
      </c>
      <c r="J921" t="n">
        <v>0</v>
      </c>
      <c r="K921" t="n">
        <v>0</v>
      </c>
      <c r="L921" t="n">
        <v>0</v>
      </c>
      <c r="M921" t="n">
        <v>0</v>
      </c>
      <c r="N921" t="n">
        <v>0</v>
      </c>
      <c r="O921" t="n">
        <v>0</v>
      </c>
      <c r="P921" t="n">
        <v>0</v>
      </c>
      <c r="Q921" t="n">
        <v>0</v>
      </c>
      <c r="R921" s="2" t="inlineStr"/>
    </row>
    <row r="922" ht="15" customHeight="1">
      <c r="A922" t="inlineStr">
        <is>
          <t>A 60061-2020</t>
        </is>
      </c>
      <c r="B922" s="1" t="n">
        <v>44151</v>
      </c>
      <c r="C922" s="1" t="n">
        <v>45795</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60395-2020</t>
        </is>
      </c>
      <c r="B923" s="1" t="n">
        <v>44152</v>
      </c>
      <c r="C923" s="1" t="n">
        <v>45795</v>
      </c>
      <c r="D923" t="inlineStr">
        <is>
          <t>JÄMTLANDS LÄN</t>
        </is>
      </c>
      <c r="E923" t="inlineStr">
        <is>
          <t>STRÖMSUND</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60703-2020</t>
        </is>
      </c>
      <c r="B924" s="1" t="n">
        <v>44153</v>
      </c>
      <c r="C924" s="1" t="n">
        <v>45795</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61149-2020</t>
        </is>
      </c>
      <c r="B925" s="1" t="n">
        <v>44154</v>
      </c>
      <c r="C925" s="1" t="n">
        <v>45795</v>
      </c>
      <c r="D925" t="inlineStr">
        <is>
          <t>JÄMTLANDS LÄN</t>
        </is>
      </c>
      <c r="E925" t="inlineStr">
        <is>
          <t>STRÖMSUND</t>
        </is>
      </c>
      <c r="G925" t="n">
        <v>0.5</v>
      </c>
      <c r="H925" t="n">
        <v>0</v>
      </c>
      <c r="I925" t="n">
        <v>0</v>
      </c>
      <c r="J925" t="n">
        <v>0</v>
      </c>
      <c r="K925" t="n">
        <v>0</v>
      </c>
      <c r="L925" t="n">
        <v>0</v>
      </c>
      <c r="M925" t="n">
        <v>0</v>
      </c>
      <c r="N925" t="n">
        <v>0</v>
      </c>
      <c r="O925" t="n">
        <v>0</v>
      </c>
      <c r="P925" t="n">
        <v>0</v>
      </c>
      <c r="Q925" t="n">
        <v>0</v>
      </c>
      <c r="R925" s="2" t="inlineStr"/>
    </row>
    <row r="926" ht="15" customHeight="1">
      <c r="A926" t="inlineStr">
        <is>
          <t>A 61586-2020</t>
        </is>
      </c>
      <c r="B926" s="1" t="n">
        <v>44158</v>
      </c>
      <c r="C926" s="1" t="n">
        <v>45795</v>
      </c>
      <c r="D926" t="inlineStr">
        <is>
          <t>JÄMTLANDS LÄN</t>
        </is>
      </c>
      <c r="E926" t="inlineStr">
        <is>
          <t>STRÖMSUND</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61662-2020</t>
        </is>
      </c>
      <c r="B927" s="1" t="n">
        <v>44158</v>
      </c>
      <c r="C927" s="1" t="n">
        <v>45795</v>
      </c>
      <c r="D927" t="inlineStr">
        <is>
          <t>JÄMTLANDS LÄN</t>
        </is>
      </c>
      <c r="E927" t="inlineStr">
        <is>
          <t>STRÖMSUND</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61811-2020</t>
        </is>
      </c>
      <c r="B928" s="1" t="n">
        <v>44158</v>
      </c>
      <c r="C928" s="1" t="n">
        <v>45795</v>
      </c>
      <c r="D928" t="inlineStr">
        <is>
          <t>JÄMTLANDS LÄN</t>
        </is>
      </c>
      <c r="E928" t="inlineStr">
        <is>
          <t>STRÖMSUND</t>
        </is>
      </c>
      <c r="G928" t="n">
        <v>1.9</v>
      </c>
      <c r="H928" t="n">
        <v>0</v>
      </c>
      <c r="I928" t="n">
        <v>0</v>
      </c>
      <c r="J928" t="n">
        <v>0</v>
      </c>
      <c r="K928" t="n">
        <v>0</v>
      </c>
      <c r="L928" t="n">
        <v>0</v>
      </c>
      <c r="M928" t="n">
        <v>0</v>
      </c>
      <c r="N928" t="n">
        <v>0</v>
      </c>
      <c r="O928" t="n">
        <v>0</v>
      </c>
      <c r="P928" t="n">
        <v>0</v>
      </c>
      <c r="Q928" t="n">
        <v>0</v>
      </c>
      <c r="R928" s="2" t="inlineStr"/>
    </row>
    <row r="929" ht="15" customHeight="1">
      <c r="A929" t="inlineStr">
        <is>
          <t>A 61807-2020</t>
        </is>
      </c>
      <c r="B929" s="1" t="n">
        <v>44158</v>
      </c>
      <c r="C929" s="1" t="n">
        <v>45795</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62503-2020</t>
        </is>
      </c>
      <c r="B930" s="1" t="n">
        <v>44160</v>
      </c>
      <c r="C930" s="1" t="n">
        <v>45795</v>
      </c>
      <c r="D930" t="inlineStr">
        <is>
          <t>JÄMTLANDS LÄN</t>
        </is>
      </c>
      <c r="E930" t="inlineStr">
        <is>
          <t>STRÖMSUND</t>
        </is>
      </c>
      <c r="G930" t="n">
        <v>7.9</v>
      </c>
      <c r="H930" t="n">
        <v>0</v>
      </c>
      <c r="I930" t="n">
        <v>0</v>
      </c>
      <c r="J930" t="n">
        <v>0</v>
      </c>
      <c r="K930" t="n">
        <v>0</v>
      </c>
      <c r="L930" t="n">
        <v>0</v>
      </c>
      <c r="M930" t="n">
        <v>0</v>
      </c>
      <c r="N930" t="n">
        <v>0</v>
      </c>
      <c r="O930" t="n">
        <v>0</v>
      </c>
      <c r="P930" t="n">
        <v>0</v>
      </c>
      <c r="Q930" t="n">
        <v>0</v>
      </c>
      <c r="R930" s="2" t="inlineStr"/>
    </row>
    <row r="931" ht="15" customHeight="1">
      <c r="A931" t="inlineStr">
        <is>
          <t>A 63692-2020</t>
        </is>
      </c>
      <c r="B931" s="1" t="n">
        <v>44161</v>
      </c>
      <c r="C931" s="1" t="n">
        <v>45795</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63699-2020</t>
        </is>
      </c>
      <c r="B932" s="1" t="n">
        <v>44161</v>
      </c>
      <c r="C932" s="1" t="n">
        <v>45795</v>
      </c>
      <c r="D932" t="inlineStr">
        <is>
          <t>JÄMTLANDS LÄN</t>
        </is>
      </c>
      <c r="E932" t="inlineStr">
        <is>
          <t>STRÖMSUND</t>
        </is>
      </c>
      <c r="G932" t="n">
        <v>1.1</v>
      </c>
      <c r="H932" t="n">
        <v>0</v>
      </c>
      <c r="I932" t="n">
        <v>0</v>
      </c>
      <c r="J932" t="n">
        <v>0</v>
      </c>
      <c r="K932" t="n">
        <v>0</v>
      </c>
      <c r="L932" t="n">
        <v>0</v>
      </c>
      <c r="M932" t="n">
        <v>0</v>
      </c>
      <c r="N932" t="n">
        <v>0</v>
      </c>
      <c r="O932" t="n">
        <v>0</v>
      </c>
      <c r="P932" t="n">
        <v>0</v>
      </c>
      <c r="Q932" t="n">
        <v>0</v>
      </c>
      <c r="R932" s="2" t="inlineStr"/>
    </row>
    <row r="933" ht="15" customHeight="1">
      <c r="A933" t="inlineStr">
        <is>
          <t>A 63678-2020</t>
        </is>
      </c>
      <c r="B933" s="1" t="n">
        <v>44162</v>
      </c>
      <c r="C933" s="1" t="n">
        <v>45795</v>
      </c>
      <c r="D933" t="inlineStr">
        <is>
          <t>JÄMTLANDS LÄN</t>
        </is>
      </c>
      <c r="E933" t="inlineStr">
        <is>
          <t>STRÖMSUND</t>
        </is>
      </c>
      <c r="G933" t="n">
        <v>1.7</v>
      </c>
      <c r="H933" t="n">
        <v>0</v>
      </c>
      <c r="I933" t="n">
        <v>0</v>
      </c>
      <c r="J933" t="n">
        <v>0</v>
      </c>
      <c r="K933" t="n">
        <v>0</v>
      </c>
      <c r="L933" t="n">
        <v>0</v>
      </c>
      <c r="M933" t="n">
        <v>0</v>
      </c>
      <c r="N933" t="n">
        <v>0</v>
      </c>
      <c r="O933" t="n">
        <v>0</v>
      </c>
      <c r="P933" t="n">
        <v>0</v>
      </c>
      <c r="Q933" t="n">
        <v>0</v>
      </c>
      <c r="R933" s="2" t="inlineStr"/>
    </row>
    <row r="934" ht="15" customHeight="1">
      <c r="A934" t="inlineStr">
        <is>
          <t>A 63567-2020</t>
        </is>
      </c>
      <c r="B934" s="1" t="n">
        <v>44165</v>
      </c>
      <c r="C934" s="1" t="n">
        <v>45795</v>
      </c>
      <c r="D934" t="inlineStr">
        <is>
          <t>JÄMTLANDS LÄN</t>
        </is>
      </c>
      <c r="E934" t="inlineStr">
        <is>
          <t>STRÖMSUND</t>
        </is>
      </c>
      <c r="G934" t="n">
        <v>14.4</v>
      </c>
      <c r="H934" t="n">
        <v>0</v>
      </c>
      <c r="I934" t="n">
        <v>0</v>
      </c>
      <c r="J934" t="n">
        <v>0</v>
      </c>
      <c r="K934" t="n">
        <v>0</v>
      </c>
      <c r="L934" t="n">
        <v>0</v>
      </c>
      <c r="M934" t="n">
        <v>0</v>
      </c>
      <c r="N934" t="n">
        <v>0</v>
      </c>
      <c r="O934" t="n">
        <v>0</v>
      </c>
      <c r="P934" t="n">
        <v>0</v>
      </c>
      <c r="Q934" t="n">
        <v>0</v>
      </c>
      <c r="R934" s="2" t="inlineStr"/>
    </row>
    <row r="935" ht="15" customHeight="1">
      <c r="A935" t="inlineStr">
        <is>
          <t>A 64124-2020</t>
        </is>
      </c>
      <c r="B935" s="1" t="n">
        <v>44165</v>
      </c>
      <c r="C935" s="1" t="n">
        <v>45795</v>
      </c>
      <c r="D935" t="inlineStr">
        <is>
          <t>JÄMTLANDS LÄN</t>
        </is>
      </c>
      <c r="E935" t="inlineStr">
        <is>
          <t>STRÖMSUND</t>
        </is>
      </c>
      <c r="G935" t="n">
        <v>1.6</v>
      </c>
      <c r="H935" t="n">
        <v>0</v>
      </c>
      <c r="I935" t="n">
        <v>0</v>
      </c>
      <c r="J935" t="n">
        <v>0</v>
      </c>
      <c r="K935" t="n">
        <v>0</v>
      </c>
      <c r="L935" t="n">
        <v>0</v>
      </c>
      <c r="M935" t="n">
        <v>0</v>
      </c>
      <c r="N935" t="n">
        <v>0</v>
      </c>
      <c r="O935" t="n">
        <v>0</v>
      </c>
      <c r="P935" t="n">
        <v>0</v>
      </c>
      <c r="Q935" t="n">
        <v>0</v>
      </c>
      <c r="R935" s="2" t="inlineStr"/>
    </row>
    <row r="936" ht="15" customHeight="1">
      <c r="A936" t="inlineStr">
        <is>
          <t>A 65115-2020</t>
        </is>
      </c>
      <c r="B936" s="1" t="n">
        <v>44165</v>
      </c>
      <c r="C936" s="1" t="n">
        <v>45795</v>
      </c>
      <c r="D936" t="inlineStr">
        <is>
          <t>JÄMTLANDS LÄN</t>
        </is>
      </c>
      <c r="E936" t="inlineStr">
        <is>
          <t>STRÖMSUND</t>
        </is>
      </c>
      <c r="G936" t="n">
        <v>3.6</v>
      </c>
      <c r="H936" t="n">
        <v>0</v>
      </c>
      <c r="I936" t="n">
        <v>0</v>
      </c>
      <c r="J936" t="n">
        <v>0</v>
      </c>
      <c r="K936" t="n">
        <v>0</v>
      </c>
      <c r="L936" t="n">
        <v>0</v>
      </c>
      <c r="M936" t="n">
        <v>0</v>
      </c>
      <c r="N936" t="n">
        <v>0</v>
      </c>
      <c r="O936" t="n">
        <v>0</v>
      </c>
      <c r="P936" t="n">
        <v>0</v>
      </c>
      <c r="Q936" t="n">
        <v>0</v>
      </c>
      <c r="R936" s="2" t="inlineStr"/>
    </row>
    <row r="937" ht="15" customHeight="1">
      <c r="A937" t="inlineStr">
        <is>
          <t>A 65078-2020</t>
        </is>
      </c>
      <c r="B937" s="1" t="n">
        <v>44165</v>
      </c>
      <c r="C937" s="1" t="n">
        <v>45795</v>
      </c>
      <c r="D937" t="inlineStr">
        <is>
          <t>JÄMTLANDS LÄN</t>
        </is>
      </c>
      <c r="E937" t="inlineStr">
        <is>
          <t>STRÖMSUND</t>
        </is>
      </c>
      <c r="G937" t="n">
        <v>3.4</v>
      </c>
      <c r="H937" t="n">
        <v>0</v>
      </c>
      <c r="I937" t="n">
        <v>0</v>
      </c>
      <c r="J937" t="n">
        <v>0</v>
      </c>
      <c r="K937" t="n">
        <v>0</v>
      </c>
      <c r="L937" t="n">
        <v>0</v>
      </c>
      <c r="M937" t="n">
        <v>0</v>
      </c>
      <c r="N937" t="n">
        <v>0</v>
      </c>
      <c r="O937" t="n">
        <v>0</v>
      </c>
      <c r="P937" t="n">
        <v>0</v>
      </c>
      <c r="Q937" t="n">
        <v>0</v>
      </c>
      <c r="R937" s="2" t="inlineStr"/>
    </row>
    <row r="938" ht="15" customHeight="1">
      <c r="A938" t="inlineStr">
        <is>
          <t>A 65076-2020</t>
        </is>
      </c>
      <c r="B938" s="1" t="n">
        <v>44165</v>
      </c>
      <c r="C938" s="1" t="n">
        <v>45795</v>
      </c>
      <c r="D938" t="inlineStr">
        <is>
          <t>JÄMTLANDS LÄN</t>
        </is>
      </c>
      <c r="E938" t="inlineStr">
        <is>
          <t>STRÖMSUND</t>
        </is>
      </c>
      <c r="G938" t="n">
        <v>20.3</v>
      </c>
      <c r="H938" t="n">
        <v>0</v>
      </c>
      <c r="I938" t="n">
        <v>0</v>
      </c>
      <c r="J938" t="n">
        <v>0</v>
      </c>
      <c r="K938" t="n">
        <v>0</v>
      </c>
      <c r="L938" t="n">
        <v>0</v>
      </c>
      <c r="M938" t="n">
        <v>0</v>
      </c>
      <c r="N938" t="n">
        <v>0</v>
      </c>
      <c r="O938" t="n">
        <v>0</v>
      </c>
      <c r="P938" t="n">
        <v>0</v>
      </c>
      <c r="Q938" t="n">
        <v>0</v>
      </c>
      <c r="R938" s="2" t="inlineStr"/>
    </row>
    <row r="939" ht="15" customHeight="1">
      <c r="A939" t="inlineStr">
        <is>
          <t>A 65110-2020</t>
        </is>
      </c>
      <c r="B939" s="1" t="n">
        <v>44165</v>
      </c>
      <c r="C939" s="1" t="n">
        <v>45795</v>
      </c>
      <c r="D939" t="inlineStr">
        <is>
          <t>JÄMTLANDS LÄN</t>
        </is>
      </c>
      <c r="E939" t="inlineStr">
        <is>
          <t>STRÖMSUND</t>
        </is>
      </c>
      <c r="G939" t="n">
        <v>6.8</v>
      </c>
      <c r="H939" t="n">
        <v>0</v>
      </c>
      <c r="I939" t="n">
        <v>0</v>
      </c>
      <c r="J939" t="n">
        <v>0</v>
      </c>
      <c r="K939" t="n">
        <v>0</v>
      </c>
      <c r="L939" t="n">
        <v>0</v>
      </c>
      <c r="M939" t="n">
        <v>0</v>
      </c>
      <c r="N939" t="n">
        <v>0</v>
      </c>
      <c r="O939" t="n">
        <v>0</v>
      </c>
      <c r="P939" t="n">
        <v>0</v>
      </c>
      <c r="Q939" t="n">
        <v>0</v>
      </c>
      <c r="R939" s="2" t="inlineStr"/>
    </row>
    <row r="940" ht="15" customHeight="1">
      <c r="A940" t="inlineStr">
        <is>
          <t>A 63755-2020</t>
        </is>
      </c>
      <c r="B940" s="1" t="n">
        <v>44166</v>
      </c>
      <c r="C940" s="1" t="n">
        <v>45795</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64186-2020</t>
        </is>
      </c>
      <c r="B941" s="1" t="n">
        <v>44167</v>
      </c>
      <c r="C941" s="1" t="n">
        <v>45795</v>
      </c>
      <c r="D941" t="inlineStr">
        <is>
          <t>JÄMTLANDS LÄN</t>
        </is>
      </c>
      <c r="E941" t="inlineStr">
        <is>
          <t>STRÖMSUND</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64608-2020</t>
        </is>
      </c>
      <c r="B942" s="1" t="n">
        <v>44169</v>
      </c>
      <c r="C942" s="1" t="n">
        <v>45795</v>
      </c>
      <c r="D942" t="inlineStr">
        <is>
          <t>JÄMTLANDS LÄN</t>
        </is>
      </c>
      <c r="E942" t="inlineStr">
        <is>
          <t>STRÖMSUND</t>
        </is>
      </c>
      <c r="F942" t="inlineStr">
        <is>
          <t>Holmen skog AB</t>
        </is>
      </c>
      <c r="G942" t="n">
        <v>17.7</v>
      </c>
      <c r="H942" t="n">
        <v>0</v>
      </c>
      <c r="I942" t="n">
        <v>0</v>
      </c>
      <c r="J942" t="n">
        <v>0</v>
      </c>
      <c r="K942" t="n">
        <v>0</v>
      </c>
      <c r="L942" t="n">
        <v>0</v>
      </c>
      <c r="M942" t="n">
        <v>0</v>
      </c>
      <c r="N942" t="n">
        <v>0</v>
      </c>
      <c r="O942" t="n">
        <v>0</v>
      </c>
      <c r="P942" t="n">
        <v>0</v>
      </c>
      <c r="Q942" t="n">
        <v>0</v>
      </c>
      <c r="R942" s="2" t="inlineStr"/>
    </row>
    <row r="943" ht="15" customHeight="1">
      <c r="A943" t="inlineStr">
        <is>
          <t>A 64825-2020</t>
        </is>
      </c>
      <c r="B943" s="1" t="n">
        <v>44169</v>
      </c>
      <c r="C943" s="1" t="n">
        <v>45795</v>
      </c>
      <c r="D943" t="inlineStr">
        <is>
          <t>JÄMTLANDS LÄN</t>
        </is>
      </c>
      <c r="E943" t="inlineStr">
        <is>
          <t>STRÖMSUND</t>
        </is>
      </c>
      <c r="F943" t="inlineStr">
        <is>
          <t>SCA</t>
        </is>
      </c>
      <c r="G943" t="n">
        <v>8.1</v>
      </c>
      <c r="H943" t="n">
        <v>0</v>
      </c>
      <c r="I943" t="n">
        <v>0</v>
      </c>
      <c r="J943" t="n">
        <v>0</v>
      </c>
      <c r="K943" t="n">
        <v>0</v>
      </c>
      <c r="L943" t="n">
        <v>0</v>
      </c>
      <c r="M943" t="n">
        <v>0</v>
      </c>
      <c r="N943" t="n">
        <v>0</v>
      </c>
      <c r="O943" t="n">
        <v>0</v>
      </c>
      <c r="P943" t="n">
        <v>0</v>
      </c>
      <c r="Q943" t="n">
        <v>0</v>
      </c>
      <c r="R943" s="2" t="inlineStr"/>
    </row>
    <row r="944" ht="15" customHeight="1">
      <c r="A944" t="inlineStr">
        <is>
          <t>A 64828-2020</t>
        </is>
      </c>
      <c r="B944" s="1" t="n">
        <v>44169</v>
      </c>
      <c r="C944" s="1" t="n">
        <v>45795</v>
      </c>
      <c r="D944" t="inlineStr">
        <is>
          <t>JÄMTLANDS LÄN</t>
        </is>
      </c>
      <c r="E944" t="inlineStr">
        <is>
          <t>STRÖMSUND</t>
        </is>
      </c>
      <c r="F944" t="inlineStr">
        <is>
          <t>SCA</t>
        </is>
      </c>
      <c r="G944" t="n">
        <v>5.3</v>
      </c>
      <c r="H944" t="n">
        <v>0</v>
      </c>
      <c r="I944" t="n">
        <v>0</v>
      </c>
      <c r="J944" t="n">
        <v>0</v>
      </c>
      <c r="K944" t="n">
        <v>0</v>
      </c>
      <c r="L944" t="n">
        <v>0</v>
      </c>
      <c r="M944" t="n">
        <v>0</v>
      </c>
      <c r="N944" t="n">
        <v>0</v>
      </c>
      <c r="O944" t="n">
        <v>0</v>
      </c>
      <c r="P944" t="n">
        <v>0</v>
      </c>
      <c r="Q944" t="n">
        <v>0</v>
      </c>
      <c r="R944" s="2" t="inlineStr"/>
    </row>
    <row r="945" ht="15" customHeight="1">
      <c r="A945" t="inlineStr">
        <is>
          <t>A 65530-2020</t>
        </is>
      </c>
      <c r="B945" s="1" t="n">
        <v>44173</v>
      </c>
      <c r="C945" s="1" t="n">
        <v>45795</v>
      </c>
      <c r="D945" t="inlineStr">
        <is>
          <t>JÄMTLANDS LÄN</t>
        </is>
      </c>
      <c r="E945" t="inlineStr">
        <is>
          <t>STRÖMSUND</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65618-2020</t>
        </is>
      </c>
      <c r="B946" s="1" t="n">
        <v>44173</v>
      </c>
      <c r="C946" s="1" t="n">
        <v>45795</v>
      </c>
      <c r="D946" t="inlineStr">
        <is>
          <t>JÄMTLANDS LÄN</t>
        </is>
      </c>
      <c r="E946" t="inlineStr">
        <is>
          <t>STRÖMSUND</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65797-2020</t>
        </is>
      </c>
      <c r="B947" s="1" t="n">
        <v>44174</v>
      </c>
      <c r="C947" s="1" t="n">
        <v>45795</v>
      </c>
      <c r="D947" t="inlineStr">
        <is>
          <t>JÄMTLANDS LÄN</t>
        </is>
      </c>
      <c r="E947" t="inlineStr">
        <is>
          <t>STRÖMSUND</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65762-2020</t>
        </is>
      </c>
      <c r="B948" s="1" t="n">
        <v>44174</v>
      </c>
      <c r="C948" s="1" t="n">
        <v>45795</v>
      </c>
      <c r="D948" t="inlineStr">
        <is>
          <t>JÄMTLANDS LÄN</t>
        </is>
      </c>
      <c r="E948" t="inlineStr">
        <is>
          <t>STRÖMSUND</t>
        </is>
      </c>
      <c r="F948" t="inlineStr">
        <is>
          <t>Holmen skog AB</t>
        </is>
      </c>
      <c r="G948" t="n">
        <v>8.5</v>
      </c>
      <c r="H948" t="n">
        <v>0</v>
      </c>
      <c r="I948" t="n">
        <v>0</v>
      </c>
      <c r="J948" t="n">
        <v>0</v>
      </c>
      <c r="K948" t="n">
        <v>0</v>
      </c>
      <c r="L948" t="n">
        <v>0</v>
      </c>
      <c r="M948" t="n">
        <v>0</v>
      </c>
      <c r="N948" t="n">
        <v>0</v>
      </c>
      <c r="O948" t="n">
        <v>0</v>
      </c>
      <c r="P948" t="n">
        <v>0</v>
      </c>
      <c r="Q948" t="n">
        <v>0</v>
      </c>
      <c r="R948" s="2" t="inlineStr"/>
    </row>
    <row r="949" ht="15" customHeight="1">
      <c r="A949" t="inlineStr">
        <is>
          <t>A 65768-2020</t>
        </is>
      </c>
      <c r="B949" s="1" t="n">
        <v>44174</v>
      </c>
      <c r="C949" s="1" t="n">
        <v>45795</v>
      </c>
      <c r="D949" t="inlineStr">
        <is>
          <t>JÄMTLANDS LÄN</t>
        </is>
      </c>
      <c r="E949" t="inlineStr">
        <is>
          <t>STRÖMSUND</t>
        </is>
      </c>
      <c r="F949" t="inlineStr">
        <is>
          <t>Holmen skog AB</t>
        </is>
      </c>
      <c r="G949" t="n">
        <v>21.7</v>
      </c>
      <c r="H949" t="n">
        <v>0</v>
      </c>
      <c r="I949" t="n">
        <v>0</v>
      </c>
      <c r="J949" t="n">
        <v>0</v>
      </c>
      <c r="K949" t="n">
        <v>0</v>
      </c>
      <c r="L949" t="n">
        <v>0</v>
      </c>
      <c r="M949" t="n">
        <v>0</v>
      </c>
      <c r="N949" t="n">
        <v>0</v>
      </c>
      <c r="O949" t="n">
        <v>0</v>
      </c>
      <c r="P949" t="n">
        <v>0</v>
      </c>
      <c r="Q949" t="n">
        <v>0</v>
      </c>
      <c r="R949" s="2" t="inlineStr"/>
    </row>
    <row r="950" ht="15" customHeight="1">
      <c r="A950" t="inlineStr">
        <is>
          <t>A 66130-2020</t>
        </is>
      </c>
      <c r="B950" s="1" t="n">
        <v>44175</v>
      </c>
      <c r="C950" s="1" t="n">
        <v>45795</v>
      </c>
      <c r="D950" t="inlineStr">
        <is>
          <t>JÄMTLANDS LÄN</t>
        </is>
      </c>
      <c r="E950" t="inlineStr">
        <is>
          <t>STRÖMSUND</t>
        </is>
      </c>
      <c r="F950" t="inlineStr">
        <is>
          <t>Holmen skog AB</t>
        </is>
      </c>
      <c r="G950" t="n">
        <v>20.1</v>
      </c>
      <c r="H950" t="n">
        <v>0</v>
      </c>
      <c r="I950" t="n">
        <v>0</v>
      </c>
      <c r="J950" t="n">
        <v>0</v>
      </c>
      <c r="K950" t="n">
        <v>0</v>
      </c>
      <c r="L950" t="n">
        <v>0</v>
      </c>
      <c r="M950" t="n">
        <v>0</v>
      </c>
      <c r="N950" t="n">
        <v>0</v>
      </c>
      <c r="O950" t="n">
        <v>0</v>
      </c>
      <c r="P950" t="n">
        <v>0</v>
      </c>
      <c r="Q950" t="n">
        <v>0</v>
      </c>
      <c r="R950" s="2" t="inlineStr"/>
    </row>
    <row r="951" ht="15" customHeight="1">
      <c r="A951" t="inlineStr">
        <is>
          <t>A 65997-2020</t>
        </is>
      </c>
      <c r="B951" s="1" t="n">
        <v>44175</v>
      </c>
      <c r="C951" s="1" t="n">
        <v>45795</v>
      </c>
      <c r="D951" t="inlineStr">
        <is>
          <t>JÄMTLANDS LÄN</t>
        </is>
      </c>
      <c r="E951" t="inlineStr">
        <is>
          <t>STRÖMSUND</t>
        </is>
      </c>
      <c r="F951" t="inlineStr">
        <is>
          <t>Kyrkan</t>
        </is>
      </c>
      <c r="G951" t="n">
        <v>3.7</v>
      </c>
      <c r="H951" t="n">
        <v>0</v>
      </c>
      <c r="I951" t="n">
        <v>0</v>
      </c>
      <c r="J951" t="n">
        <v>0</v>
      </c>
      <c r="K951" t="n">
        <v>0</v>
      </c>
      <c r="L951" t="n">
        <v>0</v>
      </c>
      <c r="M951" t="n">
        <v>0</v>
      </c>
      <c r="N951" t="n">
        <v>0</v>
      </c>
      <c r="O951" t="n">
        <v>0</v>
      </c>
      <c r="P951" t="n">
        <v>0</v>
      </c>
      <c r="Q951" t="n">
        <v>0</v>
      </c>
      <c r="R951" s="2" t="inlineStr"/>
    </row>
    <row r="952" ht="15" customHeight="1">
      <c r="A952" t="inlineStr">
        <is>
          <t>A 66982-2020</t>
        </is>
      </c>
      <c r="B952" s="1" t="n">
        <v>44176</v>
      </c>
      <c r="C952" s="1" t="n">
        <v>45795</v>
      </c>
      <c r="D952" t="inlineStr">
        <is>
          <t>JÄMTLANDS LÄN</t>
        </is>
      </c>
      <c r="E952" t="inlineStr">
        <is>
          <t>STRÖMSUND</t>
        </is>
      </c>
      <c r="G952" t="n">
        <v>2.4</v>
      </c>
      <c r="H952" t="n">
        <v>0</v>
      </c>
      <c r="I952" t="n">
        <v>0</v>
      </c>
      <c r="J952" t="n">
        <v>0</v>
      </c>
      <c r="K952" t="n">
        <v>0</v>
      </c>
      <c r="L952" t="n">
        <v>0</v>
      </c>
      <c r="M952" t="n">
        <v>0</v>
      </c>
      <c r="N952" t="n">
        <v>0</v>
      </c>
      <c r="O952" t="n">
        <v>0</v>
      </c>
      <c r="P952" t="n">
        <v>0</v>
      </c>
      <c r="Q952" t="n">
        <v>0</v>
      </c>
      <c r="R952" s="2" t="inlineStr"/>
    </row>
    <row r="953" ht="15" customHeight="1">
      <c r="A953" t="inlineStr">
        <is>
          <t>A 66983-2020</t>
        </is>
      </c>
      <c r="B953" s="1" t="n">
        <v>44176</v>
      </c>
      <c r="C953" s="1" t="n">
        <v>45795</v>
      </c>
      <c r="D953" t="inlineStr">
        <is>
          <t>JÄMTLANDS LÄN</t>
        </is>
      </c>
      <c r="E953" t="inlineStr">
        <is>
          <t>STRÖMSUND</t>
        </is>
      </c>
      <c r="G953" t="n">
        <v>4.8</v>
      </c>
      <c r="H953" t="n">
        <v>0</v>
      </c>
      <c r="I953" t="n">
        <v>0</v>
      </c>
      <c r="J953" t="n">
        <v>0</v>
      </c>
      <c r="K953" t="n">
        <v>0</v>
      </c>
      <c r="L953" t="n">
        <v>0</v>
      </c>
      <c r="M953" t="n">
        <v>0</v>
      </c>
      <c r="N953" t="n">
        <v>0</v>
      </c>
      <c r="O953" t="n">
        <v>0</v>
      </c>
      <c r="P953" t="n">
        <v>0</v>
      </c>
      <c r="Q953" t="n">
        <v>0</v>
      </c>
      <c r="R953" s="2" t="inlineStr"/>
    </row>
    <row r="954" ht="15" customHeight="1">
      <c r="A954" t="inlineStr">
        <is>
          <t>A 66770-2020</t>
        </is>
      </c>
      <c r="B954" s="1" t="n">
        <v>44179</v>
      </c>
      <c r="C954" s="1" t="n">
        <v>45795</v>
      </c>
      <c r="D954" t="inlineStr">
        <is>
          <t>JÄMTLANDS LÄN</t>
        </is>
      </c>
      <c r="E954" t="inlineStr">
        <is>
          <t>STRÖMSUND</t>
        </is>
      </c>
      <c r="F954" t="inlineStr">
        <is>
          <t>Holmen skog AB</t>
        </is>
      </c>
      <c r="G954" t="n">
        <v>17.9</v>
      </c>
      <c r="H954" t="n">
        <v>0</v>
      </c>
      <c r="I954" t="n">
        <v>0</v>
      </c>
      <c r="J954" t="n">
        <v>0</v>
      </c>
      <c r="K954" t="n">
        <v>0</v>
      </c>
      <c r="L954" t="n">
        <v>0</v>
      </c>
      <c r="M954" t="n">
        <v>0</v>
      </c>
      <c r="N954" t="n">
        <v>0</v>
      </c>
      <c r="O954" t="n">
        <v>0</v>
      </c>
      <c r="P954" t="n">
        <v>0</v>
      </c>
      <c r="Q954" t="n">
        <v>0</v>
      </c>
      <c r="R954" s="2" t="inlineStr"/>
    </row>
    <row r="955" ht="15" customHeight="1">
      <c r="A955" t="inlineStr">
        <is>
          <t>A 66653-2020</t>
        </is>
      </c>
      <c r="B955" s="1" t="n">
        <v>44179</v>
      </c>
      <c r="C955" s="1" t="n">
        <v>45795</v>
      </c>
      <c r="D955" t="inlineStr">
        <is>
          <t>JÄMTLANDS LÄN</t>
        </is>
      </c>
      <c r="E955" t="inlineStr">
        <is>
          <t>STRÖMSUND</t>
        </is>
      </c>
      <c r="F955" t="inlineStr">
        <is>
          <t>SCA</t>
        </is>
      </c>
      <c r="G955" t="n">
        <v>27.7</v>
      </c>
      <c r="H955" t="n">
        <v>0</v>
      </c>
      <c r="I955" t="n">
        <v>0</v>
      </c>
      <c r="J955" t="n">
        <v>0</v>
      </c>
      <c r="K955" t="n">
        <v>0</v>
      </c>
      <c r="L955" t="n">
        <v>0</v>
      </c>
      <c r="M955" t="n">
        <v>0</v>
      </c>
      <c r="N955" t="n">
        <v>0</v>
      </c>
      <c r="O955" t="n">
        <v>0</v>
      </c>
      <c r="P955" t="n">
        <v>0</v>
      </c>
      <c r="Q955" t="n">
        <v>0</v>
      </c>
      <c r="R955" s="2" t="inlineStr"/>
    </row>
    <row r="956" ht="15" customHeight="1">
      <c r="A956" t="inlineStr">
        <is>
          <t>A 66702-2020</t>
        </is>
      </c>
      <c r="B956" s="1" t="n">
        <v>44179</v>
      </c>
      <c r="C956" s="1" t="n">
        <v>45795</v>
      </c>
      <c r="D956" t="inlineStr">
        <is>
          <t>JÄMTLANDS LÄN</t>
        </is>
      </c>
      <c r="E956" t="inlineStr">
        <is>
          <t>STRÖMSUND</t>
        </is>
      </c>
      <c r="F956" t="inlineStr">
        <is>
          <t>SCA</t>
        </is>
      </c>
      <c r="G956" t="n">
        <v>23.5</v>
      </c>
      <c r="H956" t="n">
        <v>0</v>
      </c>
      <c r="I956" t="n">
        <v>0</v>
      </c>
      <c r="J956" t="n">
        <v>0</v>
      </c>
      <c r="K956" t="n">
        <v>0</v>
      </c>
      <c r="L956" t="n">
        <v>0</v>
      </c>
      <c r="M956" t="n">
        <v>0</v>
      </c>
      <c r="N956" t="n">
        <v>0</v>
      </c>
      <c r="O956" t="n">
        <v>0</v>
      </c>
      <c r="P956" t="n">
        <v>0</v>
      </c>
      <c r="Q956" t="n">
        <v>0</v>
      </c>
      <c r="R956" s="2" t="inlineStr"/>
    </row>
    <row r="957" ht="15" customHeight="1">
      <c r="A957" t="inlineStr">
        <is>
          <t>A 66739-2020</t>
        </is>
      </c>
      <c r="B957" s="1" t="n">
        <v>44179</v>
      </c>
      <c r="C957" s="1" t="n">
        <v>45795</v>
      </c>
      <c r="D957" t="inlineStr">
        <is>
          <t>JÄMTLANDS LÄN</t>
        </is>
      </c>
      <c r="E957" t="inlineStr">
        <is>
          <t>STRÖMSUND</t>
        </is>
      </c>
      <c r="F957" t="inlineStr">
        <is>
          <t>SCA</t>
        </is>
      </c>
      <c r="G957" t="n">
        <v>23.7</v>
      </c>
      <c r="H957" t="n">
        <v>0</v>
      </c>
      <c r="I957" t="n">
        <v>0</v>
      </c>
      <c r="J957" t="n">
        <v>0</v>
      </c>
      <c r="K957" t="n">
        <v>0</v>
      </c>
      <c r="L957" t="n">
        <v>0</v>
      </c>
      <c r="M957" t="n">
        <v>0</v>
      </c>
      <c r="N957" t="n">
        <v>0</v>
      </c>
      <c r="O957" t="n">
        <v>0</v>
      </c>
      <c r="P957" t="n">
        <v>0</v>
      </c>
      <c r="Q957" t="n">
        <v>0</v>
      </c>
      <c r="R957" s="2" t="inlineStr"/>
    </row>
    <row r="958" ht="15" customHeight="1">
      <c r="A958" t="inlineStr">
        <is>
          <t>A 67620-2020</t>
        </is>
      </c>
      <c r="B958" s="1" t="n">
        <v>44181</v>
      </c>
      <c r="C958" s="1" t="n">
        <v>45795</v>
      </c>
      <c r="D958" t="inlineStr">
        <is>
          <t>JÄMTLANDS LÄN</t>
        </is>
      </c>
      <c r="E958" t="inlineStr">
        <is>
          <t>STRÖMSUND</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67621-2020</t>
        </is>
      </c>
      <c r="B959" s="1" t="n">
        <v>44181</v>
      </c>
      <c r="C959" s="1" t="n">
        <v>45795</v>
      </c>
      <c r="D959" t="inlineStr">
        <is>
          <t>JÄMTLANDS LÄN</t>
        </is>
      </c>
      <c r="E959" t="inlineStr">
        <is>
          <t>STRÖMSUND</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67618-2020</t>
        </is>
      </c>
      <c r="B960" s="1" t="n">
        <v>44181</v>
      </c>
      <c r="C960" s="1" t="n">
        <v>45795</v>
      </c>
      <c r="D960" t="inlineStr">
        <is>
          <t>JÄMTLANDS LÄN</t>
        </is>
      </c>
      <c r="E960" t="inlineStr">
        <is>
          <t>STRÖMSUND</t>
        </is>
      </c>
      <c r="F960" t="inlineStr">
        <is>
          <t>SCA</t>
        </is>
      </c>
      <c r="G960" t="n">
        <v>8.4</v>
      </c>
      <c r="H960" t="n">
        <v>0</v>
      </c>
      <c r="I960" t="n">
        <v>0</v>
      </c>
      <c r="J960" t="n">
        <v>0</v>
      </c>
      <c r="K960" t="n">
        <v>0</v>
      </c>
      <c r="L960" t="n">
        <v>0</v>
      </c>
      <c r="M960" t="n">
        <v>0</v>
      </c>
      <c r="N960" t="n">
        <v>0</v>
      </c>
      <c r="O960" t="n">
        <v>0</v>
      </c>
      <c r="P960" t="n">
        <v>0</v>
      </c>
      <c r="Q960" t="n">
        <v>0</v>
      </c>
      <c r="R960" s="2" t="inlineStr"/>
    </row>
    <row r="961" ht="15" customHeight="1">
      <c r="A961" t="inlineStr">
        <is>
          <t>A 68006-2020</t>
        </is>
      </c>
      <c r="B961" s="1" t="n">
        <v>44182</v>
      </c>
      <c r="C961" s="1" t="n">
        <v>45795</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68522-2020</t>
        </is>
      </c>
      <c r="B962" s="1" t="n">
        <v>44186</v>
      </c>
      <c r="C962" s="1" t="n">
        <v>45795</v>
      </c>
      <c r="D962" t="inlineStr">
        <is>
          <t>JÄMTLANDS LÄN</t>
        </is>
      </c>
      <c r="E962" t="inlineStr">
        <is>
          <t>STRÖMSUND</t>
        </is>
      </c>
      <c r="G962" t="n">
        <v>1.1</v>
      </c>
      <c r="H962" t="n">
        <v>0</v>
      </c>
      <c r="I962" t="n">
        <v>0</v>
      </c>
      <c r="J962" t="n">
        <v>0</v>
      </c>
      <c r="K962" t="n">
        <v>0</v>
      </c>
      <c r="L962" t="n">
        <v>0</v>
      </c>
      <c r="M962" t="n">
        <v>0</v>
      </c>
      <c r="N962" t="n">
        <v>0</v>
      </c>
      <c r="O962" t="n">
        <v>0</v>
      </c>
      <c r="P962" t="n">
        <v>0</v>
      </c>
      <c r="Q962" t="n">
        <v>0</v>
      </c>
      <c r="R962" s="2" t="inlineStr"/>
    </row>
    <row r="963" ht="15" customHeight="1">
      <c r="A963" t="inlineStr">
        <is>
          <t>A 68568-2020</t>
        </is>
      </c>
      <c r="B963" s="1" t="n">
        <v>44186</v>
      </c>
      <c r="C963" s="1" t="n">
        <v>45795</v>
      </c>
      <c r="D963" t="inlineStr">
        <is>
          <t>JÄMTLANDS LÄN</t>
        </is>
      </c>
      <c r="E963" t="inlineStr">
        <is>
          <t>STRÖMSUND</t>
        </is>
      </c>
      <c r="F963" t="inlineStr">
        <is>
          <t>Holmen skog AB</t>
        </is>
      </c>
      <c r="G963" t="n">
        <v>39.3</v>
      </c>
      <c r="H963" t="n">
        <v>0</v>
      </c>
      <c r="I963" t="n">
        <v>0</v>
      </c>
      <c r="J963" t="n">
        <v>0</v>
      </c>
      <c r="K963" t="n">
        <v>0</v>
      </c>
      <c r="L963" t="n">
        <v>0</v>
      </c>
      <c r="M963" t="n">
        <v>0</v>
      </c>
      <c r="N963" t="n">
        <v>0</v>
      </c>
      <c r="O963" t="n">
        <v>0</v>
      </c>
      <c r="P963" t="n">
        <v>0</v>
      </c>
      <c r="Q963" t="n">
        <v>0</v>
      </c>
      <c r="R963" s="2" t="inlineStr"/>
    </row>
    <row r="964" ht="15" customHeight="1">
      <c r="A964" t="inlineStr">
        <is>
          <t>A 68783-2020</t>
        </is>
      </c>
      <c r="B964" s="1" t="n">
        <v>44186</v>
      </c>
      <c r="C964" s="1" t="n">
        <v>45795</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68653-2020</t>
        </is>
      </c>
      <c r="B965" s="1" t="n">
        <v>44186</v>
      </c>
      <c r="C965" s="1" t="n">
        <v>45795</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69282-2020</t>
        </is>
      </c>
      <c r="B966" s="1" t="n">
        <v>44188</v>
      </c>
      <c r="C966" s="1" t="n">
        <v>45795</v>
      </c>
      <c r="D966" t="inlineStr">
        <is>
          <t>JÄMTLANDS LÄN</t>
        </is>
      </c>
      <c r="E966" t="inlineStr">
        <is>
          <t>STRÖMSUND</t>
        </is>
      </c>
      <c r="G966" t="n">
        <v>13.8</v>
      </c>
      <c r="H966" t="n">
        <v>0</v>
      </c>
      <c r="I966" t="n">
        <v>0</v>
      </c>
      <c r="J966" t="n">
        <v>0</v>
      </c>
      <c r="K966" t="n">
        <v>0</v>
      </c>
      <c r="L966" t="n">
        <v>0</v>
      </c>
      <c r="M966" t="n">
        <v>0</v>
      </c>
      <c r="N966" t="n">
        <v>0</v>
      </c>
      <c r="O966" t="n">
        <v>0</v>
      </c>
      <c r="P966" t="n">
        <v>0</v>
      </c>
      <c r="Q966" t="n">
        <v>0</v>
      </c>
      <c r="R966" s="2" t="inlineStr"/>
    </row>
    <row r="967" ht="15" customHeight="1">
      <c r="A967" t="inlineStr">
        <is>
          <t>A 69346-2020</t>
        </is>
      </c>
      <c r="B967" s="1" t="n">
        <v>44193</v>
      </c>
      <c r="C967" s="1" t="n">
        <v>45795</v>
      </c>
      <c r="D967" t="inlineStr">
        <is>
          <t>JÄMTLANDS LÄN</t>
        </is>
      </c>
      <c r="E967" t="inlineStr">
        <is>
          <t>STRÖMSUND</t>
        </is>
      </c>
      <c r="G967" t="n">
        <v>1.6</v>
      </c>
      <c r="H967" t="n">
        <v>0</v>
      </c>
      <c r="I967" t="n">
        <v>0</v>
      </c>
      <c r="J967" t="n">
        <v>0</v>
      </c>
      <c r="K967" t="n">
        <v>0</v>
      </c>
      <c r="L967" t="n">
        <v>0</v>
      </c>
      <c r="M967" t="n">
        <v>0</v>
      </c>
      <c r="N967" t="n">
        <v>0</v>
      </c>
      <c r="O967" t="n">
        <v>0</v>
      </c>
      <c r="P967" t="n">
        <v>0</v>
      </c>
      <c r="Q967" t="n">
        <v>0</v>
      </c>
      <c r="R967" s="2" t="inlineStr"/>
    </row>
    <row r="968" ht="15" customHeight="1">
      <c r="A968" t="inlineStr">
        <is>
          <t>A 69508-2020</t>
        </is>
      </c>
      <c r="B968" s="1" t="n">
        <v>44193</v>
      </c>
      <c r="C968" s="1" t="n">
        <v>45795</v>
      </c>
      <c r="D968" t="inlineStr">
        <is>
          <t>JÄMTLANDS LÄN</t>
        </is>
      </c>
      <c r="E968" t="inlineStr">
        <is>
          <t>STRÖMSUND</t>
        </is>
      </c>
      <c r="F968" t="inlineStr">
        <is>
          <t>Övriga statliga verk och myndigheter</t>
        </is>
      </c>
      <c r="G968" t="n">
        <v>6.1</v>
      </c>
      <c r="H968" t="n">
        <v>0</v>
      </c>
      <c r="I968" t="n">
        <v>0</v>
      </c>
      <c r="J968" t="n">
        <v>0</v>
      </c>
      <c r="K968" t="n">
        <v>0</v>
      </c>
      <c r="L968" t="n">
        <v>0</v>
      </c>
      <c r="M968" t="n">
        <v>0</v>
      </c>
      <c r="N968" t="n">
        <v>0</v>
      </c>
      <c r="O968" t="n">
        <v>0</v>
      </c>
      <c r="P968" t="n">
        <v>0</v>
      </c>
      <c r="Q968" t="n">
        <v>0</v>
      </c>
      <c r="R968" s="2" t="inlineStr"/>
    </row>
    <row r="969" ht="15" customHeight="1">
      <c r="A969" t="inlineStr">
        <is>
          <t>A 69506-2020</t>
        </is>
      </c>
      <c r="B969" s="1" t="n">
        <v>44193</v>
      </c>
      <c r="C969" s="1" t="n">
        <v>45795</v>
      </c>
      <c r="D969" t="inlineStr">
        <is>
          <t>JÄMTLANDS LÄN</t>
        </is>
      </c>
      <c r="E969" t="inlineStr">
        <is>
          <t>STRÖMSUND</t>
        </is>
      </c>
      <c r="F969" t="inlineStr">
        <is>
          <t>Övriga statliga verk och myndigheter</t>
        </is>
      </c>
      <c r="G969" t="n">
        <v>14.1</v>
      </c>
      <c r="H969" t="n">
        <v>0</v>
      </c>
      <c r="I969" t="n">
        <v>0</v>
      </c>
      <c r="J969" t="n">
        <v>0</v>
      </c>
      <c r="K969" t="n">
        <v>0</v>
      </c>
      <c r="L969" t="n">
        <v>0</v>
      </c>
      <c r="M969" t="n">
        <v>0</v>
      </c>
      <c r="N969" t="n">
        <v>0</v>
      </c>
      <c r="O969" t="n">
        <v>0</v>
      </c>
      <c r="P969" t="n">
        <v>0</v>
      </c>
      <c r="Q969" t="n">
        <v>0</v>
      </c>
      <c r="R969" s="2" t="inlineStr"/>
    </row>
    <row r="970" ht="15" customHeight="1">
      <c r="A970" t="inlineStr">
        <is>
          <t>A 108-2021</t>
        </is>
      </c>
      <c r="B970" s="1" t="n">
        <v>44195</v>
      </c>
      <c r="C970" s="1" t="n">
        <v>45795</v>
      </c>
      <c r="D970" t="inlineStr">
        <is>
          <t>JÄMTLANDS LÄN</t>
        </is>
      </c>
      <c r="E970" t="inlineStr">
        <is>
          <t>STRÖMSUND</t>
        </is>
      </c>
      <c r="G970" t="n">
        <v>3.3</v>
      </c>
      <c r="H970" t="n">
        <v>0</v>
      </c>
      <c r="I970" t="n">
        <v>0</v>
      </c>
      <c r="J970" t="n">
        <v>0</v>
      </c>
      <c r="K970" t="n">
        <v>0</v>
      </c>
      <c r="L970" t="n">
        <v>0</v>
      </c>
      <c r="M970" t="n">
        <v>0</v>
      </c>
      <c r="N970" t="n">
        <v>0</v>
      </c>
      <c r="O970" t="n">
        <v>0</v>
      </c>
      <c r="P970" t="n">
        <v>0</v>
      </c>
      <c r="Q970" t="n">
        <v>0</v>
      </c>
      <c r="R970" s="2" t="inlineStr"/>
    </row>
    <row r="971" ht="15" customHeight="1">
      <c r="A971" t="inlineStr">
        <is>
          <t>A 135-2021</t>
        </is>
      </c>
      <c r="B971" s="1" t="n">
        <v>44196</v>
      </c>
      <c r="C971" s="1" t="n">
        <v>45795</v>
      </c>
      <c r="D971" t="inlineStr">
        <is>
          <t>JÄMTLANDS LÄN</t>
        </is>
      </c>
      <c r="E971" t="inlineStr">
        <is>
          <t>STRÖMSUND</t>
        </is>
      </c>
      <c r="G971" t="n">
        <v>2.5</v>
      </c>
      <c r="H971" t="n">
        <v>0</v>
      </c>
      <c r="I971" t="n">
        <v>0</v>
      </c>
      <c r="J971" t="n">
        <v>0</v>
      </c>
      <c r="K971" t="n">
        <v>0</v>
      </c>
      <c r="L971" t="n">
        <v>0</v>
      </c>
      <c r="M971" t="n">
        <v>0</v>
      </c>
      <c r="N971" t="n">
        <v>0</v>
      </c>
      <c r="O971" t="n">
        <v>0</v>
      </c>
      <c r="P971" t="n">
        <v>0</v>
      </c>
      <c r="Q971" t="n">
        <v>0</v>
      </c>
      <c r="R971" s="2" t="inlineStr"/>
    </row>
    <row r="972" ht="15" customHeight="1">
      <c r="A972" t="inlineStr">
        <is>
          <t>A 142-2021</t>
        </is>
      </c>
      <c r="B972" s="1" t="n">
        <v>44196</v>
      </c>
      <c r="C972" s="1" t="n">
        <v>45795</v>
      </c>
      <c r="D972" t="inlineStr">
        <is>
          <t>JÄMTLANDS LÄN</t>
        </is>
      </c>
      <c r="E972" t="inlineStr">
        <is>
          <t>STRÖMSUND</t>
        </is>
      </c>
      <c r="G972" t="n">
        <v>6.1</v>
      </c>
      <c r="H972" t="n">
        <v>0</v>
      </c>
      <c r="I972" t="n">
        <v>0</v>
      </c>
      <c r="J972" t="n">
        <v>0</v>
      </c>
      <c r="K972" t="n">
        <v>0</v>
      </c>
      <c r="L972" t="n">
        <v>0</v>
      </c>
      <c r="M972" t="n">
        <v>0</v>
      </c>
      <c r="N972" t="n">
        <v>0</v>
      </c>
      <c r="O972" t="n">
        <v>0</v>
      </c>
      <c r="P972" t="n">
        <v>0</v>
      </c>
      <c r="Q972" t="n">
        <v>0</v>
      </c>
      <c r="R972" s="2" t="inlineStr"/>
    </row>
    <row r="973" ht="15" customHeight="1">
      <c r="A973" t="inlineStr">
        <is>
          <t>A 138-2021</t>
        </is>
      </c>
      <c r="B973" s="1" t="n">
        <v>44196</v>
      </c>
      <c r="C973" s="1" t="n">
        <v>45795</v>
      </c>
      <c r="D973" t="inlineStr">
        <is>
          <t>JÄMTLANDS LÄN</t>
        </is>
      </c>
      <c r="E973" t="inlineStr">
        <is>
          <t>STRÖMSUND</t>
        </is>
      </c>
      <c r="G973" t="n">
        <v>3.3</v>
      </c>
      <c r="H973" t="n">
        <v>0</v>
      </c>
      <c r="I973" t="n">
        <v>0</v>
      </c>
      <c r="J973" t="n">
        <v>0</v>
      </c>
      <c r="K973" t="n">
        <v>0</v>
      </c>
      <c r="L973" t="n">
        <v>0</v>
      </c>
      <c r="M973" t="n">
        <v>0</v>
      </c>
      <c r="N973" t="n">
        <v>0</v>
      </c>
      <c r="O973" t="n">
        <v>0</v>
      </c>
      <c r="P973" t="n">
        <v>0</v>
      </c>
      <c r="Q973" t="n">
        <v>0</v>
      </c>
      <c r="R973" s="2" t="inlineStr"/>
    </row>
    <row r="974" ht="15" customHeight="1">
      <c r="A974" t="inlineStr">
        <is>
          <t>A 326-2021</t>
        </is>
      </c>
      <c r="B974" s="1" t="n">
        <v>44201</v>
      </c>
      <c r="C974" s="1" t="n">
        <v>45795</v>
      </c>
      <c r="D974" t="inlineStr">
        <is>
          <t>JÄMTLANDS LÄN</t>
        </is>
      </c>
      <c r="E974" t="inlineStr">
        <is>
          <t>STRÖMSUND</t>
        </is>
      </c>
      <c r="F974" t="inlineStr">
        <is>
          <t>SCA</t>
        </is>
      </c>
      <c r="G974" t="n">
        <v>88.09999999999999</v>
      </c>
      <c r="H974" t="n">
        <v>0</v>
      </c>
      <c r="I974" t="n">
        <v>0</v>
      </c>
      <c r="J974" t="n">
        <v>0</v>
      </c>
      <c r="K974" t="n">
        <v>0</v>
      </c>
      <c r="L974" t="n">
        <v>0</v>
      </c>
      <c r="M974" t="n">
        <v>0</v>
      </c>
      <c r="N974" t="n">
        <v>0</v>
      </c>
      <c r="O974" t="n">
        <v>0</v>
      </c>
      <c r="P974" t="n">
        <v>0</v>
      </c>
      <c r="Q974" t="n">
        <v>0</v>
      </c>
      <c r="R974" s="2" t="inlineStr"/>
    </row>
    <row r="975" ht="15" customHeight="1">
      <c r="A975" t="inlineStr">
        <is>
          <t>A 363-2021</t>
        </is>
      </c>
      <c r="B975" s="1" t="n">
        <v>44201</v>
      </c>
      <c r="C975" s="1" t="n">
        <v>45795</v>
      </c>
      <c r="D975" t="inlineStr">
        <is>
          <t>JÄMTLANDS LÄN</t>
        </is>
      </c>
      <c r="E975" t="inlineStr">
        <is>
          <t>STRÖMSUND</t>
        </is>
      </c>
      <c r="F975" t="inlineStr">
        <is>
          <t>SCA</t>
        </is>
      </c>
      <c r="G975" t="n">
        <v>52.4</v>
      </c>
      <c r="H975" t="n">
        <v>0</v>
      </c>
      <c r="I975" t="n">
        <v>0</v>
      </c>
      <c r="J975" t="n">
        <v>0</v>
      </c>
      <c r="K975" t="n">
        <v>0</v>
      </c>
      <c r="L975" t="n">
        <v>0</v>
      </c>
      <c r="M975" t="n">
        <v>0</v>
      </c>
      <c r="N975" t="n">
        <v>0</v>
      </c>
      <c r="O975" t="n">
        <v>0</v>
      </c>
      <c r="P975" t="n">
        <v>0</v>
      </c>
      <c r="Q975" t="n">
        <v>0</v>
      </c>
      <c r="R975" s="2" t="inlineStr"/>
    </row>
    <row r="976" ht="15" customHeight="1">
      <c r="A976" t="inlineStr">
        <is>
          <t>A 457-2021</t>
        </is>
      </c>
      <c r="B976" s="1" t="n">
        <v>44202</v>
      </c>
      <c r="C976" s="1" t="n">
        <v>45795</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582-2021</t>
        </is>
      </c>
      <c r="B977" s="1" t="n">
        <v>44203</v>
      </c>
      <c r="C977" s="1" t="n">
        <v>45795</v>
      </c>
      <c r="D977" t="inlineStr">
        <is>
          <t>JÄMTLANDS LÄN</t>
        </is>
      </c>
      <c r="E977" t="inlineStr">
        <is>
          <t>STRÖMSUND</t>
        </is>
      </c>
      <c r="F977" t="inlineStr">
        <is>
          <t>SCA</t>
        </is>
      </c>
      <c r="G977" t="n">
        <v>54.9</v>
      </c>
      <c r="H977" t="n">
        <v>0</v>
      </c>
      <c r="I977" t="n">
        <v>0</v>
      </c>
      <c r="J977" t="n">
        <v>0</v>
      </c>
      <c r="K977" t="n">
        <v>0</v>
      </c>
      <c r="L977" t="n">
        <v>0</v>
      </c>
      <c r="M977" t="n">
        <v>0</v>
      </c>
      <c r="N977" t="n">
        <v>0</v>
      </c>
      <c r="O977" t="n">
        <v>0</v>
      </c>
      <c r="P977" t="n">
        <v>0</v>
      </c>
      <c r="Q977" t="n">
        <v>0</v>
      </c>
      <c r="R977" s="2" t="inlineStr"/>
    </row>
    <row r="978" ht="15" customHeight="1">
      <c r="A978" t="inlineStr">
        <is>
          <t>A 647-2021</t>
        </is>
      </c>
      <c r="B978" s="1" t="n">
        <v>44203</v>
      </c>
      <c r="C978" s="1" t="n">
        <v>45795</v>
      </c>
      <c r="D978" t="inlineStr">
        <is>
          <t>JÄMTLANDS LÄN</t>
        </is>
      </c>
      <c r="E978" t="inlineStr">
        <is>
          <t>STRÖMSUND</t>
        </is>
      </c>
      <c r="F978" t="inlineStr">
        <is>
          <t>SCA</t>
        </is>
      </c>
      <c r="G978" t="n">
        <v>151.3</v>
      </c>
      <c r="H978" t="n">
        <v>0</v>
      </c>
      <c r="I978" t="n">
        <v>0</v>
      </c>
      <c r="J978" t="n">
        <v>0</v>
      </c>
      <c r="K978" t="n">
        <v>0</v>
      </c>
      <c r="L978" t="n">
        <v>0</v>
      </c>
      <c r="M978" t="n">
        <v>0</v>
      </c>
      <c r="N978" t="n">
        <v>0</v>
      </c>
      <c r="O978" t="n">
        <v>0</v>
      </c>
      <c r="P978" t="n">
        <v>0</v>
      </c>
      <c r="Q978" t="n">
        <v>0</v>
      </c>
      <c r="R978" s="2" t="inlineStr"/>
    </row>
    <row r="979" ht="15" customHeight="1">
      <c r="A979" t="inlineStr">
        <is>
          <t>A 742-2021</t>
        </is>
      </c>
      <c r="B979" s="1" t="n">
        <v>44204</v>
      </c>
      <c r="C979" s="1" t="n">
        <v>45795</v>
      </c>
      <c r="D979" t="inlineStr">
        <is>
          <t>JÄMTLANDS LÄN</t>
        </is>
      </c>
      <c r="E979" t="inlineStr">
        <is>
          <t>STRÖMSUND</t>
        </is>
      </c>
      <c r="F979" t="inlineStr">
        <is>
          <t>SCA</t>
        </is>
      </c>
      <c r="G979" t="n">
        <v>22.8</v>
      </c>
      <c r="H979" t="n">
        <v>0</v>
      </c>
      <c r="I979" t="n">
        <v>0</v>
      </c>
      <c r="J979" t="n">
        <v>0</v>
      </c>
      <c r="K979" t="n">
        <v>0</v>
      </c>
      <c r="L979" t="n">
        <v>0</v>
      </c>
      <c r="M979" t="n">
        <v>0</v>
      </c>
      <c r="N979" t="n">
        <v>0</v>
      </c>
      <c r="O979" t="n">
        <v>0</v>
      </c>
      <c r="P979" t="n">
        <v>0</v>
      </c>
      <c r="Q979" t="n">
        <v>0</v>
      </c>
      <c r="R979" s="2" t="inlineStr"/>
    </row>
    <row r="980" ht="15" customHeight="1">
      <c r="A980" t="inlineStr">
        <is>
          <t>A 1305-2021</t>
        </is>
      </c>
      <c r="B980" s="1" t="n">
        <v>44207</v>
      </c>
      <c r="C980" s="1" t="n">
        <v>45795</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2159-2021</t>
        </is>
      </c>
      <c r="B981" s="1" t="n">
        <v>44211</v>
      </c>
      <c r="C981" s="1" t="n">
        <v>45795</v>
      </c>
      <c r="D981" t="inlineStr">
        <is>
          <t>JÄMTLANDS LÄN</t>
        </is>
      </c>
      <c r="E981" t="inlineStr">
        <is>
          <t>STRÖMSUND</t>
        </is>
      </c>
      <c r="G981" t="n">
        <v>0.6</v>
      </c>
      <c r="H981" t="n">
        <v>0</v>
      </c>
      <c r="I981" t="n">
        <v>0</v>
      </c>
      <c r="J981" t="n">
        <v>0</v>
      </c>
      <c r="K981" t="n">
        <v>0</v>
      </c>
      <c r="L981" t="n">
        <v>0</v>
      </c>
      <c r="M981" t="n">
        <v>0</v>
      </c>
      <c r="N981" t="n">
        <v>0</v>
      </c>
      <c r="O981" t="n">
        <v>0</v>
      </c>
      <c r="P981" t="n">
        <v>0</v>
      </c>
      <c r="Q981" t="n">
        <v>0</v>
      </c>
      <c r="R981" s="2" t="inlineStr"/>
    </row>
    <row r="982" ht="15" customHeight="1">
      <c r="A982" t="inlineStr">
        <is>
          <t>A 2432-2021</t>
        </is>
      </c>
      <c r="B982" s="1" t="n">
        <v>44211</v>
      </c>
      <c r="C982" s="1" t="n">
        <v>45795</v>
      </c>
      <c r="D982" t="inlineStr">
        <is>
          <t>JÄMTLANDS LÄN</t>
        </is>
      </c>
      <c r="E982" t="inlineStr">
        <is>
          <t>STRÖMSUND</t>
        </is>
      </c>
      <c r="G982" t="n">
        <v>1.5</v>
      </c>
      <c r="H982" t="n">
        <v>0</v>
      </c>
      <c r="I982" t="n">
        <v>0</v>
      </c>
      <c r="J982" t="n">
        <v>0</v>
      </c>
      <c r="K982" t="n">
        <v>0</v>
      </c>
      <c r="L982" t="n">
        <v>0</v>
      </c>
      <c r="M982" t="n">
        <v>0</v>
      </c>
      <c r="N982" t="n">
        <v>0</v>
      </c>
      <c r="O982" t="n">
        <v>0</v>
      </c>
      <c r="P982" t="n">
        <v>0</v>
      </c>
      <c r="Q982" t="n">
        <v>0</v>
      </c>
      <c r="R982" s="2" t="inlineStr"/>
    </row>
    <row r="983" ht="15" customHeight="1">
      <c r="A983" t="inlineStr">
        <is>
          <t>A 2549-2021</t>
        </is>
      </c>
      <c r="B983" s="1" t="n">
        <v>44214</v>
      </c>
      <c r="C983" s="1" t="n">
        <v>45795</v>
      </c>
      <c r="D983" t="inlineStr">
        <is>
          <t>JÄMTLANDS LÄN</t>
        </is>
      </c>
      <c r="E983" t="inlineStr">
        <is>
          <t>STRÖMSUND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2660-2021</t>
        </is>
      </c>
      <c r="B984" s="1" t="n">
        <v>44215</v>
      </c>
      <c r="C984" s="1" t="n">
        <v>45795</v>
      </c>
      <c r="D984" t="inlineStr">
        <is>
          <t>JÄMTLANDS LÄN</t>
        </is>
      </c>
      <c r="E984" t="inlineStr">
        <is>
          <t>STRÖMSUND</t>
        </is>
      </c>
      <c r="G984" t="n">
        <v>11.2</v>
      </c>
      <c r="H984" t="n">
        <v>0</v>
      </c>
      <c r="I984" t="n">
        <v>0</v>
      </c>
      <c r="J984" t="n">
        <v>0</v>
      </c>
      <c r="K984" t="n">
        <v>0</v>
      </c>
      <c r="L984" t="n">
        <v>0</v>
      </c>
      <c r="M984" t="n">
        <v>0</v>
      </c>
      <c r="N984" t="n">
        <v>0</v>
      </c>
      <c r="O984" t="n">
        <v>0</v>
      </c>
      <c r="P984" t="n">
        <v>0</v>
      </c>
      <c r="Q984" t="n">
        <v>0</v>
      </c>
      <c r="R984" s="2" t="inlineStr"/>
    </row>
    <row r="985" ht="15" customHeight="1">
      <c r="A985" t="inlineStr">
        <is>
          <t>A 3186-2021</t>
        </is>
      </c>
      <c r="B985" s="1" t="n">
        <v>44217</v>
      </c>
      <c r="C985" s="1" t="n">
        <v>45795</v>
      </c>
      <c r="D985" t="inlineStr">
        <is>
          <t>JÄMTLANDS LÄN</t>
        </is>
      </c>
      <c r="E985" t="inlineStr">
        <is>
          <t>STRÖMSUND</t>
        </is>
      </c>
      <c r="G985" t="n">
        <v>13.7</v>
      </c>
      <c r="H985" t="n">
        <v>0</v>
      </c>
      <c r="I985" t="n">
        <v>0</v>
      </c>
      <c r="J985" t="n">
        <v>0</v>
      </c>
      <c r="K985" t="n">
        <v>0</v>
      </c>
      <c r="L985" t="n">
        <v>0</v>
      </c>
      <c r="M985" t="n">
        <v>0</v>
      </c>
      <c r="N985" t="n">
        <v>0</v>
      </c>
      <c r="O985" t="n">
        <v>0</v>
      </c>
      <c r="P985" t="n">
        <v>0</v>
      </c>
      <c r="Q985" t="n">
        <v>0</v>
      </c>
      <c r="R985" s="2" t="inlineStr"/>
    </row>
    <row r="986" ht="15" customHeight="1">
      <c r="A986" t="inlineStr">
        <is>
          <t>A 4004-2021</t>
        </is>
      </c>
      <c r="B986" s="1" t="n">
        <v>44222</v>
      </c>
      <c r="C986" s="1" t="n">
        <v>45795</v>
      </c>
      <c r="D986" t="inlineStr">
        <is>
          <t>JÄMTLANDS LÄN</t>
        </is>
      </c>
      <c r="E986" t="inlineStr">
        <is>
          <t>STRÖMSUND</t>
        </is>
      </c>
      <c r="F986" t="inlineStr">
        <is>
          <t>Kyrkan</t>
        </is>
      </c>
      <c r="G986" t="n">
        <v>5.9</v>
      </c>
      <c r="H986" t="n">
        <v>0</v>
      </c>
      <c r="I986" t="n">
        <v>0</v>
      </c>
      <c r="J986" t="n">
        <v>0</v>
      </c>
      <c r="K986" t="n">
        <v>0</v>
      </c>
      <c r="L986" t="n">
        <v>0</v>
      </c>
      <c r="M986" t="n">
        <v>0</v>
      </c>
      <c r="N986" t="n">
        <v>0</v>
      </c>
      <c r="O986" t="n">
        <v>0</v>
      </c>
      <c r="P986" t="n">
        <v>0</v>
      </c>
      <c r="Q986" t="n">
        <v>0</v>
      </c>
      <c r="R986" s="2" t="inlineStr"/>
    </row>
    <row r="987" ht="15" customHeight="1">
      <c r="A987" t="inlineStr">
        <is>
          <t>A 4135-2021</t>
        </is>
      </c>
      <c r="B987" s="1" t="n">
        <v>44223</v>
      </c>
      <c r="C987" s="1" t="n">
        <v>45795</v>
      </c>
      <c r="D987" t="inlineStr">
        <is>
          <t>JÄMTLANDS LÄN</t>
        </is>
      </c>
      <c r="E987" t="inlineStr">
        <is>
          <t>STRÖMSUND</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4662-2021</t>
        </is>
      </c>
      <c r="B988" s="1" t="n">
        <v>44224</v>
      </c>
      <c r="C988" s="1" t="n">
        <v>45795</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4661-2021</t>
        </is>
      </c>
      <c r="B989" s="1" t="n">
        <v>44224</v>
      </c>
      <c r="C989" s="1" t="n">
        <v>45795</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5034-2021</t>
        </is>
      </c>
      <c r="B990" s="1" t="n">
        <v>44228</v>
      </c>
      <c r="C990" s="1" t="n">
        <v>45795</v>
      </c>
      <c r="D990" t="inlineStr">
        <is>
          <t>JÄMTLANDS LÄN</t>
        </is>
      </c>
      <c r="E990" t="inlineStr">
        <is>
          <t>STRÖMSUND</t>
        </is>
      </c>
      <c r="F990" t="inlineStr">
        <is>
          <t>Kommuner</t>
        </is>
      </c>
      <c r="G990" t="n">
        <v>1.2</v>
      </c>
      <c r="H990" t="n">
        <v>0</v>
      </c>
      <c r="I990" t="n">
        <v>0</v>
      </c>
      <c r="J990" t="n">
        <v>0</v>
      </c>
      <c r="K990" t="n">
        <v>0</v>
      </c>
      <c r="L990" t="n">
        <v>0</v>
      </c>
      <c r="M990" t="n">
        <v>0</v>
      </c>
      <c r="N990" t="n">
        <v>0</v>
      </c>
      <c r="O990" t="n">
        <v>0</v>
      </c>
      <c r="P990" t="n">
        <v>0</v>
      </c>
      <c r="Q990" t="n">
        <v>0</v>
      </c>
      <c r="R990" s="2" t="inlineStr"/>
    </row>
    <row r="991" ht="15" customHeight="1">
      <c r="A991" t="inlineStr">
        <is>
          <t>A 5384-2021</t>
        </is>
      </c>
      <c r="B991" s="1" t="n">
        <v>44228</v>
      </c>
      <c r="C991" s="1" t="n">
        <v>45795</v>
      </c>
      <c r="D991" t="inlineStr">
        <is>
          <t>JÄMTLANDS LÄN</t>
        </is>
      </c>
      <c r="E991" t="inlineStr">
        <is>
          <t>STRÖMSUND</t>
        </is>
      </c>
      <c r="G991" t="n">
        <v>18.3</v>
      </c>
      <c r="H991" t="n">
        <v>0</v>
      </c>
      <c r="I991" t="n">
        <v>0</v>
      </c>
      <c r="J991" t="n">
        <v>0</v>
      </c>
      <c r="K991" t="n">
        <v>0</v>
      </c>
      <c r="L991" t="n">
        <v>0</v>
      </c>
      <c r="M991" t="n">
        <v>0</v>
      </c>
      <c r="N991" t="n">
        <v>0</v>
      </c>
      <c r="O991" t="n">
        <v>0</v>
      </c>
      <c r="P991" t="n">
        <v>0</v>
      </c>
      <c r="Q991" t="n">
        <v>0</v>
      </c>
      <c r="R991" s="2" t="inlineStr"/>
    </row>
    <row r="992" ht="15" customHeight="1">
      <c r="A992" t="inlineStr">
        <is>
          <t>A 5464-2021</t>
        </is>
      </c>
      <c r="B992" s="1" t="n">
        <v>44229</v>
      </c>
      <c r="C992" s="1" t="n">
        <v>45795</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5470-2021</t>
        </is>
      </c>
      <c r="B993" s="1" t="n">
        <v>44229</v>
      </c>
      <c r="C993" s="1" t="n">
        <v>45795</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5795-2021</t>
        </is>
      </c>
      <c r="B994" s="1" t="n">
        <v>44230</v>
      </c>
      <c r="C994" s="1" t="n">
        <v>45795</v>
      </c>
      <c r="D994" t="inlineStr">
        <is>
          <t>JÄMTLANDS LÄN</t>
        </is>
      </c>
      <c r="E994" t="inlineStr">
        <is>
          <t>STRÖMSUND</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5794-2021</t>
        </is>
      </c>
      <c r="B995" s="1" t="n">
        <v>44230</v>
      </c>
      <c r="C995" s="1" t="n">
        <v>45795</v>
      </c>
      <c r="D995" t="inlineStr">
        <is>
          <t>JÄMTLANDS LÄN</t>
        </is>
      </c>
      <c r="E995" t="inlineStr">
        <is>
          <t>STRÖMSUND</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6386-2021</t>
        </is>
      </c>
      <c r="B996" s="1" t="n">
        <v>44232</v>
      </c>
      <c r="C996" s="1" t="n">
        <v>45795</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6394-2021</t>
        </is>
      </c>
      <c r="B997" s="1" t="n">
        <v>44232</v>
      </c>
      <c r="C997" s="1" t="n">
        <v>45795</v>
      </c>
      <c r="D997" t="inlineStr">
        <is>
          <t>JÄMTLANDS LÄN</t>
        </is>
      </c>
      <c r="E997" t="inlineStr">
        <is>
          <t>STRÖMSUND</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6371-2021</t>
        </is>
      </c>
      <c r="B998" s="1" t="n">
        <v>44232</v>
      </c>
      <c r="C998" s="1" t="n">
        <v>45795</v>
      </c>
      <c r="D998" t="inlineStr">
        <is>
          <t>JÄMTLANDS LÄN</t>
        </is>
      </c>
      <c r="E998" t="inlineStr">
        <is>
          <t>STRÖMSUND</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7268-2021</t>
        </is>
      </c>
      <c r="B999" s="1" t="n">
        <v>44238</v>
      </c>
      <c r="C999" s="1" t="n">
        <v>45795</v>
      </c>
      <c r="D999" t="inlineStr">
        <is>
          <t>JÄMTLANDS LÄN</t>
        </is>
      </c>
      <c r="E999" t="inlineStr">
        <is>
          <t>STRÖMSUND</t>
        </is>
      </c>
      <c r="G999" t="n">
        <v>5.2</v>
      </c>
      <c r="H999" t="n">
        <v>0</v>
      </c>
      <c r="I999" t="n">
        <v>0</v>
      </c>
      <c r="J999" t="n">
        <v>0</v>
      </c>
      <c r="K999" t="n">
        <v>0</v>
      </c>
      <c r="L999" t="n">
        <v>0</v>
      </c>
      <c r="M999" t="n">
        <v>0</v>
      </c>
      <c r="N999" t="n">
        <v>0</v>
      </c>
      <c r="O999" t="n">
        <v>0</v>
      </c>
      <c r="P999" t="n">
        <v>0</v>
      </c>
      <c r="Q999" t="n">
        <v>0</v>
      </c>
      <c r="R999" s="2" t="inlineStr"/>
    </row>
    <row r="1000" ht="15" customHeight="1">
      <c r="A1000" t="inlineStr">
        <is>
          <t>A 7697-2021</t>
        </is>
      </c>
      <c r="B1000" s="1" t="n">
        <v>44239</v>
      </c>
      <c r="C1000" s="1" t="n">
        <v>45795</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8016-2021</t>
        </is>
      </c>
      <c r="B1001" s="1" t="n">
        <v>44243</v>
      </c>
      <c r="C1001" s="1" t="n">
        <v>45795</v>
      </c>
      <c r="D1001" t="inlineStr">
        <is>
          <t>JÄMTLANDS LÄN</t>
        </is>
      </c>
      <c r="E1001" t="inlineStr">
        <is>
          <t>STRÖMSUND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8020-2021</t>
        </is>
      </c>
      <c r="B1002" s="1" t="n">
        <v>44243</v>
      </c>
      <c r="C1002" s="1" t="n">
        <v>45795</v>
      </c>
      <c r="D1002" t="inlineStr">
        <is>
          <t>JÄMTLANDS LÄN</t>
        </is>
      </c>
      <c r="E1002" t="inlineStr">
        <is>
          <t>STRÖMSUND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8364-2021</t>
        </is>
      </c>
      <c r="B1003" s="1" t="n">
        <v>44244</v>
      </c>
      <c r="C1003" s="1" t="n">
        <v>45795</v>
      </c>
      <c r="D1003" t="inlineStr">
        <is>
          <t>JÄMTLANDS LÄN</t>
        </is>
      </c>
      <c r="E1003" t="inlineStr">
        <is>
          <t>STRÖMSUND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8979-2021</t>
        </is>
      </c>
      <c r="B1004" s="1" t="n">
        <v>44246</v>
      </c>
      <c r="C1004" s="1" t="n">
        <v>45795</v>
      </c>
      <c r="D1004" t="inlineStr">
        <is>
          <t>JÄMTLANDS LÄN</t>
        </is>
      </c>
      <c r="E1004" t="inlineStr">
        <is>
          <t>STRÖMSUND</t>
        </is>
      </c>
      <c r="G1004" t="n">
        <v>40.4</v>
      </c>
      <c r="H1004" t="n">
        <v>0</v>
      </c>
      <c r="I1004" t="n">
        <v>0</v>
      </c>
      <c r="J1004" t="n">
        <v>0</v>
      </c>
      <c r="K1004" t="n">
        <v>0</v>
      </c>
      <c r="L1004" t="n">
        <v>0</v>
      </c>
      <c r="M1004" t="n">
        <v>0</v>
      </c>
      <c r="N1004" t="n">
        <v>0</v>
      </c>
      <c r="O1004" t="n">
        <v>0</v>
      </c>
      <c r="P1004" t="n">
        <v>0</v>
      </c>
      <c r="Q1004" t="n">
        <v>0</v>
      </c>
      <c r="R1004" s="2" t="inlineStr"/>
    </row>
    <row r="1005" ht="15" customHeight="1">
      <c r="A1005" t="inlineStr">
        <is>
          <t>A 10528-2021</t>
        </is>
      </c>
      <c r="B1005" s="1" t="n">
        <v>44257</v>
      </c>
      <c r="C1005" s="1" t="n">
        <v>45795</v>
      </c>
      <c r="D1005" t="inlineStr">
        <is>
          <t>JÄMTLANDS LÄN</t>
        </is>
      </c>
      <c r="E1005" t="inlineStr">
        <is>
          <t>STRÖMSUND</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11034-2021</t>
        </is>
      </c>
      <c r="B1006" s="1" t="n">
        <v>44260</v>
      </c>
      <c r="C1006" s="1" t="n">
        <v>45795</v>
      </c>
      <c r="D1006" t="inlineStr">
        <is>
          <t>JÄMTLANDS LÄN</t>
        </is>
      </c>
      <c r="E1006" t="inlineStr">
        <is>
          <t>STRÖMSUND</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11508-2021</t>
        </is>
      </c>
      <c r="B1007" s="1" t="n">
        <v>44264</v>
      </c>
      <c r="C1007" s="1" t="n">
        <v>45795</v>
      </c>
      <c r="D1007" t="inlineStr">
        <is>
          <t>JÄMTLANDS LÄN</t>
        </is>
      </c>
      <c r="E1007" t="inlineStr">
        <is>
          <t>STRÖMSUND</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12250-2021</t>
        </is>
      </c>
      <c r="B1008" s="1" t="n">
        <v>44266</v>
      </c>
      <c r="C1008" s="1" t="n">
        <v>45795</v>
      </c>
      <c r="D1008" t="inlineStr">
        <is>
          <t>JÄMTLANDS LÄN</t>
        </is>
      </c>
      <c r="E1008" t="inlineStr">
        <is>
          <t>STRÖMSUND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12186-2021</t>
        </is>
      </c>
      <c r="B1009" s="1" t="n">
        <v>44266</v>
      </c>
      <c r="C1009" s="1" t="n">
        <v>45795</v>
      </c>
      <c r="D1009" t="inlineStr">
        <is>
          <t>JÄMTLANDS LÄN</t>
        </is>
      </c>
      <c r="E1009" t="inlineStr">
        <is>
          <t>STRÖMSUND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12428-2021</t>
        </is>
      </c>
      <c r="B1010" s="1" t="n">
        <v>44267</v>
      </c>
      <c r="C1010" s="1" t="n">
        <v>45795</v>
      </c>
      <c r="D1010" t="inlineStr">
        <is>
          <t>JÄMTLANDS LÄN</t>
        </is>
      </c>
      <c r="E1010" t="inlineStr">
        <is>
          <t>STRÖMSUND</t>
        </is>
      </c>
      <c r="G1010" t="n">
        <v>19.6</v>
      </c>
      <c r="H1010" t="n">
        <v>0</v>
      </c>
      <c r="I1010" t="n">
        <v>0</v>
      </c>
      <c r="J1010" t="n">
        <v>0</v>
      </c>
      <c r="K1010" t="n">
        <v>0</v>
      </c>
      <c r="L1010" t="n">
        <v>0</v>
      </c>
      <c r="M1010" t="n">
        <v>0</v>
      </c>
      <c r="N1010" t="n">
        <v>0</v>
      </c>
      <c r="O1010" t="n">
        <v>0</v>
      </c>
      <c r="P1010" t="n">
        <v>0</v>
      </c>
      <c r="Q1010" t="n">
        <v>0</v>
      </c>
      <c r="R1010" s="2" t="inlineStr"/>
    </row>
    <row r="1011" ht="15" customHeight="1">
      <c r="A1011" t="inlineStr">
        <is>
          <t>A 12840-2021</t>
        </is>
      </c>
      <c r="B1011" s="1" t="n">
        <v>44270</v>
      </c>
      <c r="C1011" s="1" t="n">
        <v>45795</v>
      </c>
      <c r="D1011" t="inlineStr">
        <is>
          <t>JÄMTLANDS LÄN</t>
        </is>
      </c>
      <c r="E1011" t="inlineStr">
        <is>
          <t>STRÖMSUND</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13041-2021</t>
        </is>
      </c>
      <c r="B1012" s="1" t="n">
        <v>44271</v>
      </c>
      <c r="C1012" s="1" t="n">
        <v>45795</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13563-2021</t>
        </is>
      </c>
      <c r="B1013" s="1" t="n">
        <v>44273</v>
      </c>
      <c r="C1013" s="1" t="n">
        <v>45795</v>
      </c>
      <c r="D1013" t="inlineStr">
        <is>
          <t>JÄMTLANDS LÄN</t>
        </is>
      </c>
      <c r="E1013" t="inlineStr">
        <is>
          <t>STRÖMSUND</t>
        </is>
      </c>
      <c r="G1013" t="n">
        <v>27.1</v>
      </c>
      <c r="H1013" t="n">
        <v>0</v>
      </c>
      <c r="I1013" t="n">
        <v>0</v>
      </c>
      <c r="J1013" t="n">
        <v>0</v>
      </c>
      <c r="K1013" t="n">
        <v>0</v>
      </c>
      <c r="L1013" t="n">
        <v>0</v>
      </c>
      <c r="M1013" t="n">
        <v>0</v>
      </c>
      <c r="N1013" t="n">
        <v>0</v>
      </c>
      <c r="O1013" t="n">
        <v>0</v>
      </c>
      <c r="P1013" t="n">
        <v>0</v>
      </c>
      <c r="Q1013" t="n">
        <v>0</v>
      </c>
      <c r="R1013" s="2" t="inlineStr"/>
    </row>
    <row r="1014" ht="15" customHeight="1">
      <c r="A1014" t="inlineStr">
        <is>
          <t>A 14067-2021</t>
        </is>
      </c>
      <c r="B1014" s="1" t="n">
        <v>44277</v>
      </c>
      <c r="C1014" s="1" t="n">
        <v>45795</v>
      </c>
      <c r="D1014" t="inlineStr">
        <is>
          <t>JÄMTLANDS LÄN</t>
        </is>
      </c>
      <c r="E1014" t="inlineStr">
        <is>
          <t>STRÖMSUND</t>
        </is>
      </c>
      <c r="G1014" t="n">
        <v>27.7</v>
      </c>
      <c r="H1014" t="n">
        <v>0</v>
      </c>
      <c r="I1014" t="n">
        <v>0</v>
      </c>
      <c r="J1014" t="n">
        <v>0</v>
      </c>
      <c r="K1014" t="n">
        <v>0</v>
      </c>
      <c r="L1014" t="n">
        <v>0</v>
      </c>
      <c r="M1014" t="n">
        <v>0</v>
      </c>
      <c r="N1014" t="n">
        <v>0</v>
      </c>
      <c r="O1014" t="n">
        <v>0</v>
      </c>
      <c r="P1014" t="n">
        <v>0</v>
      </c>
      <c r="Q1014" t="n">
        <v>0</v>
      </c>
      <c r="R1014" s="2" t="inlineStr"/>
    </row>
    <row r="1015" ht="15" customHeight="1">
      <c r="A1015" t="inlineStr">
        <is>
          <t>A 14147-2021</t>
        </is>
      </c>
      <c r="B1015" s="1" t="n">
        <v>44278</v>
      </c>
      <c r="C1015" s="1" t="n">
        <v>45795</v>
      </c>
      <c r="D1015" t="inlineStr">
        <is>
          <t>JÄMTLANDS LÄN</t>
        </is>
      </c>
      <c r="E1015" t="inlineStr">
        <is>
          <t>STRÖMSUND</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15118-2021</t>
        </is>
      </c>
      <c r="B1016" s="1" t="n">
        <v>44282</v>
      </c>
      <c r="C1016" s="1" t="n">
        <v>45795</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15355-2021</t>
        </is>
      </c>
      <c r="B1017" s="1" t="n">
        <v>44284</v>
      </c>
      <c r="C1017" s="1" t="n">
        <v>45795</v>
      </c>
      <c r="D1017" t="inlineStr">
        <is>
          <t>JÄMTLANDS LÄN</t>
        </is>
      </c>
      <c r="E1017" t="inlineStr">
        <is>
          <t>STRÖMSUND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15360-2021</t>
        </is>
      </c>
      <c r="B1018" s="1" t="n">
        <v>44284</v>
      </c>
      <c r="C1018" s="1" t="n">
        <v>45795</v>
      </c>
      <c r="D1018" t="inlineStr">
        <is>
          <t>JÄMTLANDS LÄN</t>
        </is>
      </c>
      <c r="E1018" t="inlineStr">
        <is>
          <t>STRÖMSUND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15371-2021</t>
        </is>
      </c>
      <c r="B1019" s="1" t="n">
        <v>44284</v>
      </c>
      <c r="C1019" s="1" t="n">
        <v>45795</v>
      </c>
      <c r="D1019" t="inlineStr">
        <is>
          <t>JÄMTLANDS LÄN</t>
        </is>
      </c>
      <c r="E1019" t="inlineStr">
        <is>
          <t>STRÖMSUND</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15650-2021</t>
        </is>
      </c>
      <c r="B1020" s="1" t="n">
        <v>44285</v>
      </c>
      <c r="C1020" s="1" t="n">
        <v>45795</v>
      </c>
      <c r="D1020" t="inlineStr">
        <is>
          <t>JÄMTLANDS LÄN</t>
        </is>
      </c>
      <c r="E1020" t="inlineStr">
        <is>
          <t>STRÖMSUND</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16128-2021</t>
        </is>
      </c>
      <c r="B1021" s="1" t="n">
        <v>44291</v>
      </c>
      <c r="C1021" s="1" t="n">
        <v>45795</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16774-2021</t>
        </is>
      </c>
      <c r="B1022" s="1" t="n">
        <v>44294</v>
      </c>
      <c r="C1022" s="1" t="n">
        <v>45795</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17368-2021</t>
        </is>
      </c>
      <c r="B1023" s="1" t="n">
        <v>44299</v>
      </c>
      <c r="C1023" s="1" t="n">
        <v>45795</v>
      </c>
      <c r="D1023" t="inlineStr">
        <is>
          <t>JÄMTLANDS LÄN</t>
        </is>
      </c>
      <c r="E1023" t="inlineStr">
        <is>
          <t>STRÖMSUND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17373-2021</t>
        </is>
      </c>
      <c r="B1024" s="1" t="n">
        <v>44299</v>
      </c>
      <c r="C1024" s="1" t="n">
        <v>45795</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17808-2021</t>
        </is>
      </c>
      <c r="B1025" s="1" t="n">
        <v>44300</v>
      </c>
      <c r="C1025" s="1" t="n">
        <v>45795</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17857-2021</t>
        </is>
      </c>
      <c r="B1026" s="1" t="n">
        <v>44300</v>
      </c>
      <c r="C1026" s="1" t="n">
        <v>45795</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17933-2021</t>
        </is>
      </c>
      <c r="B1027" s="1" t="n">
        <v>44301</v>
      </c>
      <c r="C1027" s="1" t="n">
        <v>45795</v>
      </c>
      <c r="D1027" t="inlineStr">
        <is>
          <t>JÄMTLANDS LÄN</t>
        </is>
      </c>
      <c r="E1027" t="inlineStr">
        <is>
          <t>STRÖMSUND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18220-2021</t>
        </is>
      </c>
      <c r="B1028" s="1" t="n">
        <v>44302</v>
      </c>
      <c r="C1028" s="1" t="n">
        <v>45795</v>
      </c>
      <c r="D1028" t="inlineStr">
        <is>
          <t>JÄMTLANDS LÄN</t>
        </is>
      </c>
      <c r="E1028" t="inlineStr">
        <is>
          <t>STRÖMSUND</t>
        </is>
      </c>
      <c r="F1028" t="inlineStr">
        <is>
          <t>SCA</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18775-2021</t>
        </is>
      </c>
      <c r="B1029" s="1" t="n">
        <v>44307</v>
      </c>
      <c r="C1029" s="1" t="n">
        <v>45795</v>
      </c>
      <c r="D1029" t="inlineStr">
        <is>
          <t>JÄMTLANDS LÄN</t>
        </is>
      </c>
      <c r="E1029" t="inlineStr">
        <is>
          <t>STRÖMSUND</t>
        </is>
      </c>
      <c r="G1029" t="n">
        <v>39.7</v>
      </c>
      <c r="H1029" t="n">
        <v>0</v>
      </c>
      <c r="I1029" t="n">
        <v>0</v>
      </c>
      <c r="J1029" t="n">
        <v>0</v>
      </c>
      <c r="K1029" t="n">
        <v>0</v>
      </c>
      <c r="L1029" t="n">
        <v>0</v>
      </c>
      <c r="M1029" t="n">
        <v>0</v>
      </c>
      <c r="N1029" t="n">
        <v>0</v>
      </c>
      <c r="O1029" t="n">
        <v>0</v>
      </c>
      <c r="P1029" t="n">
        <v>0</v>
      </c>
      <c r="Q1029" t="n">
        <v>0</v>
      </c>
      <c r="R1029" s="2" t="inlineStr"/>
    </row>
    <row r="1030" ht="15" customHeight="1">
      <c r="A1030" t="inlineStr">
        <is>
          <t>A 20413-2021</t>
        </is>
      </c>
      <c r="B1030" s="1" t="n">
        <v>44312</v>
      </c>
      <c r="C1030" s="1" t="n">
        <v>45795</v>
      </c>
      <c r="D1030" t="inlineStr">
        <is>
          <t>JÄMTLANDS LÄN</t>
        </is>
      </c>
      <c r="E1030" t="inlineStr">
        <is>
          <t>STRÖMSUND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19726-2021</t>
        </is>
      </c>
      <c r="B1031" s="1" t="n">
        <v>44312</v>
      </c>
      <c r="C1031" s="1" t="n">
        <v>45795</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19556-2021</t>
        </is>
      </c>
      <c r="B1032" s="1" t="n">
        <v>44312</v>
      </c>
      <c r="C1032" s="1" t="n">
        <v>45795</v>
      </c>
      <c r="D1032" t="inlineStr">
        <is>
          <t>JÄMTLANDS LÄN</t>
        </is>
      </c>
      <c r="E1032" t="inlineStr">
        <is>
          <t>STRÖMSUND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19572-2021</t>
        </is>
      </c>
      <c r="B1033" s="1" t="n">
        <v>44312</v>
      </c>
      <c r="C1033" s="1" t="n">
        <v>45795</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19567-2021</t>
        </is>
      </c>
      <c r="B1034" s="1" t="n">
        <v>44312</v>
      </c>
      <c r="C1034" s="1" t="n">
        <v>45795</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20295-2021</t>
        </is>
      </c>
      <c r="B1035" s="1" t="n">
        <v>44314</v>
      </c>
      <c r="C1035" s="1" t="n">
        <v>45795</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21095-2021</t>
        </is>
      </c>
      <c r="B1036" s="1" t="n">
        <v>44319</v>
      </c>
      <c r="C1036" s="1" t="n">
        <v>45795</v>
      </c>
      <c r="D1036" t="inlineStr">
        <is>
          <t>JÄMTLANDS LÄN</t>
        </is>
      </c>
      <c r="E1036" t="inlineStr">
        <is>
          <t>STRÖMSUND</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21103-2021</t>
        </is>
      </c>
      <c r="B1037" s="1" t="n">
        <v>44320</v>
      </c>
      <c r="C1037" s="1" t="n">
        <v>45795</v>
      </c>
      <c r="D1037" t="inlineStr">
        <is>
          <t>JÄMTLANDS LÄN</t>
        </is>
      </c>
      <c r="E1037" t="inlineStr">
        <is>
          <t>STRÖMSUND</t>
        </is>
      </c>
      <c r="F1037" t="inlineStr">
        <is>
          <t>SCA</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21097-2021</t>
        </is>
      </c>
      <c r="B1038" s="1" t="n">
        <v>44319</v>
      </c>
      <c r="C1038" s="1" t="n">
        <v>45795</v>
      </c>
      <c r="D1038" t="inlineStr">
        <is>
          <t>JÄMTLANDS LÄN</t>
        </is>
      </c>
      <c r="E1038" t="inlineStr">
        <is>
          <t>STRÖMSUND</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21093-2021</t>
        </is>
      </c>
      <c r="B1039" s="1" t="n">
        <v>44319</v>
      </c>
      <c r="C1039" s="1" t="n">
        <v>45795</v>
      </c>
      <c r="D1039" t="inlineStr">
        <is>
          <t>JÄMTLANDS LÄN</t>
        </is>
      </c>
      <c r="E1039" t="inlineStr">
        <is>
          <t>STRÖMSUND</t>
        </is>
      </c>
      <c r="F1039" t="inlineStr">
        <is>
          <t>SCA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22318-2021</t>
        </is>
      </c>
      <c r="B1040" s="1" t="n">
        <v>44321</v>
      </c>
      <c r="C1040" s="1" t="n">
        <v>45795</v>
      </c>
      <c r="D1040" t="inlineStr">
        <is>
          <t>JÄMTLANDS LÄN</t>
        </is>
      </c>
      <c r="E1040" t="inlineStr">
        <is>
          <t>STRÖMSUND</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22527-2021</t>
        </is>
      </c>
      <c r="B1041" s="1" t="n">
        <v>44326</v>
      </c>
      <c r="C1041" s="1" t="n">
        <v>45795</v>
      </c>
      <c r="D1041" t="inlineStr">
        <is>
          <t>JÄMTLANDS LÄN</t>
        </is>
      </c>
      <c r="E1041" t="inlineStr">
        <is>
          <t>STRÖMSUND</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22632-2021</t>
        </is>
      </c>
      <c r="B1042" s="1" t="n">
        <v>44327</v>
      </c>
      <c r="C1042" s="1" t="n">
        <v>45795</v>
      </c>
      <c r="D1042" t="inlineStr">
        <is>
          <t>JÄMTLANDS LÄN</t>
        </is>
      </c>
      <c r="E1042" t="inlineStr">
        <is>
          <t>STRÖMSUND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22783-2021</t>
        </is>
      </c>
      <c r="B1043" s="1" t="n">
        <v>44327</v>
      </c>
      <c r="C1043" s="1" t="n">
        <v>45795</v>
      </c>
      <c r="D1043" t="inlineStr">
        <is>
          <t>JÄMTLANDS LÄN</t>
        </is>
      </c>
      <c r="E1043" t="inlineStr">
        <is>
          <t>STRÖMSUND</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23103-2021</t>
        </is>
      </c>
      <c r="B1044" s="1" t="n">
        <v>44330</v>
      </c>
      <c r="C1044" s="1" t="n">
        <v>45795</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23486-2021</t>
        </is>
      </c>
      <c r="B1045" s="1" t="n">
        <v>44333</v>
      </c>
      <c r="C1045" s="1" t="n">
        <v>45795</v>
      </c>
      <c r="D1045" t="inlineStr">
        <is>
          <t>JÄMTLANDS LÄN</t>
        </is>
      </c>
      <c r="E1045" t="inlineStr">
        <is>
          <t>STRÖMSUND</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23498-2021</t>
        </is>
      </c>
      <c r="B1046" s="1" t="n">
        <v>44334</v>
      </c>
      <c r="C1046" s="1" t="n">
        <v>45795</v>
      </c>
      <c r="D1046" t="inlineStr">
        <is>
          <t>JÄMTLANDS LÄN</t>
        </is>
      </c>
      <c r="E1046" t="inlineStr">
        <is>
          <t>STRÖMSUND</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23484-2021</t>
        </is>
      </c>
      <c r="B1047" s="1" t="n">
        <v>44334</v>
      </c>
      <c r="C1047" s="1" t="n">
        <v>45795</v>
      </c>
      <c r="D1047" t="inlineStr">
        <is>
          <t>JÄMTLANDS LÄN</t>
        </is>
      </c>
      <c r="E1047" t="inlineStr">
        <is>
          <t>STRÖMSUND</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23501-2021</t>
        </is>
      </c>
      <c r="B1048" s="1" t="n">
        <v>44333</v>
      </c>
      <c r="C1048" s="1" t="n">
        <v>45795</v>
      </c>
      <c r="D1048" t="inlineStr">
        <is>
          <t>JÄMTLANDS LÄN</t>
        </is>
      </c>
      <c r="E1048" t="inlineStr">
        <is>
          <t>STRÖMSUND</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24197-2021</t>
        </is>
      </c>
      <c r="B1049" s="1" t="n">
        <v>44336</v>
      </c>
      <c r="C1049" s="1" t="n">
        <v>45795</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24744-2021</t>
        </is>
      </c>
      <c r="B1050" s="1" t="n">
        <v>44340</v>
      </c>
      <c r="C1050" s="1" t="n">
        <v>45795</v>
      </c>
      <c r="D1050" t="inlineStr">
        <is>
          <t>JÄMTLANDS LÄN</t>
        </is>
      </c>
      <c r="E1050" t="inlineStr">
        <is>
          <t>STRÖMSUND</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25510-2021</t>
        </is>
      </c>
      <c r="B1051" s="1" t="n">
        <v>44343</v>
      </c>
      <c r="C1051" s="1" t="n">
        <v>45795</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25888-2021</t>
        </is>
      </c>
      <c r="B1052" s="1" t="n">
        <v>44344</v>
      </c>
      <c r="C1052" s="1" t="n">
        <v>45795</v>
      </c>
      <c r="D1052" t="inlineStr">
        <is>
          <t>JÄMTLANDS LÄN</t>
        </is>
      </c>
      <c r="E1052" t="inlineStr">
        <is>
          <t>STRÖMSUND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25963-2021</t>
        </is>
      </c>
      <c r="B1053" s="1" t="n">
        <v>44344</v>
      </c>
      <c r="C1053" s="1" t="n">
        <v>45795</v>
      </c>
      <c r="D1053" t="inlineStr">
        <is>
          <t>JÄMTLANDS LÄN</t>
        </is>
      </c>
      <c r="E1053" t="inlineStr">
        <is>
          <t>STRÖMSUND</t>
        </is>
      </c>
      <c r="F1053" t="inlineStr">
        <is>
          <t>Sveaskog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25960-2021</t>
        </is>
      </c>
      <c r="B1054" s="1" t="n">
        <v>44344</v>
      </c>
      <c r="C1054" s="1" t="n">
        <v>45795</v>
      </c>
      <c r="D1054" t="inlineStr">
        <is>
          <t>JÄMTLANDS LÄN</t>
        </is>
      </c>
      <c r="E1054" t="inlineStr">
        <is>
          <t>STRÖMSUND</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26101-2021</t>
        </is>
      </c>
      <c r="B1055" s="1" t="n">
        <v>44344</v>
      </c>
      <c r="C1055" s="1" t="n">
        <v>45795</v>
      </c>
      <c r="D1055" t="inlineStr">
        <is>
          <t>JÄMTLANDS LÄN</t>
        </is>
      </c>
      <c r="E1055" t="inlineStr">
        <is>
          <t>STRÖMSUND</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26104-2021</t>
        </is>
      </c>
      <c r="B1056" s="1" t="n">
        <v>44344</v>
      </c>
      <c r="C1056" s="1" t="n">
        <v>45795</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26127-2021</t>
        </is>
      </c>
      <c r="B1057" s="1" t="n">
        <v>44346</v>
      </c>
      <c r="C1057" s="1" t="n">
        <v>45795</v>
      </c>
      <c r="D1057" t="inlineStr">
        <is>
          <t>JÄMTLANDS LÄN</t>
        </is>
      </c>
      <c r="E1057" t="inlineStr">
        <is>
          <t>STRÖMSUND</t>
        </is>
      </c>
      <c r="F1057" t="inlineStr">
        <is>
          <t>SCA</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26131-2021</t>
        </is>
      </c>
      <c r="B1058" s="1" t="n">
        <v>44346</v>
      </c>
      <c r="C1058" s="1" t="n">
        <v>45795</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26142-2021</t>
        </is>
      </c>
      <c r="B1059" s="1" t="n">
        <v>44346</v>
      </c>
      <c r="C1059" s="1" t="n">
        <v>45795</v>
      </c>
      <c r="D1059" t="inlineStr">
        <is>
          <t>JÄMTLANDS LÄN</t>
        </is>
      </c>
      <c r="E1059" t="inlineStr">
        <is>
          <t>STRÖMSUND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26660-2021</t>
        </is>
      </c>
      <c r="B1060" s="1" t="n">
        <v>44349</v>
      </c>
      <c r="C1060" s="1" t="n">
        <v>45795</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26961-2021</t>
        </is>
      </c>
      <c r="B1061" s="1" t="n">
        <v>44350</v>
      </c>
      <c r="C1061" s="1" t="n">
        <v>45795</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27148-2021</t>
        </is>
      </c>
      <c r="B1062" s="1" t="n">
        <v>44350</v>
      </c>
      <c r="C1062" s="1" t="n">
        <v>45795</v>
      </c>
      <c r="D1062" t="inlineStr">
        <is>
          <t>JÄMTLANDS LÄN</t>
        </is>
      </c>
      <c r="E1062" t="inlineStr">
        <is>
          <t>STRÖMSUND</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27160-2021</t>
        </is>
      </c>
      <c r="B1063" s="1" t="n">
        <v>44350</v>
      </c>
      <c r="C1063" s="1" t="n">
        <v>45795</v>
      </c>
      <c r="D1063" t="inlineStr">
        <is>
          <t>JÄMTLANDS LÄN</t>
        </is>
      </c>
      <c r="E1063" t="inlineStr">
        <is>
          <t>STRÖMSUND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27231-2021</t>
        </is>
      </c>
      <c r="B1064" s="1" t="n">
        <v>44350</v>
      </c>
      <c r="C1064" s="1" t="n">
        <v>45795</v>
      </c>
      <c r="D1064" t="inlineStr">
        <is>
          <t>JÄMTLANDS LÄN</t>
        </is>
      </c>
      <c r="E1064" t="inlineStr">
        <is>
          <t>STRÖMSUND</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27233-2021</t>
        </is>
      </c>
      <c r="B1065" s="1" t="n">
        <v>44350</v>
      </c>
      <c r="C1065" s="1" t="n">
        <v>45795</v>
      </c>
      <c r="D1065" t="inlineStr">
        <is>
          <t>JÄMTLANDS LÄN</t>
        </is>
      </c>
      <c r="E1065" t="inlineStr">
        <is>
          <t>STRÖMSUND</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27232-2021</t>
        </is>
      </c>
      <c r="B1066" s="1" t="n">
        <v>44350</v>
      </c>
      <c r="C1066" s="1" t="n">
        <v>45795</v>
      </c>
      <c r="D1066" t="inlineStr">
        <is>
          <t>JÄMTLANDS LÄN</t>
        </is>
      </c>
      <c r="E1066" t="inlineStr">
        <is>
          <t>STRÖMSUND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27559-2021</t>
        </is>
      </c>
      <c r="B1067" s="1" t="n">
        <v>44352</v>
      </c>
      <c r="C1067" s="1" t="n">
        <v>45795</v>
      </c>
      <c r="D1067" t="inlineStr">
        <is>
          <t>JÄMTLANDS LÄN</t>
        </is>
      </c>
      <c r="E1067" t="inlineStr">
        <is>
          <t>STRÖMSUND</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27979-2021</t>
        </is>
      </c>
      <c r="B1068" s="1" t="n">
        <v>44354</v>
      </c>
      <c r="C1068" s="1" t="n">
        <v>45795</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27978-2021</t>
        </is>
      </c>
      <c r="B1069" s="1" t="n">
        <v>44354</v>
      </c>
      <c r="C1069" s="1" t="n">
        <v>45795</v>
      </c>
      <c r="D1069" t="inlineStr">
        <is>
          <t>JÄMTLANDS LÄN</t>
        </is>
      </c>
      <c r="E1069" t="inlineStr">
        <is>
          <t>STRÖMSUND</t>
        </is>
      </c>
      <c r="F1069" t="inlineStr">
        <is>
          <t>SCA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27980-2021</t>
        </is>
      </c>
      <c r="B1070" s="1" t="n">
        <v>44354</v>
      </c>
      <c r="C1070" s="1" t="n">
        <v>45795</v>
      </c>
      <c r="D1070" t="inlineStr">
        <is>
          <t>JÄMTLANDS LÄN</t>
        </is>
      </c>
      <c r="E1070" t="inlineStr">
        <is>
          <t>STRÖMSUND</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29552-2021</t>
        </is>
      </c>
      <c r="B1071" s="1" t="n">
        <v>44361</v>
      </c>
      <c r="C1071" s="1" t="n">
        <v>45795</v>
      </c>
      <c r="D1071" t="inlineStr">
        <is>
          <t>JÄMTLANDS LÄN</t>
        </is>
      </c>
      <c r="E1071" t="inlineStr">
        <is>
          <t>STRÖMSUND</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29628-2021</t>
        </is>
      </c>
      <c r="B1072" s="1" t="n">
        <v>44361</v>
      </c>
      <c r="C1072" s="1" t="n">
        <v>45795</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29594-2021</t>
        </is>
      </c>
      <c r="B1073" s="1" t="n">
        <v>44361</v>
      </c>
      <c r="C1073" s="1" t="n">
        <v>45795</v>
      </c>
      <c r="D1073" t="inlineStr">
        <is>
          <t>JÄMTLANDS LÄN</t>
        </is>
      </c>
      <c r="E1073" t="inlineStr">
        <is>
          <t>STRÖMSUND</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29601-2021</t>
        </is>
      </c>
      <c r="B1074" s="1" t="n">
        <v>44362</v>
      </c>
      <c r="C1074" s="1" t="n">
        <v>45795</v>
      </c>
      <c r="D1074" t="inlineStr">
        <is>
          <t>JÄMTLANDS LÄN</t>
        </is>
      </c>
      <c r="E1074" t="inlineStr">
        <is>
          <t>STRÖMSUND</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29625-2021</t>
        </is>
      </c>
      <c r="B1075" s="1" t="n">
        <v>44362</v>
      </c>
      <c r="C1075" s="1" t="n">
        <v>45795</v>
      </c>
      <c r="D1075" t="inlineStr">
        <is>
          <t>JÄMTLANDS LÄN</t>
        </is>
      </c>
      <c r="E1075" t="inlineStr">
        <is>
          <t>STRÖMSUND</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29624-2021</t>
        </is>
      </c>
      <c r="B1076" s="1" t="n">
        <v>44362</v>
      </c>
      <c r="C1076" s="1" t="n">
        <v>45795</v>
      </c>
      <c r="D1076" t="inlineStr">
        <is>
          <t>JÄMTLANDS LÄN</t>
        </is>
      </c>
      <c r="E1076" t="inlineStr">
        <is>
          <t>STRÖMSUND</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29637-2021</t>
        </is>
      </c>
      <c r="B1077" s="1" t="n">
        <v>44362</v>
      </c>
      <c r="C1077" s="1" t="n">
        <v>45795</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29841-2021</t>
        </is>
      </c>
      <c r="B1078" s="1" t="n">
        <v>44362</v>
      </c>
      <c r="C1078" s="1" t="n">
        <v>45795</v>
      </c>
      <c r="D1078" t="inlineStr">
        <is>
          <t>JÄMTLANDS LÄN</t>
        </is>
      </c>
      <c r="E1078" t="inlineStr">
        <is>
          <t>STRÖMSUND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29903-2021</t>
        </is>
      </c>
      <c r="B1079" s="1" t="n">
        <v>44363</v>
      </c>
      <c r="C1079" s="1" t="n">
        <v>45795</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29916-2021</t>
        </is>
      </c>
      <c r="B1080" s="1" t="n">
        <v>44363</v>
      </c>
      <c r="C1080" s="1" t="n">
        <v>45795</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29905-2021</t>
        </is>
      </c>
      <c r="B1081" s="1" t="n">
        <v>44363</v>
      </c>
      <c r="C1081" s="1" t="n">
        <v>45795</v>
      </c>
      <c r="D1081" t="inlineStr">
        <is>
          <t>JÄMTLANDS LÄN</t>
        </is>
      </c>
      <c r="E1081" t="inlineStr">
        <is>
          <t>STRÖMSUND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30580-2021</t>
        </is>
      </c>
      <c r="B1082" s="1" t="n">
        <v>44365</v>
      </c>
      <c r="C1082" s="1" t="n">
        <v>45795</v>
      </c>
      <c r="D1082" t="inlineStr">
        <is>
          <t>JÄMTLANDS LÄN</t>
        </is>
      </c>
      <c r="E1082" t="inlineStr">
        <is>
          <t>STRÖMSUND</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30985-2021</t>
        </is>
      </c>
      <c r="B1083" s="1" t="n">
        <v>44366</v>
      </c>
      <c r="C1083" s="1" t="n">
        <v>45795</v>
      </c>
      <c r="D1083" t="inlineStr">
        <is>
          <t>JÄMTLANDS LÄN</t>
        </is>
      </c>
      <c r="E1083" t="inlineStr">
        <is>
          <t>STRÖMSUND</t>
        </is>
      </c>
      <c r="F1083" t="inlineStr">
        <is>
          <t>SCA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31077-2021</t>
        </is>
      </c>
      <c r="B1084" s="1" t="n">
        <v>44365</v>
      </c>
      <c r="C1084" s="1" t="n">
        <v>45795</v>
      </c>
      <c r="D1084" t="inlineStr">
        <is>
          <t>JÄMTLANDS LÄN</t>
        </is>
      </c>
      <c r="E1084" t="inlineStr">
        <is>
          <t>STRÖMSUND</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31089-2021</t>
        </is>
      </c>
      <c r="B1085" s="1" t="n">
        <v>44368</v>
      </c>
      <c r="C1085" s="1" t="n">
        <v>45795</v>
      </c>
      <c r="D1085" t="inlineStr">
        <is>
          <t>JÄMTLANDS LÄN</t>
        </is>
      </c>
      <c r="E1085" t="inlineStr">
        <is>
          <t>STRÖMSUND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33787-2021</t>
        </is>
      </c>
      <c r="B1086" s="1" t="n">
        <v>44368</v>
      </c>
      <c r="C1086" s="1" t="n">
        <v>45795</v>
      </c>
      <c r="D1086" t="inlineStr">
        <is>
          <t>JÄMTLANDS LÄN</t>
        </is>
      </c>
      <c r="E1086" t="inlineStr">
        <is>
          <t>STRÖMSUND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31739-2021</t>
        </is>
      </c>
      <c r="B1087" s="1" t="n">
        <v>44369</v>
      </c>
      <c r="C1087" s="1" t="n">
        <v>45795</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31740-2021</t>
        </is>
      </c>
      <c r="B1088" s="1" t="n">
        <v>44370</v>
      </c>
      <c r="C1088" s="1" t="n">
        <v>45795</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32359-2021</t>
        </is>
      </c>
      <c r="B1089" s="1" t="n">
        <v>44371</v>
      </c>
      <c r="C1089" s="1" t="n">
        <v>45795</v>
      </c>
      <c r="D1089" t="inlineStr">
        <is>
          <t>JÄMTLANDS LÄN</t>
        </is>
      </c>
      <c r="E1089" t="inlineStr">
        <is>
          <t>STRÖMSUND</t>
        </is>
      </c>
      <c r="F1089" t="inlineStr">
        <is>
          <t>SCA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32259-2021</t>
        </is>
      </c>
      <c r="B1090" s="1" t="n">
        <v>44371</v>
      </c>
      <c r="C1090" s="1" t="n">
        <v>45795</v>
      </c>
      <c r="D1090" t="inlineStr">
        <is>
          <t>JÄMTLANDS LÄN</t>
        </is>
      </c>
      <c r="E1090" t="inlineStr">
        <is>
          <t>STRÖMSUND</t>
        </is>
      </c>
      <c r="F1090" t="inlineStr">
        <is>
          <t>SCA</t>
        </is>
      </c>
      <c r="G1090" t="n">
        <v>22.4</v>
      </c>
      <c r="H1090" t="n">
        <v>0</v>
      </c>
      <c r="I1090" t="n">
        <v>0</v>
      </c>
      <c r="J1090" t="n">
        <v>0</v>
      </c>
      <c r="K1090" t="n">
        <v>0</v>
      </c>
      <c r="L1090" t="n">
        <v>0</v>
      </c>
      <c r="M1090" t="n">
        <v>0</v>
      </c>
      <c r="N1090" t="n">
        <v>0</v>
      </c>
      <c r="O1090" t="n">
        <v>0</v>
      </c>
      <c r="P1090" t="n">
        <v>0</v>
      </c>
      <c r="Q1090" t="n">
        <v>0</v>
      </c>
      <c r="R1090" s="2" t="inlineStr"/>
    </row>
    <row r="1091" ht="15" customHeight="1">
      <c r="A1091" t="inlineStr">
        <is>
          <t>A 32460-2021</t>
        </is>
      </c>
      <c r="B1091" s="1" t="n">
        <v>44371</v>
      </c>
      <c r="C1091" s="1" t="n">
        <v>45795</v>
      </c>
      <c r="D1091" t="inlineStr">
        <is>
          <t>JÄMTLANDS LÄN</t>
        </is>
      </c>
      <c r="E1091" t="inlineStr">
        <is>
          <t>STRÖMSUND</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32465-2021</t>
        </is>
      </c>
      <c r="B1092" s="1" t="n">
        <v>44371</v>
      </c>
      <c r="C1092" s="1" t="n">
        <v>45795</v>
      </c>
      <c r="D1092" t="inlineStr">
        <is>
          <t>JÄMTLANDS LÄN</t>
        </is>
      </c>
      <c r="E1092" t="inlineStr">
        <is>
          <t>STRÖMSUND</t>
        </is>
      </c>
      <c r="F1092" t="inlineStr">
        <is>
          <t>SCA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32536-2021</t>
        </is>
      </c>
      <c r="B1093" s="1" t="n">
        <v>44374</v>
      </c>
      <c r="C1093" s="1" t="n">
        <v>45795</v>
      </c>
      <c r="D1093" t="inlineStr">
        <is>
          <t>JÄMTLANDS LÄN</t>
        </is>
      </c>
      <c r="E1093" t="inlineStr">
        <is>
          <t>STRÖMSUND</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32531-2021</t>
        </is>
      </c>
      <c r="B1094" s="1" t="n">
        <v>44375</v>
      </c>
      <c r="C1094" s="1" t="n">
        <v>45795</v>
      </c>
      <c r="D1094" t="inlineStr">
        <is>
          <t>JÄMTLANDS LÄN</t>
        </is>
      </c>
      <c r="E1094" t="inlineStr">
        <is>
          <t>STRÖMSUND</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32539-2021</t>
        </is>
      </c>
      <c r="B1095" s="1" t="n">
        <v>44375</v>
      </c>
      <c r="C1095" s="1" t="n">
        <v>45795</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32533-2021</t>
        </is>
      </c>
      <c r="B1096" s="1" t="n">
        <v>44375</v>
      </c>
      <c r="C1096" s="1" t="n">
        <v>45795</v>
      </c>
      <c r="D1096" t="inlineStr">
        <is>
          <t>JÄMTLANDS LÄN</t>
        </is>
      </c>
      <c r="E1096" t="inlineStr">
        <is>
          <t>STRÖMSUND</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32538-2021</t>
        </is>
      </c>
      <c r="B1097" s="1" t="n">
        <v>44374</v>
      </c>
      <c r="C1097" s="1" t="n">
        <v>45795</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33104-2021</t>
        </is>
      </c>
      <c r="B1098" s="1" t="n">
        <v>44376</v>
      </c>
      <c r="C1098" s="1" t="n">
        <v>45795</v>
      </c>
      <c r="D1098" t="inlineStr">
        <is>
          <t>JÄMTLANDS LÄN</t>
        </is>
      </c>
      <c r="E1098" t="inlineStr">
        <is>
          <t>STRÖMSUND</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33223-2021</t>
        </is>
      </c>
      <c r="B1099" s="1" t="n">
        <v>44377</v>
      </c>
      <c r="C1099" s="1" t="n">
        <v>45795</v>
      </c>
      <c r="D1099" t="inlineStr">
        <is>
          <t>JÄMTLANDS LÄN</t>
        </is>
      </c>
      <c r="E1099" t="inlineStr">
        <is>
          <t>STRÖMSUND</t>
        </is>
      </c>
      <c r="F1099" t="inlineStr">
        <is>
          <t>SCA</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33225-2021</t>
        </is>
      </c>
      <c r="B1100" s="1" t="n">
        <v>44376</v>
      </c>
      <c r="C1100" s="1" t="n">
        <v>45795</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33216-2021</t>
        </is>
      </c>
      <c r="B1101" s="1" t="n">
        <v>44376</v>
      </c>
      <c r="C1101" s="1" t="n">
        <v>45795</v>
      </c>
      <c r="D1101" t="inlineStr">
        <is>
          <t>JÄMTLANDS LÄN</t>
        </is>
      </c>
      <c r="E1101" t="inlineStr">
        <is>
          <t>STRÖMSUND</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33549-2021</t>
        </is>
      </c>
      <c r="B1102" s="1" t="n">
        <v>44377</v>
      </c>
      <c r="C1102" s="1" t="n">
        <v>45795</v>
      </c>
      <c r="D1102" t="inlineStr">
        <is>
          <t>JÄMTLANDS LÄN</t>
        </is>
      </c>
      <c r="E1102" t="inlineStr">
        <is>
          <t>STRÖMSUND</t>
        </is>
      </c>
      <c r="F1102" t="inlineStr">
        <is>
          <t>SCA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33562-2021</t>
        </is>
      </c>
      <c r="B1103" s="1" t="n">
        <v>44377</v>
      </c>
      <c r="C1103" s="1" t="n">
        <v>45795</v>
      </c>
      <c r="D1103" t="inlineStr">
        <is>
          <t>JÄMTLANDS LÄN</t>
        </is>
      </c>
      <c r="E1103" t="inlineStr">
        <is>
          <t>STRÖMSUND</t>
        </is>
      </c>
      <c r="F1103" t="inlineStr">
        <is>
          <t>SCA</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33554-2021</t>
        </is>
      </c>
      <c r="B1104" s="1" t="n">
        <v>44377</v>
      </c>
      <c r="C1104" s="1" t="n">
        <v>45795</v>
      </c>
      <c r="D1104" t="inlineStr">
        <is>
          <t>JÄMTLANDS LÄN</t>
        </is>
      </c>
      <c r="E1104" t="inlineStr">
        <is>
          <t>STRÖMSUND</t>
        </is>
      </c>
      <c r="F1104" t="inlineStr">
        <is>
          <t>SCA</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35061-2021</t>
        </is>
      </c>
      <c r="B1105" s="1" t="n">
        <v>44383</v>
      </c>
      <c r="C1105" s="1" t="n">
        <v>45795</v>
      </c>
      <c r="D1105" t="inlineStr">
        <is>
          <t>JÄMTLANDS LÄN</t>
        </is>
      </c>
      <c r="E1105" t="inlineStr">
        <is>
          <t>STRÖMSUND</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35044-2021</t>
        </is>
      </c>
      <c r="B1106" s="1" t="n">
        <v>44384</v>
      </c>
      <c r="C1106" s="1" t="n">
        <v>45795</v>
      </c>
      <c r="D1106" t="inlineStr">
        <is>
          <t>JÄMTLANDS LÄN</t>
        </is>
      </c>
      <c r="E1106" t="inlineStr">
        <is>
          <t>STRÖMSUND</t>
        </is>
      </c>
      <c r="G1106" t="n">
        <v>14.3</v>
      </c>
      <c r="H1106" t="n">
        <v>0</v>
      </c>
      <c r="I1106" t="n">
        <v>0</v>
      </c>
      <c r="J1106" t="n">
        <v>0</v>
      </c>
      <c r="K1106" t="n">
        <v>0</v>
      </c>
      <c r="L1106" t="n">
        <v>0</v>
      </c>
      <c r="M1106" t="n">
        <v>0</v>
      </c>
      <c r="N1106" t="n">
        <v>0</v>
      </c>
      <c r="O1106" t="n">
        <v>0</v>
      </c>
      <c r="P1106" t="n">
        <v>0</v>
      </c>
      <c r="Q1106" t="n">
        <v>0</v>
      </c>
      <c r="R1106" s="2" t="inlineStr"/>
    </row>
    <row r="1107" ht="15" customHeight="1">
      <c r="A1107" t="inlineStr">
        <is>
          <t>A 35064-2021</t>
        </is>
      </c>
      <c r="B1107" s="1" t="n">
        <v>44383</v>
      </c>
      <c r="C1107" s="1" t="n">
        <v>45795</v>
      </c>
      <c r="D1107" t="inlineStr">
        <is>
          <t>JÄMTLANDS LÄN</t>
        </is>
      </c>
      <c r="E1107" t="inlineStr">
        <is>
          <t>STRÖMSUND</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35342-2021</t>
        </is>
      </c>
      <c r="B1108" s="1" t="n">
        <v>44385</v>
      </c>
      <c r="C1108" s="1" t="n">
        <v>45795</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35352-2021</t>
        </is>
      </c>
      <c r="B1109" s="1" t="n">
        <v>44384</v>
      </c>
      <c r="C1109" s="1" t="n">
        <v>45795</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35565-2021</t>
        </is>
      </c>
      <c r="B1110" s="1" t="n">
        <v>44386</v>
      </c>
      <c r="C1110" s="1" t="n">
        <v>45795</v>
      </c>
      <c r="D1110" t="inlineStr">
        <is>
          <t>JÄMTLANDS LÄN</t>
        </is>
      </c>
      <c r="E1110" t="inlineStr">
        <is>
          <t>STRÖMSUND</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35522-2021</t>
        </is>
      </c>
      <c r="B1111" s="1" t="n">
        <v>44385</v>
      </c>
      <c r="C1111" s="1" t="n">
        <v>45795</v>
      </c>
      <c r="D1111" t="inlineStr">
        <is>
          <t>JÄMTLANDS LÄN</t>
        </is>
      </c>
      <c r="E1111" t="inlineStr">
        <is>
          <t>STRÖMSUND</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35916-2021</t>
        </is>
      </c>
      <c r="B1112" s="1" t="n">
        <v>44388</v>
      </c>
      <c r="C1112" s="1" t="n">
        <v>45795</v>
      </c>
      <c r="D1112" t="inlineStr">
        <is>
          <t>JÄMTLANDS LÄN</t>
        </is>
      </c>
      <c r="E1112" t="inlineStr">
        <is>
          <t>STRÖMSUND</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35915-2021</t>
        </is>
      </c>
      <c r="B1113" s="1" t="n">
        <v>44388</v>
      </c>
      <c r="C1113" s="1" t="n">
        <v>45795</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35914-2021</t>
        </is>
      </c>
      <c r="B1114" s="1" t="n">
        <v>44388</v>
      </c>
      <c r="C1114" s="1" t="n">
        <v>45795</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35918-2021</t>
        </is>
      </c>
      <c r="B1115" s="1" t="n">
        <v>44388</v>
      </c>
      <c r="C1115" s="1" t="n">
        <v>45795</v>
      </c>
      <c r="D1115" t="inlineStr">
        <is>
          <t>JÄMTLANDS LÄN</t>
        </is>
      </c>
      <c r="E1115" t="inlineStr">
        <is>
          <t>STRÖMSUND</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36176-2021</t>
        </is>
      </c>
      <c r="B1116" s="1" t="n">
        <v>44389</v>
      </c>
      <c r="C1116" s="1" t="n">
        <v>45795</v>
      </c>
      <c r="D1116" t="inlineStr">
        <is>
          <t>JÄMTLANDS LÄN</t>
        </is>
      </c>
      <c r="E1116" t="inlineStr">
        <is>
          <t>STRÖMSUND</t>
        </is>
      </c>
      <c r="F1116" t="inlineStr">
        <is>
          <t>Holmen skog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36453-2021</t>
        </is>
      </c>
      <c r="B1117" s="1" t="n">
        <v>44391</v>
      </c>
      <c r="C1117" s="1" t="n">
        <v>45795</v>
      </c>
      <c r="D1117" t="inlineStr">
        <is>
          <t>JÄMTLANDS LÄN</t>
        </is>
      </c>
      <c r="E1117" t="inlineStr">
        <is>
          <t>STRÖMSUND</t>
        </is>
      </c>
      <c r="F1117" t="inlineStr">
        <is>
          <t>SCA</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36706-2021</t>
        </is>
      </c>
      <c r="B1118" s="1" t="n">
        <v>44392</v>
      </c>
      <c r="C1118" s="1" t="n">
        <v>45795</v>
      </c>
      <c r="D1118" t="inlineStr">
        <is>
          <t>JÄMTLANDS LÄN</t>
        </is>
      </c>
      <c r="E1118" t="inlineStr">
        <is>
          <t>STRÖMSUND</t>
        </is>
      </c>
      <c r="F1118" t="inlineStr">
        <is>
          <t>Holmen skog AB</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37047-2021</t>
        </is>
      </c>
      <c r="B1119" s="1" t="n">
        <v>44393</v>
      </c>
      <c r="C1119" s="1" t="n">
        <v>45795</v>
      </c>
      <c r="D1119" t="inlineStr">
        <is>
          <t>JÄMTLANDS LÄN</t>
        </is>
      </c>
      <c r="E1119" t="inlineStr">
        <is>
          <t>STRÖMSUND</t>
        </is>
      </c>
      <c r="F1119" t="inlineStr">
        <is>
          <t>SCA</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37229-2021</t>
        </is>
      </c>
      <c r="B1120" s="1" t="n">
        <v>44397</v>
      </c>
      <c r="C1120" s="1" t="n">
        <v>45795</v>
      </c>
      <c r="D1120" t="inlineStr">
        <is>
          <t>JÄMTLANDS LÄN</t>
        </is>
      </c>
      <c r="E1120" t="inlineStr">
        <is>
          <t>STRÖMSUND</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37373-2021</t>
        </is>
      </c>
      <c r="B1121" s="1" t="n">
        <v>44398</v>
      </c>
      <c r="C1121" s="1" t="n">
        <v>45795</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37370-2021</t>
        </is>
      </c>
      <c r="B1122" s="1" t="n">
        <v>44397</v>
      </c>
      <c r="C1122" s="1" t="n">
        <v>45795</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37371-2021</t>
        </is>
      </c>
      <c r="B1123" s="1" t="n">
        <v>44398</v>
      </c>
      <c r="C1123" s="1" t="n">
        <v>45795</v>
      </c>
      <c r="D1123" t="inlineStr">
        <is>
          <t>JÄMTLANDS LÄN</t>
        </is>
      </c>
      <c r="E1123" t="inlineStr">
        <is>
          <t>STRÖMSUND</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38219-2021</t>
        </is>
      </c>
      <c r="B1124" s="1" t="n">
        <v>44405</v>
      </c>
      <c r="C1124" s="1" t="n">
        <v>45795</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38583-2021</t>
        </is>
      </c>
      <c r="B1125" s="1" t="n">
        <v>44408</v>
      </c>
      <c r="C1125" s="1" t="n">
        <v>45795</v>
      </c>
      <c r="D1125" t="inlineStr">
        <is>
          <t>JÄMTLANDS LÄN</t>
        </is>
      </c>
      <c r="E1125" t="inlineStr">
        <is>
          <t>STRÖMSUND</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38578-2021</t>
        </is>
      </c>
      <c r="B1126" s="1" t="n">
        <v>44407</v>
      </c>
      <c r="C1126" s="1" t="n">
        <v>45795</v>
      </c>
      <c r="D1126" t="inlineStr">
        <is>
          <t>JÄMTLANDS LÄN</t>
        </is>
      </c>
      <c r="E1126" t="inlineStr">
        <is>
          <t>STRÖMSUND</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38587-2021</t>
        </is>
      </c>
      <c r="B1127" s="1" t="n">
        <v>44408</v>
      </c>
      <c r="C1127" s="1" t="n">
        <v>45795</v>
      </c>
      <c r="D1127" t="inlineStr">
        <is>
          <t>JÄMTLANDS LÄN</t>
        </is>
      </c>
      <c r="E1127" t="inlineStr">
        <is>
          <t>STRÖMSUND</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38586-2021</t>
        </is>
      </c>
      <c r="B1128" s="1" t="n">
        <v>44407</v>
      </c>
      <c r="C1128" s="1" t="n">
        <v>45795</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c r="U1128">
        <f>HYPERLINK("https://klasma.github.io/Logging_2313/knärot/A 38586-2021 karta knärot.png", "A 38586-2021")</f>
        <v/>
      </c>
      <c r="V1128">
        <f>HYPERLINK("https://klasma.github.io/Logging_2313/klagomål/A 38586-2021 FSC-klagomål.docx", "A 38586-2021")</f>
        <v/>
      </c>
      <c r="W1128">
        <f>HYPERLINK("https://klasma.github.io/Logging_2313/klagomålsmail/A 38586-2021 FSC-klagomål mail.docx", "A 38586-2021")</f>
        <v/>
      </c>
      <c r="X1128">
        <f>HYPERLINK("https://klasma.github.io/Logging_2313/tillsyn/A 38586-2021 tillsynsbegäran.docx", "A 38586-2021")</f>
        <v/>
      </c>
      <c r="Y1128">
        <f>HYPERLINK("https://klasma.github.io/Logging_2313/tillsynsmail/A 38586-2021 tillsynsbegäran mail.docx", "A 38586-2021")</f>
        <v/>
      </c>
    </row>
    <row r="1129" ht="15" customHeight="1">
      <c r="A1129" t="inlineStr">
        <is>
          <t>A 38629-2021</t>
        </is>
      </c>
      <c r="B1129" s="1" t="n">
        <v>44410</v>
      </c>
      <c r="C1129" s="1" t="n">
        <v>45795</v>
      </c>
      <c r="D1129" t="inlineStr">
        <is>
          <t>JÄMTLANDS LÄN</t>
        </is>
      </c>
      <c r="E1129" t="inlineStr">
        <is>
          <t>STRÖMSUND</t>
        </is>
      </c>
      <c r="F1129" t="inlineStr">
        <is>
          <t>SCA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38763-2021</t>
        </is>
      </c>
      <c r="B1130" s="1" t="n">
        <v>44410</v>
      </c>
      <c r="C1130" s="1" t="n">
        <v>45795</v>
      </c>
      <c r="D1130" t="inlineStr">
        <is>
          <t>JÄMTLANDS LÄN</t>
        </is>
      </c>
      <c r="E1130" t="inlineStr">
        <is>
          <t>STRÖMSUND</t>
        </is>
      </c>
      <c r="F1130" t="inlineStr">
        <is>
          <t>Kyrkan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38786-2021</t>
        </is>
      </c>
      <c r="B1131" s="1" t="n">
        <v>44410</v>
      </c>
      <c r="C1131" s="1" t="n">
        <v>45795</v>
      </c>
      <c r="D1131" t="inlineStr">
        <is>
          <t>JÄMTLANDS LÄN</t>
        </is>
      </c>
      <c r="E1131" t="inlineStr">
        <is>
          <t>STRÖMSUND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39331-2021</t>
        </is>
      </c>
      <c r="B1132" s="1" t="n">
        <v>44414</v>
      </c>
      <c r="C1132" s="1" t="n">
        <v>45795</v>
      </c>
      <c r="D1132" t="inlineStr">
        <is>
          <t>JÄMTLANDS LÄN</t>
        </is>
      </c>
      <c r="E1132" t="inlineStr">
        <is>
          <t>STRÖMSUND</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39332-2021</t>
        </is>
      </c>
      <c r="B1133" s="1" t="n">
        <v>44413</v>
      </c>
      <c r="C1133" s="1" t="n">
        <v>45795</v>
      </c>
      <c r="D1133" t="inlineStr">
        <is>
          <t>JÄMTLANDS LÄN</t>
        </is>
      </c>
      <c r="E1133" t="inlineStr">
        <is>
          <t>STRÖMSUND</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39511-2021</t>
        </is>
      </c>
      <c r="B1134" s="1" t="n">
        <v>44414</v>
      </c>
      <c r="C1134" s="1" t="n">
        <v>45795</v>
      </c>
      <c r="D1134" t="inlineStr">
        <is>
          <t>JÄMTLANDS LÄN</t>
        </is>
      </c>
      <c r="E1134" t="inlineStr">
        <is>
          <t>STRÖMSUND</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39510-2021</t>
        </is>
      </c>
      <c r="B1135" s="1" t="n">
        <v>44414</v>
      </c>
      <c r="C1135" s="1" t="n">
        <v>45795</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39945-2021</t>
        </is>
      </c>
      <c r="B1136" s="1" t="n">
        <v>44417</v>
      </c>
      <c r="C1136" s="1" t="n">
        <v>45795</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39944-2021</t>
        </is>
      </c>
      <c r="B1137" s="1" t="n">
        <v>44417</v>
      </c>
      <c r="C1137" s="1" t="n">
        <v>45795</v>
      </c>
      <c r="D1137" t="inlineStr">
        <is>
          <t>JÄMTLANDS LÄN</t>
        </is>
      </c>
      <c r="E1137" t="inlineStr">
        <is>
          <t>STRÖMSUND</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40354-2021</t>
        </is>
      </c>
      <c r="B1138" s="1" t="n">
        <v>44419</v>
      </c>
      <c r="C1138" s="1" t="n">
        <v>45795</v>
      </c>
      <c r="D1138" t="inlineStr">
        <is>
          <t>JÄMTLANDS LÄN</t>
        </is>
      </c>
      <c r="E1138" t="inlineStr">
        <is>
          <t>STRÖMSUND</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40657-2021</t>
        </is>
      </c>
      <c r="B1139" s="1" t="n">
        <v>44420</v>
      </c>
      <c r="C1139" s="1" t="n">
        <v>45795</v>
      </c>
      <c r="D1139" t="inlineStr">
        <is>
          <t>JÄMTLANDS LÄN</t>
        </is>
      </c>
      <c r="E1139" t="inlineStr">
        <is>
          <t>STRÖMSUND</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40827-2021</t>
        </is>
      </c>
      <c r="B1140" s="1" t="n">
        <v>44421</v>
      </c>
      <c r="C1140" s="1" t="n">
        <v>45795</v>
      </c>
      <c r="D1140" t="inlineStr">
        <is>
          <t>JÄMTLANDS LÄN</t>
        </is>
      </c>
      <c r="E1140" t="inlineStr">
        <is>
          <t>STRÖMSUND</t>
        </is>
      </c>
      <c r="F1140" t="inlineStr">
        <is>
          <t>Holmen skog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40857-2021</t>
        </is>
      </c>
      <c r="B1141" s="1" t="n">
        <v>44421</v>
      </c>
      <c r="C1141" s="1" t="n">
        <v>45795</v>
      </c>
      <c r="D1141" t="inlineStr">
        <is>
          <t>JÄMTLANDS LÄN</t>
        </is>
      </c>
      <c r="E1141" t="inlineStr">
        <is>
          <t>STRÖMSUND</t>
        </is>
      </c>
      <c r="F1141" t="inlineStr">
        <is>
          <t>Holmen skog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40806-2021</t>
        </is>
      </c>
      <c r="B1142" s="1" t="n">
        <v>44421</v>
      </c>
      <c r="C1142" s="1" t="n">
        <v>45795</v>
      </c>
      <c r="D1142" t="inlineStr">
        <is>
          <t>JÄMTLANDS LÄN</t>
        </is>
      </c>
      <c r="E1142" t="inlineStr">
        <is>
          <t>STRÖMSUND</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41059-2021</t>
        </is>
      </c>
      <c r="B1143" s="1" t="n">
        <v>44422</v>
      </c>
      <c r="C1143" s="1" t="n">
        <v>45795</v>
      </c>
      <c r="D1143" t="inlineStr">
        <is>
          <t>JÄMTLANDS LÄN</t>
        </is>
      </c>
      <c r="E1143" t="inlineStr">
        <is>
          <t>STRÖMSUND</t>
        </is>
      </c>
      <c r="F1143" t="inlineStr">
        <is>
          <t>SCA</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41491-2021</t>
        </is>
      </c>
      <c r="B1144" s="1" t="n">
        <v>44424</v>
      </c>
      <c r="C1144" s="1" t="n">
        <v>45795</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41490-2021</t>
        </is>
      </c>
      <c r="B1145" s="1" t="n">
        <v>44425</v>
      </c>
      <c r="C1145" s="1" t="n">
        <v>45795</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41639-2021</t>
        </is>
      </c>
      <c r="B1146" s="1" t="n">
        <v>44425</v>
      </c>
      <c r="C1146" s="1" t="n">
        <v>45795</v>
      </c>
      <c r="D1146" t="inlineStr">
        <is>
          <t>JÄMTLANDS LÄN</t>
        </is>
      </c>
      <c r="E1146" t="inlineStr">
        <is>
          <t>STRÖMSUND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42247-2021</t>
        </is>
      </c>
      <c r="B1147" s="1" t="n">
        <v>44426</v>
      </c>
      <c r="C1147" s="1" t="n">
        <v>45795</v>
      </c>
      <c r="D1147" t="inlineStr">
        <is>
          <t>JÄMTLANDS LÄN</t>
        </is>
      </c>
      <c r="E1147" t="inlineStr">
        <is>
          <t>STRÖMSUND</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42549-2021</t>
        </is>
      </c>
      <c r="B1148" s="1" t="n">
        <v>44427</v>
      </c>
      <c r="C1148" s="1" t="n">
        <v>45795</v>
      </c>
      <c r="D1148" t="inlineStr">
        <is>
          <t>JÄMTLANDS LÄN</t>
        </is>
      </c>
      <c r="E1148" t="inlineStr">
        <is>
          <t>STRÖMSUND</t>
        </is>
      </c>
      <c r="F1148" t="inlineStr">
        <is>
          <t>SCA</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42545-2021</t>
        </is>
      </c>
      <c r="B1149" s="1" t="n">
        <v>44428</v>
      </c>
      <c r="C1149" s="1" t="n">
        <v>45795</v>
      </c>
      <c r="D1149" t="inlineStr">
        <is>
          <t>JÄMTLANDS LÄN</t>
        </is>
      </c>
      <c r="E1149" t="inlineStr">
        <is>
          <t>STRÖMSUND</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42551-2021</t>
        </is>
      </c>
      <c r="B1150" s="1" t="n">
        <v>44427</v>
      </c>
      <c r="C1150" s="1" t="n">
        <v>45795</v>
      </c>
      <c r="D1150" t="inlineStr">
        <is>
          <t>JÄMTLANDS LÄN</t>
        </is>
      </c>
      <c r="E1150" t="inlineStr">
        <is>
          <t>STRÖMSUND</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42794-2021</t>
        </is>
      </c>
      <c r="B1151" s="1" t="n">
        <v>44429</v>
      </c>
      <c r="C1151" s="1" t="n">
        <v>45795</v>
      </c>
      <c r="D1151" t="inlineStr">
        <is>
          <t>JÄMTLANDS LÄN</t>
        </is>
      </c>
      <c r="E1151" t="inlineStr">
        <is>
          <t>STRÖMSUND</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43072-2021</t>
        </is>
      </c>
      <c r="B1152" s="1" t="n">
        <v>44431</v>
      </c>
      <c r="C1152" s="1" t="n">
        <v>45795</v>
      </c>
      <c r="D1152" t="inlineStr">
        <is>
          <t>JÄMTLANDS LÄN</t>
        </is>
      </c>
      <c r="E1152" t="inlineStr">
        <is>
          <t>STRÖMSUND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43839-2021</t>
        </is>
      </c>
      <c r="B1153" s="1" t="n">
        <v>44434</v>
      </c>
      <c r="C1153" s="1" t="n">
        <v>45795</v>
      </c>
      <c r="D1153" t="inlineStr">
        <is>
          <t>JÄMTLANDS LÄN</t>
        </is>
      </c>
      <c r="E1153" t="inlineStr">
        <is>
          <t>STRÖMSUND</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43754-2021</t>
        </is>
      </c>
      <c r="B1154" s="1" t="n">
        <v>44433</v>
      </c>
      <c r="C1154" s="1" t="n">
        <v>45795</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43752-2021</t>
        </is>
      </c>
      <c r="B1155" s="1" t="n">
        <v>44433</v>
      </c>
      <c r="C1155" s="1" t="n">
        <v>45795</v>
      </c>
      <c r="D1155" t="inlineStr">
        <is>
          <t>JÄMTLANDS LÄN</t>
        </is>
      </c>
      <c r="E1155" t="inlineStr">
        <is>
          <t>STRÖMSUND</t>
        </is>
      </c>
      <c r="F1155" t="inlineStr">
        <is>
          <t>Sveaskog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43842-2021</t>
        </is>
      </c>
      <c r="B1156" s="1" t="n">
        <v>44433</v>
      </c>
      <c r="C1156" s="1" t="n">
        <v>45795</v>
      </c>
      <c r="D1156" t="inlineStr">
        <is>
          <t>JÄMTLANDS LÄN</t>
        </is>
      </c>
      <c r="E1156" t="inlineStr">
        <is>
          <t>STRÖMSUND</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43846-2021</t>
        </is>
      </c>
      <c r="B1157" s="1" t="n">
        <v>44434</v>
      </c>
      <c r="C1157" s="1" t="n">
        <v>45795</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43844-2021</t>
        </is>
      </c>
      <c r="B1158" s="1" t="n">
        <v>44433</v>
      </c>
      <c r="C1158" s="1" t="n">
        <v>45795</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44025-2021</t>
        </is>
      </c>
      <c r="B1159" s="1" t="n">
        <v>44434</v>
      </c>
      <c r="C1159" s="1" t="n">
        <v>45795</v>
      </c>
      <c r="D1159" t="inlineStr">
        <is>
          <t>JÄMTLANDS LÄN</t>
        </is>
      </c>
      <c r="E1159" t="inlineStr">
        <is>
          <t>STRÖMSUND</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44104-2021</t>
        </is>
      </c>
      <c r="B1160" s="1" t="n">
        <v>44434</v>
      </c>
      <c r="C1160" s="1" t="n">
        <v>45795</v>
      </c>
      <c r="D1160" t="inlineStr">
        <is>
          <t>JÄMTLANDS LÄN</t>
        </is>
      </c>
      <c r="E1160" t="inlineStr">
        <is>
          <t>STRÖMSUND</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44229-2021</t>
        </is>
      </c>
      <c r="B1161" s="1" t="n">
        <v>44434</v>
      </c>
      <c r="C1161" s="1" t="n">
        <v>45795</v>
      </c>
      <c r="D1161" t="inlineStr">
        <is>
          <t>JÄMTLANDS LÄN</t>
        </is>
      </c>
      <c r="E1161" t="inlineStr">
        <is>
          <t>STRÖMSUND</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44410-2021</t>
        </is>
      </c>
      <c r="B1162" s="1" t="n">
        <v>44435</v>
      </c>
      <c r="C1162" s="1" t="n">
        <v>45795</v>
      </c>
      <c r="D1162" t="inlineStr">
        <is>
          <t>JÄMTLANDS LÄN</t>
        </is>
      </c>
      <c r="E1162" t="inlineStr">
        <is>
          <t>STRÖMSUND</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44436-2021</t>
        </is>
      </c>
      <c r="B1163" s="1" t="n">
        <v>44435</v>
      </c>
      <c r="C1163" s="1" t="n">
        <v>45795</v>
      </c>
      <c r="D1163" t="inlineStr">
        <is>
          <t>JÄMTLANDS LÄN</t>
        </is>
      </c>
      <c r="E1163" t="inlineStr">
        <is>
          <t>STRÖMSUND</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44602-2021</t>
        </is>
      </c>
      <c r="B1164" s="1" t="n">
        <v>44436</v>
      </c>
      <c r="C1164" s="1" t="n">
        <v>45795</v>
      </c>
      <c r="D1164" t="inlineStr">
        <is>
          <t>JÄMTLANDS LÄN</t>
        </is>
      </c>
      <c r="E1164" t="inlineStr">
        <is>
          <t>STRÖMSUND</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44600-2021</t>
        </is>
      </c>
      <c r="B1165" s="1" t="n">
        <v>44436</v>
      </c>
      <c r="C1165" s="1" t="n">
        <v>45795</v>
      </c>
      <c r="D1165" t="inlineStr">
        <is>
          <t>JÄMTLANDS LÄN</t>
        </is>
      </c>
      <c r="E1165" t="inlineStr">
        <is>
          <t>STRÖMSUND</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44605-2021</t>
        </is>
      </c>
      <c r="B1166" s="1" t="n">
        <v>44436</v>
      </c>
      <c r="C1166" s="1" t="n">
        <v>45795</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44606-2021</t>
        </is>
      </c>
      <c r="B1167" s="1" t="n">
        <v>44436</v>
      </c>
      <c r="C1167" s="1" t="n">
        <v>45795</v>
      </c>
      <c r="D1167" t="inlineStr">
        <is>
          <t>JÄMTLANDS LÄN</t>
        </is>
      </c>
      <c r="E1167" t="inlineStr">
        <is>
          <t>STRÖMSUND</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45011-2021</t>
        </is>
      </c>
      <c r="B1168" s="1" t="n">
        <v>44439</v>
      </c>
      <c r="C1168" s="1" t="n">
        <v>45795</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45230-2021</t>
        </is>
      </c>
      <c r="B1169" s="1" t="n">
        <v>44439</v>
      </c>
      <c r="C1169" s="1" t="n">
        <v>45795</v>
      </c>
      <c r="D1169" t="inlineStr">
        <is>
          <t>JÄMTLANDS LÄN</t>
        </is>
      </c>
      <c r="E1169" t="inlineStr">
        <is>
          <t>STRÖMSUND</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45351-2021</t>
        </is>
      </c>
      <c r="B1170" s="1" t="n">
        <v>44440</v>
      </c>
      <c r="C1170" s="1" t="n">
        <v>45795</v>
      </c>
      <c r="D1170" t="inlineStr">
        <is>
          <t>JÄMTLANDS LÄN</t>
        </is>
      </c>
      <c r="E1170" t="inlineStr">
        <is>
          <t>STRÖMSUND</t>
        </is>
      </c>
      <c r="F1170" t="inlineStr">
        <is>
          <t>SCA</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45333-2021</t>
        </is>
      </c>
      <c r="B1171" s="1" t="n">
        <v>44439</v>
      </c>
      <c r="C1171" s="1" t="n">
        <v>45795</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45340-2021</t>
        </is>
      </c>
      <c r="B1172" s="1" t="n">
        <v>44440</v>
      </c>
      <c r="C1172" s="1" t="n">
        <v>45795</v>
      </c>
      <c r="D1172" t="inlineStr">
        <is>
          <t>JÄMTLANDS LÄN</t>
        </is>
      </c>
      <c r="E1172" t="inlineStr">
        <is>
          <t>STRÖMSUND</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45622-2021</t>
        </is>
      </c>
      <c r="B1173" s="1" t="n">
        <v>44441</v>
      </c>
      <c r="C1173" s="1" t="n">
        <v>45795</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45640-2021</t>
        </is>
      </c>
      <c r="B1174" s="1" t="n">
        <v>44440</v>
      </c>
      <c r="C1174" s="1" t="n">
        <v>45795</v>
      </c>
      <c r="D1174" t="inlineStr">
        <is>
          <t>JÄMTLANDS LÄN</t>
        </is>
      </c>
      <c r="E1174" t="inlineStr">
        <is>
          <t>STRÖMSUND</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45628-2021</t>
        </is>
      </c>
      <c r="B1175" s="1" t="n">
        <v>44441</v>
      </c>
      <c r="C1175" s="1" t="n">
        <v>45795</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45635-2021</t>
        </is>
      </c>
      <c r="B1176" s="1" t="n">
        <v>44440</v>
      </c>
      <c r="C1176" s="1" t="n">
        <v>45795</v>
      </c>
      <c r="D1176" t="inlineStr">
        <is>
          <t>JÄMTLANDS LÄN</t>
        </is>
      </c>
      <c r="E1176" t="inlineStr">
        <is>
          <t>STRÖMSUND</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45641-2021</t>
        </is>
      </c>
      <c r="B1177" s="1" t="n">
        <v>44440</v>
      </c>
      <c r="C1177" s="1" t="n">
        <v>45795</v>
      </c>
      <c r="D1177" t="inlineStr">
        <is>
          <t>JÄMTLANDS LÄN</t>
        </is>
      </c>
      <c r="E1177" t="inlineStr">
        <is>
          <t>STRÖMSUND</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45630-2021</t>
        </is>
      </c>
      <c r="B1178" s="1" t="n">
        <v>44440</v>
      </c>
      <c r="C1178" s="1" t="n">
        <v>45795</v>
      </c>
      <c r="D1178" t="inlineStr">
        <is>
          <t>JÄMTLANDS LÄN</t>
        </is>
      </c>
      <c r="E1178" t="inlineStr">
        <is>
          <t>STRÖMSUND</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45638-2021</t>
        </is>
      </c>
      <c r="B1179" s="1" t="n">
        <v>44440</v>
      </c>
      <c r="C1179" s="1" t="n">
        <v>45795</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45627-2021</t>
        </is>
      </c>
      <c r="B1180" s="1" t="n">
        <v>44441</v>
      </c>
      <c r="C1180" s="1" t="n">
        <v>45795</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45626-2021</t>
        </is>
      </c>
      <c r="B1181" s="1" t="n">
        <v>44441</v>
      </c>
      <c r="C1181" s="1" t="n">
        <v>45795</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45639-2021</t>
        </is>
      </c>
      <c r="B1182" s="1" t="n">
        <v>44440</v>
      </c>
      <c r="C1182" s="1" t="n">
        <v>45795</v>
      </c>
      <c r="D1182" t="inlineStr">
        <is>
          <t>JÄMTLANDS LÄN</t>
        </is>
      </c>
      <c r="E1182" t="inlineStr">
        <is>
          <t>STRÖMSUND</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46969-2021</t>
        </is>
      </c>
      <c r="B1183" s="1" t="n">
        <v>44446</v>
      </c>
      <c r="C1183" s="1" t="n">
        <v>45795</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47261-2021</t>
        </is>
      </c>
      <c r="B1184" s="1" t="n">
        <v>44447</v>
      </c>
      <c r="C1184" s="1" t="n">
        <v>45795</v>
      </c>
      <c r="D1184" t="inlineStr">
        <is>
          <t>JÄMTLANDS LÄN</t>
        </is>
      </c>
      <c r="E1184" t="inlineStr">
        <is>
          <t>STRÖMSUND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47607-2021</t>
        </is>
      </c>
      <c r="B1185" s="1" t="n">
        <v>44447</v>
      </c>
      <c r="C1185" s="1" t="n">
        <v>45795</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47847-2021</t>
        </is>
      </c>
      <c r="B1186" s="1" t="n">
        <v>44448</v>
      </c>
      <c r="C1186" s="1" t="n">
        <v>45795</v>
      </c>
      <c r="D1186" t="inlineStr">
        <is>
          <t>JÄMTLANDS LÄN</t>
        </is>
      </c>
      <c r="E1186" t="inlineStr">
        <is>
          <t>STRÖMSUND</t>
        </is>
      </c>
      <c r="F1186" t="inlineStr">
        <is>
          <t>Holmen skog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47938-2021</t>
        </is>
      </c>
      <c r="B1187" s="1" t="n">
        <v>44449</v>
      </c>
      <c r="C1187" s="1" t="n">
        <v>45795</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47936-2021</t>
        </is>
      </c>
      <c r="B1188" s="1" t="n">
        <v>44448</v>
      </c>
      <c r="C1188" s="1" t="n">
        <v>45795</v>
      </c>
      <c r="D1188" t="inlineStr">
        <is>
          <t>JÄMTLANDS LÄN</t>
        </is>
      </c>
      <c r="E1188" t="inlineStr">
        <is>
          <t>STRÖMSUND</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47941-2021</t>
        </is>
      </c>
      <c r="B1189" s="1" t="n">
        <v>44449</v>
      </c>
      <c r="C1189" s="1" t="n">
        <v>45795</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47943-2021</t>
        </is>
      </c>
      <c r="B1190" s="1" t="n">
        <v>44448</v>
      </c>
      <c r="C1190" s="1" t="n">
        <v>45795</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47934-2021</t>
        </is>
      </c>
      <c r="B1191" s="1" t="n">
        <v>44448</v>
      </c>
      <c r="C1191" s="1" t="n">
        <v>45795</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47940-2021</t>
        </is>
      </c>
      <c r="B1192" s="1" t="n">
        <v>44449</v>
      </c>
      <c r="C1192" s="1" t="n">
        <v>45795</v>
      </c>
      <c r="D1192" t="inlineStr">
        <is>
          <t>JÄMTLANDS LÄN</t>
        </is>
      </c>
      <c r="E1192" t="inlineStr">
        <is>
          <t>STRÖMSUND</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48508-2021</t>
        </is>
      </c>
      <c r="B1193" s="1" t="n">
        <v>44451</v>
      </c>
      <c r="C1193" s="1" t="n">
        <v>45795</v>
      </c>
      <c r="D1193" t="inlineStr">
        <is>
          <t>JÄMTLANDS LÄN</t>
        </is>
      </c>
      <c r="E1193" t="inlineStr">
        <is>
          <t>STRÖMSUND</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48863-2021</t>
        </is>
      </c>
      <c r="B1194" s="1" t="n">
        <v>44453</v>
      </c>
      <c r="C1194" s="1" t="n">
        <v>45795</v>
      </c>
      <c r="D1194" t="inlineStr">
        <is>
          <t>JÄMTLANDS LÄN</t>
        </is>
      </c>
      <c r="E1194" t="inlineStr">
        <is>
          <t>STRÖMSUND</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49166-2021</t>
        </is>
      </c>
      <c r="B1195" s="1" t="n">
        <v>44454</v>
      </c>
      <c r="C1195" s="1" t="n">
        <v>45795</v>
      </c>
      <c r="D1195" t="inlineStr">
        <is>
          <t>JÄMTLANDS LÄN</t>
        </is>
      </c>
      <c r="E1195" t="inlineStr">
        <is>
          <t>STRÖMSUND</t>
        </is>
      </c>
      <c r="F1195" t="inlineStr">
        <is>
          <t>SCA</t>
        </is>
      </c>
      <c r="G1195" t="n">
        <v>3.3</v>
      </c>
      <c r="H1195" t="n">
        <v>0</v>
      </c>
      <c r="I1195" t="n">
        <v>0</v>
      </c>
      <c r="J1195" t="n">
        <v>0</v>
      </c>
      <c r="K1195" t="n">
        <v>0</v>
      </c>
      <c r="L1195" t="n">
        <v>0</v>
      </c>
      <c r="M1195" t="n">
        <v>0</v>
      </c>
      <c r="N1195" t="n">
        <v>0</v>
      </c>
      <c r="O1195" t="n">
        <v>0</v>
      </c>
      <c r="P1195" t="n">
        <v>0</v>
      </c>
      <c r="Q1195" t="n">
        <v>0</v>
      </c>
      <c r="R1195" s="2" t="inlineStr"/>
      <c r="U1195">
        <f>HYPERLINK("https://klasma.github.io/Logging_2313/knärot/A 49166-2021 karta knärot.png", "A 49166-2021")</f>
        <v/>
      </c>
      <c r="V1195">
        <f>HYPERLINK("https://klasma.github.io/Logging_2313/klagomål/A 49166-2021 FSC-klagomål.docx", "A 49166-2021")</f>
        <v/>
      </c>
      <c r="W1195">
        <f>HYPERLINK("https://klasma.github.io/Logging_2313/klagomålsmail/A 49166-2021 FSC-klagomål mail.docx", "A 49166-2021")</f>
        <v/>
      </c>
      <c r="X1195">
        <f>HYPERLINK("https://klasma.github.io/Logging_2313/tillsyn/A 49166-2021 tillsynsbegäran.docx", "A 49166-2021")</f>
        <v/>
      </c>
      <c r="Y1195">
        <f>HYPERLINK("https://klasma.github.io/Logging_2313/tillsynsmail/A 49166-2021 tillsynsbegäran mail.docx", "A 49166-2021")</f>
        <v/>
      </c>
    </row>
    <row r="1196" ht="15" customHeight="1">
      <c r="A1196" t="inlineStr">
        <is>
          <t>A 49204-2021</t>
        </is>
      </c>
      <c r="B1196" s="1" t="n">
        <v>44454</v>
      </c>
      <c r="C1196" s="1" t="n">
        <v>45795</v>
      </c>
      <c r="D1196" t="inlineStr">
        <is>
          <t>JÄMTLANDS LÄN</t>
        </is>
      </c>
      <c r="E1196" t="inlineStr">
        <is>
          <t>STRÖMSUND</t>
        </is>
      </c>
      <c r="F1196" t="inlineStr">
        <is>
          <t>Sveaskog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49210-2021</t>
        </is>
      </c>
      <c r="B1197" s="1" t="n">
        <v>44454</v>
      </c>
      <c r="C1197" s="1" t="n">
        <v>45795</v>
      </c>
      <c r="D1197" t="inlineStr">
        <is>
          <t>JÄMTLANDS LÄN</t>
        </is>
      </c>
      <c r="E1197" t="inlineStr">
        <is>
          <t>STRÖMSUND</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49208-2021</t>
        </is>
      </c>
      <c r="B1198" s="1" t="n">
        <v>44454</v>
      </c>
      <c r="C1198" s="1" t="n">
        <v>45795</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49212-2021</t>
        </is>
      </c>
      <c r="B1199" s="1" t="n">
        <v>44454</v>
      </c>
      <c r="C1199" s="1" t="n">
        <v>45795</v>
      </c>
      <c r="D1199" t="inlineStr">
        <is>
          <t>JÄMTLANDS LÄN</t>
        </is>
      </c>
      <c r="E1199" t="inlineStr">
        <is>
          <t>STRÖMSUND</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49206-2021</t>
        </is>
      </c>
      <c r="B1200" s="1" t="n">
        <v>44454</v>
      </c>
      <c r="C1200" s="1" t="n">
        <v>45795</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49620-2021</t>
        </is>
      </c>
      <c r="B1201" s="1" t="n">
        <v>44455</v>
      </c>
      <c r="C1201" s="1" t="n">
        <v>45795</v>
      </c>
      <c r="D1201" t="inlineStr">
        <is>
          <t>JÄMTLANDS LÄN</t>
        </is>
      </c>
      <c r="E1201" t="inlineStr">
        <is>
          <t>STRÖMSUND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49929-2021</t>
        </is>
      </c>
      <c r="B1202" s="1" t="n">
        <v>44456</v>
      </c>
      <c r="C1202" s="1" t="n">
        <v>45795</v>
      </c>
      <c r="D1202" t="inlineStr">
        <is>
          <t>JÄMTLANDS LÄN</t>
        </is>
      </c>
      <c r="E1202" t="inlineStr">
        <is>
          <t>STRÖMSUND</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50020-2021</t>
        </is>
      </c>
      <c r="B1203" s="1" t="n">
        <v>44456</v>
      </c>
      <c r="C1203" s="1" t="n">
        <v>45795</v>
      </c>
      <c r="D1203" t="inlineStr">
        <is>
          <t>JÄMTLANDS LÄN</t>
        </is>
      </c>
      <c r="E1203" t="inlineStr">
        <is>
          <t>STRÖMSUND</t>
        </is>
      </c>
      <c r="F1203" t="inlineStr">
        <is>
          <t>Sveaskog</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50025-2021</t>
        </is>
      </c>
      <c r="B1204" s="1" t="n">
        <v>44456</v>
      </c>
      <c r="C1204" s="1" t="n">
        <v>45795</v>
      </c>
      <c r="D1204" t="inlineStr">
        <is>
          <t>JÄMTLANDS LÄN</t>
        </is>
      </c>
      <c r="E1204" t="inlineStr">
        <is>
          <t>STRÖMSUND</t>
        </is>
      </c>
      <c r="F1204" t="inlineStr">
        <is>
          <t>Sveaskog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50034-2021</t>
        </is>
      </c>
      <c r="B1205" s="1" t="n">
        <v>44456</v>
      </c>
      <c r="C1205" s="1" t="n">
        <v>45795</v>
      </c>
      <c r="D1205" t="inlineStr">
        <is>
          <t>JÄMTLANDS LÄN</t>
        </is>
      </c>
      <c r="E1205" t="inlineStr">
        <is>
          <t>STRÖMSUND</t>
        </is>
      </c>
      <c r="F1205" t="inlineStr">
        <is>
          <t>Sveaskog</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50029-2021</t>
        </is>
      </c>
      <c r="B1206" s="1" t="n">
        <v>44456</v>
      </c>
      <c r="C1206" s="1" t="n">
        <v>45795</v>
      </c>
      <c r="D1206" t="inlineStr">
        <is>
          <t>JÄMTLANDS LÄN</t>
        </is>
      </c>
      <c r="E1206" t="inlineStr">
        <is>
          <t>STRÖMSUND</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50037-2021</t>
        </is>
      </c>
      <c r="B1207" s="1" t="n">
        <v>44456</v>
      </c>
      <c r="C1207" s="1" t="n">
        <v>45795</v>
      </c>
      <c r="D1207" t="inlineStr">
        <is>
          <t>JÄMTLANDS LÄN</t>
        </is>
      </c>
      <c r="E1207" t="inlineStr">
        <is>
          <t>STRÖMSUND</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50022-2021</t>
        </is>
      </c>
      <c r="B1208" s="1" t="n">
        <v>44456</v>
      </c>
      <c r="C1208" s="1" t="n">
        <v>45795</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50028-2021</t>
        </is>
      </c>
      <c r="B1209" s="1" t="n">
        <v>44456</v>
      </c>
      <c r="C1209" s="1" t="n">
        <v>45795</v>
      </c>
      <c r="D1209" t="inlineStr">
        <is>
          <t>JÄMTLANDS LÄN</t>
        </is>
      </c>
      <c r="E1209" t="inlineStr">
        <is>
          <t>STRÖMSUND</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50176-2021</t>
        </is>
      </c>
      <c r="B1210" s="1" t="n">
        <v>44457</v>
      </c>
      <c r="C1210" s="1" t="n">
        <v>45795</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50179-2021</t>
        </is>
      </c>
      <c r="B1211" s="1" t="n">
        <v>44456</v>
      </c>
      <c r="C1211" s="1" t="n">
        <v>45795</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50180-2021</t>
        </is>
      </c>
      <c r="B1212" s="1" t="n">
        <v>44456</v>
      </c>
      <c r="C1212" s="1" t="n">
        <v>45795</v>
      </c>
      <c r="D1212" t="inlineStr">
        <is>
          <t>JÄMTLANDS LÄN</t>
        </is>
      </c>
      <c r="E1212" t="inlineStr">
        <is>
          <t>STRÖMSUND</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50023-2021</t>
        </is>
      </c>
      <c r="B1213" s="1" t="n">
        <v>44456</v>
      </c>
      <c r="C1213" s="1" t="n">
        <v>45795</v>
      </c>
      <c r="D1213" t="inlineStr">
        <is>
          <t>JÄMTLANDS LÄN</t>
        </is>
      </c>
      <c r="E1213" t="inlineStr">
        <is>
          <t>STRÖMSUND</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50890-2021</t>
        </is>
      </c>
      <c r="B1214" s="1" t="n">
        <v>44460</v>
      </c>
      <c r="C1214" s="1" t="n">
        <v>45795</v>
      </c>
      <c r="D1214" t="inlineStr">
        <is>
          <t>JÄMTLANDS LÄN</t>
        </is>
      </c>
      <c r="E1214" t="inlineStr">
        <is>
          <t>STRÖMSUND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51446-2021</t>
        </is>
      </c>
      <c r="B1215" s="1" t="n">
        <v>44461</v>
      </c>
      <c r="C1215" s="1" t="n">
        <v>45795</v>
      </c>
      <c r="D1215" t="inlineStr">
        <is>
          <t>JÄMTLANDS LÄN</t>
        </is>
      </c>
      <c r="E1215" t="inlineStr">
        <is>
          <t>STRÖMSUND</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51954-2021</t>
        </is>
      </c>
      <c r="B1216" s="1" t="n">
        <v>44463</v>
      </c>
      <c r="C1216" s="1" t="n">
        <v>45795</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51953-2021</t>
        </is>
      </c>
      <c r="B1217" s="1" t="n">
        <v>44463</v>
      </c>
      <c r="C1217" s="1" t="n">
        <v>45795</v>
      </c>
      <c r="D1217" t="inlineStr">
        <is>
          <t>JÄMTLANDS LÄN</t>
        </is>
      </c>
      <c r="E1217" t="inlineStr">
        <is>
          <t>STRÖMSUND</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52327-2021</t>
        </is>
      </c>
      <c r="B1218" s="1" t="n">
        <v>44463</v>
      </c>
      <c r="C1218" s="1" t="n">
        <v>45795</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52397-2021</t>
        </is>
      </c>
      <c r="B1219" s="1" t="n">
        <v>44463</v>
      </c>
      <c r="C1219" s="1" t="n">
        <v>45795</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52332-2021</t>
        </is>
      </c>
      <c r="B1220" s="1" t="n">
        <v>44463</v>
      </c>
      <c r="C1220" s="1" t="n">
        <v>45795</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52399-2021</t>
        </is>
      </c>
      <c r="B1221" s="1" t="n">
        <v>44466</v>
      </c>
      <c r="C1221" s="1" t="n">
        <v>45795</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52718-2021</t>
        </is>
      </c>
      <c r="B1222" s="1" t="n">
        <v>44467</v>
      </c>
      <c r="C1222" s="1" t="n">
        <v>45795</v>
      </c>
      <c r="D1222" t="inlineStr">
        <is>
          <t>JÄMTLANDS LÄN</t>
        </is>
      </c>
      <c r="E1222" t="inlineStr">
        <is>
          <t>STRÖMSUND</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52707-2021</t>
        </is>
      </c>
      <c r="B1223" s="1" t="n">
        <v>44467</v>
      </c>
      <c r="C1223" s="1" t="n">
        <v>45795</v>
      </c>
      <c r="D1223" t="inlineStr">
        <is>
          <t>JÄMTLANDS LÄN</t>
        </is>
      </c>
      <c r="E1223" t="inlineStr">
        <is>
          <t>STRÖMSUND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52969-2021</t>
        </is>
      </c>
      <c r="B1224" s="1" t="n">
        <v>44466</v>
      </c>
      <c r="C1224" s="1" t="n">
        <v>45795</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53420-2021</t>
        </is>
      </c>
      <c r="B1225" s="1" t="n">
        <v>44468</v>
      </c>
      <c r="C1225" s="1" t="n">
        <v>45795</v>
      </c>
      <c r="D1225" t="inlineStr">
        <is>
          <t>JÄMTLANDS LÄN</t>
        </is>
      </c>
      <c r="E1225" t="inlineStr">
        <is>
          <t>STRÖMSUND</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53518-2021</t>
        </is>
      </c>
      <c r="B1226" s="1" t="n">
        <v>44468</v>
      </c>
      <c r="C1226" s="1" t="n">
        <v>45795</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53513-2021</t>
        </is>
      </c>
      <c r="B1227" s="1" t="n">
        <v>44468</v>
      </c>
      <c r="C1227" s="1" t="n">
        <v>45795</v>
      </c>
      <c r="D1227" t="inlineStr">
        <is>
          <t>JÄMTLANDS LÄN</t>
        </is>
      </c>
      <c r="E1227" t="inlineStr">
        <is>
          <t>STRÖMSUND</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54050-2021</t>
        </is>
      </c>
      <c r="B1228" s="1" t="n">
        <v>44470</v>
      </c>
      <c r="C1228" s="1" t="n">
        <v>45795</v>
      </c>
      <c r="D1228" t="inlineStr">
        <is>
          <t>JÄMTLANDS LÄN</t>
        </is>
      </c>
      <c r="E1228" t="inlineStr">
        <is>
          <t>STRÖMSUND</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54117-2021</t>
        </is>
      </c>
      <c r="B1229" s="1" t="n">
        <v>44470</v>
      </c>
      <c r="C1229" s="1" t="n">
        <v>45795</v>
      </c>
      <c r="D1229" t="inlineStr">
        <is>
          <t>JÄMTLANDS LÄN</t>
        </is>
      </c>
      <c r="E1229" t="inlineStr">
        <is>
          <t>STRÖMSUND</t>
        </is>
      </c>
      <c r="F1229" t="inlineStr">
        <is>
          <t>Holmen skog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55608-2021</t>
        </is>
      </c>
      <c r="B1230" s="1" t="n">
        <v>44475</v>
      </c>
      <c r="C1230" s="1" t="n">
        <v>45795</v>
      </c>
      <c r="D1230" t="inlineStr">
        <is>
          <t>JÄMTLANDS LÄN</t>
        </is>
      </c>
      <c r="E1230" t="inlineStr">
        <is>
          <t>STRÖMSUND</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55918-2021</t>
        </is>
      </c>
      <c r="B1231" s="1" t="n">
        <v>44476</v>
      </c>
      <c r="C1231" s="1" t="n">
        <v>45795</v>
      </c>
      <c r="D1231" t="inlineStr">
        <is>
          <t>JÄMTLANDS LÄN</t>
        </is>
      </c>
      <c r="E1231" t="inlineStr">
        <is>
          <t>STRÖMSUND</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55920-2021</t>
        </is>
      </c>
      <c r="B1232" s="1" t="n">
        <v>44476</v>
      </c>
      <c r="C1232" s="1" t="n">
        <v>45795</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55927-2021</t>
        </is>
      </c>
      <c r="B1233" s="1" t="n">
        <v>44476</v>
      </c>
      <c r="C1233" s="1" t="n">
        <v>45795</v>
      </c>
      <c r="D1233" t="inlineStr">
        <is>
          <t>JÄMTLANDS LÄN</t>
        </is>
      </c>
      <c r="E1233" t="inlineStr">
        <is>
          <t>STRÖMSUND</t>
        </is>
      </c>
      <c r="F1233" t="inlineStr">
        <is>
          <t>SCA</t>
        </is>
      </c>
      <c r="G1233" t="n">
        <v>16.9</v>
      </c>
      <c r="H1233" t="n">
        <v>0</v>
      </c>
      <c r="I1233" t="n">
        <v>0</v>
      </c>
      <c r="J1233" t="n">
        <v>0</v>
      </c>
      <c r="K1233" t="n">
        <v>0</v>
      </c>
      <c r="L1233" t="n">
        <v>0</v>
      </c>
      <c r="M1233" t="n">
        <v>0</v>
      </c>
      <c r="N1233" t="n">
        <v>0</v>
      </c>
      <c r="O1233" t="n">
        <v>0</v>
      </c>
      <c r="P1233" t="n">
        <v>0</v>
      </c>
      <c r="Q1233" t="n">
        <v>0</v>
      </c>
      <c r="R1233" s="2" t="inlineStr"/>
    </row>
    <row r="1234" ht="15" customHeight="1">
      <c r="A1234" t="inlineStr">
        <is>
          <t>A 55919-2021</t>
        </is>
      </c>
      <c r="B1234" s="1" t="n">
        <v>44477</v>
      </c>
      <c r="C1234" s="1" t="n">
        <v>45795</v>
      </c>
      <c r="D1234" t="inlineStr">
        <is>
          <t>JÄMTLANDS LÄN</t>
        </is>
      </c>
      <c r="E1234" t="inlineStr">
        <is>
          <t>STRÖMSUND</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55939-2021</t>
        </is>
      </c>
      <c r="B1235" s="1" t="n">
        <v>44476</v>
      </c>
      <c r="C1235" s="1" t="n">
        <v>45795</v>
      </c>
      <c r="D1235" t="inlineStr">
        <is>
          <t>JÄMTLANDS LÄN</t>
        </is>
      </c>
      <c r="E1235" t="inlineStr">
        <is>
          <t>STRÖMSUND</t>
        </is>
      </c>
      <c r="F1235" t="inlineStr">
        <is>
          <t>SCA</t>
        </is>
      </c>
      <c r="G1235" t="n">
        <v>19.3</v>
      </c>
      <c r="H1235" t="n">
        <v>0</v>
      </c>
      <c r="I1235" t="n">
        <v>0</v>
      </c>
      <c r="J1235" t="n">
        <v>0</v>
      </c>
      <c r="K1235" t="n">
        <v>0</v>
      </c>
      <c r="L1235" t="n">
        <v>0</v>
      </c>
      <c r="M1235" t="n">
        <v>0</v>
      </c>
      <c r="N1235" t="n">
        <v>0</v>
      </c>
      <c r="O1235" t="n">
        <v>0</v>
      </c>
      <c r="P1235" t="n">
        <v>0</v>
      </c>
      <c r="Q1235" t="n">
        <v>0</v>
      </c>
      <c r="R1235" s="2" t="inlineStr"/>
    </row>
    <row r="1236" ht="15" customHeight="1">
      <c r="A1236" t="inlineStr">
        <is>
          <t>A 56213-2021</t>
        </is>
      </c>
      <c r="B1236" s="1" t="n">
        <v>44478</v>
      </c>
      <c r="C1236" s="1" t="n">
        <v>45795</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56208-2021</t>
        </is>
      </c>
      <c r="B1237" s="1" t="n">
        <v>44477</v>
      </c>
      <c r="C1237" s="1" t="n">
        <v>45795</v>
      </c>
      <c r="D1237" t="inlineStr">
        <is>
          <t>JÄMTLANDS LÄN</t>
        </is>
      </c>
      <c r="E1237" t="inlineStr">
        <is>
          <t>STRÖMSUND</t>
        </is>
      </c>
      <c r="F1237" t="inlineStr">
        <is>
          <t>SCA</t>
        </is>
      </c>
      <c r="G1237" t="n">
        <v>23.9</v>
      </c>
      <c r="H1237" t="n">
        <v>0</v>
      </c>
      <c r="I1237" t="n">
        <v>0</v>
      </c>
      <c r="J1237" t="n">
        <v>0</v>
      </c>
      <c r="K1237" t="n">
        <v>0</v>
      </c>
      <c r="L1237" t="n">
        <v>0</v>
      </c>
      <c r="M1237" t="n">
        <v>0</v>
      </c>
      <c r="N1237" t="n">
        <v>0</v>
      </c>
      <c r="O1237" t="n">
        <v>0</v>
      </c>
      <c r="P1237" t="n">
        <v>0</v>
      </c>
      <c r="Q1237" t="n">
        <v>0</v>
      </c>
      <c r="R1237" s="2" t="inlineStr"/>
    </row>
    <row r="1238" ht="15" customHeight="1">
      <c r="A1238" t="inlineStr">
        <is>
          <t>A 56655-2021</t>
        </is>
      </c>
      <c r="B1238" s="1" t="n">
        <v>44480</v>
      </c>
      <c r="C1238" s="1" t="n">
        <v>45795</v>
      </c>
      <c r="D1238" t="inlineStr">
        <is>
          <t>JÄMTLANDS LÄN</t>
        </is>
      </c>
      <c r="E1238" t="inlineStr">
        <is>
          <t>STRÖMSUND</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56654-2021</t>
        </is>
      </c>
      <c r="B1239" s="1" t="n">
        <v>44480</v>
      </c>
      <c r="C1239" s="1" t="n">
        <v>45795</v>
      </c>
      <c r="D1239" t="inlineStr">
        <is>
          <t>JÄMTLANDS LÄN</t>
        </is>
      </c>
      <c r="E1239" t="inlineStr">
        <is>
          <t>STRÖMSUND</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57433-2021</t>
        </is>
      </c>
      <c r="B1240" s="1" t="n">
        <v>44483</v>
      </c>
      <c r="C1240" s="1" t="n">
        <v>45795</v>
      </c>
      <c r="D1240" t="inlineStr">
        <is>
          <t>JÄMTLANDS LÄN</t>
        </is>
      </c>
      <c r="E1240" t="inlineStr">
        <is>
          <t>STRÖMSUND</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57547-2021</t>
        </is>
      </c>
      <c r="B1241" s="1" t="n">
        <v>44484</v>
      </c>
      <c r="C1241" s="1" t="n">
        <v>45795</v>
      </c>
      <c r="D1241" t="inlineStr">
        <is>
          <t>JÄMTLANDS LÄN</t>
        </is>
      </c>
      <c r="E1241" t="inlineStr">
        <is>
          <t>STRÖMSUND</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57560-2021</t>
        </is>
      </c>
      <c r="B1242" s="1" t="n">
        <v>44483</v>
      </c>
      <c r="C1242" s="1" t="n">
        <v>45795</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58260-2021</t>
        </is>
      </c>
      <c r="B1243" s="1" t="n">
        <v>44487</v>
      </c>
      <c r="C1243" s="1" t="n">
        <v>45795</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58022-2021</t>
        </is>
      </c>
      <c r="B1244" s="1" t="n">
        <v>44487</v>
      </c>
      <c r="C1244" s="1" t="n">
        <v>45795</v>
      </c>
      <c r="D1244" t="inlineStr">
        <is>
          <t>JÄMTLANDS LÄN</t>
        </is>
      </c>
      <c r="E1244" t="inlineStr">
        <is>
          <t>STRÖMSUND</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59126-2021</t>
        </is>
      </c>
      <c r="B1245" s="1" t="n">
        <v>44487</v>
      </c>
      <c r="C1245" s="1" t="n">
        <v>45795</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58972-2021</t>
        </is>
      </c>
      <c r="B1246" s="1" t="n">
        <v>44490</v>
      </c>
      <c r="C1246" s="1" t="n">
        <v>45795</v>
      </c>
      <c r="D1246" t="inlineStr">
        <is>
          <t>JÄMTLANDS LÄN</t>
        </is>
      </c>
      <c r="E1246" t="inlineStr">
        <is>
          <t>STRÖMSUND</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58973-2021</t>
        </is>
      </c>
      <c r="B1247" s="1" t="n">
        <v>44489</v>
      </c>
      <c r="C1247" s="1" t="n">
        <v>45795</v>
      </c>
      <c r="D1247" t="inlineStr">
        <is>
          <t>JÄMTLANDS LÄN</t>
        </is>
      </c>
      <c r="E1247" t="inlineStr">
        <is>
          <t>STRÖMSUND</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58971-2021</t>
        </is>
      </c>
      <c r="B1248" s="1" t="n">
        <v>44490</v>
      </c>
      <c r="C1248" s="1" t="n">
        <v>45795</v>
      </c>
      <c r="D1248" t="inlineStr">
        <is>
          <t>JÄMTLANDS LÄN</t>
        </is>
      </c>
      <c r="E1248" t="inlineStr">
        <is>
          <t>STRÖMSUND</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59139-2021</t>
        </is>
      </c>
      <c r="B1249" s="1" t="n">
        <v>44490</v>
      </c>
      <c r="C1249" s="1" t="n">
        <v>45795</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59313-2021</t>
        </is>
      </c>
      <c r="B1250" s="1" t="n">
        <v>44491</v>
      </c>
      <c r="C1250" s="1" t="n">
        <v>45795</v>
      </c>
      <c r="D1250" t="inlineStr">
        <is>
          <t>JÄMTLANDS LÄN</t>
        </is>
      </c>
      <c r="E1250" t="inlineStr">
        <is>
          <t>STRÖMSUND</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59969-2021</t>
        </is>
      </c>
      <c r="B1251" s="1" t="n">
        <v>44495</v>
      </c>
      <c r="C1251" s="1" t="n">
        <v>45795</v>
      </c>
      <c r="D1251" t="inlineStr">
        <is>
          <t>JÄMTLANDS LÄN</t>
        </is>
      </c>
      <c r="E1251" t="inlineStr">
        <is>
          <t>STRÖMSUND</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60011-2021</t>
        </is>
      </c>
      <c r="B1252" s="1" t="n">
        <v>44495</v>
      </c>
      <c r="C1252" s="1" t="n">
        <v>45795</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60319-2021</t>
        </is>
      </c>
      <c r="B1253" s="1" t="n">
        <v>44495</v>
      </c>
      <c r="C1253" s="1" t="n">
        <v>45795</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60939-2021</t>
        </is>
      </c>
      <c r="B1254" s="1" t="n">
        <v>44496</v>
      </c>
      <c r="C1254" s="1" t="n">
        <v>45795</v>
      </c>
      <c r="D1254" t="inlineStr">
        <is>
          <t>JÄMTLANDS LÄN</t>
        </is>
      </c>
      <c r="E1254" t="inlineStr">
        <is>
          <t>STRÖMSUND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60775-2021</t>
        </is>
      </c>
      <c r="B1255" s="1" t="n">
        <v>44496</v>
      </c>
      <c r="C1255" s="1" t="n">
        <v>45795</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60789-2021</t>
        </is>
      </c>
      <c r="B1256" s="1" t="n">
        <v>44496</v>
      </c>
      <c r="C1256" s="1" t="n">
        <v>45795</v>
      </c>
      <c r="D1256" t="inlineStr">
        <is>
          <t>JÄMTLANDS LÄN</t>
        </is>
      </c>
      <c r="E1256" t="inlineStr">
        <is>
          <t>STRÖMSUND</t>
        </is>
      </c>
      <c r="F1256" t="inlineStr">
        <is>
          <t>SCA</t>
        </is>
      </c>
      <c r="G1256" t="n">
        <v>14.7</v>
      </c>
      <c r="H1256" t="n">
        <v>0</v>
      </c>
      <c r="I1256" t="n">
        <v>0</v>
      </c>
      <c r="J1256" t="n">
        <v>0</v>
      </c>
      <c r="K1256" t="n">
        <v>0</v>
      </c>
      <c r="L1256" t="n">
        <v>0</v>
      </c>
      <c r="M1256" t="n">
        <v>0</v>
      </c>
      <c r="N1256" t="n">
        <v>0</v>
      </c>
      <c r="O1256" t="n">
        <v>0</v>
      </c>
      <c r="P1256" t="n">
        <v>0</v>
      </c>
      <c r="Q1256" t="n">
        <v>0</v>
      </c>
      <c r="R1256" s="2" t="inlineStr"/>
    </row>
    <row r="1257" ht="15" customHeight="1">
      <c r="A1257" t="inlineStr">
        <is>
          <t>A 60801-2021</t>
        </is>
      </c>
      <c r="B1257" s="1" t="n">
        <v>44497</v>
      </c>
      <c r="C1257" s="1" t="n">
        <v>45795</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61612-2021</t>
        </is>
      </c>
      <c r="B1258" s="1" t="n">
        <v>44498</v>
      </c>
      <c r="C1258" s="1" t="n">
        <v>45795</v>
      </c>
      <c r="D1258" t="inlineStr">
        <is>
          <t>JÄMTLANDS LÄN</t>
        </is>
      </c>
      <c r="E1258" t="inlineStr">
        <is>
          <t>STRÖMSUND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61439-2021</t>
        </is>
      </c>
      <c r="B1259" s="1" t="n">
        <v>44500</v>
      </c>
      <c r="C1259" s="1" t="n">
        <v>45795</v>
      </c>
      <c r="D1259" t="inlineStr">
        <is>
          <t>JÄMTLANDS LÄN</t>
        </is>
      </c>
      <c r="E1259" t="inlineStr">
        <is>
          <t>STRÖMSUND</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61449-2021</t>
        </is>
      </c>
      <c r="B1260" s="1" t="n">
        <v>44500</v>
      </c>
      <c r="C1260" s="1" t="n">
        <v>45795</v>
      </c>
      <c r="D1260" t="inlineStr">
        <is>
          <t>JÄMTLANDS LÄN</t>
        </is>
      </c>
      <c r="E1260" t="inlineStr">
        <is>
          <t>STRÖMSUND</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61420-2021</t>
        </is>
      </c>
      <c r="B1261" s="1" t="n">
        <v>44500</v>
      </c>
      <c r="C1261" s="1" t="n">
        <v>45795</v>
      </c>
      <c r="D1261" t="inlineStr">
        <is>
          <t>JÄMTLANDS LÄN</t>
        </is>
      </c>
      <c r="E1261" t="inlineStr">
        <is>
          <t>STRÖMSUND</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61434-2021</t>
        </is>
      </c>
      <c r="B1262" s="1" t="n">
        <v>44500</v>
      </c>
      <c r="C1262" s="1" t="n">
        <v>45795</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61455-2021</t>
        </is>
      </c>
      <c r="B1263" s="1" t="n">
        <v>44500</v>
      </c>
      <c r="C1263" s="1" t="n">
        <v>45795</v>
      </c>
      <c r="D1263" t="inlineStr">
        <is>
          <t>JÄMTLANDS LÄN</t>
        </is>
      </c>
      <c r="E1263" t="inlineStr">
        <is>
          <t>STRÖMSUND</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61422-2021</t>
        </is>
      </c>
      <c r="B1264" s="1" t="n">
        <v>44500</v>
      </c>
      <c r="C1264" s="1" t="n">
        <v>45795</v>
      </c>
      <c r="D1264" t="inlineStr">
        <is>
          <t>JÄMTLANDS LÄN</t>
        </is>
      </c>
      <c r="E1264" t="inlineStr">
        <is>
          <t>STRÖMSUND</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61419-2021</t>
        </is>
      </c>
      <c r="B1265" s="1" t="n">
        <v>44500</v>
      </c>
      <c r="C1265" s="1" t="n">
        <v>45795</v>
      </c>
      <c r="D1265" t="inlineStr">
        <is>
          <t>JÄMTLANDS LÄN</t>
        </is>
      </c>
      <c r="E1265" t="inlineStr">
        <is>
          <t>STRÖMSUND</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61433-2021</t>
        </is>
      </c>
      <c r="B1266" s="1" t="n">
        <v>44500</v>
      </c>
      <c r="C1266" s="1" t="n">
        <v>45795</v>
      </c>
      <c r="D1266" t="inlineStr">
        <is>
          <t>JÄMTLANDS LÄN</t>
        </is>
      </c>
      <c r="E1266" t="inlineStr">
        <is>
          <t>STRÖMSUND</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61450-2021</t>
        </is>
      </c>
      <c r="B1267" s="1" t="n">
        <v>44500</v>
      </c>
      <c r="C1267" s="1" t="n">
        <v>45795</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61731-2021</t>
        </is>
      </c>
      <c r="B1268" s="1" t="n">
        <v>44501</v>
      </c>
      <c r="C1268" s="1" t="n">
        <v>45795</v>
      </c>
      <c r="D1268" t="inlineStr">
        <is>
          <t>JÄMTLANDS LÄN</t>
        </is>
      </c>
      <c r="E1268" t="inlineStr">
        <is>
          <t>STRÖMSUND</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62203-2021</t>
        </is>
      </c>
      <c r="B1269" s="1" t="n">
        <v>44502</v>
      </c>
      <c r="C1269" s="1" t="n">
        <v>45795</v>
      </c>
      <c r="D1269" t="inlineStr">
        <is>
          <t>JÄMTLANDS LÄN</t>
        </is>
      </c>
      <c r="E1269" t="inlineStr">
        <is>
          <t>STRÖMSUND</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62194-2021</t>
        </is>
      </c>
      <c r="B1270" s="1" t="n">
        <v>44502</v>
      </c>
      <c r="C1270" s="1" t="n">
        <v>45795</v>
      </c>
      <c r="D1270" t="inlineStr">
        <is>
          <t>JÄMTLANDS LÄN</t>
        </is>
      </c>
      <c r="E1270" t="inlineStr">
        <is>
          <t>STRÖMSUND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62234-2021</t>
        </is>
      </c>
      <c r="B1271" s="1" t="n">
        <v>44503</v>
      </c>
      <c r="C1271" s="1" t="n">
        <v>45795</v>
      </c>
      <c r="D1271" t="inlineStr">
        <is>
          <t>JÄMTLANDS LÄN</t>
        </is>
      </c>
      <c r="E1271" t="inlineStr">
        <is>
          <t>STRÖMSUND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62431-2021</t>
        </is>
      </c>
      <c r="B1272" s="1" t="n">
        <v>44503</v>
      </c>
      <c r="C1272" s="1" t="n">
        <v>45795</v>
      </c>
      <c r="D1272" t="inlineStr">
        <is>
          <t>JÄMTLANDS LÄN</t>
        </is>
      </c>
      <c r="E1272" t="inlineStr">
        <is>
          <t>STRÖMSUND</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62667-2021</t>
        </is>
      </c>
      <c r="B1273" s="1" t="n">
        <v>44503</v>
      </c>
      <c r="C1273" s="1" t="n">
        <v>45795</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62666-2021</t>
        </is>
      </c>
      <c r="B1274" s="1" t="n">
        <v>44503</v>
      </c>
      <c r="C1274" s="1" t="n">
        <v>45795</v>
      </c>
      <c r="D1274" t="inlineStr">
        <is>
          <t>JÄMTLANDS LÄN</t>
        </is>
      </c>
      <c r="E1274" t="inlineStr">
        <is>
          <t>STRÖMSUND</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62669-2021</t>
        </is>
      </c>
      <c r="B1275" s="1" t="n">
        <v>44503</v>
      </c>
      <c r="C1275" s="1" t="n">
        <v>45795</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62668-2021</t>
        </is>
      </c>
      <c r="B1276" s="1" t="n">
        <v>44503</v>
      </c>
      <c r="C1276" s="1" t="n">
        <v>45795</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64744-2021</t>
        </is>
      </c>
      <c r="B1277" s="1" t="n">
        <v>44503</v>
      </c>
      <c r="C1277" s="1" t="n">
        <v>45795</v>
      </c>
      <c r="D1277" t="inlineStr">
        <is>
          <t>JÄMTLANDS LÄN</t>
        </is>
      </c>
      <c r="E1277" t="inlineStr">
        <is>
          <t>STRÖMSUND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64760-2021</t>
        </is>
      </c>
      <c r="B1278" s="1" t="n">
        <v>44503</v>
      </c>
      <c r="C1278" s="1" t="n">
        <v>45795</v>
      </c>
      <c r="D1278" t="inlineStr">
        <is>
          <t>JÄMTLANDS LÄN</t>
        </is>
      </c>
      <c r="E1278" t="inlineStr">
        <is>
          <t>STRÖMSUND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63070-2021</t>
        </is>
      </c>
      <c r="B1279" s="1" t="n">
        <v>44505</v>
      </c>
      <c r="C1279" s="1" t="n">
        <v>45795</v>
      </c>
      <c r="D1279" t="inlineStr">
        <is>
          <t>JÄMTLANDS LÄN</t>
        </is>
      </c>
      <c r="E1279" t="inlineStr">
        <is>
          <t>STRÖMSUND</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63498-2021</t>
        </is>
      </c>
      <c r="B1280" s="1" t="n">
        <v>44508</v>
      </c>
      <c r="C1280" s="1" t="n">
        <v>45795</v>
      </c>
      <c r="D1280" t="inlineStr">
        <is>
          <t>JÄMTLANDS LÄN</t>
        </is>
      </c>
      <c r="E1280" t="inlineStr">
        <is>
          <t>STRÖMSUND</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63875-2021</t>
        </is>
      </c>
      <c r="B1281" s="1" t="n">
        <v>44509</v>
      </c>
      <c r="C1281" s="1" t="n">
        <v>45795</v>
      </c>
      <c r="D1281" t="inlineStr">
        <is>
          <t>JÄMTLANDS LÄN</t>
        </is>
      </c>
      <c r="E1281" t="inlineStr">
        <is>
          <t>STRÖMSUND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64000-2021</t>
        </is>
      </c>
      <c r="B1282" s="1" t="n">
        <v>44510</v>
      </c>
      <c r="C1282" s="1" t="n">
        <v>45795</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63999-2021</t>
        </is>
      </c>
      <c r="B1283" s="1" t="n">
        <v>44510</v>
      </c>
      <c r="C1283" s="1" t="n">
        <v>45795</v>
      </c>
      <c r="D1283" t="inlineStr">
        <is>
          <t>JÄMTLANDS LÄN</t>
        </is>
      </c>
      <c r="E1283" t="inlineStr">
        <is>
          <t>STRÖMSUND</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63988-2021</t>
        </is>
      </c>
      <c r="B1284" s="1" t="n">
        <v>44509</v>
      </c>
      <c r="C1284" s="1" t="n">
        <v>45795</v>
      </c>
      <c r="D1284" t="inlineStr">
        <is>
          <t>JÄMTLANDS LÄN</t>
        </is>
      </c>
      <c r="E1284" t="inlineStr">
        <is>
          <t>STRÖMSUND</t>
        </is>
      </c>
      <c r="F1284" t="inlineStr">
        <is>
          <t>SCA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64001-2021</t>
        </is>
      </c>
      <c r="B1285" s="1" t="n">
        <v>44509</v>
      </c>
      <c r="C1285" s="1" t="n">
        <v>45795</v>
      </c>
      <c r="D1285" t="inlineStr">
        <is>
          <t>JÄMTLANDS LÄN</t>
        </is>
      </c>
      <c r="E1285" t="inlineStr">
        <is>
          <t>STRÖMSUND</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64200-2021</t>
        </is>
      </c>
      <c r="B1286" s="1" t="n">
        <v>44510</v>
      </c>
      <c r="C1286" s="1" t="n">
        <v>45795</v>
      </c>
      <c r="D1286" t="inlineStr">
        <is>
          <t>JÄMTLANDS LÄN</t>
        </is>
      </c>
      <c r="E1286" t="inlineStr">
        <is>
          <t>STRÖMSUND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64186-2021</t>
        </is>
      </c>
      <c r="B1287" s="1" t="n">
        <v>44510</v>
      </c>
      <c r="C1287" s="1" t="n">
        <v>45795</v>
      </c>
      <c r="D1287" t="inlineStr">
        <is>
          <t>JÄMTLANDS LÄN</t>
        </is>
      </c>
      <c r="E1287" t="inlineStr">
        <is>
          <t>STRÖMSUND</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64291-2021</t>
        </is>
      </c>
      <c r="B1288" s="1" t="n">
        <v>44510</v>
      </c>
      <c r="C1288" s="1" t="n">
        <v>45795</v>
      </c>
      <c r="D1288" t="inlineStr">
        <is>
          <t>JÄMTLANDS LÄN</t>
        </is>
      </c>
      <c r="E1288" t="inlineStr">
        <is>
          <t>STRÖMSUND</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64310-2021</t>
        </is>
      </c>
      <c r="B1289" s="1" t="n">
        <v>44510</v>
      </c>
      <c r="C1289" s="1" t="n">
        <v>45795</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64309-2021</t>
        </is>
      </c>
      <c r="B1290" s="1" t="n">
        <v>44510</v>
      </c>
      <c r="C1290" s="1" t="n">
        <v>45795</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64505-2021</t>
        </is>
      </c>
      <c r="B1291" s="1" t="n">
        <v>44511</v>
      </c>
      <c r="C1291" s="1" t="n">
        <v>45795</v>
      </c>
      <c r="D1291" t="inlineStr">
        <is>
          <t>JÄMTLANDS LÄN</t>
        </is>
      </c>
      <c r="E1291" t="inlineStr">
        <is>
          <t>STRÖMSUND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64655-2021</t>
        </is>
      </c>
      <c r="B1292" s="1" t="n">
        <v>44511</v>
      </c>
      <c r="C1292" s="1" t="n">
        <v>45795</v>
      </c>
      <c r="D1292" t="inlineStr">
        <is>
          <t>JÄMTLANDS LÄN</t>
        </is>
      </c>
      <c r="E1292" t="inlineStr">
        <is>
          <t>STRÖMSUND</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64656-2021</t>
        </is>
      </c>
      <c r="B1293" s="1" t="n">
        <v>44511</v>
      </c>
      <c r="C1293" s="1" t="n">
        <v>45795</v>
      </c>
      <c r="D1293" t="inlineStr">
        <is>
          <t>JÄMTLANDS LÄN</t>
        </is>
      </c>
      <c r="E1293" t="inlineStr">
        <is>
          <t>STRÖMSUND</t>
        </is>
      </c>
      <c r="F1293" t="inlineStr">
        <is>
          <t>SCA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64660-2021</t>
        </is>
      </c>
      <c r="B1294" s="1" t="n">
        <v>44511</v>
      </c>
      <c r="C1294" s="1" t="n">
        <v>45795</v>
      </c>
      <c r="D1294" t="inlineStr">
        <is>
          <t>JÄMTLANDS LÄN</t>
        </is>
      </c>
      <c r="E1294" t="inlineStr">
        <is>
          <t>STRÖMSUND</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64657-2021</t>
        </is>
      </c>
      <c r="B1295" s="1" t="n">
        <v>44511</v>
      </c>
      <c r="C1295" s="1" t="n">
        <v>45795</v>
      </c>
      <c r="D1295" t="inlineStr">
        <is>
          <t>JÄMTLANDS LÄN</t>
        </is>
      </c>
      <c r="E1295" t="inlineStr">
        <is>
          <t>STRÖMSUND</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64723-2021</t>
        </is>
      </c>
      <c r="B1296" s="1" t="n">
        <v>44512</v>
      </c>
      <c r="C1296" s="1" t="n">
        <v>45795</v>
      </c>
      <c r="D1296" t="inlineStr">
        <is>
          <t>JÄMTLANDS LÄN</t>
        </is>
      </c>
      <c r="E1296" t="inlineStr">
        <is>
          <t>STRÖMSUND</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64913-2021</t>
        </is>
      </c>
      <c r="B1297" s="1" t="n">
        <v>44512</v>
      </c>
      <c r="C1297" s="1" t="n">
        <v>45795</v>
      </c>
      <c r="D1297" t="inlineStr">
        <is>
          <t>JÄMTLANDS LÄN</t>
        </is>
      </c>
      <c r="E1297" t="inlineStr">
        <is>
          <t>STRÖMSUND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64955-2021</t>
        </is>
      </c>
      <c r="B1298" s="1" t="n">
        <v>44512</v>
      </c>
      <c r="C1298" s="1" t="n">
        <v>45795</v>
      </c>
      <c r="D1298" t="inlineStr">
        <is>
          <t>JÄMTLANDS LÄN</t>
        </is>
      </c>
      <c r="E1298" t="inlineStr">
        <is>
          <t>STRÖMSUND</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65412-2021</t>
        </is>
      </c>
      <c r="B1299" s="1" t="n">
        <v>44515</v>
      </c>
      <c r="C1299" s="1" t="n">
        <v>45795</v>
      </c>
      <c r="D1299" t="inlineStr">
        <is>
          <t>JÄMTLANDS LÄN</t>
        </is>
      </c>
      <c r="E1299" t="inlineStr">
        <is>
          <t>STRÖMSUND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65430-2021</t>
        </is>
      </c>
      <c r="B1300" s="1" t="n">
        <v>44515</v>
      </c>
      <c r="C1300" s="1" t="n">
        <v>45795</v>
      </c>
      <c r="D1300" t="inlineStr">
        <is>
          <t>JÄMTLANDS LÄN</t>
        </is>
      </c>
      <c r="E1300" t="inlineStr">
        <is>
          <t>STRÖMSUND</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65442-2021</t>
        </is>
      </c>
      <c r="B1301" s="1" t="n">
        <v>44515</v>
      </c>
      <c r="C1301" s="1" t="n">
        <v>45795</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65776-2021</t>
        </is>
      </c>
      <c r="B1302" s="1" t="n">
        <v>44516</v>
      </c>
      <c r="C1302" s="1" t="n">
        <v>45795</v>
      </c>
      <c r="D1302" t="inlineStr">
        <is>
          <t>JÄMTLANDS LÄN</t>
        </is>
      </c>
      <c r="E1302" t="inlineStr">
        <is>
          <t>STRÖMSUND</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65787-2021</t>
        </is>
      </c>
      <c r="B1303" s="1" t="n">
        <v>44516</v>
      </c>
      <c r="C1303" s="1" t="n">
        <v>45795</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66088-2021</t>
        </is>
      </c>
      <c r="B1304" s="1" t="n">
        <v>44517</v>
      </c>
      <c r="C1304" s="1" t="n">
        <v>45795</v>
      </c>
      <c r="D1304" t="inlineStr">
        <is>
          <t>JÄMTLANDS LÄN</t>
        </is>
      </c>
      <c r="E1304" t="inlineStr">
        <is>
          <t>STRÖMSUND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66166-2021</t>
        </is>
      </c>
      <c r="B1305" s="1" t="n">
        <v>44517</v>
      </c>
      <c r="C1305" s="1" t="n">
        <v>45795</v>
      </c>
      <c r="D1305" t="inlineStr">
        <is>
          <t>JÄMTLANDS LÄN</t>
        </is>
      </c>
      <c r="E1305" t="inlineStr">
        <is>
          <t>STRÖMSUND</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66475-2021</t>
        </is>
      </c>
      <c r="B1306" s="1" t="n">
        <v>44518</v>
      </c>
      <c r="C1306" s="1" t="n">
        <v>45795</v>
      </c>
      <c r="D1306" t="inlineStr">
        <is>
          <t>JÄMTLANDS LÄN</t>
        </is>
      </c>
      <c r="E1306" t="inlineStr">
        <is>
          <t>STRÖMSUND</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66485-2021</t>
        </is>
      </c>
      <c r="B1307" s="1" t="n">
        <v>44518</v>
      </c>
      <c r="C1307" s="1" t="n">
        <v>45795</v>
      </c>
      <c r="D1307" t="inlineStr">
        <is>
          <t>JÄMTLANDS LÄN</t>
        </is>
      </c>
      <c r="E1307" t="inlineStr">
        <is>
          <t>STRÖMSUND</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66488-2021</t>
        </is>
      </c>
      <c r="B1308" s="1" t="n">
        <v>44518</v>
      </c>
      <c r="C1308" s="1" t="n">
        <v>45795</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66486-2021</t>
        </is>
      </c>
      <c r="B1309" s="1" t="n">
        <v>44518</v>
      </c>
      <c r="C1309" s="1" t="n">
        <v>45795</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66487-2021</t>
        </is>
      </c>
      <c r="B1310" s="1" t="n">
        <v>44518</v>
      </c>
      <c r="C1310" s="1" t="n">
        <v>45795</v>
      </c>
      <c r="D1310" t="inlineStr">
        <is>
          <t>JÄMTLANDS LÄN</t>
        </is>
      </c>
      <c r="E1310" t="inlineStr">
        <is>
          <t>STRÖMSUND</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66784-2021</t>
        </is>
      </c>
      <c r="B1311" s="1" t="n">
        <v>44519</v>
      </c>
      <c r="C1311" s="1" t="n">
        <v>45795</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66742-2021</t>
        </is>
      </c>
      <c r="B1312" s="1" t="n">
        <v>44520</v>
      </c>
      <c r="C1312" s="1" t="n">
        <v>45795</v>
      </c>
      <c r="D1312" t="inlineStr">
        <is>
          <t>JÄMTLANDS LÄN</t>
        </is>
      </c>
      <c r="E1312" t="inlineStr">
        <is>
          <t>STRÖMSUND</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67096-2021</t>
        </is>
      </c>
      <c r="B1313" s="1" t="n">
        <v>44522</v>
      </c>
      <c r="C1313" s="1" t="n">
        <v>45795</v>
      </c>
      <c r="D1313" t="inlineStr">
        <is>
          <t>JÄMTLANDS LÄN</t>
        </is>
      </c>
      <c r="E1313" t="inlineStr">
        <is>
          <t>STRÖMSUND</t>
        </is>
      </c>
      <c r="F1313" t="inlineStr">
        <is>
          <t>SCA</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67099-2021</t>
        </is>
      </c>
      <c r="B1314" s="1" t="n">
        <v>44522</v>
      </c>
      <c r="C1314" s="1" t="n">
        <v>45795</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67097-2021</t>
        </is>
      </c>
      <c r="B1315" s="1" t="n">
        <v>44522</v>
      </c>
      <c r="C1315" s="1" t="n">
        <v>45795</v>
      </c>
      <c r="D1315" t="inlineStr">
        <is>
          <t>JÄMTLANDS LÄN</t>
        </is>
      </c>
      <c r="E1315" t="inlineStr">
        <is>
          <t>STRÖMSUND</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67114-2021</t>
        </is>
      </c>
      <c r="B1316" s="1" t="n">
        <v>44523</v>
      </c>
      <c r="C1316" s="1" t="n">
        <v>45795</v>
      </c>
      <c r="D1316" t="inlineStr">
        <is>
          <t>JÄMTLANDS LÄN</t>
        </is>
      </c>
      <c r="E1316" t="inlineStr">
        <is>
          <t>STRÖMSUND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67696-2021</t>
        </is>
      </c>
      <c r="B1317" s="1" t="n">
        <v>44524</v>
      </c>
      <c r="C1317" s="1" t="n">
        <v>45795</v>
      </c>
      <c r="D1317" t="inlineStr">
        <is>
          <t>JÄMTLANDS LÄN</t>
        </is>
      </c>
      <c r="E1317" t="inlineStr">
        <is>
          <t>STRÖMSUND</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67903-2021</t>
        </is>
      </c>
      <c r="B1318" s="1" t="n">
        <v>44525</v>
      </c>
      <c r="C1318" s="1" t="n">
        <v>45795</v>
      </c>
      <c r="D1318" t="inlineStr">
        <is>
          <t>JÄMTLANDS LÄN</t>
        </is>
      </c>
      <c r="E1318" t="inlineStr">
        <is>
          <t>STRÖMSUND</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67906-2021</t>
        </is>
      </c>
      <c r="B1319" s="1" t="n">
        <v>44525</v>
      </c>
      <c r="C1319" s="1" t="n">
        <v>45795</v>
      </c>
      <c r="D1319" t="inlineStr">
        <is>
          <t>JÄMTLANDS LÄN</t>
        </is>
      </c>
      <c r="E1319" t="inlineStr">
        <is>
          <t>STRÖMSUND</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68646-2021</t>
        </is>
      </c>
      <c r="B1320" s="1" t="n">
        <v>44529</v>
      </c>
      <c r="C1320" s="1" t="n">
        <v>45795</v>
      </c>
      <c r="D1320" t="inlineStr">
        <is>
          <t>JÄMTLANDS LÄN</t>
        </is>
      </c>
      <c r="E1320" t="inlineStr">
        <is>
          <t>STRÖMSUND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68675-2021</t>
        </is>
      </c>
      <c r="B1321" s="1" t="n">
        <v>44529</v>
      </c>
      <c r="C1321" s="1" t="n">
        <v>45795</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68424-2021</t>
        </is>
      </c>
      <c r="B1322" s="1" t="n">
        <v>44529</v>
      </c>
      <c r="C1322" s="1" t="n">
        <v>45795</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68442-2021</t>
        </is>
      </c>
      <c r="B1323" s="1" t="n">
        <v>44529</v>
      </c>
      <c r="C1323" s="1" t="n">
        <v>45795</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68776-2021</t>
        </is>
      </c>
      <c r="B1324" s="1" t="n">
        <v>44529</v>
      </c>
      <c r="C1324" s="1" t="n">
        <v>45795</v>
      </c>
      <c r="D1324" t="inlineStr">
        <is>
          <t>JÄMTLANDS LÄN</t>
        </is>
      </c>
      <c r="E1324" t="inlineStr">
        <is>
          <t>STRÖMSUND</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68777-2021</t>
        </is>
      </c>
      <c r="B1325" s="1" t="n">
        <v>44529</v>
      </c>
      <c r="C1325" s="1" t="n">
        <v>45795</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69139-2021</t>
        </is>
      </c>
      <c r="B1326" s="1" t="n">
        <v>44530</v>
      </c>
      <c r="C1326" s="1" t="n">
        <v>45795</v>
      </c>
      <c r="D1326" t="inlineStr">
        <is>
          <t>JÄMTLANDS LÄN</t>
        </is>
      </c>
      <c r="E1326" t="inlineStr">
        <is>
          <t>STRÖMSUND</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69132-2021</t>
        </is>
      </c>
      <c r="B1327" s="1" t="n">
        <v>44530</v>
      </c>
      <c r="C1327" s="1" t="n">
        <v>45795</v>
      </c>
      <c r="D1327" t="inlineStr">
        <is>
          <t>JÄMTLANDS LÄN</t>
        </is>
      </c>
      <c r="E1327" t="inlineStr">
        <is>
          <t>STRÖMSUND</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69144-2021</t>
        </is>
      </c>
      <c r="B1328" s="1" t="n">
        <v>44530</v>
      </c>
      <c r="C1328" s="1" t="n">
        <v>45795</v>
      </c>
      <c r="D1328" t="inlineStr">
        <is>
          <t>JÄMTLANDS LÄN</t>
        </is>
      </c>
      <c r="E1328" t="inlineStr">
        <is>
          <t>STRÖMSUND</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69143-2021</t>
        </is>
      </c>
      <c r="B1329" s="1" t="n">
        <v>44530</v>
      </c>
      <c r="C1329" s="1" t="n">
        <v>45795</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70079-2021</t>
        </is>
      </c>
      <c r="B1330" s="1" t="n">
        <v>44533</v>
      </c>
      <c r="C1330" s="1" t="n">
        <v>45795</v>
      </c>
      <c r="D1330" t="inlineStr">
        <is>
          <t>JÄMTLANDS LÄN</t>
        </is>
      </c>
      <c r="E1330" t="inlineStr">
        <is>
          <t>STRÖMSUND</t>
        </is>
      </c>
      <c r="F1330" t="inlineStr">
        <is>
          <t>Holmen skog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70530-2021</t>
        </is>
      </c>
      <c r="B1331" s="1" t="n">
        <v>44536</v>
      </c>
      <c r="C1331" s="1" t="n">
        <v>45795</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70531-2021</t>
        </is>
      </c>
      <c r="B1332" s="1" t="n">
        <v>44536</v>
      </c>
      <c r="C1332" s="1" t="n">
        <v>45795</v>
      </c>
      <c r="D1332" t="inlineStr">
        <is>
          <t>JÄMTLANDS LÄN</t>
        </is>
      </c>
      <c r="E1332" t="inlineStr">
        <is>
          <t>STRÖMSUND</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70511-2021</t>
        </is>
      </c>
      <c r="B1333" s="1" t="n">
        <v>44536</v>
      </c>
      <c r="C1333" s="1" t="n">
        <v>45795</v>
      </c>
      <c r="D1333" t="inlineStr">
        <is>
          <t>JÄMTLANDS LÄN</t>
        </is>
      </c>
      <c r="E1333" t="inlineStr">
        <is>
          <t>STRÖMSUND</t>
        </is>
      </c>
      <c r="F1333" t="inlineStr">
        <is>
          <t>SCA</t>
        </is>
      </c>
      <c r="G1333" t="n">
        <v>401.6</v>
      </c>
      <c r="H1333" t="n">
        <v>0</v>
      </c>
      <c r="I1333" t="n">
        <v>0</v>
      </c>
      <c r="J1333" t="n">
        <v>0</v>
      </c>
      <c r="K1333" t="n">
        <v>0</v>
      </c>
      <c r="L1333" t="n">
        <v>0</v>
      </c>
      <c r="M1333" t="n">
        <v>0</v>
      </c>
      <c r="N1333" t="n">
        <v>0</v>
      </c>
      <c r="O1333" t="n">
        <v>0</v>
      </c>
      <c r="P1333" t="n">
        <v>0</v>
      </c>
      <c r="Q1333" t="n">
        <v>0</v>
      </c>
      <c r="R1333" s="2" t="inlineStr"/>
    </row>
    <row r="1334" ht="15" customHeight="1">
      <c r="A1334" t="inlineStr">
        <is>
          <t>A 70529-2021</t>
        </is>
      </c>
      <c r="B1334" s="1" t="n">
        <v>44536</v>
      </c>
      <c r="C1334" s="1" t="n">
        <v>45795</v>
      </c>
      <c r="D1334" t="inlineStr">
        <is>
          <t>JÄMTLANDS LÄN</t>
        </is>
      </c>
      <c r="E1334" t="inlineStr">
        <is>
          <t>STRÖMSUND</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71352-2021</t>
        </is>
      </c>
      <c r="B1335" s="1" t="n">
        <v>44539</v>
      </c>
      <c r="C1335" s="1" t="n">
        <v>45795</v>
      </c>
      <c r="D1335" t="inlineStr">
        <is>
          <t>JÄMTLANDS LÄN</t>
        </is>
      </c>
      <c r="E1335" t="inlineStr">
        <is>
          <t>STRÖMSUND</t>
        </is>
      </c>
      <c r="G1335" t="n">
        <v>0.2</v>
      </c>
      <c r="H1335" t="n">
        <v>0</v>
      </c>
      <c r="I1335" t="n">
        <v>0</v>
      </c>
      <c r="J1335" t="n">
        <v>0</v>
      </c>
      <c r="K1335" t="n">
        <v>0</v>
      </c>
      <c r="L1335" t="n">
        <v>0</v>
      </c>
      <c r="M1335" t="n">
        <v>0</v>
      </c>
      <c r="N1335" t="n">
        <v>0</v>
      </c>
      <c r="O1335" t="n">
        <v>0</v>
      </c>
      <c r="P1335" t="n">
        <v>0</v>
      </c>
      <c r="Q1335" t="n">
        <v>0</v>
      </c>
      <c r="R1335" s="2" t="inlineStr"/>
      <c r="U1335">
        <f>HYPERLINK("https://klasma.github.io/Logging_2313/knärot/A 71352-2021 karta knärot.png", "A 71352-2021")</f>
        <v/>
      </c>
      <c r="V1335">
        <f>HYPERLINK("https://klasma.github.io/Logging_2313/klagomål/A 71352-2021 FSC-klagomål.docx", "A 71352-2021")</f>
        <v/>
      </c>
      <c r="W1335">
        <f>HYPERLINK("https://klasma.github.io/Logging_2313/klagomålsmail/A 71352-2021 FSC-klagomål mail.docx", "A 71352-2021")</f>
        <v/>
      </c>
      <c r="X1335">
        <f>HYPERLINK("https://klasma.github.io/Logging_2313/tillsyn/A 71352-2021 tillsynsbegäran.docx", "A 71352-2021")</f>
        <v/>
      </c>
      <c r="Y1335">
        <f>HYPERLINK("https://klasma.github.io/Logging_2313/tillsynsmail/A 71352-2021 tillsynsbegäran mail.docx", "A 71352-2021")</f>
        <v/>
      </c>
    </row>
    <row r="1336" ht="15" customHeight="1">
      <c r="A1336" t="inlineStr">
        <is>
          <t>A 71353-2021</t>
        </is>
      </c>
      <c r="B1336" s="1" t="n">
        <v>44539</v>
      </c>
      <c r="C1336" s="1" t="n">
        <v>45795</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71376-2021</t>
        </is>
      </c>
      <c r="B1337" s="1" t="n">
        <v>44539</v>
      </c>
      <c r="C1337" s="1" t="n">
        <v>45795</v>
      </c>
      <c r="D1337" t="inlineStr">
        <is>
          <t>JÄMTLANDS LÄN</t>
        </is>
      </c>
      <c r="E1337" t="inlineStr">
        <is>
          <t>STRÖMSUND</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71377-2021</t>
        </is>
      </c>
      <c r="B1338" s="1" t="n">
        <v>44539</v>
      </c>
      <c r="C1338" s="1" t="n">
        <v>45795</v>
      </c>
      <c r="D1338" t="inlineStr">
        <is>
          <t>JÄMTLANDS LÄN</t>
        </is>
      </c>
      <c r="E1338" t="inlineStr">
        <is>
          <t>STRÖMSUND</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71912-2021</t>
        </is>
      </c>
      <c r="B1339" s="1" t="n">
        <v>44543</v>
      </c>
      <c r="C1339" s="1" t="n">
        <v>45795</v>
      </c>
      <c r="D1339" t="inlineStr">
        <is>
          <t>JÄMTLANDS LÄN</t>
        </is>
      </c>
      <c r="E1339" t="inlineStr">
        <is>
          <t>STRÖMSUND</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71911-2021</t>
        </is>
      </c>
      <c r="B1340" s="1" t="n">
        <v>44543</v>
      </c>
      <c r="C1340" s="1" t="n">
        <v>45795</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72629-2021</t>
        </is>
      </c>
      <c r="B1341" s="1" t="n">
        <v>44545</v>
      </c>
      <c r="C1341" s="1" t="n">
        <v>45795</v>
      </c>
      <c r="D1341" t="inlineStr">
        <is>
          <t>JÄMTLANDS LÄN</t>
        </is>
      </c>
      <c r="E1341" t="inlineStr">
        <is>
          <t>STRÖMSUND</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72497-2021</t>
        </is>
      </c>
      <c r="B1342" s="1" t="n">
        <v>44545</v>
      </c>
      <c r="C1342" s="1" t="n">
        <v>45795</v>
      </c>
      <c r="D1342" t="inlineStr">
        <is>
          <t>JÄMTLANDS LÄN</t>
        </is>
      </c>
      <c r="E1342" t="inlineStr">
        <is>
          <t>STRÖMSUND</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72543-2021</t>
        </is>
      </c>
      <c r="B1343" s="1" t="n">
        <v>44546</v>
      </c>
      <c r="C1343" s="1" t="n">
        <v>45795</v>
      </c>
      <c r="D1343" t="inlineStr">
        <is>
          <t>JÄMTLANDS LÄN</t>
        </is>
      </c>
      <c r="E1343" t="inlineStr">
        <is>
          <t>STRÖMSUND</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72749-2021</t>
        </is>
      </c>
      <c r="B1344" s="1" t="n">
        <v>44546</v>
      </c>
      <c r="C1344" s="1" t="n">
        <v>45795</v>
      </c>
      <c r="D1344" t="inlineStr">
        <is>
          <t>JÄMTLANDS LÄN</t>
        </is>
      </c>
      <c r="E1344" t="inlineStr">
        <is>
          <t>STRÖMSUND</t>
        </is>
      </c>
      <c r="G1344" t="n">
        <v>35.6</v>
      </c>
      <c r="H1344" t="n">
        <v>0</v>
      </c>
      <c r="I1344" t="n">
        <v>0</v>
      </c>
      <c r="J1344" t="n">
        <v>0</v>
      </c>
      <c r="K1344" t="n">
        <v>0</v>
      </c>
      <c r="L1344" t="n">
        <v>0</v>
      </c>
      <c r="M1344" t="n">
        <v>0</v>
      </c>
      <c r="N1344" t="n">
        <v>0</v>
      </c>
      <c r="O1344" t="n">
        <v>0</v>
      </c>
      <c r="P1344" t="n">
        <v>0</v>
      </c>
      <c r="Q1344" t="n">
        <v>0</v>
      </c>
      <c r="R1344" s="2" t="inlineStr"/>
    </row>
    <row r="1345" ht="15" customHeight="1">
      <c r="A1345" t="inlineStr">
        <is>
          <t>A 72753-2021</t>
        </is>
      </c>
      <c r="B1345" s="1" t="n">
        <v>44546</v>
      </c>
      <c r="C1345" s="1" t="n">
        <v>45795</v>
      </c>
      <c r="D1345" t="inlineStr">
        <is>
          <t>JÄMTLANDS LÄN</t>
        </is>
      </c>
      <c r="E1345" t="inlineStr">
        <is>
          <t>STRÖMSUND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72827-2021</t>
        </is>
      </c>
      <c r="B1346" s="1" t="n">
        <v>44547</v>
      </c>
      <c r="C1346" s="1" t="n">
        <v>45795</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72957-2021</t>
        </is>
      </c>
      <c r="B1347" s="1" t="n">
        <v>44547</v>
      </c>
      <c r="C1347" s="1" t="n">
        <v>45795</v>
      </c>
      <c r="D1347" t="inlineStr">
        <is>
          <t>JÄMTLANDS LÄN</t>
        </is>
      </c>
      <c r="E1347" t="inlineStr">
        <is>
          <t>STRÖMSUND</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72956-2021</t>
        </is>
      </c>
      <c r="B1348" s="1" t="n">
        <v>44547</v>
      </c>
      <c r="C1348" s="1" t="n">
        <v>45795</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73288-2021</t>
        </is>
      </c>
      <c r="B1349" s="1" t="n">
        <v>44550</v>
      </c>
      <c r="C1349" s="1" t="n">
        <v>45795</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73291-2021</t>
        </is>
      </c>
      <c r="B1350" s="1" t="n">
        <v>44550</v>
      </c>
      <c r="C1350" s="1" t="n">
        <v>45795</v>
      </c>
      <c r="D1350" t="inlineStr">
        <is>
          <t>JÄMTLANDS LÄN</t>
        </is>
      </c>
      <c r="E1350" t="inlineStr">
        <is>
          <t>STRÖMSUND</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73289-2021</t>
        </is>
      </c>
      <c r="B1351" s="1" t="n">
        <v>44550</v>
      </c>
      <c r="C1351" s="1" t="n">
        <v>45795</v>
      </c>
      <c r="D1351" t="inlineStr">
        <is>
          <t>JÄMTLANDS LÄN</t>
        </is>
      </c>
      <c r="E1351" t="inlineStr">
        <is>
          <t>STRÖMSUND</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364-2022</t>
        </is>
      </c>
      <c r="B1352" s="1" t="n">
        <v>44565</v>
      </c>
      <c r="C1352" s="1" t="n">
        <v>45795</v>
      </c>
      <c r="D1352" t="inlineStr">
        <is>
          <t>JÄMTLANDS LÄN</t>
        </is>
      </c>
      <c r="E1352" t="inlineStr">
        <is>
          <t>STRÖMSUND</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585-2022</t>
        </is>
      </c>
      <c r="B1353" s="1" t="n">
        <v>44566</v>
      </c>
      <c r="C1353" s="1" t="n">
        <v>45795</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583-2022</t>
        </is>
      </c>
      <c r="B1354" s="1" t="n">
        <v>44566</v>
      </c>
      <c r="C1354" s="1" t="n">
        <v>45795</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829-2022</t>
        </is>
      </c>
      <c r="B1355" s="1" t="n">
        <v>44568</v>
      </c>
      <c r="C1355" s="1" t="n">
        <v>45795</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1083-2022</t>
        </is>
      </c>
      <c r="B1356" s="1" t="n">
        <v>44571</v>
      </c>
      <c r="C1356" s="1" t="n">
        <v>45795</v>
      </c>
      <c r="D1356" t="inlineStr">
        <is>
          <t>JÄMTLANDS LÄN</t>
        </is>
      </c>
      <c r="E1356" t="inlineStr">
        <is>
          <t>STRÖMSUND</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1107-2022</t>
        </is>
      </c>
      <c r="B1357" s="1" t="n">
        <v>44571</v>
      </c>
      <c r="C1357" s="1" t="n">
        <v>45795</v>
      </c>
      <c r="D1357" t="inlineStr">
        <is>
          <t>JÄMTLANDS LÄN</t>
        </is>
      </c>
      <c r="E1357" t="inlineStr">
        <is>
          <t>STRÖMSUND</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1339-2022</t>
        </is>
      </c>
      <c r="B1358" s="1" t="n">
        <v>44572</v>
      </c>
      <c r="C1358" s="1" t="n">
        <v>45795</v>
      </c>
      <c r="D1358" t="inlineStr">
        <is>
          <t>JÄMTLANDS LÄN</t>
        </is>
      </c>
      <c r="E1358" t="inlineStr">
        <is>
          <t>STRÖMSUND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2485-2022</t>
        </is>
      </c>
      <c r="B1359" s="1" t="n">
        <v>44579</v>
      </c>
      <c r="C1359" s="1" t="n">
        <v>45795</v>
      </c>
      <c r="D1359" t="inlineStr">
        <is>
          <t>JÄMTLANDS LÄN</t>
        </is>
      </c>
      <c r="E1359" t="inlineStr">
        <is>
          <t>STRÖMSUND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2760-2022</t>
        </is>
      </c>
      <c r="B1360" s="1" t="n">
        <v>44580</v>
      </c>
      <c r="C1360" s="1" t="n">
        <v>45795</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2759-2022</t>
        </is>
      </c>
      <c r="B1361" s="1" t="n">
        <v>44580</v>
      </c>
      <c r="C1361" s="1" t="n">
        <v>45795</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3114-2022</t>
        </is>
      </c>
      <c r="B1362" s="1" t="n">
        <v>44582</v>
      </c>
      <c r="C1362" s="1" t="n">
        <v>45795</v>
      </c>
      <c r="D1362" t="inlineStr">
        <is>
          <t>JÄMTLANDS LÄN</t>
        </is>
      </c>
      <c r="E1362" t="inlineStr">
        <is>
          <t>STRÖMSUND</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3165-2022</t>
        </is>
      </c>
      <c r="B1363" s="1" t="n">
        <v>44582</v>
      </c>
      <c r="C1363" s="1" t="n">
        <v>45795</v>
      </c>
      <c r="D1363" t="inlineStr">
        <is>
          <t>JÄMTLANDS LÄN</t>
        </is>
      </c>
      <c r="E1363" t="inlineStr">
        <is>
          <t>STRÖMSUND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3230-2022</t>
        </is>
      </c>
      <c r="B1364" s="1" t="n">
        <v>44582</v>
      </c>
      <c r="C1364" s="1" t="n">
        <v>45795</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3269-2022</t>
        </is>
      </c>
      <c r="B1365" s="1" t="n">
        <v>44583</v>
      </c>
      <c r="C1365" s="1" t="n">
        <v>45795</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3538-2022</t>
        </is>
      </c>
      <c r="B1366" s="1" t="n">
        <v>44585</v>
      </c>
      <c r="C1366" s="1" t="n">
        <v>45795</v>
      </c>
      <c r="D1366" t="inlineStr">
        <is>
          <t>JÄMTLANDS LÄN</t>
        </is>
      </c>
      <c r="E1366" t="inlineStr">
        <is>
          <t>STRÖMSUND</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3539-2022</t>
        </is>
      </c>
      <c r="B1367" s="1" t="n">
        <v>44585</v>
      </c>
      <c r="C1367" s="1" t="n">
        <v>45795</v>
      </c>
      <c r="D1367" t="inlineStr">
        <is>
          <t>JÄMTLANDS LÄN</t>
        </is>
      </c>
      <c r="E1367" t="inlineStr">
        <is>
          <t>STRÖMSUND</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3719-2022</t>
        </is>
      </c>
      <c r="B1368" s="1" t="n">
        <v>44586</v>
      </c>
      <c r="C1368" s="1" t="n">
        <v>45795</v>
      </c>
      <c r="D1368" t="inlineStr">
        <is>
          <t>JÄMTLANDS LÄN</t>
        </is>
      </c>
      <c r="E1368" t="inlineStr">
        <is>
          <t>STRÖMSUND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3721-2022</t>
        </is>
      </c>
      <c r="B1369" s="1" t="n">
        <v>44586</v>
      </c>
      <c r="C1369" s="1" t="n">
        <v>45795</v>
      </c>
      <c r="D1369" t="inlineStr">
        <is>
          <t>JÄMTLANDS LÄN</t>
        </is>
      </c>
      <c r="E1369" t="inlineStr">
        <is>
          <t>STRÖMSUND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3875-2022</t>
        </is>
      </c>
      <c r="B1370" s="1" t="n">
        <v>44587</v>
      </c>
      <c r="C1370" s="1" t="n">
        <v>45795</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4024-2022</t>
        </is>
      </c>
      <c r="B1371" s="1" t="n">
        <v>44587</v>
      </c>
      <c r="C1371" s="1" t="n">
        <v>45795</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4460-2022</t>
        </is>
      </c>
      <c r="B1372" s="1" t="n">
        <v>44589</v>
      </c>
      <c r="C1372" s="1" t="n">
        <v>45795</v>
      </c>
      <c r="D1372" t="inlineStr">
        <is>
          <t>JÄMTLANDS LÄN</t>
        </is>
      </c>
      <c r="E1372" t="inlineStr">
        <is>
          <t>STRÖMSUND</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4455-2022</t>
        </is>
      </c>
      <c r="B1373" s="1" t="n">
        <v>44589</v>
      </c>
      <c r="C1373" s="1" t="n">
        <v>45795</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4464-2022</t>
        </is>
      </c>
      <c r="B1374" s="1" t="n">
        <v>44589</v>
      </c>
      <c r="C1374" s="1" t="n">
        <v>45795</v>
      </c>
      <c r="D1374" t="inlineStr">
        <is>
          <t>JÄMTLANDS LÄN</t>
        </is>
      </c>
      <c r="E1374" t="inlineStr">
        <is>
          <t>STRÖMSUND</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4602-2022</t>
        </is>
      </c>
      <c r="B1375" s="1" t="n">
        <v>44589</v>
      </c>
      <c r="C1375" s="1" t="n">
        <v>45795</v>
      </c>
      <c r="D1375" t="inlineStr">
        <is>
          <t>JÄMTLANDS LÄN</t>
        </is>
      </c>
      <c r="E1375" t="inlineStr">
        <is>
          <t>STRÖMSUND</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4858-2022</t>
        </is>
      </c>
      <c r="B1376" s="1" t="n">
        <v>44592</v>
      </c>
      <c r="C1376" s="1" t="n">
        <v>45795</v>
      </c>
      <c r="D1376" t="inlineStr">
        <is>
          <t>JÄMTLANDS LÄN</t>
        </is>
      </c>
      <c r="E1376" t="inlineStr">
        <is>
          <t>STRÖMSUND</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4931-2022</t>
        </is>
      </c>
      <c r="B1377" s="1" t="n">
        <v>44593</v>
      </c>
      <c r="C1377" s="1" t="n">
        <v>45795</v>
      </c>
      <c r="D1377" t="inlineStr">
        <is>
          <t>JÄMTLANDS LÄN</t>
        </is>
      </c>
      <c r="E1377" t="inlineStr">
        <is>
          <t>STRÖMSUND</t>
        </is>
      </c>
      <c r="G1377" t="n">
        <v>41.9</v>
      </c>
      <c r="H1377" t="n">
        <v>0</v>
      </c>
      <c r="I1377" t="n">
        <v>0</v>
      </c>
      <c r="J1377" t="n">
        <v>0</v>
      </c>
      <c r="K1377" t="n">
        <v>0</v>
      </c>
      <c r="L1377" t="n">
        <v>0</v>
      </c>
      <c r="M1377" t="n">
        <v>0</v>
      </c>
      <c r="N1377" t="n">
        <v>0</v>
      </c>
      <c r="O1377" t="n">
        <v>0</v>
      </c>
      <c r="P1377" t="n">
        <v>0</v>
      </c>
      <c r="Q1377" t="n">
        <v>0</v>
      </c>
      <c r="R1377" s="2" t="inlineStr"/>
    </row>
    <row r="1378" ht="15" customHeight="1">
      <c r="A1378" t="inlineStr">
        <is>
          <t>A 5117-2022</t>
        </is>
      </c>
      <c r="B1378" s="1" t="n">
        <v>44593</v>
      </c>
      <c r="C1378" s="1" t="n">
        <v>45795</v>
      </c>
      <c r="D1378" t="inlineStr">
        <is>
          <t>JÄMTLANDS LÄN</t>
        </is>
      </c>
      <c r="E1378" t="inlineStr">
        <is>
          <t>STRÖMSUND</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5116-2022</t>
        </is>
      </c>
      <c r="B1379" s="1" t="n">
        <v>44593</v>
      </c>
      <c r="C1379" s="1" t="n">
        <v>45795</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5416-2022</t>
        </is>
      </c>
      <c r="B1380" s="1" t="n">
        <v>44595</v>
      </c>
      <c r="C1380" s="1" t="n">
        <v>45795</v>
      </c>
      <c r="D1380" t="inlineStr">
        <is>
          <t>JÄMTLANDS LÄN</t>
        </is>
      </c>
      <c r="E1380" t="inlineStr">
        <is>
          <t>STRÖMSUND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5642-2022</t>
        </is>
      </c>
      <c r="B1381" s="1" t="n">
        <v>44595</v>
      </c>
      <c r="C1381" s="1" t="n">
        <v>45795</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6055-2022</t>
        </is>
      </c>
      <c r="B1382" s="1" t="n">
        <v>44599</v>
      </c>
      <c r="C1382" s="1" t="n">
        <v>45795</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6150-2022</t>
        </is>
      </c>
      <c r="B1383" s="1" t="n">
        <v>44599</v>
      </c>
      <c r="C1383" s="1" t="n">
        <v>45795</v>
      </c>
      <c r="D1383" t="inlineStr">
        <is>
          <t>JÄMTLANDS LÄN</t>
        </is>
      </c>
      <c r="E1383" t="inlineStr">
        <is>
          <t>STRÖMSUND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6202-2022</t>
        </is>
      </c>
      <c r="B1384" s="1" t="n">
        <v>44600</v>
      </c>
      <c r="C1384" s="1" t="n">
        <v>45795</v>
      </c>
      <c r="D1384" t="inlineStr">
        <is>
          <t>JÄMTLANDS LÄN</t>
        </is>
      </c>
      <c r="E1384" t="inlineStr">
        <is>
          <t>STRÖMSUND</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7023-2022</t>
        </is>
      </c>
      <c r="B1385" s="1" t="n">
        <v>44603</v>
      </c>
      <c r="C1385" s="1" t="n">
        <v>45795</v>
      </c>
      <c r="D1385" t="inlineStr">
        <is>
          <t>JÄMTLANDS LÄN</t>
        </is>
      </c>
      <c r="E1385" t="inlineStr">
        <is>
          <t>STRÖMSUND</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7157-2022</t>
        </is>
      </c>
      <c r="B1386" s="1" t="n">
        <v>44604</v>
      </c>
      <c r="C1386" s="1" t="n">
        <v>45795</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7260-2022</t>
        </is>
      </c>
      <c r="B1387" s="1" t="n">
        <v>44606</v>
      </c>
      <c r="C1387" s="1" t="n">
        <v>45795</v>
      </c>
      <c r="D1387" t="inlineStr">
        <is>
          <t>JÄMTLANDS LÄN</t>
        </is>
      </c>
      <c r="E1387" t="inlineStr">
        <is>
          <t>STRÖMSUND</t>
        </is>
      </c>
      <c r="F1387" t="inlineStr">
        <is>
          <t>SCA</t>
        </is>
      </c>
      <c r="G1387" t="n">
        <v>76.40000000000001</v>
      </c>
      <c r="H1387" t="n">
        <v>0</v>
      </c>
      <c r="I1387" t="n">
        <v>0</v>
      </c>
      <c r="J1387" t="n">
        <v>0</v>
      </c>
      <c r="K1387" t="n">
        <v>0</v>
      </c>
      <c r="L1387" t="n">
        <v>0</v>
      </c>
      <c r="M1387" t="n">
        <v>0</v>
      </c>
      <c r="N1387" t="n">
        <v>0</v>
      </c>
      <c r="O1387" t="n">
        <v>0</v>
      </c>
      <c r="P1387" t="n">
        <v>0</v>
      </c>
      <c r="Q1387" t="n">
        <v>0</v>
      </c>
      <c r="R1387" s="2" t="inlineStr"/>
    </row>
    <row r="1388" ht="15" customHeight="1">
      <c r="A1388" t="inlineStr">
        <is>
          <t>A 8066-2022</t>
        </is>
      </c>
      <c r="B1388" s="1" t="n">
        <v>44609</v>
      </c>
      <c r="C1388" s="1" t="n">
        <v>45795</v>
      </c>
      <c r="D1388" t="inlineStr">
        <is>
          <t>JÄMTLANDS LÄN</t>
        </is>
      </c>
      <c r="E1388" t="inlineStr">
        <is>
          <t>STRÖMSUND</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8239-2022</t>
        </is>
      </c>
      <c r="B1389" s="1" t="n">
        <v>44609</v>
      </c>
      <c r="C1389" s="1" t="n">
        <v>45795</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8421-2022</t>
        </is>
      </c>
      <c r="B1390" s="1" t="n">
        <v>44610</v>
      </c>
      <c r="C1390" s="1" t="n">
        <v>45795</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9370-2022</t>
        </is>
      </c>
      <c r="B1391" s="1" t="n">
        <v>44616</v>
      </c>
      <c r="C1391" s="1" t="n">
        <v>45795</v>
      </c>
      <c r="D1391" t="inlineStr">
        <is>
          <t>JÄMTLANDS LÄN</t>
        </is>
      </c>
      <c r="E1391" t="inlineStr">
        <is>
          <t>STRÖMSUND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9379-2022</t>
        </is>
      </c>
      <c r="B1392" s="1" t="n">
        <v>44616</v>
      </c>
      <c r="C1392" s="1" t="n">
        <v>45795</v>
      </c>
      <c r="D1392" t="inlineStr">
        <is>
          <t>JÄMTLANDS LÄN</t>
        </is>
      </c>
      <c r="E1392" t="inlineStr">
        <is>
          <t>STRÖMSUND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9934-2022</t>
        </is>
      </c>
      <c r="B1393" s="1" t="n">
        <v>44620</v>
      </c>
      <c r="C1393" s="1" t="n">
        <v>45795</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9957-2022</t>
        </is>
      </c>
      <c r="B1394" s="1" t="n">
        <v>44620</v>
      </c>
      <c r="C1394" s="1" t="n">
        <v>45795</v>
      </c>
      <c r="D1394" t="inlineStr">
        <is>
          <t>JÄMTLANDS LÄN</t>
        </is>
      </c>
      <c r="E1394" t="inlineStr">
        <is>
          <t>STRÖMSUND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10077-2022</t>
        </is>
      </c>
      <c r="B1395" s="1" t="n">
        <v>44621</v>
      </c>
      <c r="C1395" s="1" t="n">
        <v>45795</v>
      </c>
      <c r="D1395" t="inlineStr">
        <is>
          <t>JÄMTLANDS LÄN</t>
        </is>
      </c>
      <c r="E1395" t="inlineStr">
        <is>
          <t>STRÖMSUND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10144-2022</t>
        </is>
      </c>
      <c r="B1396" s="1" t="n">
        <v>44621</v>
      </c>
      <c r="C1396" s="1" t="n">
        <v>45795</v>
      </c>
      <c r="D1396" t="inlineStr">
        <is>
          <t>JÄMTLANDS LÄN</t>
        </is>
      </c>
      <c r="E1396" t="inlineStr">
        <is>
          <t>STRÖMSUND</t>
        </is>
      </c>
      <c r="F1396" t="inlineStr">
        <is>
          <t>SCA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10136-2022</t>
        </is>
      </c>
      <c r="B1397" s="1" t="n">
        <v>44621</v>
      </c>
      <c r="C1397" s="1" t="n">
        <v>45795</v>
      </c>
      <c r="D1397" t="inlineStr">
        <is>
          <t>JÄMTLANDS LÄN</t>
        </is>
      </c>
      <c r="E1397" t="inlineStr">
        <is>
          <t>STRÖMSUND</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10249-2022</t>
        </is>
      </c>
      <c r="B1398" s="1" t="n">
        <v>44622</v>
      </c>
      <c r="C1398" s="1" t="n">
        <v>45795</v>
      </c>
      <c r="D1398" t="inlineStr">
        <is>
          <t>JÄMTLANDS LÄN</t>
        </is>
      </c>
      <c r="E1398" t="inlineStr">
        <is>
          <t>STRÖMSUND</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10322-2022</t>
        </is>
      </c>
      <c r="B1399" s="1" t="n">
        <v>44622</v>
      </c>
      <c r="C1399" s="1" t="n">
        <v>45795</v>
      </c>
      <c r="D1399" t="inlineStr">
        <is>
          <t>JÄMTLANDS LÄN</t>
        </is>
      </c>
      <c r="E1399" t="inlineStr">
        <is>
          <t>STRÖMSUND</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10323-2022</t>
        </is>
      </c>
      <c r="B1400" s="1" t="n">
        <v>44622</v>
      </c>
      <c r="C1400" s="1" t="n">
        <v>45795</v>
      </c>
      <c r="D1400" t="inlineStr">
        <is>
          <t>JÄMTLANDS LÄN</t>
        </is>
      </c>
      <c r="E1400" t="inlineStr">
        <is>
          <t>STRÖMSUND</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10319-2022</t>
        </is>
      </c>
      <c r="B1401" s="1" t="n">
        <v>44622</v>
      </c>
      <c r="C1401" s="1" t="n">
        <v>45795</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10527-2022</t>
        </is>
      </c>
      <c r="B1402" s="1" t="n">
        <v>44623</v>
      </c>
      <c r="C1402" s="1" t="n">
        <v>45795</v>
      </c>
      <c r="D1402" t="inlineStr">
        <is>
          <t>JÄMTLANDS LÄN</t>
        </is>
      </c>
      <c r="E1402" t="inlineStr">
        <is>
          <t>STRÖMSUND</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10647-2022</t>
        </is>
      </c>
      <c r="B1403" s="1" t="n">
        <v>44624</v>
      </c>
      <c r="C1403" s="1" t="n">
        <v>45795</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10656-2022</t>
        </is>
      </c>
      <c r="B1404" s="1" t="n">
        <v>44624</v>
      </c>
      <c r="C1404" s="1" t="n">
        <v>45795</v>
      </c>
      <c r="D1404" t="inlineStr">
        <is>
          <t>JÄMTLANDS LÄN</t>
        </is>
      </c>
      <c r="E1404" t="inlineStr">
        <is>
          <t>STRÖMSUND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10698-2022</t>
        </is>
      </c>
      <c r="B1405" s="1" t="n">
        <v>44624</v>
      </c>
      <c r="C1405" s="1" t="n">
        <v>45795</v>
      </c>
      <c r="D1405" t="inlineStr">
        <is>
          <t>JÄMTLANDS LÄN</t>
        </is>
      </c>
      <c r="E1405" t="inlineStr">
        <is>
          <t>STRÖMSUND</t>
        </is>
      </c>
      <c r="F1405" t="inlineStr">
        <is>
          <t>SCA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10904-2022</t>
        </is>
      </c>
      <c r="B1406" s="1" t="n">
        <v>44627</v>
      </c>
      <c r="C1406" s="1" t="n">
        <v>45795</v>
      </c>
      <c r="D1406" t="inlineStr">
        <is>
          <t>JÄMTLANDS LÄN</t>
        </is>
      </c>
      <c r="E1406" t="inlineStr">
        <is>
          <t>STRÖMSUND</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11158-2022</t>
        </is>
      </c>
      <c r="B1407" s="1" t="n">
        <v>44629</v>
      </c>
      <c r="C1407" s="1" t="n">
        <v>45795</v>
      </c>
      <c r="D1407" t="inlineStr">
        <is>
          <t>JÄMTLANDS LÄN</t>
        </is>
      </c>
      <c r="E1407" t="inlineStr">
        <is>
          <t>STRÖMSUND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11578-2022</t>
        </is>
      </c>
      <c r="B1408" s="1" t="n">
        <v>44631</v>
      </c>
      <c r="C1408" s="1" t="n">
        <v>45795</v>
      </c>
      <c r="D1408" t="inlineStr">
        <is>
          <t>JÄMTLANDS LÄN</t>
        </is>
      </c>
      <c r="E1408" t="inlineStr">
        <is>
          <t>STRÖMSUND</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11856-2022</t>
        </is>
      </c>
      <c r="B1409" s="1" t="n">
        <v>44635</v>
      </c>
      <c r="C1409" s="1" t="n">
        <v>45795</v>
      </c>
      <c r="D1409" t="inlineStr">
        <is>
          <t>JÄMTLANDS LÄN</t>
        </is>
      </c>
      <c r="E1409" t="inlineStr">
        <is>
          <t>STRÖMSUND</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12018-2022</t>
        </is>
      </c>
      <c r="B1410" s="1" t="n">
        <v>44635</v>
      </c>
      <c r="C1410" s="1" t="n">
        <v>45795</v>
      </c>
      <c r="D1410" t="inlineStr">
        <is>
          <t>JÄMTLANDS LÄN</t>
        </is>
      </c>
      <c r="E1410" t="inlineStr">
        <is>
          <t>STRÖMSUND</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12198-2022</t>
        </is>
      </c>
      <c r="B1411" s="1" t="n">
        <v>44636</v>
      </c>
      <c r="C1411" s="1" t="n">
        <v>45795</v>
      </c>
      <c r="D1411" t="inlineStr">
        <is>
          <t>JÄMTLANDS LÄN</t>
        </is>
      </c>
      <c r="E1411" t="inlineStr">
        <is>
          <t>STRÖMSUND</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12405-2022</t>
        </is>
      </c>
      <c r="B1412" s="1" t="n">
        <v>44637</v>
      </c>
      <c r="C1412" s="1" t="n">
        <v>45795</v>
      </c>
      <c r="D1412" t="inlineStr">
        <is>
          <t>JÄMTLANDS LÄN</t>
        </is>
      </c>
      <c r="E1412" t="inlineStr">
        <is>
          <t>STRÖMSUND</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12404-2022</t>
        </is>
      </c>
      <c r="B1413" s="1" t="n">
        <v>44637</v>
      </c>
      <c r="C1413" s="1" t="n">
        <v>45795</v>
      </c>
      <c r="D1413" t="inlineStr">
        <is>
          <t>JÄMTLANDS LÄN</t>
        </is>
      </c>
      <c r="E1413" t="inlineStr">
        <is>
          <t>STRÖMSUND</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12762-2022</t>
        </is>
      </c>
      <c r="B1414" s="1" t="n">
        <v>44641</v>
      </c>
      <c r="C1414" s="1" t="n">
        <v>45795</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12822-2022</t>
        </is>
      </c>
      <c r="B1415" s="1" t="n">
        <v>44642</v>
      </c>
      <c r="C1415" s="1" t="n">
        <v>45795</v>
      </c>
      <c r="D1415" t="inlineStr">
        <is>
          <t>JÄMTLANDS LÄN</t>
        </is>
      </c>
      <c r="E1415" t="inlineStr">
        <is>
          <t>STRÖMSUND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13098-2022</t>
        </is>
      </c>
      <c r="B1416" s="1" t="n">
        <v>44643</v>
      </c>
      <c r="C1416" s="1" t="n">
        <v>45795</v>
      </c>
      <c r="D1416" t="inlineStr">
        <is>
          <t>JÄMTLANDS LÄN</t>
        </is>
      </c>
      <c r="E1416" t="inlineStr">
        <is>
          <t>STRÖMSUND</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13099-2022</t>
        </is>
      </c>
      <c r="B1417" s="1" t="n">
        <v>44643</v>
      </c>
      <c r="C1417" s="1" t="n">
        <v>45795</v>
      </c>
      <c r="D1417" t="inlineStr">
        <is>
          <t>JÄMTLANDS LÄN</t>
        </is>
      </c>
      <c r="E1417" t="inlineStr">
        <is>
          <t>STRÖMSUND</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13513-2022</t>
        </is>
      </c>
      <c r="B1418" s="1" t="n">
        <v>44648</v>
      </c>
      <c r="C1418" s="1" t="n">
        <v>45795</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14043-2022</t>
        </is>
      </c>
      <c r="B1419" s="1" t="n">
        <v>44650</v>
      </c>
      <c r="C1419" s="1" t="n">
        <v>45795</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14283-2022</t>
        </is>
      </c>
      <c r="B1420" s="1" t="n">
        <v>44651</v>
      </c>
      <c r="C1420" s="1" t="n">
        <v>45795</v>
      </c>
      <c r="D1420" t="inlineStr">
        <is>
          <t>JÄMTLANDS LÄN</t>
        </is>
      </c>
      <c r="E1420" t="inlineStr">
        <is>
          <t>STRÖMSUND</t>
        </is>
      </c>
      <c r="F1420" t="inlineStr">
        <is>
          <t>SCA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14288-2022</t>
        </is>
      </c>
      <c r="B1421" s="1" t="n">
        <v>44651</v>
      </c>
      <c r="C1421" s="1" t="n">
        <v>45795</v>
      </c>
      <c r="D1421" t="inlineStr">
        <is>
          <t>JÄMTLANDS LÄN</t>
        </is>
      </c>
      <c r="E1421" t="inlineStr">
        <is>
          <t>STRÖMSUND</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14292-2022</t>
        </is>
      </c>
      <c r="B1422" s="1" t="n">
        <v>44651</v>
      </c>
      <c r="C1422" s="1" t="n">
        <v>45795</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14294-2022</t>
        </is>
      </c>
      <c r="B1423" s="1" t="n">
        <v>44652</v>
      </c>
      <c r="C1423" s="1" t="n">
        <v>45795</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14281-2022</t>
        </is>
      </c>
      <c r="B1424" s="1" t="n">
        <v>44651</v>
      </c>
      <c r="C1424" s="1" t="n">
        <v>45795</v>
      </c>
      <c r="D1424" t="inlineStr">
        <is>
          <t>JÄMTLANDS LÄN</t>
        </is>
      </c>
      <c r="E1424" t="inlineStr">
        <is>
          <t>STRÖMSUND</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14289-2022</t>
        </is>
      </c>
      <c r="B1425" s="1" t="n">
        <v>44651</v>
      </c>
      <c r="C1425" s="1" t="n">
        <v>45795</v>
      </c>
      <c r="D1425" t="inlineStr">
        <is>
          <t>JÄMTLANDS LÄN</t>
        </is>
      </c>
      <c r="E1425" t="inlineStr">
        <is>
          <t>STRÖMSUND</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14441-2022</t>
        </is>
      </c>
      <c r="B1426" s="1" t="n">
        <v>44652</v>
      </c>
      <c r="C1426" s="1" t="n">
        <v>45795</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14443-2022</t>
        </is>
      </c>
      <c r="B1427" s="1" t="n">
        <v>44653</v>
      </c>
      <c r="C1427" s="1" t="n">
        <v>45795</v>
      </c>
      <c r="D1427" t="inlineStr">
        <is>
          <t>JÄMTLANDS LÄN</t>
        </is>
      </c>
      <c r="E1427" t="inlineStr">
        <is>
          <t>STRÖMSUND</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14445-2022</t>
        </is>
      </c>
      <c r="B1428" s="1" t="n">
        <v>44653</v>
      </c>
      <c r="C1428" s="1" t="n">
        <v>45795</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14442-2022</t>
        </is>
      </c>
      <c r="B1429" s="1" t="n">
        <v>44653</v>
      </c>
      <c r="C1429" s="1" t="n">
        <v>45795</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14460-2022</t>
        </is>
      </c>
      <c r="B1430" s="1" t="n">
        <v>44654</v>
      </c>
      <c r="C1430" s="1" t="n">
        <v>45795</v>
      </c>
      <c r="D1430" t="inlineStr">
        <is>
          <t>JÄMTLANDS LÄN</t>
        </is>
      </c>
      <c r="E1430" t="inlineStr">
        <is>
          <t>STRÖMSUND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14550-2022</t>
        </is>
      </c>
      <c r="B1431" s="1" t="n">
        <v>44655</v>
      </c>
      <c r="C1431" s="1" t="n">
        <v>45795</v>
      </c>
      <c r="D1431" t="inlineStr">
        <is>
          <t>JÄMTLANDS LÄN</t>
        </is>
      </c>
      <c r="E1431" t="inlineStr">
        <is>
          <t>STRÖMSUND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14557-2022</t>
        </is>
      </c>
      <c r="B1432" s="1" t="n">
        <v>44655</v>
      </c>
      <c r="C1432" s="1" t="n">
        <v>45795</v>
      </c>
      <c r="D1432" t="inlineStr">
        <is>
          <t>JÄMTLANDS LÄN</t>
        </is>
      </c>
      <c r="E1432" t="inlineStr">
        <is>
          <t>STRÖMSUND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14703-2022</t>
        </is>
      </c>
      <c r="B1433" s="1" t="n">
        <v>44655</v>
      </c>
      <c r="C1433" s="1" t="n">
        <v>45795</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14894-2022</t>
        </is>
      </c>
      <c r="B1434" s="1" t="n">
        <v>44657</v>
      </c>
      <c r="C1434" s="1" t="n">
        <v>45795</v>
      </c>
      <c r="D1434" t="inlineStr">
        <is>
          <t>JÄMTLANDS LÄN</t>
        </is>
      </c>
      <c r="E1434" t="inlineStr">
        <is>
          <t>STRÖMSUND</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15238-2022</t>
        </is>
      </c>
      <c r="B1435" s="1" t="n">
        <v>44659</v>
      </c>
      <c r="C1435" s="1" t="n">
        <v>45795</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15141-2022</t>
        </is>
      </c>
      <c r="B1436" s="1" t="n">
        <v>44658</v>
      </c>
      <c r="C1436" s="1" t="n">
        <v>45795</v>
      </c>
      <c r="D1436" t="inlineStr">
        <is>
          <t>JÄMTLANDS LÄN</t>
        </is>
      </c>
      <c r="E1436" t="inlineStr">
        <is>
          <t>STRÖMSUND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15239-2022</t>
        </is>
      </c>
      <c r="B1437" s="1" t="n">
        <v>44659</v>
      </c>
      <c r="C1437" s="1" t="n">
        <v>45795</v>
      </c>
      <c r="D1437" t="inlineStr">
        <is>
          <t>JÄMTLANDS LÄN</t>
        </is>
      </c>
      <c r="E1437" t="inlineStr">
        <is>
          <t>STRÖMSUND</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15259-2022</t>
        </is>
      </c>
      <c r="B1438" s="1" t="n">
        <v>44659</v>
      </c>
      <c r="C1438" s="1" t="n">
        <v>45795</v>
      </c>
      <c r="D1438" t="inlineStr">
        <is>
          <t>JÄMTLANDS LÄN</t>
        </is>
      </c>
      <c r="E1438" t="inlineStr">
        <is>
          <t>STRÖMSUND</t>
        </is>
      </c>
      <c r="G1438" t="n">
        <v>52.4</v>
      </c>
      <c r="H1438" t="n">
        <v>0</v>
      </c>
      <c r="I1438" t="n">
        <v>0</v>
      </c>
      <c r="J1438" t="n">
        <v>0</v>
      </c>
      <c r="K1438" t="n">
        <v>0</v>
      </c>
      <c r="L1438" t="n">
        <v>0</v>
      </c>
      <c r="M1438" t="n">
        <v>0</v>
      </c>
      <c r="N1438" t="n">
        <v>0</v>
      </c>
      <c r="O1438" t="n">
        <v>0</v>
      </c>
      <c r="P1438" t="n">
        <v>0</v>
      </c>
      <c r="Q1438" t="n">
        <v>0</v>
      </c>
      <c r="R1438" s="2" t="inlineStr"/>
    </row>
    <row r="1439" ht="15" customHeight="1">
      <c r="A1439" t="inlineStr">
        <is>
          <t>A 15546-2022</t>
        </is>
      </c>
      <c r="B1439" s="1" t="n">
        <v>44662</v>
      </c>
      <c r="C1439" s="1" t="n">
        <v>45795</v>
      </c>
      <c r="D1439" t="inlineStr">
        <is>
          <t>JÄMTLANDS LÄN</t>
        </is>
      </c>
      <c r="E1439" t="inlineStr">
        <is>
          <t>STRÖMSUND</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15522-2022</t>
        </is>
      </c>
      <c r="B1440" s="1" t="n">
        <v>44662</v>
      </c>
      <c r="C1440" s="1" t="n">
        <v>45795</v>
      </c>
      <c r="D1440" t="inlineStr">
        <is>
          <t>JÄMTLANDS LÄN</t>
        </is>
      </c>
      <c r="E1440" t="inlineStr">
        <is>
          <t>STRÖMSUND</t>
        </is>
      </c>
      <c r="G1440" t="n">
        <v>41.8</v>
      </c>
      <c r="H1440" t="n">
        <v>0</v>
      </c>
      <c r="I1440" t="n">
        <v>0</v>
      </c>
      <c r="J1440" t="n">
        <v>0</v>
      </c>
      <c r="K1440" t="n">
        <v>0</v>
      </c>
      <c r="L1440" t="n">
        <v>0</v>
      </c>
      <c r="M1440" t="n">
        <v>0</v>
      </c>
      <c r="N1440" t="n">
        <v>0</v>
      </c>
      <c r="O1440" t="n">
        <v>0</v>
      </c>
      <c r="P1440" t="n">
        <v>0</v>
      </c>
      <c r="Q1440" t="n">
        <v>0</v>
      </c>
      <c r="R1440" s="2" t="inlineStr"/>
    </row>
    <row r="1441" ht="15" customHeight="1">
      <c r="A1441" t="inlineStr">
        <is>
          <t>A 15407-2022</t>
        </is>
      </c>
      <c r="B1441" s="1" t="n">
        <v>44662</v>
      </c>
      <c r="C1441" s="1" t="n">
        <v>45795</v>
      </c>
      <c r="D1441" t="inlineStr">
        <is>
          <t>JÄMTLANDS LÄN</t>
        </is>
      </c>
      <c r="E1441" t="inlineStr">
        <is>
          <t>STRÖMSUND</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15668-2022</t>
        </is>
      </c>
      <c r="B1442" s="1" t="n">
        <v>44663</v>
      </c>
      <c r="C1442" s="1" t="n">
        <v>45795</v>
      </c>
      <c r="D1442" t="inlineStr">
        <is>
          <t>JÄMTLANDS LÄN</t>
        </is>
      </c>
      <c r="E1442" t="inlineStr">
        <is>
          <t>STRÖMSUND</t>
        </is>
      </c>
      <c r="F1442" t="inlineStr">
        <is>
          <t>SCA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15865-2022</t>
        </is>
      </c>
      <c r="B1443" s="1" t="n">
        <v>44664</v>
      </c>
      <c r="C1443" s="1" t="n">
        <v>45795</v>
      </c>
      <c r="D1443" t="inlineStr">
        <is>
          <t>JÄMTLANDS LÄN</t>
        </is>
      </c>
      <c r="E1443" t="inlineStr">
        <is>
          <t>STRÖMSUND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15971-2022</t>
        </is>
      </c>
      <c r="B1444" s="1" t="n">
        <v>44664</v>
      </c>
      <c r="C1444" s="1" t="n">
        <v>45795</v>
      </c>
      <c r="D1444" t="inlineStr">
        <is>
          <t>JÄMTLANDS LÄN</t>
        </is>
      </c>
      <c r="E1444" t="inlineStr">
        <is>
          <t>STRÖMSUND</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16311-2022</t>
        </is>
      </c>
      <c r="B1445" s="1" t="n">
        <v>44670</v>
      </c>
      <c r="C1445" s="1" t="n">
        <v>45795</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16317-2022</t>
        </is>
      </c>
      <c r="B1446" s="1" t="n">
        <v>44670</v>
      </c>
      <c r="C1446" s="1" t="n">
        <v>45795</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16359-2022</t>
        </is>
      </c>
      <c r="B1447" s="1" t="n">
        <v>44671</v>
      </c>
      <c r="C1447" s="1" t="n">
        <v>45795</v>
      </c>
      <c r="D1447" t="inlineStr">
        <is>
          <t>JÄMTLANDS LÄN</t>
        </is>
      </c>
      <c r="E1447" t="inlineStr">
        <is>
          <t>STRÖMSUND</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16358-2022</t>
        </is>
      </c>
      <c r="B1448" s="1" t="n">
        <v>44671</v>
      </c>
      <c r="C1448" s="1" t="n">
        <v>45795</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16518-2022</t>
        </is>
      </c>
      <c r="B1449" s="1" t="n">
        <v>44672</v>
      </c>
      <c r="C1449" s="1" t="n">
        <v>45795</v>
      </c>
      <c r="D1449" t="inlineStr">
        <is>
          <t>JÄMTLANDS LÄN</t>
        </is>
      </c>
      <c r="E1449" t="inlineStr">
        <is>
          <t>STRÖMSUND</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16516-2022</t>
        </is>
      </c>
      <c r="B1450" s="1" t="n">
        <v>44672</v>
      </c>
      <c r="C1450" s="1" t="n">
        <v>45795</v>
      </c>
      <c r="D1450" t="inlineStr">
        <is>
          <t>JÄMTLANDS LÄN</t>
        </is>
      </c>
      <c r="E1450" t="inlineStr">
        <is>
          <t>STRÖMSUND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16848-2022</t>
        </is>
      </c>
      <c r="B1451" s="1" t="n">
        <v>44674</v>
      </c>
      <c r="C1451" s="1" t="n">
        <v>45795</v>
      </c>
      <c r="D1451" t="inlineStr">
        <is>
          <t>JÄMTLANDS LÄN</t>
        </is>
      </c>
      <c r="E1451" t="inlineStr">
        <is>
          <t>STRÖMSUND</t>
        </is>
      </c>
      <c r="F1451" t="inlineStr">
        <is>
          <t>SCA</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21844-2022</t>
        </is>
      </c>
      <c r="B1452" s="1" t="n">
        <v>44678</v>
      </c>
      <c r="C1452" s="1" t="n">
        <v>45795</v>
      </c>
      <c r="D1452" t="inlineStr">
        <is>
          <t>JÄMTLANDS LÄN</t>
        </is>
      </c>
      <c r="E1452" t="inlineStr">
        <is>
          <t>STRÖMSUND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17753-2022</t>
        </is>
      </c>
      <c r="B1453" s="1" t="n">
        <v>44681</v>
      </c>
      <c r="C1453" s="1" t="n">
        <v>45795</v>
      </c>
      <c r="D1453" t="inlineStr">
        <is>
          <t>JÄMTLANDS LÄN</t>
        </is>
      </c>
      <c r="E1453" t="inlineStr">
        <is>
          <t>STRÖMSUND</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17754-2022</t>
        </is>
      </c>
      <c r="B1454" s="1" t="n">
        <v>44680</v>
      </c>
      <c r="C1454" s="1" t="n">
        <v>45795</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17752-2022</t>
        </is>
      </c>
      <c r="B1455" s="1" t="n">
        <v>44680</v>
      </c>
      <c r="C1455" s="1" t="n">
        <v>45795</v>
      </c>
      <c r="D1455" t="inlineStr">
        <is>
          <t>JÄMTLANDS LÄN</t>
        </is>
      </c>
      <c r="E1455" t="inlineStr">
        <is>
          <t>STRÖMSUND</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18205-2022</t>
        </is>
      </c>
      <c r="B1456" s="1" t="n">
        <v>44684</v>
      </c>
      <c r="C1456" s="1" t="n">
        <v>45795</v>
      </c>
      <c r="D1456" t="inlineStr">
        <is>
          <t>JÄMTLANDS LÄN</t>
        </is>
      </c>
      <c r="E1456" t="inlineStr">
        <is>
          <t>STRÖMSUND</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18553-2022</t>
        </is>
      </c>
      <c r="B1457" s="1" t="n">
        <v>44687</v>
      </c>
      <c r="C1457" s="1" t="n">
        <v>45795</v>
      </c>
      <c r="D1457" t="inlineStr">
        <is>
          <t>JÄMTLANDS LÄN</t>
        </is>
      </c>
      <c r="E1457" t="inlineStr">
        <is>
          <t>STRÖMSUND</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18573-2022</t>
        </is>
      </c>
      <c r="B1458" s="1" t="n">
        <v>44687</v>
      </c>
      <c r="C1458" s="1" t="n">
        <v>45795</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18572-2022</t>
        </is>
      </c>
      <c r="B1459" s="1" t="n">
        <v>44686</v>
      </c>
      <c r="C1459" s="1" t="n">
        <v>45795</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18750-2022</t>
        </is>
      </c>
      <c r="B1460" s="1" t="n">
        <v>44688</v>
      </c>
      <c r="C1460" s="1" t="n">
        <v>45795</v>
      </c>
      <c r="D1460" t="inlineStr">
        <is>
          <t>JÄMTLANDS LÄN</t>
        </is>
      </c>
      <c r="E1460" t="inlineStr">
        <is>
          <t>STRÖMSUND</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18749-2022</t>
        </is>
      </c>
      <c r="B1461" s="1" t="n">
        <v>44688</v>
      </c>
      <c r="C1461" s="1" t="n">
        <v>45795</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18751-2022</t>
        </is>
      </c>
      <c r="B1462" s="1" t="n">
        <v>44688</v>
      </c>
      <c r="C1462" s="1" t="n">
        <v>45795</v>
      </c>
      <c r="D1462" t="inlineStr">
        <is>
          <t>JÄMTLANDS LÄN</t>
        </is>
      </c>
      <c r="E1462" t="inlineStr">
        <is>
          <t>STRÖMSUND</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18994-2022</t>
        </is>
      </c>
      <c r="B1463" s="1" t="n">
        <v>44691</v>
      </c>
      <c r="C1463" s="1" t="n">
        <v>45795</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19209-2022</t>
        </is>
      </c>
      <c r="B1464" s="1" t="n">
        <v>44691</v>
      </c>
      <c r="C1464" s="1" t="n">
        <v>45795</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19602-2022</t>
        </is>
      </c>
      <c r="B1465" s="1" t="n">
        <v>44694</v>
      </c>
      <c r="C1465" s="1" t="n">
        <v>45795</v>
      </c>
      <c r="D1465" t="inlineStr">
        <is>
          <t>JÄMTLANDS LÄN</t>
        </is>
      </c>
      <c r="E1465" t="inlineStr">
        <is>
          <t>STRÖMSUND</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20058-2022</t>
        </is>
      </c>
      <c r="B1466" s="1" t="n">
        <v>44698</v>
      </c>
      <c r="C1466" s="1" t="n">
        <v>45795</v>
      </c>
      <c r="D1466" t="inlineStr">
        <is>
          <t>JÄMTLANDS LÄN</t>
        </is>
      </c>
      <c r="E1466" t="inlineStr">
        <is>
          <t>STRÖMSUND</t>
        </is>
      </c>
      <c r="G1466" t="n">
        <v>29.5</v>
      </c>
      <c r="H1466" t="n">
        <v>0</v>
      </c>
      <c r="I1466" t="n">
        <v>0</v>
      </c>
      <c r="J1466" t="n">
        <v>0</v>
      </c>
      <c r="K1466" t="n">
        <v>0</v>
      </c>
      <c r="L1466" t="n">
        <v>0</v>
      </c>
      <c r="M1466" t="n">
        <v>0</v>
      </c>
      <c r="N1466" t="n">
        <v>0</v>
      </c>
      <c r="O1466" t="n">
        <v>0</v>
      </c>
      <c r="P1466" t="n">
        <v>0</v>
      </c>
      <c r="Q1466" t="n">
        <v>0</v>
      </c>
      <c r="R1466" s="2" t="inlineStr"/>
    </row>
    <row r="1467" ht="15" customHeight="1">
      <c r="A1467" t="inlineStr">
        <is>
          <t>A 20072-2022</t>
        </is>
      </c>
      <c r="B1467" s="1" t="n">
        <v>44697</v>
      </c>
      <c r="C1467" s="1" t="n">
        <v>45795</v>
      </c>
      <c r="D1467" t="inlineStr">
        <is>
          <t>JÄMTLANDS LÄN</t>
        </is>
      </c>
      <c r="E1467" t="inlineStr">
        <is>
          <t>STRÖMSUND</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20073-2022</t>
        </is>
      </c>
      <c r="B1468" s="1" t="n">
        <v>44697</v>
      </c>
      <c r="C1468" s="1" t="n">
        <v>45795</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20071-2022</t>
        </is>
      </c>
      <c r="B1469" s="1" t="n">
        <v>44698</v>
      </c>
      <c r="C1469" s="1" t="n">
        <v>45795</v>
      </c>
      <c r="D1469" t="inlineStr">
        <is>
          <t>JÄMTLANDS LÄN</t>
        </is>
      </c>
      <c r="E1469" t="inlineStr">
        <is>
          <t>STRÖMSUND</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19964-2022</t>
        </is>
      </c>
      <c r="B1470" s="1" t="n">
        <v>44697</v>
      </c>
      <c r="C1470" s="1" t="n">
        <v>45795</v>
      </c>
      <c r="D1470" t="inlineStr">
        <is>
          <t>JÄMTLANDS LÄN</t>
        </is>
      </c>
      <c r="E1470" t="inlineStr">
        <is>
          <t>STRÖMSUND</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20266-2022</t>
        </is>
      </c>
      <c r="B1471" s="1" t="n">
        <v>44698</v>
      </c>
      <c r="C1471" s="1" t="n">
        <v>45795</v>
      </c>
      <c r="D1471" t="inlineStr">
        <is>
          <t>JÄMTLANDS LÄN</t>
        </is>
      </c>
      <c r="E1471" t="inlineStr">
        <is>
          <t>STRÖMSUND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20334-2022</t>
        </is>
      </c>
      <c r="B1472" s="1" t="n">
        <v>44699</v>
      </c>
      <c r="C1472" s="1" t="n">
        <v>45795</v>
      </c>
      <c r="D1472" t="inlineStr">
        <is>
          <t>JÄMTLANDS LÄN</t>
        </is>
      </c>
      <c r="E1472" t="inlineStr">
        <is>
          <t>STRÖMSUND</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20339-2022</t>
        </is>
      </c>
      <c r="B1473" s="1" t="n">
        <v>44699</v>
      </c>
      <c r="C1473" s="1" t="n">
        <v>45795</v>
      </c>
      <c r="D1473" t="inlineStr">
        <is>
          <t>JÄMTLANDS LÄN</t>
        </is>
      </c>
      <c r="E1473" t="inlineStr">
        <is>
          <t>STRÖMSUND</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20432-2022</t>
        </is>
      </c>
      <c r="B1474" s="1" t="n">
        <v>44699</v>
      </c>
      <c r="C1474" s="1" t="n">
        <v>45795</v>
      </c>
      <c r="D1474" t="inlineStr">
        <is>
          <t>JÄMTLANDS LÄN</t>
        </is>
      </c>
      <c r="E1474" t="inlineStr">
        <is>
          <t>STRÖMSUND</t>
        </is>
      </c>
      <c r="F1474" t="inlineStr">
        <is>
          <t>SCA</t>
        </is>
      </c>
      <c r="G1474" t="n">
        <v>99.59999999999999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20331-2022</t>
        </is>
      </c>
      <c r="B1475" s="1" t="n">
        <v>44699</v>
      </c>
      <c r="C1475" s="1" t="n">
        <v>45795</v>
      </c>
      <c r="D1475" t="inlineStr">
        <is>
          <t>JÄMTLANDS LÄN</t>
        </is>
      </c>
      <c r="E1475" t="inlineStr">
        <is>
          <t>STRÖMSUND</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20707-2022</t>
        </is>
      </c>
      <c r="B1476" s="1" t="n">
        <v>44701</v>
      </c>
      <c r="C1476" s="1" t="n">
        <v>45795</v>
      </c>
      <c r="D1476" t="inlineStr">
        <is>
          <t>JÄMTLANDS LÄN</t>
        </is>
      </c>
      <c r="E1476" t="inlineStr">
        <is>
          <t>STRÖMSUND</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20706-2022</t>
        </is>
      </c>
      <c r="B1477" s="1" t="n">
        <v>44701</v>
      </c>
      <c r="C1477" s="1" t="n">
        <v>45795</v>
      </c>
      <c r="D1477" t="inlineStr">
        <is>
          <t>JÄMTLANDS LÄN</t>
        </is>
      </c>
      <c r="E1477" t="inlineStr">
        <is>
          <t>STRÖMSUND</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20708-2022</t>
        </is>
      </c>
      <c r="B1478" s="1" t="n">
        <v>44700</v>
      </c>
      <c r="C1478" s="1" t="n">
        <v>45795</v>
      </c>
      <c r="D1478" t="inlineStr">
        <is>
          <t>JÄMTLANDS LÄN</t>
        </is>
      </c>
      <c r="E1478" t="inlineStr">
        <is>
          <t>STRÖMSUND</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20865-2022</t>
        </is>
      </c>
      <c r="B1479" s="1" t="n">
        <v>44701</v>
      </c>
      <c r="C1479" s="1" t="n">
        <v>45795</v>
      </c>
      <c r="D1479" t="inlineStr">
        <is>
          <t>JÄMTLANDS LÄN</t>
        </is>
      </c>
      <c r="E1479" t="inlineStr">
        <is>
          <t>STRÖMSUND</t>
        </is>
      </c>
      <c r="F1479" t="inlineStr">
        <is>
          <t>Holmen skog AB</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20965-2022</t>
        </is>
      </c>
      <c r="B1480" s="1" t="n">
        <v>44701</v>
      </c>
      <c r="C1480" s="1" t="n">
        <v>45795</v>
      </c>
      <c r="D1480" t="inlineStr">
        <is>
          <t>JÄMTLANDS LÄN</t>
        </is>
      </c>
      <c r="E1480" t="inlineStr">
        <is>
          <t>STRÖMSUND</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20966-2022</t>
        </is>
      </c>
      <c r="B1481" s="1" t="n">
        <v>44702</v>
      </c>
      <c r="C1481" s="1" t="n">
        <v>45795</v>
      </c>
      <c r="D1481" t="inlineStr">
        <is>
          <t>JÄMTLANDS LÄN</t>
        </is>
      </c>
      <c r="E1481" t="inlineStr">
        <is>
          <t>STRÖMSUND</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21192-2022</t>
        </is>
      </c>
      <c r="B1482" s="1" t="n">
        <v>44705</v>
      </c>
      <c r="C1482" s="1" t="n">
        <v>45795</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21399-2022</t>
        </is>
      </c>
      <c r="B1483" s="1" t="n">
        <v>44706</v>
      </c>
      <c r="C1483" s="1" t="n">
        <v>45795</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21410-2022</t>
        </is>
      </c>
      <c r="B1484" s="1" t="n">
        <v>44706</v>
      </c>
      <c r="C1484" s="1" t="n">
        <v>45795</v>
      </c>
      <c r="D1484" t="inlineStr">
        <is>
          <t>JÄMTLANDS LÄN</t>
        </is>
      </c>
      <c r="E1484" t="inlineStr">
        <is>
          <t>STRÖMSUND</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21646-2022</t>
        </is>
      </c>
      <c r="B1485" s="1" t="n">
        <v>44707</v>
      </c>
      <c r="C1485" s="1" t="n">
        <v>45795</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21647-2022</t>
        </is>
      </c>
      <c r="B1486" s="1" t="n">
        <v>44707</v>
      </c>
      <c r="C1486" s="1" t="n">
        <v>45795</v>
      </c>
      <c r="D1486" t="inlineStr">
        <is>
          <t>JÄMTLANDS LÄN</t>
        </is>
      </c>
      <c r="E1486" t="inlineStr">
        <is>
          <t>STRÖMSUND</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21650-2022</t>
        </is>
      </c>
      <c r="B1487" s="1" t="n">
        <v>44706</v>
      </c>
      <c r="C1487" s="1" t="n">
        <v>45795</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21649-2022</t>
        </is>
      </c>
      <c r="B1488" s="1" t="n">
        <v>44707</v>
      </c>
      <c r="C1488" s="1" t="n">
        <v>45795</v>
      </c>
      <c r="D1488" t="inlineStr">
        <is>
          <t>JÄMTLANDS LÄN</t>
        </is>
      </c>
      <c r="E1488" t="inlineStr">
        <is>
          <t>STRÖMSUND</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21702-2022</t>
        </is>
      </c>
      <c r="B1489" s="1" t="n">
        <v>44708</v>
      </c>
      <c r="C1489" s="1" t="n">
        <v>45795</v>
      </c>
      <c r="D1489" t="inlineStr">
        <is>
          <t>JÄMTLANDS LÄN</t>
        </is>
      </c>
      <c r="E1489" t="inlineStr">
        <is>
          <t>STRÖMSUND</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21700-2022</t>
        </is>
      </c>
      <c r="B1490" s="1" t="n">
        <v>44708</v>
      </c>
      <c r="C1490" s="1" t="n">
        <v>45795</v>
      </c>
      <c r="D1490" t="inlineStr">
        <is>
          <t>JÄMTLANDS LÄN</t>
        </is>
      </c>
      <c r="E1490" t="inlineStr">
        <is>
          <t>STRÖMSUND</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21701-2022</t>
        </is>
      </c>
      <c r="B1491" s="1" t="n">
        <v>44708</v>
      </c>
      <c r="C1491" s="1" t="n">
        <v>45795</v>
      </c>
      <c r="D1491" t="inlineStr">
        <is>
          <t>JÄMTLANDS LÄN</t>
        </is>
      </c>
      <c r="E1491" t="inlineStr">
        <is>
          <t>STRÖMSUND</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21771-2022</t>
        </is>
      </c>
      <c r="B1492" s="1" t="n">
        <v>44708</v>
      </c>
      <c r="C1492" s="1" t="n">
        <v>45795</v>
      </c>
      <c r="D1492" t="inlineStr">
        <is>
          <t>JÄMTLANDS LÄN</t>
        </is>
      </c>
      <c r="E1492" t="inlineStr">
        <is>
          <t>STRÖMSUND</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21812-2022</t>
        </is>
      </c>
      <c r="B1493" s="1" t="n">
        <v>44708</v>
      </c>
      <c r="C1493" s="1" t="n">
        <v>45795</v>
      </c>
      <c r="D1493" t="inlineStr">
        <is>
          <t>JÄMTLANDS LÄN</t>
        </is>
      </c>
      <c r="E1493" t="inlineStr">
        <is>
          <t>STRÖMSUND</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22026-2022</t>
        </is>
      </c>
      <c r="B1494" s="1" t="n">
        <v>44711</v>
      </c>
      <c r="C1494" s="1" t="n">
        <v>45795</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22096-2022</t>
        </is>
      </c>
      <c r="B1495" s="1" t="n">
        <v>44712</v>
      </c>
      <c r="C1495" s="1" t="n">
        <v>45795</v>
      </c>
      <c r="D1495" t="inlineStr">
        <is>
          <t>JÄMTLANDS LÄN</t>
        </is>
      </c>
      <c r="E1495" t="inlineStr">
        <is>
          <t>STRÖMSUND</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22338-2022</t>
        </is>
      </c>
      <c r="B1496" s="1" t="n">
        <v>44712</v>
      </c>
      <c r="C1496" s="1" t="n">
        <v>45795</v>
      </c>
      <c r="D1496" t="inlineStr">
        <is>
          <t>JÄMTLANDS LÄN</t>
        </is>
      </c>
      <c r="E1496" t="inlineStr">
        <is>
          <t>STRÖMSUND</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22337-2022</t>
        </is>
      </c>
      <c r="B1497" s="1" t="n">
        <v>44713</v>
      </c>
      <c r="C1497" s="1" t="n">
        <v>45795</v>
      </c>
      <c r="D1497" t="inlineStr">
        <is>
          <t>JÄMTLANDS LÄN</t>
        </is>
      </c>
      <c r="E1497" t="inlineStr">
        <is>
          <t>STRÖMSUND</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22560-2022</t>
        </is>
      </c>
      <c r="B1498" s="1" t="n">
        <v>44714</v>
      </c>
      <c r="C1498" s="1" t="n">
        <v>45795</v>
      </c>
      <c r="D1498" t="inlineStr">
        <is>
          <t>JÄMTLANDS LÄN</t>
        </is>
      </c>
      <c r="E1498" t="inlineStr">
        <is>
          <t>STRÖMSUND</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22564-2022</t>
        </is>
      </c>
      <c r="B1499" s="1" t="n">
        <v>44713</v>
      </c>
      <c r="C1499" s="1" t="n">
        <v>45795</v>
      </c>
      <c r="D1499" t="inlineStr">
        <is>
          <t>JÄMTLANDS LÄN</t>
        </is>
      </c>
      <c r="E1499" t="inlineStr">
        <is>
          <t>STRÖMSUND</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22558-2022</t>
        </is>
      </c>
      <c r="B1500" s="1" t="n">
        <v>44713</v>
      </c>
      <c r="C1500" s="1" t="n">
        <v>45795</v>
      </c>
      <c r="D1500" t="inlineStr">
        <is>
          <t>JÄMTLANDS LÄN</t>
        </is>
      </c>
      <c r="E1500" t="inlineStr">
        <is>
          <t>STRÖMSUND</t>
        </is>
      </c>
      <c r="F1500" t="inlineStr">
        <is>
          <t>SCA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22561-2022</t>
        </is>
      </c>
      <c r="B1501" s="1" t="n">
        <v>44714</v>
      </c>
      <c r="C1501" s="1" t="n">
        <v>45795</v>
      </c>
      <c r="D1501" t="inlineStr">
        <is>
          <t>JÄMTLANDS LÄN</t>
        </is>
      </c>
      <c r="E1501" t="inlineStr">
        <is>
          <t>STRÖMSUND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22559-2022</t>
        </is>
      </c>
      <c r="B1502" s="1" t="n">
        <v>44714</v>
      </c>
      <c r="C1502" s="1" t="n">
        <v>45795</v>
      </c>
      <c r="D1502" t="inlineStr">
        <is>
          <t>JÄMTLANDS LÄN</t>
        </is>
      </c>
      <c r="E1502" t="inlineStr">
        <is>
          <t>STRÖMSUND</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22568-2022</t>
        </is>
      </c>
      <c r="B1503" s="1" t="n">
        <v>44714</v>
      </c>
      <c r="C1503" s="1" t="n">
        <v>45795</v>
      </c>
      <c r="D1503" t="inlineStr">
        <is>
          <t>JÄMTLANDS LÄN</t>
        </is>
      </c>
      <c r="E1503" t="inlineStr">
        <is>
          <t>STRÖMSUND</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22659-2022</t>
        </is>
      </c>
      <c r="B1504" s="1" t="n">
        <v>44714</v>
      </c>
      <c r="C1504" s="1" t="n">
        <v>45795</v>
      </c>
      <c r="D1504" t="inlineStr">
        <is>
          <t>JÄMTLANDS LÄN</t>
        </is>
      </c>
      <c r="E1504" t="inlineStr">
        <is>
          <t>STRÖMSUND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22616-2022</t>
        </is>
      </c>
      <c r="B1505" s="1" t="n">
        <v>44714</v>
      </c>
      <c r="C1505" s="1" t="n">
        <v>45795</v>
      </c>
      <c r="D1505" t="inlineStr">
        <is>
          <t>JÄMTLANDS LÄN</t>
        </is>
      </c>
      <c r="E1505" t="inlineStr">
        <is>
          <t>STRÖMSUND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22966-2022</t>
        </is>
      </c>
      <c r="B1506" s="1" t="n">
        <v>44716</v>
      </c>
      <c r="C1506" s="1" t="n">
        <v>45795</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22814-2022</t>
        </is>
      </c>
      <c r="B1507" s="1" t="n">
        <v>44715</v>
      </c>
      <c r="C1507" s="1" t="n">
        <v>45795</v>
      </c>
      <c r="D1507" t="inlineStr">
        <is>
          <t>JÄMTLANDS LÄN</t>
        </is>
      </c>
      <c r="E1507" t="inlineStr">
        <is>
          <t>STRÖMSUND</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22960-2022</t>
        </is>
      </c>
      <c r="B1508" s="1" t="n">
        <v>44716</v>
      </c>
      <c r="C1508" s="1" t="n">
        <v>45795</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22961-2022</t>
        </is>
      </c>
      <c r="B1509" s="1" t="n">
        <v>44715</v>
      </c>
      <c r="C1509" s="1" t="n">
        <v>45795</v>
      </c>
      <c r="D1509" t="inlineStr">
        <is>
          <t>JÄMTLANDS LÄN</t>
        </is>
      </c>
      <c r="E1509" t="inlineStr">
        <is>
          <t>STRÖMSUND</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23128-2022</t>
        </is>
      </c>
      <c r="B1510" s="1" t="n">
        <v>44719</v>
      </c>
      <c r="C1510" s="1" t="n">
        <v>45795</v>
      </c>
      <c r="D1510" t="inlineStr">
        <is>
          <t>JÄMTLANDS LÄN</t>
        </is>
      </c>
      <c r="E1510" t="inlineStr">
        <is>
          <t>STRÖMSUND</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23209-2022</t>
        </is>
      </c>
      <c r="B1511" s="1" t="n">
        <v>44719</v>
      </c>
      <c r="C1511" s="1" t="n">
        <v>45795</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23217-2022</t>
        </is>
      </c>
      <c r="B1512" s="1" t="n">
        <v>44720</v>
      </c>
      <c r="C1512" s="1" t="n">
        <v>45795</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23208-2022</t>
        </is>
      </c>
      <c r="B1513" s="1" t="n">
        <v>44719</v>
      </c>
      <c r="C1513" s="1" t="n">
        <v>45795</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23214-2022</t>
        </is>
      </c>
      <c r="B1514" s="1" t="n">
        <v>44720</v>
      </c>
      <c r="C1514" s="1" t="n">
        <v>45795</v>
      </c>
      <c r="D1514" t="inlineStr">
        <is>
          <t>JÄMTLANDS LÄN</t>
        </is>
      </c>
      <c r="E1514" t="inlineStr">
        <is>
          <t>STRÖMSUND</t>
        </is>
      </c>
      <c r="F1514" t="inlineStr">
        <is>
          <t>SCA</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23206-2022</t>
        </is>
      </c>
      <c r="B1515" s="1" t="n">
        <v>44719</v>
      </c>
      <c r="C1515" s="1" t="n">
        <v>45795</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23453-2022</t>
        </is>
      </c>
      <c r="B1516" s="1" t="n">
        <v>44721</v>
      </c>
      <c r="C1516" s="1" t="n">
        <v>45795</v>
      </c>
      <c r="D1516" t="inlineStr">
        <is>
          <t>JÄMTLANDS LÄN</t>
        </is>
      </c>
      <c r="E1516" t="inlineStr">
        <is>
          <t>STRÖMSUND</t>
        </is>
      </c>
      <c r="F1516" t="inlineStr">
        <is>
          <t>SCA</t>
        </is>
      </c>
      <c r="G1516" t="n">
        <v>48.2</v>
      </c>
      <c r="H1516" t="n">
        <v>0</v>
      </c>
      <c r="I1516" t="n">
        <v>0</v>
      </c>
      <c r="J1516" t="n">
        <v>0</v>
      </c>
      <c r="K1516" t="n">
        <v>0</v>
      </c>
      <c r="L1516" t="n">
        <v>0</v>
      </c>
      <c r="M1516" t="n">
        <v>0</v>
      </c>
      <c r="N1516" t="n">
        <v>0</v>
      </c>
      <c r="O1516" t="n">
        <v>0</v>
      </c>
      <c r="P1516" t="n">
        <v>0</v>
      </c>
      <c r="Q1516" t="n">
        <v>0</v>
      </c>
      <c r="R1516" s="2" t="inlineStr"/>
    </row>
    <row r="1517" ht="15" customHeight="1">
      <c r="A1517" t="inlineStr">
        <is>
          <t>A 23675-2022</t>
        </is>
      </c>
      <c r="B1517" s="1" t="n">
        <v>44722</v>
      </c>
      <c r="C1517" s="1" t="n">
        <v>45795</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24006-2022</t>
        </is>
      </c>
      <c r="B1518" s="1" t="n">
        <v>44723</v>
      </c>
      <c r="C1518" s="1" t="n">
        <v>45795</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24020-2022</t>
        </is>
      </c>
      <c r="B1519" s="1" t="n">
        <v>44723</v>
      </c>
      <c r="C1519" s="1" t="n">
        <v>45795</v>
      </c>
      <c r="D1519" t="inlineStr">
        <is>
          <t>JÄMTLANDS LÄN</t>
        </is>
      </c>
      <c r="E1519" t="inlineStr">
        <is>
          <t>STRÖMSUND</t>
        </is>
      </c>
      <c r="F1519" t="inlineStr">
        <is>
          <t>SCA</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24021-2022</t>
        </is>
      </c>
      <c r="B1520" s="1" t="n">
        <v>44723</v>
      </c>
      <c r="C1520" s="1" t="n">
        <v>45795</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24023-2022</t>
        </is>
      </c>
      <c r="B1521" s="1" t="n">
        <v>44723</v>
      </c>
      <c r="C1521" s="1" t="n">
        <v>45795</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24303-2022</t>
        </is>
      </c>
      <c r="B1522" s="1" t="n">
        <v>44726</v>
      </c>
      <c r="C1522" s="1" t="n">
        <v>45795</v>
      </c>
      <c r="D1522" t="inlineStr">
        <is>
          <t>JÄMTLANDS LÄN</t>
        </is>
      </c>
      <c r="E1522" t="inlineStr">
        <is>
          <t>STRÖMSUND</t>
        </is>
      </c>
      <c r="F1522" t="inlineStr">
        <is>
          <t>SCA</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24302-2022</t>
        </is>
      </c>
      <c r="B1523" s="1" t="n">
        <v>44726</v>
      </c>
      <c r="C1523" s="1" t="n">
        <v>45795</v>
      </c>
      <c r="D1523" t="inlineStr">
        <is>
          <t>JÄMTLANDS LÄN</t>
        </is>
      </c>
      <c r="E1523" t="inlineStr">
        <is>
          <t>STRÖMSUND</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24319-2022</t>
        </is>
      </c>
      <c r="B1524" s="1" t="n">
        <v>44726</v>
      </c>
      <c r="C1524" s="1" t="n">
        <v>45795</v>
      </c>
      <c r="D1524" t="inlineStr">
        <is>
          <t>JÄMTLANDS LÄN</t>
        </is>
      </c>
      <c r="E1524" t="inlineStr">
        <is>
          <t>STRÖMSUND</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24487-2022</t>
        </is>
      </c>
      <c r="B1525" s="1" t="n">
        <v>44726</v>
      </c>
      <c r="C1525" s="1" t="n">
        <v>45795</v>
      </c>
      <c r="D1525" t="inlineStr">
        <is>
          <t>JÄMTLANDS LÄN</t>
        </is>
      </c>
      <c r="E1525" t="inlineStr">
        <is>
          <t>STRÖMSUND</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24488-2022</t>
        </is>
      </c>
      <c r="B1526" s="1" t="n">
        <v>44726</v>
      </c>
      <c r="C1526" s="1" t="n">
        <v>45795</v>
      </c>
      <c r="D1526" t="inlineStr">
        <is>
          <t>JÄMTLANDS LÄN</t>
        </is>
      </c>
      <c r="E1526" t="inlineStr">
        <is>
          <t>STRÖMSUND</t>
        </is>
      </c>
      <c r="G1526" t="n">
        <v>19.1</v>
      </c>
      <c r="H1526" t="n">
        <v>0</v>
      </c>
      <c r="I1526" t="n">
        <v>0</v>
      </c>
      <c r="J1526" t="n">
        <v>0</v>
      </c>
      <c r="K1526" t="n">
        <v>0</v>
      </c>
      <c r="L1526" t="n">
        <v>0</v>
      </c>
      <c r="M1526" t="n">
        <v>0</v>
      </c>
      <c r="N1526" t="n">
        <v>0</v>
      </c>
      <c r="O1526" t="n">
        <v>0</v>
      </c>
      <c r="P1526" t="n">
        <v>0</v>
      </c>
      <c r="Q1526" t="n">
        <v>0</v>
      </c>
      <c r="R1526" s="2" t="inlineStr"/>
    </row>
    <row r="1527" ht="15" customHeight="1">
      <c r="A1527" t="inlineStr">
        <is>
          <t>A 24509-2022</t>
        </is>
      </c>
      <c r="B1527" s="1" t="n">
        <v>44726</v>
      </c>
      <c r="C1527" s="1" t="n">
        <v>45795</v>
      </c>
      <c r="D1527" t="inlineStr">
        <is>
          <t>JÄMTLANDS LÄN</t>
        </is>
      </c>
      <c r="E1527" t="inlineStr">
        <is>
          <t>STRÖMSUND</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24508-2022</t>
        </is>
      </c>
      <c r="B1528" s="1" t="n">
        <v>44726</v>
      </c>
      <c r="C1528" s="1" t="n">
        <v>45795</v>
      </c>
      <c r="D1528" t="inlineStr">
        <is>
          <t>JÄMTLANDS LÄN</t>
        </is>
      </c>
      <c r="E1528" t="inlineStr">
        <is>
          <t>STRÖMSUND</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24728-2022</t>
        </is>
      </c>
      <c r="B1529" s="1" t="n">
        <v>44727</v>
      </c>
      <c r="C1529" s="1" t="n">
        <v>45795</v>
      </c>
      <c r="D1529" t="inlineStr">
        <is>
          <t>JÄMTLANDS LÄN</t>
        </is>
      </c>
      <c r="E1529" t="inlineStr">
        <is>
          <t>STRÖMSUND</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24918-2022</t>
        </is>
      </c>
      <c r="B1530" s="1" t="n">
        <v>44728</v>
      </c>
      <c r="C1530" s="1" t="n">
        <v>45795</v>
      </c>
      <c r="D1530" t="inlineStr">
        <is>
          <t>JÄMTLANDS LÄN</t>
        </is>
      </c>
      <c r="E1530" t="inlineStr">
        <is>
          <t>STRÖMSUND</t>
        </is>
      </c>
      <c r="F1530" t="inlineStr">
        <is>
          <t>Kyrkan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24912-2022</t>
        </is>
      </c>
      <c r="B1531" s="1" t="n">
        <v>44728</v>
      </c>
      <c r="C1531" s="1" t="n">
        <v>45795</v>
      </c>
      <c r="D1531" t="inlineStr">
        <is>
          <t>JÄMTLANDS LÄN</t>
        </is>
      </c>
      <c r="E1531" t="inlineStr">
        <is>
          <t>STRÖMSUND</t>
        </is>
      </c>
      <c r="F1531" t="inlineStr">
        <is>
          <t>Kyrkan</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24965-2022</t>
        </is>
      </c>
      <c r="B1532" s="1" t="n">
        <v>44728</v>
      </c>
      <c r="C1532" s="1" t="n">
        <v>45795</v>
      </c>
      <c r="D1532" t="inlineStr">
        <is>
          <t>JÄMTLANDS LÄN</t>
        </is>
      </c>
      <c r="E1532" t="inlineStr">
        <is>
          <t>STRÖMSUND</t>
        </is>
      </c>
      <c r="G1532" t="n">
        <v>20.5</v>
      </c>
      <c r="H1532" t="n">
        <v>0</v>
      </c>
      <c r="I1532" t="n">
        <v>0</v>
      </c>
      <c r="J1532" t="n">
        <v>0</v>
      </c>
      <c r="K1532" t="n">
        <v>0</v>
      </c>
      <c r="L1532" t="n">
        <v>0</v>
      </c>
      <c r="M1532" t="n">
        <v>0</v>
      </c>
      <c r="N1532" t="n">
        <v>0</v>
      </c>
      <c r="O1532" t="n">
        <v>0</v>
      </c>
      <c r="P1532" t="n">
        <v>0</v>
      </c>
      <c r="Q1532" t="n">
        <v>0</v>
      </c>
      <c r="R1532" s="2" t="inlineStr"/>
    </row>
    <row r="1533" ht="15" customHeight="1">
      <c r="A1533" t="inlineStr">
        <is>
          <t>A 25018-2022</t>
        </is>
      </c>
      <c r="B1533" s="1" t="n">
        <v>44728</v>
      </c>
      <c r="C1533" s="1" t="n">
        <v>45795</v>
      </c>
      <c r="D1533" t="inlineStr">
        <is>
          <t>JÄMTLANDS LÄN</t>
        </is>
      </c>
      <c r="E1533" t="inlineStr">
        <is>
          <t>STRÖMSUND</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25016-2022</t>
        </is>
      </c>
      <c r="B1534" s="1" t="n">
        <v>44729</v>
      </c>
      <c r="C1534" s="1" t="n">
        <v>45795</v>
      </c>
      <c r="D1534" t="inlineStr">
        <is>
          <t>JÄMTLANDS LÄN</t>
        </is>
      </c>
      <c r="E1534" t="inlineStr">
        <is>
          <t>STRÖMSUND</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25085-2022</t>
        </is>
      </c>
      <c r="B1535" s="1" t="n">
        <v>44729</v>
      </c>
      <c r="C1535" s="1" t="n">
        <v>45795</v>
      </c>
      <c r="D1535" t="inlineStr">
        <is>
          <t>JÄMTLANDS LÄN</t>
        </is>
      </c>
      <c r="E1535" t="inlineStr">
        <is>
          <t>STRÖMSUND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25662-2022</t>
        </is>
      </c>
      <c r="B1536" s="1" t="n">
        <v>44732</v>
      </c>
      <c r="C1536" s="1" t="n">
        <v>45795</v>
      </c>
      <c r="D1536" t="inlineStr">
        <is>
          <t>JÄMTLANDS LÄN</t>
        </is>
      </c>
      <c r="E1536" t="inlineStr">
        <is>
          <t>STRÖMSUND</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25847-2022</t>
        </is>
      </c>
      <c r="B1537" s="1" t="n">
        <v>44733</v>
      </c>
      <c r="C1537" s="1" t="n">
        <v>45795</v>
      </c>
      <c r="D1537" t="inlineStr">
        <is>
          <t>JÄMTLANDS LÄN</t>
        </is>
      </c>
      <c r="E1537" t="inlineStr">
        <is>
          <t>STRÖMSUND</t>
        </is>
      </c>
      <c r="F1537" t="inlineStr">
        <is>
          <t>Kyrkan</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25843-2022</t>
        </is>
      </c>
      <c r="B1538" s="1" t="n">
        <v>44733</v>
      </c>
      <c r="C1538" s="1" t="n">
        <v>45795</v>
      </c>
      <c r="D1538" t="inlineStr">
        <is>
          <t>JÄMTLANDS LÄN</t>
        </is>
      </c>
      <c r="E1538" t="inlineStr">
        <is>
          <t>STRÖMSUND</t>
        </is>
      </c>
      <c r="F1538" t="inlineStr">
        <is>
          <t>Kyrkan</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26117-2022</t>
        </is>
      </c>
      <c r="B1539" s="1" t="n">
        <v>44735</v>
      </c>
      <c r="C1539" s="1" t="n">
        <v>45795</v>
      </c>
      <c r="D1539" t="inlineStr">
        <is>
          <t>JÄMTLANDS LÄN</t>
        </is>
      </c>
      <c r="E1539" t="inlineStr">
        <is>
          <t>STRÖMSUND</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26116-2022</t>
        </is>
      </c>
      <c r="B1540" s="1" t="n">
        <v>44734</v>
      </c>
      <c r="C1540" s="1" t="n">
        <v>45795</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26130-2022</t>
        </is>
      </c>
      <c r="B1541" s="1" t="n">
        <v>44735</v>
      </c>
      <c r="C1541" s="1" t="n">
        <v>45795</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26133-2022</t>
        </is>
      </c>
      <c r="B1542" s="1" t="n">
        <v>44735</v>
      </c>
      <c r="C1542" s="1" t="n">
        <v>45795</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26126-2022</t>
        </is>
      </c>
      <c r="B1543" s="1" t="n">
        <v>44735</v>
      </c>
      <c r="C1543" s="1" t="n">
        <v>45795</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26132-2022</t>
        </is>
      </c>
      <c r="B1544" s="1" t="n">
        <v>44734</v>
      </c>
      <c r="C1544" s="1" t="n">
        <v>45795</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26421-2022</t>
        </is>
      </c>
      <c r="B1545" s="1" t="n">
        <v>44736</v>
      </c>
      <c r="C1545" s="1" t="n">
        <v>45795</v>
      </c>
      <c r="D1545" t="inlineStr">
        <is>
          <t>JÄMTLANDS LÄN</t>
        </is>
      </c>
      <c r="E1545" t="inlineStr">
        <is>
          <t>STRÖMSUND</t>
        </is>
      </c>
      <c r="F1545" t="inlineStr">
        <is>
          <t>SCA</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26734-2022</t>
        </is>
      </c>
      <c r="B1546" s="1" t="n">
        <v>44740</v>
      </c>
      <c r="C1546" s="1" t="n">
        <v>45795</v>
      </c>
      <c r="D1546" t="inlineStr">
        <is>
          <t>JÄMTLANDS LÄN</t>
        </is>
      </c>
      <c r="E1546" t="inlineStr">
        <is>
          <t>STRÖMSUND</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26943-2022</t>
        </is>
      </c>
      <c r="B1547" s="1" t="n">
        <v>44740</v>
      </c>
      <c r="C1547" s="1" t="n">
        <v>45795</v>
      </c>
      <c r="D1547" t="inlineStr">
        <is>
          <t>JÄMTLANDS LÄN</t>
        </is>
      </c>
      <c r="E1547" t="inlineStr">
        <is>
          <t>STRÖMSUND</t>
        </is>
      </c>
      <c r="F1547" t="inlineStr">
        <is>
          <t>Holmen skog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27035-2022</t>
        </is>
      </c>
      <c r="B1548" s="1" t="n">
        <v>44741</v>
      </c>
      <c r="C1548" s="1" t="n">
        <v>45795</v>
      </c>
      <c r="D1548" t="inlineStr">
        <is>
          <t>JÄMTLANDS LÄN</t>
        </is>
      </c>
      <c r="E1548" t="inlineStr">
        <is>
          <t>STRÖMSUND</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27034-2022</t>
        </is>
      </c>
      <c r="B1549" s="1" t="n">
        <v>44741</v>
      </c>
      <c r="C1549" s="1" t="n">
        <v>45795</v>
      </c>
      <c r="D1549" t="inlineStr">
        <is>
          <t>JÄMTLANDS LÄN</t>
        </is>
      </c>
      <c r="E1549" t="inlineStr">
        <is>
          <t>STRÖMSUND</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27032-2022</t>
        </is>
      </c>
      <c r="B1550" s="1" t="n">
        <v>44740</v>
      </c>
      <c r="C1550" s="1" t="n">
        <v>45795</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27031-2022</t>
        </is>
      </c>
      <c r="B1551" s="1" t="n">
        <v>44741</v>
      </c>
      <c r="C1551" s="1" t="n">
        <v>45795</v>
      </c>
      <c r="D1551" t="inlineStr">
        <is>
          <t>JÄMTLANDS LÄN</t>
        </is>
      </c>
      <c r="E1551" t="inlineStr">
        <is>
          <t>STRÖMSUND</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27036-2022</t>
        </is>
      </c>
      <c r="B1552" s="1" t="n">
        <v>44741</v>
      </c>
      <c r="C1552" s="1" t="n">
        <v>45795</v>
      </c>
      <c r="D1552" t="inlineStr">
        <is>
          <t>JÄMTLANDS LÄN</t>
        </is>
      </c>
      <c r="E1552" t="inlineStr">
        <is>
          <t>STRÖMSUND</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27037-2022</t>
        </is>
      </c>
      <c r="B1553" s="1" t="n">
        <v>44741</v>
      </c>
      <c r="C1553" s="1" t="n">
        <v>45795</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27295-2022</t>
        </is>
      </c>
      <c r="B1554" s="1" t="n">
        <v>44742</v>
      </c>
      <c r="C1554" s="1" t="n">
        <v>45795</v>
      </c>
      <c r="D1554" t="inlineStr">
        <is>
          <t>JÄMTLANDS LÄN</t>
        </is>
      </c>
      <c r="E1554" t="inlineStr">
        <is>
          <t>STRÖMSUND</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27290-2022</t>
        </is>
      </c>
      <c r="B1555" s="1" t="n">
        <v>44741</v>
      </c>
      <c r="C1555" s="1" t="n">
        <v>45795</v>
      </c>
      <c r="D1555" t="inlineStr">
        <is>
          <t>JÄMTLANDS LÄN</t>
        </is>
      </c>
      <c r="E1555" t="inlineStr">
        <is>
          <t>STRÖMSUND</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27285-2022</t>
        </is>
      </c>
      <c r="B1556" s="1" t="n">
        <v>44742</v>
      </c>
      <c r="C1556" s="1" t="n">
        <v>45795</v>
      </c>
      <c r="D1556" t="inlineStr">
        <is>
          <t>JÄMTLANDS LÄN</t>
        </is>
      </c>
      <c r="E1556" t="inlineStr">
        <is>
          <t>STRÖMSUND</t>
        </is>
      </c>
      <c r="F1556" t="inlineStr">
        <is>
          <t>SCA</t>
        </is>
      </c>
      <c r="G1556" t="n">
        <v>43.8</v>
      </c>
      <c r="H1556" t="n">
        <v>0</v>
      </c>
      <c r="I1556" t="n">
        <v>0</v>
      </c>
      <c r="J1556" t="n">
        <v>0</v>
      </c>
      <c r="K1556" t="n">
        <v>0</v>
      </c>
      <c r="L1556" t="n">
        <v>0</v>
      </c>
      <c r="M1556" t="n">
        <v>0</v>
      </c>
      <c r="N1556" t="n">
        <v>0</v>
      </c>
      <c r="O1556" t="n">
        <v>0</v>
      </c>
      <c r="P1556" t="n">
        <v>0</v>
      </c>
      <c r="Q1556" t="n">
        <v>0</v>
      </c>
      <c r="R1556" s="2" t="inlineStr"/>
    </row>
    <row r="1557" ht="15" customHeight="1">
      <c r="A1557" t="inlineStr">
        <is>
          <t>A 27574-2022</t>
        </is>
      </c>
      <c r="B1557" s="1" t="n">
        <v>44743</v>
      </c>
      <c r="C1557" s="1" t="n">
        <v>45795</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27586-2022</t>
        </is>
      </c>
      <c r="B1558" s="1" t="n">
        <v>44743</v>
      </c>
      <c r="C1558" s="1" t="n">
        <v>45795</v>
      </c>
      <c r="D1558" t="inlineStr">
        <is>
          <t>JÄMTLANDS LÄN</t>
        </is>
      </c>
      <c r="E1558" t="inlineStr">
        <is>
          <t>STRÖMSUND</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27585-2022</t>
        </is>
      </c>
      <c r="B1559" s="1" t="n">
        <v>44742</v>
      </c>
      <c r="C1559" s="1" t="n">
        <v>45795</v>
      </c>
      <c r="D1559" t="inlineStr">
        <is>
          <t>JÄMTLANDS LÄN</t>
        </is>
      </c>
      <c r="E1559" t="inlineStr">
        <is>
          <t>STRÖMSUND</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27568-2022</t>
        </is>
      </c>
      <c r="B1560" s="1" t="n">
        <v>44743</v>
      </c>
      <c r="C1560" s="1" t="n">
        <v>45795</v>
      </c>
      <c r="D1560" t="inlineStr">
        <is>
          <t>JÄMTLANDS LÄN</t>
        </is>
      </c>
      <c r="E1560" t="inlineStr">
        <is>
          <t>STRÖMSUND</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27584-2022</t>
        </is>
      </c>
      <c r="B1561" s="1" t="n">
        <v>44742</v>
      </c>
      <c r="C1561" s="1" t="n">
        <v>45795</v>
      </c>
      <c r="D1561" t="inlineStr">
        <is>
          <t>JÄMTLANDS LÄN</t>
        </is>
      </c>
      <c r="E1561" t="inlineStr">
        <is>
          <t>STRÖMSUND</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27594-2022</t>
        </is>
      </c>
      <c r="B1562" s="1" t="n">
        <v>44743</v>
      </c>
      <c r="C1562" s="1" t="n">
        <v>45795</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27600-2022</t>
        </is>
      </c>
      <c r="B1563" s="1" t="n">
        <v>44743</v>
      </c>
      <c r="C1563" s="1" t="n">
        <v>45795</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27601-2022</t>
        </is>
      </c>
      <c r="B1564" s="1" t="n">
        <v>44743</v>
      </c>
      <c r="C1564" s="1" t="n">
        <v>45795</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27596-2022</t>
        </is>
      </c>
      <c r="B1565" s="1" t="n">
        <v>44742</v>
      </c>
      <c r="C1565" s="1" t="n">
        <v>45795</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27923-2022</t>
        </is>
      </c>
      <c r="B1566" s="1" t="n">
        <v>44744</v>
      </c>
      <c r="C1566" s="1" t="n">
        <v>45795</v>
      </c>
      <c r="D1566" t="inlineStr">
        <is>
          <t>JÄMTLANDS LÄN</t>
        </is>
      </c>
      <c r="E1566" t="inlineStr">
        <is>
          <t>STRÖMSUND</t>
        </is>
      </c>
      <c r="F1566" t="inlineStr">
        <is>
          <t>SCA</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27927-2022</t>
        </is>
      </c>
      <c r="B1567" s="1" t="n">
        <v>44744</v>
      </c>
      <c r="C1567" s="1" t="n">
        <v>45795</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27942-2022</t>
        </is>
      </c>
      <c r="B1568" s="1" t="n">
        <v>44744</v>
      </c>
      <c r="C1568" s="1" t="n">
        <v>45795</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27917-2022</t>
        </is>
      </c>
      <c r="B1569" s="1" t="n">
        <v>44744</v>
      </c>
      <c r="C1569" s="1" t="n">
        <v>45795</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27930-2022</t>
        </is>
      </c>
      <c r="B1570" s="1" t="n">
        <v>44743</v>
      </c>
      <c r="C1570" s="1" t="n">
        <v>45795</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27941-2022</t>
        </is>
      </c>
      <c r="B1571" s="1" t="n">
        <v>44744</v>
      </c>
      <c r="C1571" s="1" t="n">
        <v>45795</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27946-2022</t>
        </is>
      </c>
      <c r="B1572" s="1" t="n">
        <v>44744</v>
      </c>
      <c r="C1572" s="1" t="n">
        <v>45795</v>
      </c>
      <c r="D1572" t="inlineStr">
        <is>
          <t>JÄMTLANDS LÄN</t>
        </is>
      </c>
      <c r="E1572" t="inlineStr">
        <is>
          <t>STRÖMSUND</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27929-2022</t>
        </is>
      </c>
      <c r="B1573" s="1" t="n">
        <v>44744</v>
      </c>
      <c r="C1573" s="1" t="n">
        <v>45795</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27940-2022</t>
        </is>
      </c>
      <c r="B1574" s="1" t="n">
        <v>44744</v>
      </c>
      <c r="C1574" s="1" t="n">
        <v>45795</v>
      </c>
      <c r="D1574" t="inlineStr">
        <is>
          <t>JÄMTLANDS LÄN</t>
        </is>
      </c>
      <c r="E1574" t="inlineStr">
        <is>
          <t>STRÖMSUND</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27928-2022</t>
        </is>
      </c>
      <c r="B1575" s="1" t="n">
        <v>44744</v>
      </c>
      <c r="C1575" s="1" t="n">
        <v>45795</v>
      </c>
      <c r="D1575" t="inlineStr">
        <is>
          <t>JÄMTLANDS LÄN</t>
        </is>
      </c>
      <c r="E1575" t="inlineStr">
        <is>
          <t>STRÖMSUND</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28289-2022</t>
        </is>
      </c>
      <c r="B1576" s="1" t="n">
        <v>44747</v>
      </c>
      <c r="C1576" s="1" t="n">
        <v>45795</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28294-2022</t>
        </is>
      </c>
      <c r="B1577" s="1" t="n">
        <v>44747</v>
      </c>
      <c r="C1577" s="1" t="n">
        <v>45795</v>
      </c>
      <c r="D1577" t="inlineStr">
        <is>
          <t>JÄMTLANDS LÄN</t>
        </is>
      </c>
      <c r="E1577" t="inlineStr">
        <is>
          <t>STRÖMSUND</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28286-2022</t>
        </is>
      </c>
      <c r="B1578" s="1" t="n">
        <v>44746</v>
      </c>
      <c r="C1578" s="1" t="n">
        <v>45795</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28290-2022</t>
        </is>
      </c>
      <c r="B1579" s="1" t="n">
        <v>44747</v>
      </c>
      <c r="C1579" s="1" t="n">
        <v>45795</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28207-2022</t>
        </is>
      </c>
      <c r="B1580" s="1" t="n">
        <v>44746</v>
      </c>
      <c r="C1580" s="1" t="n">
        <v>45795</v>
      </c>
      <c r="D1580" t="inlineStr">
        <is>
          <t>JÄMTLANDS LÄN</t>
        </is>
      </c>
      <c r="E1580" t="inlineStr">
        <is>
          <t>STRÖMSUND</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28483-2022</t>
        </is>
      </c>
      <c r="B1581" s="1" t="n">
        <v>44747</v>
      </c>
      <c r="C1581" s="1" t="n">
        <v>45795</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28494-2022</t>
        </is>
      </c>
      <c r="B1582" s="1" t="n">
        <v>44748</v>
      </c>
      <c r="C1582" s="1" t="n">
        <v>45795</v>
      </c>
      <c r="D1582" t="inlineStr">
        <is>
          <t>JÄMTLANDS LÄN</t>
        </is>
      </c>
      <c r="E1582" t="inlineStr">
        <is>
          <t>STRÖMSUND</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28493-2022</t>
        </is>
      </c>
      <c r="B1583" s="1" t="n">
        <v>44747</v>
      </c>
      <c r="C1583" s="1" t="n">
        <v>45795</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28498-2022</t>
        </is>
      </c>
      <c r="B1584" s="1" t="n">
        <v>44748</v>
      </c>
      <c r="C1584" s="1" t="n">
        <v>45795</v>
      </c>
      <c r="D1584" t="inlineStr">
        <is>
          <t>JÄMTLANDS LÄN</t>
        </is>
      </c>
      <c r="E1584" t="inlineStr">
        <is>
          <t>STRÖMSUND</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28496-2022</t>
        </is>
      </c>
      <c r="B1585" s="1" t="n">
        <v>44748</v>
      </c>
      <c r="C1585" s="1" t="n">
        <v>45795</v>
      </c>
      <c r="D1585" t="inlineStr">
        <is>
          <t>JÄMTLANDS LÄN</t>
        </is>
      </c>
      <c r="E1585" t="inlineStr">
        <is>
          <t>STRÖMSUND</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28520-2022</t>
        </is>
      </c>
      <c r="B1586" s="1" t="n">
        <v>44748</v>
      </c>
      <c r="C1586" s="1" t="n">
        <v>45795</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28533-2022</t>
        </is>
      </c>
      <c r="B1587" s="1" t="n">
        <v>44748</v>
      </c>
      <c r="C1587" s="1" t="n">
        <v>45795</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28705-2022</t>
        </is>
      </c>
      <c r="B1588" s="1" t="n">
        <v>44748</v>
      </c>
      <c r="C1588" s="1" t="n">
        <v>45795</v>
      </c>
      <c r="D1588" t="inlineStr">
        <is>
          <t>JÄMTLANDS LÄN</t>
        </is>
      </c>
      <c r="E1588" t="inlineStr">
        <is>
          <t>STRÖMSUND</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28734-2022</t>
        </is>
      </c>
      <c r="B1589" s="1" t="n">
        <v>44748</v>
      </c>
      <c r="C1589" s="1" t="n">
        <v>45795</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28948-2022</t>
        </is>
      </c>
      <c r="B1590" s="1" t="n">
        <v>44749</v>
      </c>
      <c r="C1590" s="1" t="n">
        <v>45795</v>
      </c>
      <c r="D1590" t="inlineStr">
        <is>
          <t>JÄMTLANDS LÄN</t>
        </is>
      </c>
      <c r="E1590" t="inlineStr">
        <is>
          <t>STRÖMSUND</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29042-2022</t>
        </is>
      </c>
      <c r="B1591" s="1" t="n">
        <v>44749</v>
      </c>
      <c r="C1591" s="1" t="n">
        <v>45795</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29045-2022</t>
        </is>
      </c>
      <c r="B1592" s="1" t="n">
        <v>44750</v>
      </c>
      <c r="C1592" s="1" t="n">
        <v>45795</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28869-2022</t>
        </is>
      </c>
      <c r="B1593" s="1" t="n">
        <v>44749</v>
      </c>
      <c r="C1593" s="1" t="n">
        <v>45795</v>
      </c>
      <c r="D1593" t="inlineStr">
        <is>
          <t>JÄMTLANDS LÄN</t>
        </is>
      </c>
      <c r="E1593" t="inlineStr">
        <is>
          <t>STRÖMSUND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29033-2022</t>
        </is>
      </c>
      <c r="B1594" s="1" t="n">
        <v>44750</v>
      </c>
      <c r="C1594" s="1" t="n">
        <v>45795</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29043-2022</t>
        </is>
      </c>
      <c r="B1595" s="1" t="n">
        <v>44749</v>
      </c>
      <c r="C1595" s="1" t="n">
        <v>45795</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29295-2022</t>
        </is>
      </c>
      <c r="B1596" s="1" t="n">
        <v>44751</v>
      </c>
      <c r="C1596" s="1" t="n">
        <v>45795</v>
      </c>
      <c r="D1596" t="inlineStr">
        <is>
          <t>JÄMTLANDS LÄN</t>
        </is>
      </c>
      <c r="E1596" t="inlineStr">
        <is>
          <t>STRÖMSUND</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29276-2022</t>
        </is>
      </c>
      <c r="B1597" s="1" t="n">
        <v>44750</v>
      </c>
      <c r="C1597" s="1" t="n">
        <v>45795</v>
      </c>
      <c r="D1597" t="inlineStr">
        <is>
          <t>JÄMTLANDS LÄN</t>
        </is>
      </c>
      <c r="E1597" t="inlineStr">
        <is>
          <t>STRÖMSUND</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29353-2022</t>
        </is>
      </c>
      <c r="B1598" s="1" t="n">
        <v>44750</v>
      </c>
      <c r="C1598" s="1" t="n">
        <v>45795</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29296-2022</t>
        </is>
      </c>
      <c r="B1599" s="1" t="n">
        <v>44751</v>
      </c>
      <c r="C1599" s="1" t="n">
        <v>45795</v>
      </c>
      <c r="D1599" t="inlineStr">
        <is>
          <t>JÄMTLANDS LÄN</t>
        </is>
      </c>
      <c r="E1599" t="inlineStr">
        <is>
          <t>STRÖMSUND</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29545-2022</t>
        </is>
      </c>
      <c r="B1600" s="1" t="n">
        <v>44753</v>
      </c>
      <c r="C1600" s="1" t="n">
        <v>45795</v>
      </c>
      <c r="D1600" t="inlineStr">
        <is>
          <t>JÄMTLANDS LÄN</t>
        </is>
      </c>
      <c r="E1600" t="inlineStr">
        <is>
          <t>STRÖMSUND</t>
        </is>
      </c>
      <c r="F1600" t="inlineStr">
        <is>
          <t>SCA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29541-2022</t>
        </is>
      </c>
      <c r="B1601" s="1" t="n">
        <v>44754</v>
      </c>
      <c r="C1601" s="1" t="n">
        <v>45795</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29540-2022</t>
        </is>
      </c>
      <c r="B1602" s="1" t="n">
        <v>44754</v>
      </c>
      <c r="C1602" s="1" t="n">
        <v>45795</v>
      </c>
      <c r="D1602" t="inlineStr">
        <is>
          <t>JÄMTLANDS LÄN</t>
        </is>
      </c>
      <c r="E1602" t="inlineStr">
        <is>
          <t>STRÖMSUND</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29550-2022</t>
        </is>
      </c>
      <c r="B1603" s="1" t="n">
        <v>44754</v>
      </c>
      <c r="C1603" s="1" t="n">
        <v>45795</v>
      </c>
      <c r="D1603" t="inlineStr">
        <is>
          <t>JÄMTLANDS LÄN</t>
        </is>
      </c>
      <c r="E1603" t="inlineStr">
        <is>
          <t>STRÖMSUND</t>
        </is>
      </c>
      <c r="F1603" t="inlineStr">
        <is>
          <t>Holmen skog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29830-2022</t>
        </is>
      </c>
      <c r="B1604" s="1" t="n">
        <v>44755</v>
      </c>
      <c r="C1604" s="1" t="n">
        <v>45795</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29875-2022</t>
        </is>
      </c>
      <c r="B1605" s="1" t="n">
        <v>44756</v>
      </c>
      <c r="C1605" s="1" t="n">
        <v>45795</v>
      </c>
      <c r="D1605" t="inlineStr">
        <is>
          <t>JÄMTLANDS LÄN</t>
        </is>
      </c>
      <c r="E1605" t="inlineStr">
        <is>
          <t>STRÖMSUND</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30021-2022</t>
        </is>
      </c>
      <c r="B1606" s="1" t="n">
        <v>44757</v>
      </c>
      <c r="C1606" s="1" t="n">
        <v>45795</v>
      </c>
      <c r="D1606" t="inlineStr">
        <is>
          <t>JÄMTLANDS LÄN</t>
        </is>
      </c>
      <c r="E1606" t="inlineStr">
        <is>
          <t>STRÖMSUND</t>
        </is>
      </c>
      <c r="F1606" t="inlineStr">
        <is>
          <t>SCA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30036-2022</t>
        </is>
      </c>
      <c r="B1607" s="1" t="n">
        <v>44756</v>
      </c>
      <c r="C1607" s="1" t="n">
        <v>45795</v>
      </c>
      <c r="D1607" t="inlineStr">
        <is>
          <t>JÄMTLANDS LÄN</t>
        </is>
      </c>
      <c r="E1607" t="inlineStr">
        <is>
          <t>STRÖMSUND</t>
        </is>
      </c>
      <c r="F1607" t="inlineStr">
        <is>
          <t>SCA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30024-2022</t>
        </is>
      </c>
      <c r="B1608" s="1" t="n">
        <v>44757</v>
      </c>
      <c r="C1608" s="1" t="n">
        <v>45795</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30031-2022</t>
        </is>
      </c>
      <c r="B1609" s="1" t="n">
        <v>44757</v>
      </c>
      <c r="C1609" s="1" t="n">
        <v>45795</v>
      </c>
      <c r="D1609" t="inlineStr">
        <is>
          <t>JÄMTLANDS LÄN</t>
        </is>
      </c>
      <c r="E1609" t="inlineStr">
        <is>
          <t>STRÖMSUND</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30023-2022</t>
        </is>
      </c>
      <c r="B1610" s="1" t="n">
        <v>44757</v>
      </c>
      <c r="C1610" s="1" t="n">
        <v>45795</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30030-2022</t>
        </is>
      </c>
      <c r="B1611" s="1" t="n">
        <v>44757</v>
      </c>
      <c r="C1611" s="1" t="n">
        <v>45795</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30022-2022</t>
        </is>
      </c>
      <c r="B1612" s="1" t="n">
        <v>44756</v>
      </c>
      <c r="C1612" s="1" t="n">
        <v>45795</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30037-2022</t>
        </is>
      </c>
      <c r="B1613" s="1" t="n">
        <v>44757</v>
      </c>
      <c r="C1613" s="1" t="n">
        <v>45795</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30042-2022</t>
        </is>
      </c>
      <c r="B1614" s="1" t="n">
        <v>44757</v>
      </c>
      <c r="C1614" s="1" t="n">
        <v>45795</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30046-2022</t>
        </is>
      </c>
      <c r="B1615" s="1" t="n">
        <v>44757</v>
      </c>
      <c r="C1615" s="1" t="n">
        <v>45795</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30044-2022</t>
        </is>
      </c>
      <c r="B1616" s="1" t="n">
        <v>44756</v>
      </c>
      <c r="C1616" s="1" t="n">
        <v>45795</v>
      </c>
      <c r="D1616" t="inlineStr">
        <is>
          <t>JÄMTLANDS LÄN</t>
        </is>
      </c>
      <c r="E1616" t="inlineStr">
        <is>
          <t>STRÖMSUND</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30086-2022</t>
        </is>
      </c>
      <c r="B1617" s="1" t="n">
        <v>44757</v>
      </c>
      <c r="C1617" s="1" t="n">
        <v>45795</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30219-2022</t>
        </is>
      </c>
      <c r="B1618" s="1" t="n">
        <v>44758</v>
      </c>
      <c r="C1618" s="1" t="n">
        <v>45795</v>
      </c>
      <c r="D1618" t="inlineStr">
        <is>
          <t>JÄMTLANDS LÄN</t>
        </is>
      </c>
      <c r="E1618" t="inlineStr">
        <is>
          <t>STRÖMSUND</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30220-2022</t>
        </is>
      </c>
      <c r="B1619" s="1" t="n">
        <v>44758</v>
      </c>
      <c r="C1619" s="1" t="n">
        <v>45795</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30225-2022</t>
        </is>
      </c>
      <c r="B1620" s="1" t="n">
        <v>44758</v>
      </c>
      <c r="C1620" s="1" t="n">
        <v>45795</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30229-2022</t>
        </is>
      </c>
      <c r="B1621" s="1" t="n">
        <v>44758</v>
      </c>
      <c r="C1621" s="1" t="n">
        <v>45795</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30223-2022</t>
        </is>
      </c>
      <c r="B1622" s="1" t="n">
        <v>44758</v>
      </c>
      <c r="C1622" s="1" t="n">
        <v>45795</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30227-2022</t>
        </is>
      </c>
      <c r="B1623" s="1" t="n">
        <v>44758</v>
      </c>
      <c r="C1623" s="1" t="n">
        <v>45795</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30232-2022</t>
        </is>
      </c>
      <c r="B1624" s="1" t="n">
        <v>44758</v>
      </c>
      <c r="C1624" s="1" t="n">
        <v>45795</v>
      </c>
      <c r="D1624" t="inlineStr">
        <is>
          <t>JÄMTLANDS LÄN</t>
        </is>
      </c>
      <c r="E1624" t="inlineStr">
        <is>
          <t>STRÖMSUND</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30226-2022</t>
        </is>
      </c>
      <c r="B1625" s="1" t="n">
        <v>44757</v>
      </c>
      <c r="C1625" s="1" t="n">
        <v>45795</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30230-2022</t>
        </is>
      </c>
      <c r="B1626" s="1" t="n">
        <v>44757</v>
      </c>
      <c r="C1626" s="1" t="n">
        <v>45795</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30496-2022</t>
        </is>
      </c>
      <c r="B1627" s="1" t="n">
        <v>44762</v>
      </c>
      <c r="C1627" s="1" t="n">
        <v>45795</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31443-2022</t>
        </is>
      </c>
      <c r="B1628" s="1" t="n">
        <v>44775</v>
      </c>
      <c r="C1628" s="1" t="n">
        <v>45795</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31447-2022</t>
        </is>
      </c>
      <c r="B1629" s="1" t="n">
        <v>44775</v>
      </c>
      <c r="C1629" s="1" t="n">
        <v>45795</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31448-2022</t>
        </is>
      </c>
      <c r="B1630" s="1" t="n">
        <v>44775</v>
      </c>
      <c r="C1630" s="1" t="n">
        <v>45795</v>
      </c>
      <c r="D1630" t="inlineStr">
        <is>
          <t>JÄMTLANDS LÄN</t>
        </is>
      </c>
      <c r="E1630" t="inlineStr">
        <is>
          <t>STRÖMSUND</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31445-2022</t>
        </is>
      </c>
      <c r="B1631" s="1" t="n">
        <v>44775</v>
      </c>
      <c r="C1631" s="1" t="n">
        <v>45795</v>
      </c>
      <c r="D1631" t="inlineStr">
        <is>
          <t>JÄMTLANDS LÄN</t>
        </is>
      </c>
      <c r="E1631" t="inlineStr">
        <is>
          <t>STRÖMSUND</t>
        </is>
      </c>
      <c r="F1631" t="inlineStr">
        <is>
          <t>SCA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31449-2022</t>
        </is>
      </c>
      <c r="B1632" s="1" t="n">
        <v>44775</v>
      </c>
      <c r="C1632" s="1" t="n">
        <v>45795</v>
      </c>
      <c r="D1632" t="inlineStr">
        <is>
          <t>JÄMTLANDS LÄN</t>
        </is>
      </c>
      <c r="E1632" t="inlineStr">
        <is>
          <t>STRÖMSUND</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31485-2022</t>
        </is>
      </c>
      <c r="B1633" s="1" t="n">
        <v>44775</v>
      </c>
      <c r="C1633" s="1" t="n">
        <v>45795</v>
      </c>
      <c r="D1633" t="inlineStr">
        <is>
          <t>JÄMTLANDS LÄN</t>
        </is>
      </c>
      <c r="E1633" t="inlineStr">
        <is>
          <t>STRÖMSUND</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31501-2022</t>
        </is>
      </c>
      <c r="B1634" s="1" t="n">
        <v>44775</v>
      </c>
      <c r="C1634" s="1" t="n">
        <v>45795</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31505-2022</t>
        </is>
      </c>
      <c r="B1635" s="1" t="n">
        <v>44775</v>
      </c>
      <c r="C1635" s="1" t="n">
        <v>45795</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31509-2022</t>
        </is>
      </c>
      <c r="B1636" s="1" t="n">
        <v>44775</v>
      </c>
      <c r="C1636" s="1" t="n">
        <v>45795</v>
      </c>
      <c r="D1636" t="inlineStr">
        <is>
          <t>JÄMTLANDS LÄN</t>
        </is>
      </c>
      <c r="E1636" t="inlineStr">
        <is>
          <t>STRÖMSUND</t>
        </is>
      </c>
      <c r="F1636" t="inlineStr">
        <is>
          <t>SCA</t>
        </is>
      </c>
      <c r="G1636" t="n">
        <v>20.7</v>
      </c>
      <c r="H1636" t="n">
        <v>0</v>
      </c>
      <c r="I1636" t="n">
        <v>0</v>
      </c>
      <c r="J1636" t="n">
        <v>0</v>
      </c>
      <c r="K1636" t="n">
        <v>0</v>
      </c>
      <c r="L1636" t="n">
        <v>0</v>
      </c>
      <c r="M1636" t="n">
        <v>0</v>
      </c>
      <c r="N1636" t="n">
        <v>0</v>
      </c>
      <c r="O1636" t="n">
        <v>0</v>
      </c>
      <c r="P1636" t="n">
        <v>0</v>
      </c>
      <c r="Q1636" t="n">
        <v>0</v>
      </c>
      <c r="R1636" s="2" t="inlineStr"/>
    </row>
    <row r="1637" ht="15" customHeight="1">
      <c r="A1637" t="inlineStr">
        <is>
          <t>A 31442-2022</t>
        </is>
      </c>
      <c r="B1637" s="1" t="n">
        <v>44774</v>
      </c>
      <c r="C1637" s="1" t="n">
        <v>45795</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31446-2022</t>
        </is>
      </c>
      <c r="B1638" s="1" t="n">
        <v>44775</v>
      </c>
      <c r="C1638" s="1" t="n">
        <v>45795</v>
      </c>
      <c r="D1638" t="inlineStr">
        <is>
          <t>JÄMTLANDS LÄN</t>
        </is>
      </c>
      <c r="E1638" t="inlineStr">
        <is>
          <t>STRÖMSUND</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31503-2022</t>
        </is>
      </c>
      <c r="B1639" s="1" t="n">
        <v>44775</v>
      </c>
      <c r="C1639" s="1" t="n">
        <v>45795</v>
      </c>
      <c r="D1639" t="inlineStr">
        <is>
          <t>JÄMTLANDS LÄN</t>
        </is>
      </c>
      <c r="E1639" t="inlineStr">
        <is>
          <t>STRÖMSUND</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31499-2022</t>
        </is>
      </c>
      <c r="B1640" s="1" t="n">
        <v>44775</v>
      </c>
      <c r="C1640" s="1" t="n">
        <v>45795</v>
      </c>
      <c r="D1640" t="inlineStr">
        <is>
          <t>JÄMTLANDS LÄN</t>
        </is>
      </c>
      <c r="E1640" t="inlineStr">
        <is>
          <t>STRÖMSUND</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31504-2022</t>
        </is>
      </c>
      <c r="B1641" s="1" t="n">
        <v>44775</v>
      </c>
      <c r="C1641" s="1" t="n">
        <v>45795</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31508-2022</t>
        </is>
      </c>
      <c r="B1642" s="1" t="n">
        <v>44775</v>
      </c>
      <c r="C1642" s="1" t="n">
        <v>45795</v>
      </c>
      <c r="D1642" t="inlineStr">
        <is>
          <t>JÄMTLANDS LÄN</t>
        </is>
      </c>
      <c r="E1642" t="inlineStr">
        <is>
          <t>STRÖMSUND</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31502-2022</t>
        </is>
      </c>
      <c r="B1643" s="1" t="n">
        <v>44775</v>
      </c>
      <c r="C1643" s="1" t="n">
        <v>45795</v>
      </c>
      <c r="D1643" t="inlineStr">
        <is>
          <t>JÄMTLANDS LÄN</t>
        </is>
      </c>
      <c r="E1643" t="inlineStr">
        <is>
          <t>STRÖMSUND</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31506-2022</t>
        </is>
      </c>
      <c r="B1644" s="1" t="n">
        <v>44774</v>
      </c>
      <c r="C1644" s="1" t="n">
        <v>45795</v>
      </c>
      <c r="D1644" t="inlineStr">
        <is>
          <t>JÄMTLANDS LÄN</t>
        </is>
      </c>
      <c r="E1644" t="inlineStr">
        <is>
          <t>STRÖMSUND</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31507-2022</t>
        </is>
      </c>
      <c r="B1645" s="1" t="n">
        <v>44774</v>
      </c>
      <c r="C1645" s="1" t="n">
        <v>45795</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31519-2022</t>
        </is>
      </c>
      <c r="B1646" s="1" t="n">
        <v>44775</v>
      </c>
      <c r="C1646" s="1" t="n">
        <v>45795</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31657-2022</t>
        </is>
      </c>
      <c r="B1647" s="1" t="n">
        <v>44776</v>
      </c>
      <c r="C1647" s="1" t="n">
        <v>45795</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31849-2022</t>
        </is>
      </c>
      <c r="B1648" s="1" t="n">
        <v>44777</v>
      </c>
      <c r="C1648" s="1" t="n">
        <v>45795</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31852-2022</t>
        </is>
      </c>
      <c r="B1649" s="1" t="n">
        <v>44776</v>
      </c>
      <c r="C1649" s="1" t="n">
        <v>45795</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31846-2022</t>
        </is>
      </c>
      <c r="B1650" s="1" t="n">
        <v>44777</v>
      </c>
      <c r="C1650" s="1" t="n">
        <v>45795</v>
      </c>
      <c r="D1650" t="inlineStr">
        <is>
          <t>JÄMTLANDS LÄN</t>
        </is>
      </c>
      <c r="E1650" t="inlineStr">
        <is>
          <t>STRÖMSUND</t>
        </is>
      </c>
      <c r="F1650" t="inlineStr">
        <is>
          <t>SCA</t>
        </is>
      </c>
      <c r="G1650" t="n">
        <v>19.1</v>
      </c>
      <c r="H1650" t="n">
        <v>0</v>
      </c>
      <c r="I1650" t="n">
        <v>0</v>
      </c>
      <c r="J1650" t="n">
        <v>0</v>
      </c>
      <c r="K1650" t="n">
        <v>0</v>
      </c>
      <c r="L1650" t="n">
        <v>0</v>
      </c>
      <c r="M1650" t="n">
        <v>0</v>
      </c>
      <c r="N1650" t="n">
        <v>0</v>
      </c>
      <c r="O1650" t="n">
        <v>0</v>
      </c>
      <c r="P1650" t="n">
        <v>0</v>
      </c>
      <c r="Q1650" t="n">
        <v>0</v>
      </c>
      <c r="R1650" s="2" t="inlineStr"/>
    </row>
    <row r="1651" ht="15" customHeight="1">
      <c r="A1651" t="inlineStr">
        <is>
          <t>A 32128-2022</t>
        </is>
      </c>
      <c r="B1651" s="1" t="n">
        <v>44779</v>
      </c>
      <c r="C1651" s="1" t="n">
        <v>45795</v>
      </c>
      <c r="D1651" t="inlineStr">
        <is>
          <t>JÄMTLANDS LÄN</t>
        </is>
      </c>
      <c r="E1651" t="inlineStr">
        <is>
          <t>STRÖMSUND</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32125-2022</t>
        </is>
      </c>
      <c r="B1652" s="1" t="n">
        <v>44778</v>
      </c>
      <c r="C1652" s="1" t="n">
        <v>45795</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32349-2022</t>
        </is>
      </c>
      <c r="B1653" s="1" t="n">
        <v>44782</v>
      </c>
      <c r="C1653" s="1" t="n">
        <v>45795</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32357-2022</t>
        </is>
      </c>
      <c r="B1654" s="1" t="n">
        <v>44782</v>
      </c>
      <c r="C1654" s="1" t="n">
        <v>45795</v>
      </c>
      <c r="D1654" t="inlineStr">
        <is>
          <t>JÄMTLANDS LÄN</t>
        </is>
      </c>
      <c r="E1654" t="inlineStr">
        <is>
          <t>STRÖMSUND</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32360-2022</t>
        </is>
      </c>
      <c r="B1655" s="1" t="n">
        <v>44782</v>
      </c>
      <c r="C1655" s="1" t="n">
        <v>45795</v>
      </c>
      <c r="D1655" t="inlineStr">
        <is>
          <t>JÄMTLANDS LÄN</t>
        </is>
      </c>
      <c r="E1655" t="inlineStr">
        <is>
          <t>STRÖMSUND</t>
        </is>
      </c>
      <c r="F1655" t="inlineStr">
        <is>
          <t>SCA</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32153-2022</t>
        </is>
      </c>
      <c r="B1656" s="1" t="n">
        <v>44781</v>
      </c>
      <c r="C1656" s="1" t="n">
        <v>45795</v>
      </c>
      <c r="D1656" t="inlineStr">
        <is>
          <t>JÄMTLANDS LÄN</t>
        </is>
      </c>
      <c r="E1656" t="inlineStr">
        <is>
          <t>STRÖMSUND</t>
        </is>
      </c>
      <c r="G1656" t="n">
        <v>27.4</v>
      </c>
      <c r="H1656" t="n">
        <v>0</v>
      </c>
      <c r="I1656" t="n">
        <v>0</v>
      </c>
      <c r="J1656" t="n">
        <v>0</v>
      </c>
      <c r="K1656" t="n">
        <v>0</v>
      </c>
      <c r="L1656" t="n">
        <v>0</v>
      </c>
      <c r="M1656" t="n">
        <v>0</v>
      </c>
      <c r="N1656" t="n">
        <v>0</v>
      </c>
      <c r="O1656" t="n">
        <v>0</v>
      </c>
      <c r="P1656" t="n">
        <v>0</v>
      </c>
      <c r="Q1656" t="n">
        <v>0</v>
      </c>
      <c r="R1656" s="2" t="inlineStr"/>
    </row>
    <row r="1657" ht="15" customHeight="1">
      <c r="A1657" t="inlineStr">
        <is>
          <t>A 32362-2022</t>
        </is>
      </c>
      <c r="B1657" s="1" t="n">
        <v>44782</v>
      </c>
      <c r="C1657" s="1" t="n">
        <v>45795</v>
      </c>
      <c r="D1657" t="inlineStr">
        <is>
          <t>JÄMTLANDS LÄN</t>
        </is>
      </c>
      <c r="E1657" t="inlineStr">
        <is>
          <t>STRÖMSUND</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32528-2022</t>
        </is>
      </c>
      <c r="B1658" s="1" t="n">
        <v>44783</v>
      </c>
      <c r="C1658" s="1" t="n">
        <v>45795</v>
      </c>
      <c r="D1658" t="inlineStr">
        <is>
          <t>JÄMTLANDS LÄN</t>
        </is>
      </c>
      <c r="E1658" t="inlineStr">
        <is>
          <t>STRÖMSUND</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32865-2022</t>
        </is>
      </c>
      <c r="B1659" s="1" t="n">
        <v>44784</v>
      </c>
      <c r="C1659" s="1" t="n">
        <v>45795</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32932-2022</t>
        </is>
      </c>
      <c r="B1660" s="1" t="n">
        <v>44784</v>
      </c>
      <c r="C1660" s="1" t="n">
        <v>45795</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32883-2022</t>
        </is>
      </c>
      <c r="B1661" s="1" t="n">
        <v>44784</v>
      </c>
      <c r="C1661" s="1" t="n">
        <v>45795</v>
      </c>
      <c r="D1661" t="inlineStr">
        <is>
          <t>JÄMTLANDS LÄN</t>
        </is>
      </c>
      <c r="E1661" t="inlineStr">
        <is>
          <t>STRÖMSUND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32978-2022</t>
        </is>
      </c>
      <c r="B1662" s="1" t="n">
        <v>44785</v>
      </c>
      <c r="C1662" s="1" t="n">
        <v>45795</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32996-2022</t>
        </is>
      </c>
      <c r="B1663" s="1" t="n">
        <v>44784</v>
      </c>
      <c r="C1663" s="1" t="n">
        <v>45795</v>
      </c>
      <c r="D1663" t="inlineStr">
        <is>
          <t>JÄMTLANDS LÄN</t>
        </is>
      </c>
      <c r="E1663" t="inlineStr">
        <is>
          <t>STRÖMSUND</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32997-2022</t>
        </is>
      </c>
      <c r="B1664" s="1" t="n">
        <v>44785</v>
      </c>
      <c r="C1664" s="1" t="n">
        <v>45795</v>
      </c>
      <c r="D1664" t="inlineStr">
        <is>
          <t>JÄMTLANDS LÄN</t>
        </is>
      </c>
      <c r="E1664" t="inlineStr">
        <is>
          <t>STRÖMSUND</t>
        </is>
      </c>
      <c r="F1664" t="inlineStr">
        <is>
          <t>SCA</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33054-2022</t>
        </is>
      </c>
      <c r="B1665" s="1" t="n">
        <v>44785</v>
      </c>
      <c r="C1665" s="1" t="n">
        <v>45795</v>
      </c>
      <c r="D1665" t="inlineStr">
        <is>
          <t>JÄMTLANDS LÄN</t>
        </is>
      </c>
      <c r="E1665" t="inlineStr">
        <is>
          <t>STRÖMSUND</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33223-2022</t>
        </is>
      </c>
      <c r="B1666" s="1" t="n">
        <v>44785</v>
      </c>
      <c r="C1666" s="1" t="n">
        <v>45795</v>
      </c>
      <c r="D1666" t="inlineStr">
        <is>
          <t>JÄMTLANDS LÄN</t>
        </is>
      </c>
      <c r="E1666" t="inlineStr">
        <is>
          <t>STRÖMSUND</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33219-2022</t>
        </is>
      </c>
      <c r="B1667" s="1" t="n">
        <v>44786</v>
      </c>
      <c r="C1667" s="1" t="n">
        <v>45795</v>
      </c>
      <c r="D1667" t="inlineStr">
        <is>
          <t>JÄMTLANDS LÄN</t>
        </is>
      </c>
      <c r="E1667" t="inlineStr">
        <is>
          <t>STRÖMSUND</t>
        </is>
      </c>
      <c r="F1667" t="inlineStr">
        <is>
          <t>SCA</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33225-2022</t>
        </is>
      </c>
      <c r="B1668" s="1" t="n">
        <v>44786</v>
      </c>
      <c r="C1668" s="1" t="n">
        <v>45795</v>
      </c>
      <c r="D1668" t="inlineStr">
        <is>
          <t>JÄMTLANDS LÄN</t>
        </is>
      </c>
      <c r="E1668" t="inlineStr">
        <is>
          <t>STRÖMSUND</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33231-2022</t>
        </is>
      </c>
      <c r="B1669" s="1" t="n">
        <v>44786</v>
      </c>
      <c r="C1669" s="1" t="n">
        <v>45795</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33224-2022</t>
        </is>
      </c>
      <c r="B1670" s="1" t="n">
        <v>44785</v>
      </c>
      <c r="C1670" s="1" t="n">
        <v>45795</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33230-2022</t>
        </is>
      </c>
      <c r="B1671" s="1" t="n">
        <v>44786</v>
      </c>
      <c r="C1671" s="1" t="n">
        <v>45795</v>
      </c>
      <c r="D1671" t="inlineStr">
        <is>
          <t>JÄMTLANDS LÄN</t>
        </is>
      </c>
      <c r="E1671" t="inlineStr">
        <is>
          <t>STRÖMSUND</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33501-2022</t>
        </is>
      </c>
      <c r="B1672" s="1" t="n">
        <v>44788</v>
      </c>
      <c r="C1672" s="1" t="n">
        <v>45795</v>
      </c>
      <c r="D1672" t="inlineStr">
        <is>
          <t>JÄMTLANDS LÄN</t>
        </is>
      </c>
      <c r="E1672" t="inlineStr">
        <is>
          <t>STRÖMSUND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33502-2022</t>
        </is>
      </c>
      <c r="B1673" s="1" t="n">
        <v>44789</v>
      </c>
      <c r="C1673" s="1" t="n">
        <v>45795</v>
      </c>
      <c r="D1673" t="inlineStr">
        <is>
          <t>JÄMTLANDS LÄN</t>
        </is>
      </c>
      <c r="E1673" t="inlineStr">
        <is>
          <t>STRÖMSUND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33520-2022</t>
        </is>
      </c>
      <c r="B1674" s="1" t="n">
        <v>44789</v>
      </c>
      <c r="C1674" s="1" t="n">
        <v>45795</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33732-2022</t>
        </is>
      </c>
      <c r="B1675" s="1" t="n">
        <v>44790</v>
      </c>
      <c r="C1675" s="1" t="n">
        <v>45795</v>
      </c>
      <c r="D1675" t="inlineStr">
        <is>
          <t>JÄMTLANDS LÄN</t>
        </is>
      </c>
      <c r="E1675" t="inlineStr">
        <is>
          <t>STRÖMSUND</t>
        </is>
      </c>
      <c r="F1675" t="inlineStr">
        <is>
          <t>SCA</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33728-2022</t>
        </is>
      </c>
      <c r="B1676" s="1" t="n">
        <v>44790</v>
      </c>
      <c r="C1676" s="1" t="n">
        <v>45795</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33730-2022</t>
        </is>
      </c>
      <c r="B1677" s="1" t="n">
        <v>44790</v>
      </c>
      <c r="C1677" s="1" t="n">
        <v>45795</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33876-2022</t>
        </is>
      </c>
      <c r="B1678" s="1" t="n">
        <v>44790</v>
      </c>
      <c r="C1678" s="1" t="n">
        <v>45795</v>
      </c>
      <c r="D1678" t="inlineStr">
        <is>
          <t>JÄMTLANDS LÄN</t>
        </is>
      </c>
      <c r="E1678" t="inlineStr">
        <is>
          <t>STRÖMSUND</t>
        </is>
      </c>
      <c r="F1678" t="inlineStr">
        <is>
          <t>Holmen skog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33987-2022</t>
        </is>
      </c>
      <c r="B1679" s="1" t="n">
        <v>44790</v>
      </c>
      <c r="C1679" s="1" t="n">
        <v>45795</v>
      </c>
      <c r="D1679" t="inlineStr">
        <is>
          <t>JÄMTLANDS LÄN</t>
        </is>
      </c>
      <c r="E1679" t="inlineStr">
        <is>
          <t>STRÖMSUND</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34008-2022</t>
        </is>
      </c>
      <c r="B1680" s="1" t="n">
        <v>44791</v>
      </c>
      <c r="C1680" s="1" t="n">
        <v>45795</v>
      </c>
      <c r="D1680" t="inlineStr">
        <is>
          <t>JÄMTLANDS LÄN</t>
        </is>
      </c>
      <c r="E1680" t="inlineStr">
        <is>
          <t>STRÖMSUND</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33988-2022</t>
        </is>
      </c>
      <c r="B1681" s="1" t="n">
        <v>44790</v>
      </c>
      <c r="C1681" s="1" t="n">
        <v>45795</v>
      </c>
      <c r="D1681" t="inlineStr">
        <is>
          <t>JÄMTLANDS LÄN</t>
        </is>
      </c>
      <c r="E1681" t="inlineStr">
        <is>
          <t>STRÖMSUND</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34004-2022</t>
        </is>
      </c>
      <c r="B1682" s="1" t="n">
        <v>44791</v>
      </c>
      <c r="C1682" s="1" t="n">
        <v>45795</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33985-2022</t>
        </is>
      </c>
      <c r="B1683" s="1" t="n">
        <v>44790</v>
      </c>
      <c r="C1683" s="1" t="n">
        <v>45795</v>
      </c>
      <c r="D1683" t="inlineStr">
        <is>
          <t>JÄMTLANDS LÄN</t>
        </is>
      </c>
      <c r="E1683" t="inlineStr">
        <is>
          <t>STRÖMSUND</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34023-2022</t>
        </is>
      </c>
      <c r="B1684" s="1" t="n">
        <v>44790</v>
      </c>
      <c r="C1684" s="1" t="n">
        <v>45795</v>
      </c>
      <c r="D1684" t="inlineStr">
        <is>
          <t>JÄMTLANDS LÄN</t>
        </is>
      </c>
      <c r="E1684" t="inlineStr">
        <is>
          <t>STRÖMSUND</t>
        </is>
      </c>
      <c r="G1684" t="n">
        <v>34.5</v>
      </c>
      <c r="H1684" t="n">
        <v>0</v>
      </c>
      <c r="I1684" t="n">
        <v>0</v>
      </c>
      <c r="J1684" t="n">
        <v>0</v>
      </c>
      <c r="K1684" t="n">
        <v>0</v>
      </c>
      <c r="L1684" t="n">
        <v>0</v>
      </c>
      <c r="M1684" t="n">
        <v>0</v>
      </c>
      <c r="N1684" t="n">
        <v>0</v>
      </c>
      <c r="O1684" t="n">
        <v>0</v>
      </c>
      <c r="P1684" t="n">
        <v>0</v>
      </c>
      <c r="Q1684" t="n">
        <v>0</v>
      </c>
      <c r="R1684" s="2" t="inlineStr"/>
    </row>
    <row r="1685" ht="15" customHeight="1">
      <c r="A1685" t="inlineStr">
        <is>
          <t>A 34005-2022</t>
        </is>
      </c>
      <c r="B1685" s="1" t="n">
        <v>44791</v>
      </c>
      <c r="C1685" s="1" t="n">
        <v>45795</v>
      </c>
      <c r="D1685" t="inlineStr">
        <is>
          <t>JÄMTLANDS LÄN</t>
        </is>
      </c>
      <c r="E1685" t="inlineStr">
        <is>
          <t>STRÖMSUND</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34011-2022</t>
        </is>
      </c>
      <c r="B1686" s="1" t="n">
        <v>44790</v>
      </c>
      <c r="C1686" s="1" t="n">
        <v>45795</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34245-2022</t>
        </is>
      </c>
      <c r="B1687" s="1" t="n">
        <v>44792</v>
      </c>
      <c r="C1687" s="1" t="n">
        <v>45795</v>
      </c>
      <c r="D1687" t="inlineStr">
        <is>
          <t>JÄMTLANDS LÄN</t>
        </is>
      </c>
      <c r="E1687" t="inlineStr">
        <is>
          <t>STRÖMSUND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34243-2022</t>
        </is>
      </c>
      <c r="B1688" s="1" t="n">
        <v>44792</v>
      </c>
      <c r="C1688" s="1" t="n">
        <v>45795</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34247-2022</t>
        </is>
      </c>
      <c r="B1689" s="1" t="n">
        <v>44792</v>
      </c>
      <c r="C1689" s="1" t="n">
        <v>45795</v>
      </c>
      <c r="D1689" t="inlineStr">
        <is>
          <t>JÄMTLANDS LÄN</t>
        </is>
      </c>
      <c r="E1689" t="inlineStr">
        <is>
          <t>STRÖMSUND</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34251-2022</t>
        </is>
      </c>
      <c r="B1690" s="1" t="n">
        <v>44792</v>
      </c>
      <c r="C1690" s="1" t="n">
        <v>45795</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34244-2022</t>
        </is>
      </c>
      <c r="B1691" s="1" t="n">
        <v>44791</v>
      </c>
      <c r="C1691" s="1" t="n">
        <v>45795</v>
      </c>
      <c r="D1691" t="inlineStr">
        <is>
          <t>JÄMTLANDS LÄN</t>
        </is>
      </c>
      <c r="E1691" t="inlineStr">
        <is>
          <t>STRÖMSUND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34264-2022</t>
        </is>
      </c>
      <c r="B1692" s="1" t="n">
        <v>44791</v>
      </c>
      <c r="C1692" s="1" t="n">
        <v>45795</v>
      </c>
      <c r="D1692" t="inlineStr">
        <is>
          <t>JÄMTLANDS LÄN</t>
        </is>
      </c>
      <c r="E1692" t="inlineStr">
        <is>
          <t>STRÖMSUND</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34294-2022</t>
        </is>
      </c>
      <c r="B1693" s="1" t="n">
        <v>44792</v>
      </c>
      <c r="C1693" s="1" t="n">
        <v>45795</v>
      </c>
      <c r="D1693" t="inlineStr">
        <is>
          <t>JÄMTLANDS LÄN</t>
        </is>
      </c>
      <c r="E1693" t="inlineStr">
        <is>
          <t>STRÖMSUND</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34293-2022</t>
        </is>
      </c>
      <c r="B1694" s="1" t="n">
        <v>44792</v>
      </c>
      <c r="C1694" s="1" t="n">
        <v>45795</v>
      </c>
      <c r="D1694" t="inlineStr">
        <is>
          <t>JÄMTLANDS LÄN</t>
        </is>
      </c>
      <c r="E1694" t="inlineStr">
        <is>
          <t>STRÖMSUND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34512-2022</t>
        </is>
      </c>
      <c r="B1695" s="1" t="n">
        <v>44793</v>
      </c>
      <c r="C1695" s="1" t="n">
        <v>45795</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34522-2022</t>
        </is>
      </c>
      <c r="B1696" s="1" t="n">
        <v>44793</v>
      </c>
      <c r="C1696" s="1" t="n">
        <v>45795</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34523-2022</t>
        </is>
      </c>
      <c r="B1697" s="1" t="n">
        <v>44793</v>
      </c>
      <c r="C1697" s="1" t="n">
        <v>45795</v>
      </c>
      <c r="D1697" t="inlineStr">
        <is>
          <t>JÄMTLANDS LÄN</t>
        </is>
      </c>
      <c r="E1697" t="inlineStr">
        <is>
          <t>STRÖMSUND</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34524-2022</t>
        </is>
      </c>
      <c r="B1698" s="1" t="n">
        <v>44793</v>
      </c>
      <c r="C1698" s="1" t="n">
        <v>45795</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34521-2022</t>
        </is>
      </c>
      <c r="B1699" s="1" t="n">
        <v>44793</v>
      </c>
      <c r="C1699" s="1" t="n">
        <v>45795</v>
      </c>
      <c r="D1699" t="inlineStr">
        <is>
          <t>JÄMTLANDS LÄN</t>
        </is>
      </c>
      <c r="E1699" t="inlineStr">
        <is>
          <t>STRÖMSUND</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34525-2022</t>
        </is>
      </c>
      <c r="B1700" s="1" t="n">
        <v>44793</v>
      </c>
      <c r="C1700" s="1" t="n">
        <v>45795</v>
      </c>
      <c r="D1700" t="inlineStr">
        <is>
          <t>JÄMTLANDS LÄN</t>
        </is>
      </c>
      <c r="E1700" t="inlineStr">
        <is>
          <t>STRÖMSUND</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34550-2022</t>
        </is>
      </c>
      <c r="B1701" s="1" t="n">
        <v>44793</v>
      </c>
      <c r="C1701" s="1" t="n">
        <v>45795</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34805-2022</t>
        </is>
      </c>
      <c r="B1702" s="1" t="n">
        <v>44796</v>
      </c>
      <c r="C1702" s="1" t="n">
        <v>45795</v>
      </c>
      <c r="D1702" t="inlineStr">
        <is>
          <t>JÄMTLANDS LÄN</t>
        </is>
      </c>
      <c r="E1702" t="inlineStr">
        <is>
          <t>STRÖMSUND</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34890-2022</t>
        </is>
      </c>
      <c r="B1703" s="1" t="n">
        <v>44796</v>
      </c>
      <c r="C1703" s="1" t="n">
        <v>45795</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34920-2022</t>
        </is>
      </c>
      <c r="B1704" s="1" t="n">
        <v>44796</v>
      </c>
      <c r="C1704" s="1" t="n">
        <v>45795</v>
      </c>
      <c r="D1704" t="inlineStr">
        <is>
          <t>JÄMTLANDS LÄN</t>
        </is>
      </c>
      <c r="E1704" t="inlineStr">
        <is>
          <t>STRÖMSUND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35015-2022</t>
        </is>
      </c>
      <c r="B1705" s="1" t="n">
        <v>44797</v>
      </c>
      <c r="C1705" s="1" t="n">
        <v>45795</v>
      </c>
      <c r="D1705" t="inlineStr">
        <is>
          <t>JÄMTLANDS LÄN</t>
        </is>
      </c>
      <c r="E1705" t="inlineStr">
        <is>
          <t>STRÖMSUND</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35221-2022</t>
        </is>
      </c>
      <c r="B1706" s="1" t="n">
        <v>44798</v>
      </c>
      <c r="C1706" s="1" t="n">
        <v>45795</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35233-2022</t>
        </is>
      </c>
      <c r="B1707" s="1" t="n">
        <v>44797</v>
      </c>
      <c r="C1707" s="1" t="n">
        <v>45795</v>
      </c>
      <c r="D1707" t="inlineStr">
        <is>
          <t>JÄMTLANDS LÄN</t>
        </is>
      </c>
      <c r="E1707" t="inlineStr">
        <is>
          <t>STRÖMSUND</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35240-2022</t>
        </is>
      </c>
      <c r="B1708" s="1" t="n">
        <v>44797</v>
      </c>
      <c r="C1708" s="1" t="n">
        <v>45795</v>
      </c>
      <c r="D1708" t="inlineStr">
        <is>
          <t>JÄMTLANDS LÄN</t>
        </is>
      </c>
      <c r="E1708" t="inlineStr">
        <is>
          <t>STRÖMSUND</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35241-2022</t>
        </is>
      </c>
      <c r="B1709" s="1" t="n">
        <v>44797</v>
      </c>
      <c r="C1709" s="1" t="n">
        <v>45795</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35308-2022</t>
        </is>
      </c>
      <c r="B1710" s="1" t="n">
        <v>44798</v>
      </c>
      <c r="C1710" s="1" t="n">
        <v>45795</v>
      </c>
      <c r="D1710" t="inlineStr">
        <is>
          <t>JÄMTLANDS LÄN</t>
        </is>
      </c>
      <c r="E1710" t="inlineStr">
        <is>
          <t>STRÖMSUND</t>
        </is>
      </c>
      <c r="F1710" t="inlineStr">
        <is>
          <t>Kommuner</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35295-2022</t>
        </is>
      </c>
      <c r="B1711" s="1" t="n">
        <v>44798</v>
      </c>
      <c r="C1711" s="1" t="n">
        <v>45795</v>
      </c>
      <c r="D1711" t="inlineStr">
        <is>
          <t>JÄMTLANDS LÄN</t>
        </is>
      </c>
      <c r="E1711" t="inlineStr">
        <is>
          <t>STRÖMSUND</t>
        </is>
      </c>
      <c r="F1711" t="inlineStr">
        <is>
          <t>Kommuner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35321-2022</t>
        </is>
      </c>
      <c r="B1712" s="1" t="n">
        <v>44798</v>
      </c>
      <c r="C1712" s="1" t="n">
        <v>45795</v>
      </c>
      <c r="D1712" t="inlineStr">
        <is>
          <t>JÄMTLANDS LÄN</t>
        </is>
      </c>
      <c r="E1712" t="inlineStr">
        <is>
          <t>STRÖMSUND</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35329-2022</t>
        </is>
      </c>
      <c r="B1713" s="1" t="n">
        <v>44798</v>
      </c>
      <c r="C1713" s="1" t="n">
        <v>45795</v>
      </c>
      <c r="D1713" t="inlineStr">
        <is>
          <t>JÄMTLANDS LÄN</t>
        </is>
      </c>
      <c r="E1713" t="inlineStr">
        <is>
          <t>STRÖMSUND</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35377-2022</t>
        </is>
      </c>
      <c r="B1714" s="1" t="n">
        <v>44798</v>
      </c>
      <c r="C1714" s="1" t="n">
        <v>45795</v>
      </c>
      <c r="D1714" t="inlineStr">
        <is>
          <t>JÄMTLANDS LÄN</t>
        </is>
      </c>
      <c r="E1714" t="inlineStr">
        <is>
          <t>STRÖMSUND</t>
        </is>
      </c>
      <c r="F1714" t="inlineStr">
        <is>
          <t>Kommuner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35375-2022</t>
        </is>
      </c>
      <c r="B1715" s="1" t="n">
        <v>44798</v>
      </c>
      <c r="C1715" s="1" t="n">
        <v>45795</v>
      </c>
      <c r="D1715" t="inlineStr">
        <is>
          <t>JÄMTLANDS LÄN</t>
        </is>
      </c>
      <c r="E1715" t="inlineStr">
        <is>
          <t>STRÖMSUND</t>
        </is>
      </c>
      <c r="F1715" t="inlineStr">
        <is>
          <t>Kommuner</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35694-2022</t>
        </is>
      </c>
      <c r="B1716" s="1" t="n">
        <v>44799</v>
      </c>
      <c r="C1716" s="1" t="n">
        <v>45795</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35743-2022</t>
        </is>
      </c>
      <c r="B1717" s="1" t="n">
        <v>44800</v>
      </c>
      <c r="C1717" s="1" t="n">
        <v>45795</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35989-2022</t>
        </is>
      </c>
      <c r="B1718" s="1" t="n">
        <v>44802</v>
      </c>
      <c r="C1718" s="1" t="n">
        <v>45795</v>
      </c>
      <c r="D1718" t="inlineStr">
        <is>
          <t>JÄMTLANDS LÄN</t>
        </is>
      </c>
      <c r="E1718" t="inlineStr">
        <is>
          <t>STRÖMSUND</t>
        </is>
      </c>
      <c r="F1718" t="inlineStr">
        <is>
          <t>Sveaskog</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35853-2022</t>
        </is>
      </c>
      <c r="B1719" s="1" t="n">
        <v>44802</v>
      </c>
      <c r="C1719" s="1" t="n">
        <v>45795</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35850-2022</t>
        </is>
      </c>
      <c r="B1720" s="1" t="n">
        <v>44802</v>
      </c>
      <c r="C1720" s="1" t="n">
        <v>45795</v>
      </c>
      <c r="D1720" t="inlineStr">
        <is>
          <t>JÄMTLANDS LÄN</t>
        </is>
      </c>
      <c r="E1720" t="inlineStr">
        <is>
          <t>STRÖMSUND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35972-2022</t>
        </is>
      </c>
      <c r="B1721" s="1" t="n">
        <v>44802</v>
      </c>
      <c r="C1721" s="1" t="n">
        <v>45795</v>
      </c>
      <c r="D1721" t="inlineStr">
        <is>
          <t>JÄMTLANDS LÄN</t>
        </is>
      </c>
      <c r="E1721" t="inlineStr">
        <is>
          <t>STRÖMSUND</t>
        </is>
      </c>
      <c r="F1721" t="inlineStr">
        <is>
          <t>Sveaskog</t>
        </is>
      </c>
      <c r="G1721" t="n">
        <v>22.9</v>
      </c>
      <c r="H1721" t="n">
        <v>0</v>
      </c>
      <c r="I1721" t="n">
        <v>0</v>
      </c>
      <c r="J1721" t="n">
        <v>0</v>
      </c>
      <c r="K1721" t="n">
        <v>0</v>
      </c>
      <c r="L1721" t="n">
        <v>0</v>
      </c>
      <c r="M1721" t="n">
        <v>0</v>
      </c>
      <c r="N1721" t="n">
        <v>0</v>
      </c>
      <c r="O1721" t="n">
        <v>0</v>
      </c>
      <c r="P1721" t="n">
        <v>0</v>
      </c>
      <c r="Q1721" t="n">
        <v>0</v>
      </c>
      <c r="R1721" s="2" t="inlineStr"/>
    </row>
    <row r="1722" ht="15" customHeight="1">
      <c r="A1722" t="inlineStr">
        <is>
          <t>A 36079-2022</t>
        </is>
      </c>
      <c r="B1722" s="1" t="n">
        <v>44803</v>
      </c>
      <c r="C1722" s="1" t="n">
        <v>45795</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35971-2022</t>
        </is>
      </c>
      <c r="B1723" s="1" t="n">
        <v>44802</v>
      </c>
      <c r="C1723" s="1" t="n">
        <v>45795</v>
      </c>
      <c r="D1723" t="inlineStr">
        <is>
          <t>JÄMTLANDS LÄN</t>
        </is>
      </c>
      <c r="E1723" t="inlineStr">
        <is>
          <t>STRÖMSUND</t>
        </is>
      </c>
      <c r="F1723" t="inlineStr">
        <is>
          <t>Sveaskog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36096-2022</t>
        </is>
      </c>
      <c r="B1724" s="1" t="n">
        <v>44803</v>
      </c>
      <c r="C1724" s="1" t="n">
        <v>45795</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36369-2022</t>
        </is>
      </c>
      <c r="B1725" s="1" t="n">
        <v>44804</v>
      </c>
      <c r="C1725" s="1" t="n">
        <v>45795</v>
      </c>
      <c r="D1725" t="inlineStr">
        <is>
          <t>JÄMTLANDS LÄN</t>
        </is>
      </c>
      <c r="E1725" t="inlineStr">
        <is>
          <t>STRÖMSUND</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36374-2022</t>
        </is>
      </c>
      <c r="B1726" s="1" t="n">
        <v>44804</v>
      </c>
      <c r="C1726" s="1" t="n">
        <v>45795</v>
      </c>
      <c r="D1726" t="inlineStr">
        <is>
          <t>JÄMTLANDS LÄN</t>
        </is>
      </c>
      <c r="E1726" t="inlineStr">
        <is>
          <t>STRÖMSUND</t>
        </is>
      </c>
      <c r="F1726" t="inlineStr">
        <is>
          <t>SCA</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36275-2022</t>
        </is>
      </c>
      <c r="B1727" s="1" t="n">
        <v>44803</v>
      </c>
      <c r="C1727" s="1" t="n">
        <v>45795</v>
      </c>
      <c r="D1727" t="inlineStr">
        <is>
          <t>JÄMTLANDS LÄN</t>
        </is>
      </c>
      <c r="E1727" t="inlineStr">
        <is>
          <t>STRÖMSUND</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36383-2022</t>
        </is>
      </c>
      <c r="B1728" s="1" t="n">
        <v>44804</v>
      </c>
      <c r="C1728" s="1" t="n">
        <v>45795</v>
      </c>
      <c r="D1728" t="inlineStr">
        <is>
          <t>JÄMTLANDS LÄN</t>
        </is>
      </c>
      <c r="E1728" t="inlineStr">
        <is>
          <t>STRÖMSUND</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36390-2022</t>
        </is>
      </c>
      <c r="B1729" s="1" t="n">
        <v>44804</v>
      </c>
      <c r="C1729" s="1" t="n">
        <v>45795</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36384-2022</t>
        </is>
      </c>
      <c r="B1730" s="1" t="n">
        <v>44804</v>
      </c>
      <c r="C1730" s="1" t="n">
        <v>45795</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36372-2022</t>
        </is>
      </c>
      <c r="B1731" s="1" t="n">
        <v>44804</v>
      </c>
      <c r="C1731" s="1" t="n">
        <v>45795</v>
      </c>
      <c r="D1731" t="inlineStr">
        <is>
          <t>JÄMTLANDS LÄN</t>
        </is>
      </c>
      <c r="E1731" t="inlineStr">
        <is>
          <t>STRÖMSUND</t>
        </is>
      </c>
      <c r="F1731" t="inlineStr">
        <is>
          <t>SCA</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36382-2022</t>
        </is>
      </c>
      <c r="B1732" s="1" t="n">
        <v>44803</v>
      </c>
      <c r="C1732" s="1" t="n">
        <v>45795</v>
      </c>
      <c r="D1732" t="inlineStr">
        <is>
          <t>JÄMTLANDS LÄN</t>
        </is>
      </c>
      <c r="E1732" t="inlineStr">
        <is>
          <t>STRÖMSUND</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36581-2022</t>
        </is>
      </c>
      <c r="B1733" s="1" t="n">
        <v>44804</v>
      </c>
      <c r="C1733" s="1" t="n">
        <v>45795</v>
      </c>
      <c r="D1733" t="inlineStr">
        <is>
          <t>JÄMTLANDS LÄN</t>
        </is>
      </c>
      <c r="E1733" t="inlineStr">
        <is>
          <t>STRÖMSUND</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36559-2022</t>
        </is>
      </c>
      <c r="B1734" s="1" t="n">
        <v>44804</v>
      </c>
      <c r="C1734" s="1" t="n">
        <v>45795</v>
      </c>
      <c r="D1734" t="inlineStr">
        <is>
          <t>JÄMTLANDS LÄN</t>
        </is>
      </c>
      <c r="E1734" t="inlineStr">
        <is>
          <t>STRÖMSUND</t>
        </is>
      </c>
      <c r="F1734" t="inlineStr">
        <is>
          <t>Holmen skog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36690-2022</t>
        </is>
      </c>
      <c r="B1735" s="1" t="n">
        <v>44805</v>
      </c>
      <c r="C1735" s="1" t="n">
        <v>45795</v>
      </c>
      <c r="D1735" t="inlineStr">
        <is>
          <t>JÄMTLANDS LÄN</t>
        </is>
      </c>
      <c r="E1735" t="inlineStr">
        <is>
          <t>STRÖMSUND</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36698-2022</t>
        </is>
      </c>
      <c r="B1736" s="1" t="n">
        <v>44805</v>
      </c>
      <c r="C1736" s="1" t="n">
        <v>45795</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36689-2022</t>
        </is>
      </c>
      <c r="B1737" s="1" t="n">
        <v>44804</v>
      </c>
      <c r="C1737" s="1" t="n">
        <v>45795</v>
      </c>
      <c r="D1737" t="inlineStr">
        <is>
          <t>JÄMTLANDS LÄN</t>
        </is>
      </c>
      <c r="E1737" t="inlineStr">
        <is>
          <t>STRÖMSUND</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36699-2022</t>
        </is>
      </c>
      <c r="B1738" s="1" t="n">
        <v>44805</v>
      </c>
      <c r="C1738" s="1" t="n">
        <v>45795</v>
      </c>
      <c r="D1738" t="inlineStr">
        <is>
          <t>JÄMTLANDS LÄN</t>
        </is>
      </c>
      <c r="E1738" t="inlineStr">
        <is>
          <t>STRÖMSUND</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37090-2022</t>
        </is>
      </c>
      <c r="B1739" s="1" t="n">
        <v>44806</v>
      </c>
      <c r="C1739" s="1" t="n">
        <v>45795</v>
      </c>
      <c r="D1739" t="inlineStr">
        <is>
          <t>JÄMTLANDS LÄN</t>
        </is>
      </c>
      <c r="E1739" t="inlineStr">
        <is>
          <t>STRÖMSUND</t>
        </is>
      </c>
      <c r="F1739" t="inlineStr">
        <is>
          <t>Kommuner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37100-2022</t>
        </is>
      </c>
      <c r="B1740" s="1" t="n">
        <v>44806</v>
      </c>
      <c r="C1740" s="1" t="n">
        <v>45795</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37107-2022</t>
        </is>
      </c>
      <c r="B1741" s="1" t="n">
        <v>44806</v>
      </c>
      <c r="C1741" s="1" t="n">
        <v>45795</v>
      </c>
      <c r="D1741" t="inlineStr">
        <is>
          <t>JÄMTLANDS LÄN</t>
        </is>
      </c>
      <c r="E1741" t="inlineStr">
        <is>
          <t>STRÖMSUND</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37084-2022</t>
        </is>
      </c>
      <c r="B1742" s="1" t="n">
        <v>44806</v>
      </c>
      <c r="C1742" s="1" t="n">
        <v>45795</v>
      </c>
      <c r="D1742" t="inlineStr">
        <is>
          <t>JÄMTLANDS LÄN</t>
        </is>
      </c>
      <c r="E1742" t="inlineStr">
        <is>
          <t>STRÖMSUND</t>
        </is>
      </c>
      <c r="F1742" t="inlineStr">
        <is>
          <t>Kommuner</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37093-2022</t>
        </is>
      </c>
      <c r="B1743" s="1" t="n">
        <v>44806</v>
      </c>
      <c r="C1743" s="1" t="n">
        <v>45795</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37097-2022</t>
        </is>
      </c>
      <c r="B1744" s="1" t="n">
        <v>44806</v>
      </c>
      <c r="C1744" s="1" t="n">
        <v>45795</v>
      </c>
      <c r="D1744" t="inlineStr">
        <is>
          <t>JÄMTLANDS LÄN</t>
        </is>
      </c>
      <c r="E1744" t="inlineStr">
        <is>
          <t>STRÖMSUND</t>
        </is>
      </c>
      <c r="F1744" t="inlineStr">
        <is>
          <t>Kommuner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37102-2022</t>
        </is>
      </c>
      <c r="B1745" s="1" t="n">
        <v>44806</v>
      </c>
      <c r="C1745" s="1" t="n">
        <v>45795</v>
      </c>
      <c r="D1745" t="inlineStr">
        <is>
          <t>JÄMTLANDS LÄN</t>
        </is>
      </c>
      <c r="E1745" t="inlineStr">
        <is>
          <t>STRÖMSUND</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37078-2022</t>
        </is>
      </c>
      <c r="B1746" s="1" t="n">
        <v>44806</v>
      </c>
      <c r="C1746" s="1" t="n">
        <v>45795</v>
      </c>
      <c r="D1746" t="inlineStr">
        <is>
          <t>JÄMTLANDS LÄN</t>
        </is>
      </c>
      <c r="E1746" t="inlineStr">
        <is>
          <t>STRÖMSUND</t>
        </is>
      </c>
      <c r="F1746" t="inlineStr">
        <is>
          <t>Kommuner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37104-2022</t>
        </is>
      </c>
      <c r="B1747" s="1" t="n">
        <v>44806</v>
      </c>
      <c r="C1747" s="1" t="n">
        <v>45795</v>
      </c>
      <c r="D1747" t="inlineStr">
        <is>
          <t>JÄMTLANDS LÄN</t>
        </is>
      </c>
      <c r="E1747" t="inlineStr">
        <is>
          <t>STRÖMSUND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37231-2022</t>
        </is>
      </c>
      <c r="B1748" s="1" t="n">
        <v>44806</v>
      </c>
      <c r="C1748" s="1" t="n">
        <v>45795</v>
      </c>
      <c r="D1748" t="inlineStr">
        <is>
          <t>JÄMTLANDS LÄN</t>
        </is>
      </c>
      <c r="E1748" t="inlineStr">
        <is>
          <t>STRÖMSUND</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37791-2022</t>
        </is>
      </c>
      <c r="B1749" s="1" t="n">
        <v>44810</v>
      </c>
      <c r="C1749" s="1" t="n">
        <v>45795</v>
      </c>
      <c r="D1749" t="inlineStr">
        <is>
          <t>JÄMTLANDS LÄN</t>
        </is>
      </c>
      <c r="E1749" t="inlineStr">
        <is>
          <t>STRÖMSUND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38415-2022</t>
        </is>
      </c>
      <c r="B1750" s="1" t="n">
        <v>44812</v>
      </c>
      <c r="C1750" s="1" t="n">
        <v>45795</v>
      </c>
      <c r="D1750" t="inlineStr">
        <is>
          <t>JÄMTLANDS LÄN</t>
        </is>
      </c>
      <c r="E1750" t="inlineStr">
        <is>
          <t>STRÖMSUND</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38414-2022</t>
        </is>
      </c>
      <c r="B1751" s="1" t="n">
        <v>44812</v>
      </c>
      <c r="C1751" s="1" t="n">
        <v>45795</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38413-2022</t>
        </is>
      </c>
      <c r="B1752" s="1" t="n">
        <v>44812</v>
      </c>
      <c r="C1752" s="1" t="n">
        <v>45795</v>
      </c>
      <c r="D1752" t="inlineStr">
        <is>
          <t>JÄMTLANDS LÄN</t>
        </is>
      </c>
      <c r="E1752" t="inlineStr">
        <is>
          <t>STRÖMSUND</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38661-2022</t>
        </is>
      </c>
      <c r="B1753" s="1" t="n">
        <v>44813</v>
      </c>
      <c r="C1753" s="1" t="n">
        <v>45795</v>
      </c>
      <c r="D1753" t="inlineStr">
        <is>
          <t>JÄMTLANDS LÄN</t>
        </is>
      </c>
      <c r="E1753" t="inlineStr">
        <is>
          <t>STRÖMSUND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39000-2022</t>
        </is>
      </c>
      <c r="B1754" s="1" t="n">
        <v>44817</v>
      </c>
      <c r="C1754" s="1" t="n">
        <v>45795</v>
      </c>
      <c r="D1754" t="inlineStr">
        <is>
          <t>JÄMTLANDS LÄN</t>
        </is>
      </c>
      <c r="E1754" t="inlineStr">
        <is>
          <t>STRÖMSUND</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39010-2022</t>
        </is>
      </c>
      <c r="B1755" s="1" t="n">
        <v>44816</v>
      </c>
      <c r="C1755" s="1" t="n">
        <v>45795</v>
      </c>
      <c r="D1755" t="inlineStr">
        <is>
          <t>JÄMTLANDS LÄN</t>
        </is>
      </c>
      <c r="E1755" t="inlineStr">
        <is>
          <t>STRÖMSUND</t>
        </is>
      </c>
      <c r="F1755" t="inlineStr">
        <is>
          <t>SCA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39007-2022</t>
        </is>
      </c>
      <c r="B1756" s="1" t="n">
        <v>44817</v>
      </c>
      <c r="C1756" s="1" t="n">
        <v>45795</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39009-2022</t>
        </is>
      </c>
      <c r="B1757" s="1" t="n">
        <v>44817</v>
      </c>
      <c r="C1757" s="1" t="n">
        <v>45795</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39388-2022</t>
        </is>
      </c>
      <c r="B1758" s="1" t="n">
        <v>44817</v>
      </c>
      <c r="C1758" s="1" t="n">
        <v>45795</v>
      </c>
      <c r="D1758" t="inlineStr">
        <is>
          <t>JÄMTLANDS LÄN</t>
        </is>
      </c>
      <c r="E1758" t="inlineStr">
        <is>
          <t>STRÖMSUND</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39689-2022</t>
        </is>
      </c>
      <c r="B1759" s="1" t="n">
        <v>44818</v>
      </c>
      <c r="C1759" s="1" t="n">
        <v>45795</v>
      </c>
      <c r="D1759" t="inlineStr">
        <is>
          <t>JÄMTLANDS LÄN</t>
        </is>
      </c>
      <c r="E1759" t="inlineStr">
        <is>
          <t>STRÖMSUND</t>
        </is>
      </c>
      <c r="F1759" t="inlineStr">
        <is>
          <t>SCA</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39690-2022</t>
        </is>
      </c>
      <c r="B1760" s="1" t="n">
        <v>44819</v>
      </c>
      <c r="C1760" s="1" t="n">
        <v>45795</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39700-2022</t>
        </is>
      </c>
      <c r="B1761" s="1" t="n">
        <v>44819</v>
      </c>
      <c r="C1761" s="1" t="n">
        <v>45795</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39882-2022</t>
        </is>
      </c>
      <c r="B1762" s="1" t="n">
        <v>44819</v>
      </c>
      <c r="C1762" s="1" t="n">
        <v>45795</v>
      </c>
      <c r="D1762" t="inlineStr">
        <is>
          <t>JÄMTLANDS LÄN</t>
        </is>
      </c>
      <c r="E1762" t="inlineStr">
        <is>
          <t>STRÖMSUND</t>
        </is>
      </c>
      <c r="F1762" t="inlineStr">
        <is>
          <t>Sveaskog</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39890-2022</t>
        </is>
      </c>
      <c r="B1763" s="1" t="n">
        <v>44819</v>
      </c>
      <c r="C1763" s="1" t="n">
        <v>45795</v>
      </c>
      <c r="D1763" t="inlineStr">
        <is>
          <t>JÄMTLANDS LÄN</t>
        </is>
      </c>
      <c r="E1763" t="inlineStr">
        <is>
          <t>STRÖMSUND</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39889-2022</t>
        </is>
      </c>
      <c r="B1764" s="1" t="n">
        <v>44819</v>
      </c>
      <c r="C1764" s="1" t="n">
        <v>45795</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39892-2022</t>
        </is>
      </c>
      <c r="B1765" s="1" t="n">
        <v>44819</v>
      </c>
      <c r="C1765" s="1" t="n">
        <v>45795</v>
      </c>
      <c r="D1765" t="inlineStr">
        <is>
          <t>JÄMTLANDS LÄN</t>
        </is>
      </c>
      <c r="E1765" t="inlineStr">
        <is>
          <t>STRÖMSUND</t>
        </is>
      </c>
      <c r="F1765" t="inlineStr">
        <is>
          <t>Sveaskog</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39939-2022</t>
        </is>
      </c>
      <c r="B1766" s="1" t="n">
        <v>44820</v>
      </c>
      <c r="C1766" s="1" t="n">
        <v>45795</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39957-2022</t>
        </is>
      </c>
      <c r="B1767" s="1" t="n">
        <v>44820</v>
      </c>
      <c r="C1767" s="1" t="n">
        <v>45795</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40271-2022</t>
        </is>
      </c>
      <c r="B1768" s="1" t="n">
        <v>44821</v>
      </c>
      <c r="C1768" s="1" t="n">
        <v>45795</v>
      </c>
      <c r="D1768" t="inlineStr">
        <is>
          <t>JÄMTLANDS LÄN</t>
        </is>
      </c>
      <c r="E1768" t="inlineStr">
        <is>
          <t>STRÖMSUND</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40287-2022</t>
        </is>
      </c>
      <c r="B1769" s="1" t="n">
        <v>44821</v>
      </c>
      <c r="C1769" s="1" t="n">
        <v>45795</v>
      </c>
      <c r="D1769" t="inlineStr">
        <is>
          <t>JÄMTLANDS LÄN</t>
        </is>
      </c>
      <c r="E1769" t="inlineStr">
        <is>
          <t>STRÖMSUND</t>
        </is>
      </c>
      <c r="F1769" t="inlineStr">
        <is>
          <t>SCA</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40275-2022</t>
        </is>
      </c>
      <c r="B1770" s="1" t="n">
        <v>44820</v>
      </c>
      <c r="C1770" s="1" t="n">
        <v>45795</v>
      </c>
      <c r="D1770" t="inlineStr">
        <is>
          <t>JÄMTLANDS LÄN</t>
        </is>
      </c>
      <c r="E1770" t="inlineStr">
        <is>
          <t>STRÖMSUND</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40862-2022</t>
        </is>
      </c>
      <c r="B1771" s="1" t="n">
        <v>44820</v>
      </c>
      <c r="C1771" s="1" t="n">
        <v>45795</v>
      </c>
      <c r="D1771" t="inlineStr">
        <is>
          <t>JÄMTLANDS LÄN</t>
        </is>
      </c>
      <c r="E1771" t="inlineStr">
        <is>
          <t>STRÖMSUND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40272-2022</t>
        </is>
      </c>
      <c r="B1772" s="1" t="n">
        <v>44820</v>
      </c>
      <c r="C1772" s="1" t="n">
        <v>45795</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40290-2022</t>
        </is>
      </c>
      <c r="B1773" s="1" t="n">
        <v>44821</v>
      </c>
      <c r="C1773" s="1" t="n">
        <v>45795</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40602-2022</t>
        </is>
      </c>
      <c r="B1774" s="1" t="n">
        <v>44823</v>
      </c>
      <c r="C1774" s="1" t="n">
        <v>45795</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40617-2022</t>
        </is>
      </c>
      <c r="B1775" s="1" t="n">
        <v>44823</v>
      </c>
      <c r="C1775" s="1" t="n">
        <v>45795</v>
      </c>
      <c r="D1775" t="inlineStr">
        <is>
          <t>JÄMTLANDS LÄN</t>
        </is>
      </c>
      <c r="E1775" t="inlineStr">
        <is>
          <t>STRÖMSUND</t>
        </is>
      </c>
      <c r="F1775" t="inlineStr">
        <is>
          <t>SCA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40936-2022</t>
        </is>
      </c>
      <c r="B1776" s="1" t="n">
        <v>44823</v>
      </c>
      <c r="C1776" s="1" t="n">
        <v>45795</v>
      </c>
      <c r="D1776" t="inlineStr">
        <is>
          <t>JÄMTLANDS LÄN</t>
        </is>
      </c>
      <c r="E1776" t="inlineStr">
        <is>
          <t>STRÖMSUND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40840-2022</t>
        </is>
      </c>
      <c r="B1777" s="1" t="n">
        <v>44824</v>
      </c>
      <c r="C1777" s="1" t="n">
        <v>45795</v>
      </c>
      <c r="D1777" t="inlineStr">
        <is>
          <t>JÄMTLANDS LÄN</t>
        </is>
      </c>
      <c r="E1777" t="inlineStr">
        <is>
          <t>STRÖMSUND</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40841-2022</t>
        </is>
      </c>
      <c r="B1778" s="1" t="n">
        <v>44825</v>
      </c>
      <c r="C1778" s="1" t="n">
        <v>45795</v>
      </c>
      <c r="D1778" t="inlineStr">
        <is>
          <t>JÄMTLANDS LÄN</t>
        </is>
      </c>
      <c r="E1778" t="inlineStr">
        <is>
          <t>STRÖMSUND</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41171-2022</t>
        </is>
      </c>
      <c r="B1779" s="1" t="n">
        <v>44826</v>
      </c>
      <c r="C1779" s="1" t="n">
        <v>45795</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41194-2022</t>
        </is>
      </c>
      <c r="B1780" s="1" t="n">
        <v>44826</v>
      </c>
      <c r="C1780" s="1" t="n">
        <v>45795</v>
      </c>
      <c r="D1780" t="inlineStr">
        <is>
          <t>JÄMTLANDS LÄN</t>
        </is>
      </c>
      <c r="E1780" t="inlineStr">
        <is>
          <t>STRÖMSUND</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41818-2022</t>
        </is>
      </c>
      <c r="B1781" s="1" t="n">
        <v>44828</v>
      </c>
      <c r="C1781" s="1" t="n">
        <v>45795</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41820-2022</t>
        </is>
      </c>
      <c r="B1782" s="1" t="n">
        <v>44828</v>
      </c>
      <c r="C1782" s="1" t="n">
        <v>45795</v>
      </c>
      <c r="D1782" t="inlineStr">
        <is>
          <t>JÄMTLANDS LÄN</t>
        </is>
      </c>
      <c r="E1782" t="inlineStr">
        <is>
          <t>STRÖMSUND</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41822-2022</t>
        </is>
      </c>
      <c r="B1783" s="1" t="n">
        <v>44828</v>
      </c>
      <c r="C1783" s="1" t="n">
        <v>45795</v>
      </c>
      <c r="D1783" t="inlineStr">
        <is>
          <t>JÄMTLANDS LÄN</t>
        </is>
      </c>
      <c r="E1783" t="inlineStr">
        <is>
          <t>STRÖMSUND</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41828-2022</t>
        </is>
      </c>
      <c r="B1784" s="1" t="n">
        <v>44828</v>
      </c>
      <c r="C1784" s="1" t="n">
        <v>45795</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41829-2022</t>
        </is>
      </c>
      <c r="B1785" s="1" t="n">
        <v>44828</v>
      </c>
      <c r="C1785" s="1" t="n">
        <v>45795</v>
      </c>
      <c r="D1785" t="inlineStr">
        <is>
          <t>JÄMTLANDS LÄN</t>
        </is>
      </c>
      <c r="E1785" t="inlineStr">
        <is>
          <t>STRÖMSUND</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41821-2022</t>
        </is>
      </c>
      <c r="B1786" s="1" t="n">
        <v>44827</v>
      </c>
      <c r="C1786" s="1" t="n">
        <v>45795</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41827-2022</t>
        </is>
      </c>
      <c r="B1787" s="1" t="n">
        <v>44828</v>
      </c>
      <c r="C1787" s="1" t="n">
        <v>45795</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42155-2022</t>
        </is>
      </c>
      <c r="B1788" s="1" t="n">
        <v>44830</v>
      </c>
      <c r="C1788" s="1" t="n">
        <v>45795</v>
      </c>
      <c r="D1788" t="inlineStr">
        <is>
          <t>JÄMTLANDS LÄN</t>
        </is>
      </c>
      <c r="E1788" t="inlineStr">
        <is>
          <t>STRÖMSUND</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41972-2022</t>
        </is>
      </c>
      <c r="B1789" s="1" t="n">
        <v>44830</v>
      </c>
      <c r="C1789" s="1" t="n">
        <v>45795</v>
      </c>
      <c r="D1789" t="inlineStr">
        <is>
          <t>JÄMTLANDS LÄN</t>
        </is>
      </c>
      <c r="E1789" t="inlineStr">
        <is>
          <t>STRÖMSUND</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42237-2022</t>
        </is>
      </c>
      <c r="B1790" s="1" t="n">
        <v>44830</v>
      </c>
      <c r="C1790" s="1" t="n">
        <v>45795</v>
      </c>
      <c r="D1790" t="inlineStr">
        <is>
          <t>JÄMTLANDS LÄN</t>
        </is>
      </c>
      <c r="E1790" t="inlineStr">
        <is>
          <t>STRÖMSUND</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42280-2022</t>
        </is>
      </c>
      <c r="B1791" s="1" t="n">
        <v>44831</v>
      </c>
      <c r="C1791" s="1" t="n">
        <v>45795</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42294-2022</t>
        </is>
      </c>
      <c r="B1792" s="1" t="n">
        <v>44831</v>
      </c>
      <c r="C1792" s="1" t="n">
        <v>45795</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42660-2022</t>
        </is>
      </c>
      <c r="B1793" s="1" t="n">
        <v>44832</v>
      </c>
      <c r="C1793" s="1" t="n">
        <v>45795</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42770-2022</t>
        </is>
      </c>
      <c r="B1794" s="1" t="n">
        <v>44832</v>
      </c>
      <c r="C1794" s="1" t="n">
        <v>45795</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42790-2022</t>
        </is>
      </c>
      <c r="B1795" s="1" t="n">
        <v>44832</v>
      </c>
      <c r="C1795" s="1" t="n">
        <v>45795</v>
      </c>
      <c r="D1795" t="inlineStr">
        <is>
          <t>JÄMTLANDS LÄN</t>
        </is>
      </c>
      <c r="E1795" t="inlineStr">
        <is>
          <t>STRÖMSUND</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42760-2022</t>
        </is>
      </c>
      <c r="B1796" s="1" t="n">
        <v>44832</v>
      </c>
      <c r="C1796" s="1" t="n">
        <v>45795</v>
      </c>
      <c r="D1796" t="inlineStr">
        <is>
          <t>JÄMTLANDS LÄN</t>
        </is>
      </c>
      <c r="E1796" t="inlineStr">
        <is>
          <t>STRÖMSUND</t>
        </is>
      </c>
      <c r="F1796" t="inlineStr">
        <is>
          <t>Holmen skog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42806-2022</t>
        </is>
      </c>
      <c r="B1797" s="1" t="n">
        <v>44832</v>
      </c>
      <c r="C1797" s="1" t="n">
        <v>45795</v>
      </c>
      <c r="D1797" t="inlineStr">
        <is>
          <t>JÄMTLANDS LÄN</t>
        </is>
      </c>
      <c r="E1797" t="inlineStr">
        <is>
          <t>STRÖMSUND</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42896-2022</t>
        </is>
      </c>
      <c r="B1798" s="1" t="n">
        <v>44832</v>
      </c>
      <c r="C1798" s="1" t="n">
        <v>45795</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42902-2022</t>
        </is>
      </c>
      <c r="B1799" s="1" t="n">
        <v>44832</v>
      </c>
      <c r="C1799" s="1" t="n">
        <v>45795</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43160-2022</t>
        </is>
      </c>
      <c r="B1800" s="1" t="n">
        <v>44834</v>
      </c>
      <c r="C1800" s="1" t="n">
        <v>45795</v>
      </c>
      <c r="D1800" t="inlineStr">
        <is>
          <t>JÄMTLANDS LÄN</t>
        </is>
      </c>
      <c r="E1800" t="inlineStr">
        <is>
          <t>STRÖMSUND</t>
        </is>
      </c>
      <c r="F1800" t="inlineStr">
        <is>
          <t>SCA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43140-2022</t>
        </is>
      </c>
      <c r="B1801" s="1" t="n">
        <v>44834</v>
      </c>
      <c r="C1801" s="1" t="n">
        <v>45795</v>
      </c>
      <c r="D1801" t="inlineStr">
        <is>
          <t>JÄMTLANDS LÄN</t>
        </is>
      </c>
      <c r="E1801" t="inlineStr">
        <is>
          <t>STRÖMSUND</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43146-2022</t>
        </is>
      </c>
      <c r="B1802" s="1" t="n">
        <v>44833</v>
      </c>
      <c r="C1802" s="1" t="n">
        <v>45795</v>
      </c>
      <c r="D1802" t="inlineStr">
        <is>
          <t>JÄMTLANDS LÄN</t>
        </is>
      </c>
      <c r="E1802" t="inlineStr">
        <is>
          <t>STRÖMSUND</t>
        </is>
      </c>
      <c r="F1802" t="inlineStr">
        <is>
          <t>SCA</t>
        </is>
      </c>
      <c r="G1802" t="n">
        <v>33.3</v>
      </c>
      <c r="H1802" t="n">
        <v>0</v>
      </c>
      <c r="I1802" t="n">
        <v>0</v>
      </c>
      <c r="J1802" t="n">
        <v>0</v>
      </c>
      <c r="K1802" t="n">
        <v>0</v>
      </c>
      <c r="L1802" t="n">
        <v>0</v>
      </c>
      <c r="M1802" t="n">
        <v>0</v>
      </c>
      <c r="N1802" t="n">
        <v>0</v>
      </c>
      <c r="O1802" t="n">
        <v>0</v>
      </c>
      <c r="P1802" t="n">
        <v>0</v>
      </c>
      <c r="Q1802" t="n">
        <v>0</v>
      </c>
      <c r="R1802" s="2" t="inlineStr"/>
    </row>
    <row r="1803" ht="15" customHeight="1">
      <c r="A1803" t="inlineStr">
        <is>
          <t>A 43165-2022</t>
        </is>
      </c>
      <c r="B1803" s="1" t="n">
        <v>44833</v>
      </c>
      <c r="C1803" s="1" t="n">
        <v>45795</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43432-2022</t>
        </is>
      </c>
      <c r="B1804" s="1" t="n">
        <v>44834</v>
      </c>
      <c r="C1804" s="1" t="n">
        <v>45795</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43607-2022</t>
        </is>
      </c>
      <c r="B1805" s="1" t="n">
        <v>44834</v>
      </c>
      <c r="C1805" s="1" t="n">
        <v>45795</v>
      </c>
      <c r="D1805" t="inlineStr">
        <is>
          <t>JÄMTLANDS LÄN</t>
        </is>
      </c>
      <c r="E1805" t="inlineStr">
        <is>
          <t>STRÖMSUND</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45969-2022</t>
        </is>
      </c>
      <c r="B1806" s="1" t="n">
        <v>44834</v>
      </c>
      <c r="C1806" s="1" t="n">
        <v>45795</v>
      </c>
      <c r="D1806" t="inlineStr">
        <is>
          <t>JÄMTLANDS LÄN</t>
        </is>
      </c>
      <c r="E1806" t="inlineStr">
        <is>
          <t>STRÖMSUND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43458-2022</t>
        </is>
      </c>
      <c r="B1807" s="1" t="n">
        <v>44836</v>
      </c>
      <c r="C1807" s="1" t="n">
        <v>45795</v>
      </c>
      <c r="D1807" t="inlineStr">
        <is>
          <t>JÄMTLANDS LÄN</t>
        </is>
      </c>
      <c r="E1807" t="inlineStr">
        <is>
          <t>STRÖMSUND</t>
        </is>
      </c>
      <c r="F1807" t="inlineStr">
        <is>
          <t>SCA</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43453-2022</t>
        </is>
      </c>
      <c r="B1808" s="1" t="n">
        <v>44835</v>
      </c>
      <c r="C1808" s="1" t="n">
        <v>45795</v>
      </c>
      <c r="D1808" t="inlineStr">
        <is>
          <t>JÄMTLANDS LÄN</t>
        </is>
      </c>
      <c r="E1808" t="inlineStr">
        <is>
          <t>STRÖMSUND</t>
        </is>
      </c>
      <c r="F1808" t="inlineStr">
        <is>
          <t>SCA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43460-2022</t>
        </is>
      </c>
      <c r="B1809" s="1" t="n">
        <v>44836</v>
      </c>
      <c r="C1809" s="1" t="n">
        <v>45795</v>
      </c>
      <c r="D1809" t="inlineStr">
        <is>
          <t>JÄMTLANDS LÄN</t>
        </is>
      </c>
      <c r="E1809" t="inlineStr">
        <is>
          <t>STRÖMSUND</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43455-2022</t>
        </is>
      </c>
      <c r="B1810" s="1" t="n">
        <v>44836</v>
      </c>
      <c r="C1810" s="1" t="n">
        <v>45795</v>
      </c>
      <c r="D1810" t="inlineStr">
        <is>
          <t>JÄMTLANDS LÄN</t>
        </is>
      </c>
      <c r="E1810" t="inlineStr">
        <is>
          <t>STRÖMSUND</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43459-2022</t>
        </is>
      </c>
      <c r="B1811" s="1" t="n">
        <v>44836</v>
      </c>
      <c r="C1811" s="1" t="n">
        <v>45795</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43773-2022</t>
        </is>
      </c>
      <c r="B1812" s="1" t="n">
        <v>44838</v>
      </c>
      <c r="C1812" s="1" t="n">
        <v>45795</v>
      </c>
      <c r="D1812" t="inlineStr">
        <is>
          <t>JÄMTLANDS LÄN</t>
        </is>
      </c>
      <c r="E1812" t="inlineStr">
        <is>
          <t>STRÖMSUND</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43790-2022</t>
        </is>
      </c>
      <c r="B1813" s="1" t="n">
        <v>44837</v>
      </c>
      <c r="C1813" s="1" t="n">
        <v>45795</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44049-2022</t>
        </is>
      </c>
      <c r="B1814" s="1" t="n">
        <v>44839</v>
      </c>
      <c r="C1814" s="1" t="n">
        <v>45795</v>
      </c>
      <c r="D1814" t="inlineStr">
        <is>
          <t>JÄMTLANDS LÄN</t>
        </is>
      </c>
      <c r="E1814" t="inlineStr">
        <is>
          <t>STRÖMSUND</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44453-2022</t>
        </is>
      </c>
      <c r="B1815" s="1" t="n">
        <v>44840</v>
      </c>
      <c r="C1815" s="1" t="n">
        <v>45795</v>
      </c>
      <c r="D1815" t="inlineStr">
        <is>
          <t>JÄMTLANDS LÄN</t>
        </is>
      </c>
      <c r="E1815" t="inlineStr">
        <is>
          <t>STRÖMSUND</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44096-2022</t>
        </is>
      </c>
      <c r="B1816" s="1" t="n">
        <v>44839</v>
      </c>
      <c r="C1816" s="1" t="n">
        <v>45795</v>
      </c>
      <c r="D1816" t="inlineStr">
        <is>
          <t>JÄMTLANDS LÄN</t>
        </is>
      </c>
      <c r="E1816" t="inlineStr">
        <is>
          <t>STRÖMSUND</t>
        </is>
      </c>
      <c r="F1816" t="inlineStr">
        <is>
          <t>Holmen skog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44429-2022</t>
        </is>
      </c>
      <c r="B1817" s="1" t="n">
        <v>44839</v>
      </c>
      <c r="C1817" s="1" t="n">
        <v>45795</v>
      </c>
      <c r="D1817" t="inlineStr">
        <is>
          <t>JÄMTLANDS LÄN</t>
        </is>
      </c>
      <c r="E1817" t="inlineStr">
        <is>
          <t>STRÖMSUND</t>
        </is>
      </c>
      <c r="F1817" t="inlineStr">
        <is>
          <t>SCA</t>
        </is>
      </c>
      <c r="G1817" t="n">
        <v>52.1</v>
      </c>
      <c r="H1817" t="n">
        <v>0</v>
      </c>
      <c r="I1817" t="n">
        <v>0</v>
      </c>
      <c r="J1817" t="n">
        <v>0</v>
      </c>
      <c r="K1817" t="n">
        <v>0</v>
      </c>
      <c r="L1817" t="n">
        <v>0</v>
      </c>
      <c r="M1817" t="n">
        <v>0</v>
      </c>
      <c r="N1817" t="n">
        <v>0</v>
      </c>
      <c r="O1817" t="n">
        <v>0</v>
      </c>
      <c r="P1817" t="n">
        <v>0</v>
      </c>
      <c r="Q1817" t="n">
        <v>0</v>
      </c>
      <c r="R1817" s="2" t="inlineStr"/>
    </row>
    <row r="1818" ht="15" customHeight="1">
      <c r="A1818" t="inlineStr">
        <is>
          <t>A 44448-2022</t>
        </is>
      </c>
      <c r="B1818" s="1" t="n">
        <v>44840</v>
      </c>
      <c r="C1818" s="1" t="n">
        <v>45795</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44449-2022</t>
        </is>
      </c>
      <c r="B1819" s="1" t="n">
        <v>44839</v>
      </c>
      <c r="C1819" s="1" t="n">
        <v>45795</v>
      </c>
      <c r="D1819" t="inlineStr">
        <is>
          <t>JÄMTLANDS LÄN</t>
        </is>
      </c>
      <c r="E1819" t="inlineStr">
        <is>
          <t>STRÖMSUND</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44249-2022</t>
        </is>
      </c>
      <c r="B1820" s="1" t="n">
        <v>44839</v>
      </c>
      <c r="C1820" s="1" t="n">
        <v>45795</v>
      </c>
      <c r="D1820" t="inlineStr">
        <is>
          <t>JÄMTLANDS LÄN</t>
        </is>
      </c>
      <c r="E1820" t="inlineStr">
        <is>
          <t>STRÖMSUND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44451-2022</t>
        </is>
      </c>
      <c r="B1821" s="1" t="n">
        <v>44840</v>
      </c>
      <c r="C1821" s="1" t="n">
        <v>45795</v>
      </c>
      <c r="D1821" t="inlineStr">
        <is>
          <t>JÄMTLANDS LÄN</t>
        </is>
      </c>
      <c r="E1821" t="inlineStr">
        <is>
          <t>STRÖMSUND</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44641-2022</t>
        </is>
      </c>
      <c r="B1822" s="1" t="n">
        <v>44839</v>
      </c>
      <c r="C1822" s="1" t="n">
        <v>45795</v>
      </c>
      <c r="D1822" t="inlineStr">
        <is>
          <t>JÄMTLANDS LÄN</t>
        </is>
      </c>
      <c r="E1822" t="inlineStr">
        <is>
          <t>STRÖMSUND</t>
        </is>
      </c>
      <c r="F1822" t="inlineStr">
        <is>
          <t>Kommuner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45074-2022</t>
        </is>
      </c>
      <c r="B1823" s="1" t="n">
        <v>44842</v>
      </c>
      <c r="C1823" s="1" t="n">
        <v>45795</v>
      </c>
      <c r="D1823" t="inlineStr">
        <is>
          <t>JÄMTLANDS LÄN</t>
        </is>
      </c>
      <c r="E1823" t="inlineStr">
        <is>
          <t>STRÖMSUND</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45308-2022</t>
        </is>
      </c>
      <c r="B1824" s="1" t="n">
        <v>44841</v>
      </c>
      <c r="C1824" s="1" t="n">
        <v>45795</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45076-2022</t>
        </is>
      </c>
      <c r="B1825" s="1" t="n">
        <v>44842</v>
      </c>
      <c r="C1825" s="1" t="n">
        <v>45795</v>
      </c>
      <c r="D1825" t="inlineStr">
        <is>
          <t>JÄMTLANDS LÄN</t>
        </is>
      </c>
      <c r="E1825" t="inlineStr">
        <is>
          <t>STRÖMSUND</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45398-2022</t>
        </is>
      </c>
      <c r="B1826" s="1" t="n">
        <v>44841</v>
      </c>
      <c r="C1826" s="1" t="n">
        <v>45795</v>
      </c>
      <c r="D1826" t="inlineStr">
        <is>
          <t>JÄMTLANDS LÄN</t>
        </is>
      </c>
      <c r="E1826" t="inlineStr">
        <is>
          <t>STRÖMSUND</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45326-2022</t>
        </is>
      </c>
      <c r="B1827" s="1" t="n">
        <v>44841</v>
      </c>
      <c r="C1827" s="1" t="n">
        <v>45795</v>
      </c>
      <c r="D1827" t="inlineStr">
        <is>
          <t>JÄMTLANDS LÄN</t>
        </is>
      </c>
      <c r="E1827" t="inlineStr">
        <is>
          <t>STRÖMSUND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45071-2022</t>
        </is>
      </c>
      <c r="B1828" s="1" t="n">
        <v>44842</v>
      </c>
      <c r="C1828" s="1" t="n">
        <v>45795</v>
      </c>
      <c r="D1828" t="inlineStr">
        <is>
          <t>JÄMTLANDS LÄN</t>
        </is>
      </c>
      <c r="E1828" t="inlineStr">
        <is>
          <t>STRÖMSUND</t>
        </is>
      </c>
      <c r="F1828" t="inlineStr">
        <is>
          <t>SCA</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45331-2022</t>
        </is>
      </c>
      <c r="B1829" s="1" t="n">
        <v>44841</v>
      </c>
      <c r="C1829" s="1" t="n">
        <v>45795</v>
      </c>
      <c r="D1829" t="inlineStr">
        <is>
          <t>JÄMTLANDS LÄN</t>
        </is>
      </c>
      <c r="E1829" t="inlineStr">
        <is>
          <t>STRÖMSUND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45421-2022</t>
        </is>
      </c>
      <c r="B1830" s="1" t="n">
        <v>44845</v>
      </c>
      <c r="C1830" s="1" t="n">
        <v>45795</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45435-2022</t>
        </is>
      </c>
      <c r="B1831" s="1" t="n">
        <v>44845</v>
      </c>
      <c r="C1831" s="1" t="n">
        <v>45795</v>
      </c>
      <c r="D1831" t="inlineStr">
        <is>
          <t>JÄMTLANDS LÄN</t>
        </is>
      </c>
      <c r="E1831" t="inlineStr">
        <is>
          <t>STRÖMSUND</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45706-2022</t>
        </is>
      </c>
      <c r="B1832" s="1" t="n">
        <v>44846</v>
      </c>
      <c r="C1832" s="1" t="n">
        <v>45795</v>
      </c>
      <c r="D1832" t="inlineStr">
        <is>
          <t>JÄMTLANDS LÄN</t>
        </is>
      </c>
      <c r="E1832" t="inlineStr">
        <is>
          <t>STRÖMSUND</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45720-2022</t>
        </is>
      </c>
      <c r="B1833" s="1" t="n">
        <v>44846</v>
      </c>
      <c r="C1833" s="1" t="n">
        <v>45795</v>
      </c>
      <c r="D1833" t="inlineStr">
        <is>
          <t>JÄMTLANDS LÄN</t>
        </is>
      </c>
      <c r="E1833" t="inlineStr">
        <is>
          <t>STRÖMSUND</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46054-2022</t>
        </is>
      </c>
      <c r="B1834" s="1" t="n">
        <v>44846</v>
      </c>
      <c r="C1834" s="1" t="n">
        <v>45795</v>
      </c>
      <c r="D1834" t="inlineStr">
        <is>
          <t>JÄMTLANDS LÄN</t>
        </is>
      </c>
      <c r="E1834" t="inlineStr">
        <is>
          <t>STRÖMSUND</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47320-2022</t>
        </is>
      </c>
      <c r="B1835" s="1" t="n">
        <v>44846</v>
      </c>
      <c r="C1835" s="1" t="n">
        <v>45795</v>
      </c>
      <c r="D1835" t="inlineStr">
        <is>
          <t>JÄMTLANDS LÄN</t>
        </is>
      </c>
      <c r="E1835" t="inlineStr">
        <is>
          <t>STRÖMSUND</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46042-2022</t>
        </is>
      </c>
      <c r="B1836" s="1" t="n">
        <v>44847</v>
      </c>
      <c r="C1836" s="1" t="n">
        <v>45795</v>
      </c>
      <c r="D1836" t="inlineStr">
        <is>
          <t>JÄMTLANDS LÄN</t>
        </is>
      </c>
      <c r="E1836" t="inlineStr">
        <is>
          <t>STRÖMSUND</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46058-2022</t>
        </is>
      </c>
      <c r="B1837" s="1" t="n">
        <v>44847</v>
      </c>
      <c r="C1837" s="1" t="n">
        <v>45795</v>
      </c>
      <c r="D1837" t="inlineStr">
        <is>
          <t>JÄMTLANDS LÄN</t>
        </is>
      </c>
      <c r="E1837" t="inlineStr">
        <is>
          <t>STRÖMSUND</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46057-2022</t>
        </is>
      </c>
      <c r="B1838" s="1" t="n">
        <v>44847</v>
      </c>
      <c r="C1838" s="1" t="n">
        <v>45795</v>
      </c>
      <c r="D1838" t="inlineStr">
        <is>
          <t>JÄMTLANDS LÄN</t>
        </is>
      </c>
      <c r="E1838" t="inlineStr">
        <is>
          <t>STRÖMSUND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46056-2022</t>
        </is>
      </c>
      <c r="B1839" s="1" t="n">
        <v>44847</v>
      </c>
      <c r="C1839" s="1" t="n">
        <v>45795</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46321-2022</t>
        </is>
      </c>
      <c r="B1840" s="1" t="n">
        <v>44848</v>
      </c>
      <c r="C1840" s="1" t="n">
        <v>45795</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46327-2022</t>
        </is>
      </c>
      <c r="B1841" s="1" t="n">
        <v>44848</v>
      </c>
      <c r="C1841" s="1" t="n">
        <v>45795</v>
      </c>
      <c r="D1841" t="inlineStr">
        <is>
          <t>JÄMTLANDS LÄN</t>
        </is>
      </c>
      <c r="E1841" t="inlineStr">
        <is>
          <t>STRÖMSUND</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46338-2022</t>
        </is>
      </c>
      <c r="B1842" s="1" t="n">
        <v>44848</v>
      </c>
      <c r="C1842" s="1" t="n">
        <v>45795</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46342-2022</t>
        </is>
      </c>
      <c r="B1843" s="1" t="n">
        <v>44848</v>
      </c>
      <c r="C1843" s="1" t="n">
        <v>45795</v>
      </c>
      <c r="D1843" t="inlineStr">
        <is>
          <t>JÄMTLANDS LÄN</t>
        </is>
      </c>
      <c r="E1843" t="inlineStr">
        <is>
          <t>STRÖMSUND</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46326-2022</t>
        </is>
      </c>
      <c r="B1844" s="1" t="n">
        <v>44848</v>
      </c>
      <c r="C1844" s="1" t="n">
        <v>45795</v>
      </c>
      <c r="D1844" t="inlineStr">
        <is>
          <t>JÄMTLANDS LÄN</t>
        </is>
      </c>
      <c r="E1844" t="inlineStr">
        <is>
          <t>STRÖMSUND</t>
        </is>
      </c>
      <c r="F1844" t="inlineStr">
        <is>
          <t>SCA</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46332-2022</t>
        </is>
      </c>
      <c r="B1845" s="1" t="n">
        <v>44848</v>
      </c>
      <c r="C1845" s="1" t="n">
        <v>45795</v>
      </c>
      <c r="D1845" t="inlineStr">
        <is>
          <t>JÄMTLANDS LÄN</t>
        </is>
      </c>
      <c r="E1845" t="inlineStr">
        <is>
          <t>STRÖMSUND</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46337-2022</t>
        </is>
      </c>
      <c r="B1846" s="1" t="n">
        <v>44848</v>
      </c>
      <c r="C1846" s="1" t="n">
        <v>45795</v>
      </c>
      <c r="D1846" t="inlineStr">
        <is>
          <t>JÄMTLANDS LÄN</t>
        </is>
      </c>
      <c r="E1846" t="inlineStr">
        <is>
          <t>STRÖMSUND</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46346-2022</t>
        </is>
      </c>
      <c r="B1847" s="1" t="n">
        <v>44848</v>
      </c>
      <c r="C1847" s="1" t="n">
        <v>45795</v>
      </c>
      <c r="D1847" t="inlineStr">
        <is>
          <t>JÄMTLANDS LÄN</t>
        </is>
      </c>
      <c r="E1847" t="inlineStr">
        <is>
          <t>STRÖMSUND</t>
        </is>
      </c>
      <c r="F1847" t="inlineStr">
        <is>
          <t>SCA</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46336-2022</t>
        </is>
      </c>
      <c r="B1848" s="1" t="n">
        <v>44848</v>
      </c>
      <c r="C1848" s="1" t="n">
        <v>45795</v>
      </c>
      <c r="D1848" t="inlineStr">
        <is>
          <t>JÄMTLANDS LÄN</t>
        </is>
      </c>
      <c r="E1848" t="inlineStr">
        <is>
          <t>STRÖMSUND</t>
        </is>
      </c>
      <c r="F1848" t="inlineStr">
        <is>
          <t>SCA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46345-2022</t>
        </is>
      </c>
      <c r="B1849" s="1" t="n">
        <v>44848</v>
      </c>
      <c r="C1849" s="1" t="n">
        <v>45795</v>
      </c>
      <c r="D1849" t="inlineStr">
        <is>
          <t>JÄMTLANDS LÄN</t>
        </is>
      </c>
      <c r="E1849" t="inlineStr">
        <is>
          <t>STRÖMSUND</t>
        </is>
      </c>
      <c r="F1849" t="inlineStr">
        <is>
          <t>SCA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46322-2022</t>
        </is>
      </c>
      <c r="B1850" s="1" t="n">
        <v>44848</v>
      </c>
      <c r="C1850" s="1" t="n">
        <v>45795</v>
      </c>
      <c r="D1850" t="inlineStr">
        <is>
          <t>JÄMTLANDS LÄN</t>
        </is>
      </c>
      <c r="E1850" t="inlineStr">
        <is>
          <t>STRÖMSUND</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46335-2022</t>
        </is>
      </c>
      <c r="B1851" s="1" t="n">
        <v>44848</v>
      </c>
      <c r="C1851" s="1" t="n">
        <v>45795</v>
      </c>
      <c r="D1851" t="inlineStr">
        <is>
          <t>JÄMTLANDS LÄN</t>
        </is>
      </c>
      <c r="E1851" t="inlineStr">
        <is>
          <t>STRÖMSUND</t>
        </is>
      </c>
      <c r="F1851" t="inlineStr">
        <is>
          <t>SCA</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46339-2022</t>
        </is>
      </c>
      <c r="B1852" s="1" t="n">
        <v>44848</v>
      </c>
      <c r="C1852" s="1" t="n">
        <v>45795</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46633-2022</t>
        </is>
      </c>
      <c r="B1853" s="1" t="n">
        <v>44849</v>
      </c>
      <c r="C1853" s="1" t="n">
        <v>45795</v>
      </c>
      <c r="D1853" t="inlineStr">
        <is>
          <t>JÄMTLANDS LÄN</t>
        </is>
      </c>
      <c r="E1853" t="inlineStr">
        <is>
          <t>STRÖMSUND</t>
        </is>
      </c>
      <c r="F1853" t="inlineStr">
        <is>
          <t>SCA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46975-2022</t>
        </is>
      </c>
      <c r="B1854" s="1" t="n">
        <v>44851</v>
      </c>
      <c r="C1854" s="1" t="n">
        <v>45795</v>
      </c>
      <c r="D1854" t="inlineStr">
        <is>
          <t>JÄMTLANDS LÄN</t>
        </is>
      </c>
      <c r="E1854" t="inlineStr">
        <is>
          <t>STRÖMSUND</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46953-2022</t>
        </is>
      </c>
      <c r="B1855" s="1" t="n">
        <v>44852</v>
      </c>
      <c r="C1855" s="1" t="n">
        <v>45795</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46959-2022</t>
        </is>
      </c>
      <c r="B1856" s="1" t="n">
        <v>44851</v>
      </c>
      <c r="C1856" s="1" t="n">
        <v>45795</v>
      </c>
      <c r="D1856" t="inlineStr">
        <is>
          <t>JÄMTLANDS LÄN</t>
        </is>
      </c>
      <c r="E1856" t="inlineStr">
        <is>
          <t>STRÖMSUND</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46950-2022</t>
        </is>
      </c>
      <c r="B1857" s="1" t="n">
        <v>44851</v>
      </c>
      <c r="C1857" s="1" t="n">
        <v>45795</v>
      </c>
      <c r="D1857" t="inlineStr">
        <is>
          <t>JÄMTLANDS LÄN</t>
        </is>
      </c>
      <c r="E1857" t="inlineStr">
        <is>
          <t>STRÖMSUND</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46976-2022</t>
        </is>
      </c>
      <c r="B1858" s="1" t="n">
        <v>44851</v>
      </c>
      <c r="C1858" s="1" t="n">
        <v>45795</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46987-2022</t>
        </is>
      </c>
      <c r="B1859" s="1" t="n">
        <v>44851</v>
      </c>
      <c r="C1859" s="1" t="n">
        <v>45795</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47156-2022</t>
        </is>
      </c>
      <c r="B1860" s="1" t="n">
        <v>44852</v>
      </c>
      <c r="C1860" s="1" t="n">
        <v>45795</v>
      </c>
      <c r="D1860" t="inlineStr">
        <is>
          <t>JÄMTLANDS LÄN</t>
        </is>
      </c>
      <c r="E1860" t="inlineStr">
        <is>
          <t>STRÖMSUND</t>
        </is>
      </c>
      <c r="F1860" t="inlineStr">
        <is>
          <t>Holmen skog AB</t>
        </is>
      </c>
      <c r="G1860" t="n">
        <v>15.1</v>
      </c>
      <c r="H1860" t="n">
        <v>0</v>
      </c>
      <c r="I1860" t="n">
        <v>0</v>
      </c>
      <c r="J1860" t="n">
        <v>0</v>
      </c>
      <c r="K1860" t="n">
        <v>0</v>
      </c>
      <c r="L1860" t="n">
        <v>0</v>
      </c>
      <c r="M1860" t="n">
        <v>0</v>
      </c>
      <c r="N1860" t="n">
        <v>0</v>
      </c>
      <c r="O1860" t="n">
        <v>0</v>
      </c>
      <c r="P1860" t="n">
        <v>0</v>
      </c>
      <c r="Q1860" t="n">
        <v>0</v>
      </c>
      <c r="R1860" s="2" t="inlineStr"/>
    </row>
    <row r="1861" ht="15" customHeight="1">
      <c r="A1861" t="inlineStr">
        <is>
          <t>A 47248-2022</t>
        </is>
      </c>
      <c r="B1861" s="1" t="n">
        <v>44853</v>
      </c>
      <c r="C1861" s="1" t="n">
        <v>45795</v>
      </c>
      <c r="D1861" t="inlineStr">
        <is>
          <t>JÄMTLANDS LÄN</t>
        </is>
      </c>
      <c r="E1861" t="inlineStr">
        <is>
          <t>STRÖMSUND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47276-2022</t>
        </is>
      </c>
      <c r="B1862" s="1" t="n">
        <v>44853</v>
      </c>
      <c r="C1862" s="1" t="n">
        <v>45795</v>
      </c>
      <c r="D1862" t="inlineStr">
        <is>
          <t>JÄMTLANDS LÄN</t>
        </is>
      </c>
      <c r="E1862" t="inlineStr">
        <is>
          <t>STRÖMSUND</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47291-2022</t>
        </is>
      </c>
      <c r="B1863" s="1" t="n">
        <v>44852</v>
      </c>
      <c r="C1863" s="1" t="n">
        <v>45795</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47271-2022</t>
        </is>
      </c>
      <c r="B1864" s="1" t="n">
        <v>44852</v>
      </c>
      <c r="C1864" s="1" t="n">
        <v>45795</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47289-2022</t>
        </is>
      </c>
      <c r="B1865" s="1" t="n">
        <v>44853</v>
      </c>
      <c r="C1865" s="1" t="n">
        <v>45795</v>
      </c>
      <c r="D1865" t="inlineStr">
        <is>
          <t>JÄMTLANDS LÄN</t>
        </is>
      </c>
      <c r="E1865" t="inlineStr">
        <is>
          <t>STRÖMSUND</t>
        </is>
      </c>
      <c r="F1865" t="inlineStr">
        <is>
          <t>SCA</t>
        </is>
      </c>
      <c r="G1865" t="n">
        <v>44.2</v>
      </c>
      <c r="H1865" t="n">
        <v>0</v>
      </c>
      <c r="I1865" t="n">
        <v>0</v>
      </c>
      <c r="J1865" t="n">
        <v>0</v>
      </c>
      <c r="K1865" t="n">
        <v>0</v>
      </c>
      <c r="L1865" t="n">
        <v>0</v>
      </c>
      <c r="M1865" t="n">
        <v>0</v>
      </c>
      <c r="N1865" t="n">
        <v>0</v>
      </c>
      <c r="O1865" t="n">
        <v>0</v>
      </c>
      <c r="P1865" t="n">
        <v>0</v>
      </c>
      <c r="Q1865" t="n">
        <v>0</v>
      </c>
      <c r="R1865" s="2" t="inlineStr"/>
    </row>
    <row r="1866" ht="15" customHeight="1">
      <c r="A1866" t="inlineStr">
        <is>
          <t>A 47290-2022</t>
        </is>
      </c>
      <c r="B1866" s="1" t="n">
        <v>44852</v>
      </c>
      <c r="C1866" s="1" t="n">
        <v>45795</v>
      </c>
      <c r="D1866" t="inlineStr">
        <is>
          <t>JÄMTLANDS LÄN</t>
        </is>
      </c>
      <c r="E1866" t="inlineStr">
        <is>
          <t>STRÖMSUND</t>
        </is>
      </c>
      <c r="F1866" t="inlineStr">
        <is>
          <t>SCA</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47098-2022</t>
        </is>
      </c>
      <c r="B1867" s="1" t="n">
        <v>44852</v>
      </c>
      <c r="C1867" s="1" t="n">
        <v>45795</v>
      </c>
      <c r="D1867" t="inlineStr">
        <is>
          <t>JÄMTLANDS LÄN</t>
        </is>
      </c>
      <c r="E1867" t="inlineStr">
        <is>
          <t>STRÖMSUND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47360-2022</t>
        </is>
      </c>
      <c r="B1868" s="1" t="n">
        <v>44853</v>
      </c>
      <c r="C1868" s="1" t="n">
        <v>45795</v>
      </c>
      <c r="D1868" t="inlineStr">
        <is>
          <t>JÄMTLANDS LÄN</t>
        </is>
      </c>
      <c r="E1868" t="inlineStr">
        <is>
          <t>STRÖMSUND</t>
        </is>
      </c>
      <c r="F1868" t="inlineStr">
        <is>
          <t>Holmen skog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47391-2022</t>
        </is>
      </c>
      <c r="B1869" s="1" t="n">
        <v>44853</v>
      </c>
      <c r="C1869" s="1" t="n">
        <v>45795</v>
      </c>
      <c r="D1869" t="inlineStr">
        <is>
          <t>JÄMTLANDS LÄN</t>
        </is>
      </c>
      <c r="E1869" t="inlineStr">
        <is>
          <t>STRÖMSUND</t>
        </is>
      </c>
      <c r="F1869" t="inlineStr">
        <is>
          <t>Holmen skog AB</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47577-2022</t>
        </is>
      </c>
      <c r="B1870" s="1" t="n">
        <v>44853</v>
      </c>
      <c r="C1870" s="1" t="n">
        <v>45795</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47566-2022</t>
        </is>
      </c>
      <c r="B1871" s="1" t="n">
        <v>44854</v>
      </c>
      <c r="C1871" s="1" t="n">
        <v>45795</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47578-2022</t>
        </is>
      </c>
      <c r="B1872" s="1" t="n">
        <v>44853</v>
      </c>
      <c r="C1872" s="1" t="n">
        <v>45795</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47579-2022</t>
        </is>
      </c>
      <c r="B1873" s="1" t="n">
        <v>44854</v>
      </c>
      <c r="C1873" s="1" t="n">
        <v>45795</v>
      </c>
      <c r="D1873" t="inlineStr">
        <is>
          <t>JÄMTLANDS LÄN</t>
        </is>
      </c>
      <c r="E1873" t="inlineStr">
        <is>
          <t>STRÖMSUND</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47810-2022</t>
        </is>
      </c>
      <c r="B1874" s="1" t="n">
        <v>44855</v>
      </c>
      <c r="C1874" s="1" t="n">
        <v>45795</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48564-2022</t>
        </is>
      </c>
      <c r="B1875" s="1" t="n">
        <v>44854</v>
      </c>
      <c r="C1875" s="1" t="n">
        <v>45795</v>
      </c>
      <c r="D1875" t="inlineStr">
        <is>
          <t>JÄMTLANDS LÄN</t>
        </is>
      </c>
      <c r="E1875" t="inlineStr">
        <is>
          <t>STRÖMSUND</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47811-2022</t>
        </is>
      </c>
      <c r="B1876" s="1" t="n">
        <v>44855</v>
      </c>
      <c r="C1876" s="1" t="n">
        <v>45795</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48050-2022</t>
        </is>
      </c>
      <c r="B1877" s="1" t="n">
        <v>44856</v>
      </c>
      <c r="C1877" s="1" t="n">
        <v>45795</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48049-2022</t>
        </is>
      </c>
      <c r="B1878" s="1" t="n">
        <v>44856</v>
      </c>
      <c r="C1878" s="1" t="n">
        <v>45795</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48531-2022</t>
        </is>
      </c>
      <c r="B1879" s="1" t="n">
        <v>44858</v>
      </c>
      <c r="C1879" s="1" t="n">
        <v>45795</v>
      </c>
      <c r="D1879" t="inlineStr">
        <is>
          <t>JÄMTLANDS LÄN</t>
        </is>
      </c>
      <c r="E1879" t="inlineStr">
        <is>
          <t>STRÖMSUND</t>
        </is>
      </c>
      <c r="F1879" t="inlineStr">
        <is>
          <t>SCA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48543-2022</t>
        </is>
      </c>
      <c r="B1880" s="1" t="n">
        <v>44859</v>
      </c>
      <c r="C1880" s="1" t="n">
        <v>45795</v>
      </c>
      <c r="D1880" t="inlineStr">
        <is>
          <t>JÄMTLANDS LÄN</t>
        </is>
      </c>
      <c r="E1880" t="inlineStr">
        <is>
          <t>STRÖMSUND</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48547-2022</t>
        </is>
      </c>
      <c r="B1881" s="1" t="n">
        <v>44858</v>
      </c>
      <c r="C1881" s="1" t="n">
        <v>45795</v>
      </c>
      <c r="D1881" t="inlineStr">
        <is>
          <t>JÄMTLANDS LÄN</t>
        </is>
      </c>
      <c r="E1881" t="inlineStr">
        <is>
          <t>STRÖMSUND</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49287-2022</t>
        </is>
      </c>
      <c r="B1882" s="1" t="n">
        <v>44858</v>
      </c>
      <c r="C1882" s="1" t="n">
        <v>45795</v>
      </c>
      <c r="D1882" t="inlineStr">
        <is>
          <t>JÄMTLANDS LÄN</t>
        </is>
      </c>
      <c r="E1882" t="inlineStr">
        <is>
          <t>STRÖMSUND</t>
        </is>
      </c>
      <c r="G1882" t="n">
        <v>200</v>
      </c>
      <c r="H1882" t="n">
        <v>0</v>
      </c>
      <c r="I1882" t="n">
        <v>0</v>
      </c>
      <c r="J1882" t="n">
        <v>0</v>
      </c>
      <c r="K1882" t="n">
        <v>0</v>
      </c>
      <c r="L1882" t="n">
        <v>0</v>
      </c>
      <c r="M1882" t="n">
        <v>0</v>
      </c>
      <c r="N1882" t="n">
        <v>0</v>
      </c>
      <c r="O1882" t="n">
        <v>0</v>
      </c>
      <c r="P1882" t="n">
        <v>0</v>
      </c>
      <c r="Q1882" t="n">
        <v>0</v>
      </c>
      <c r="R1882" s="2" t="inlineStr"/>
    </row>
    <row r="1883" ht="15" customHeight="1">
      <c r="A1883" t="inlineStr">
        <is>
          <t>A 48333-2022</t>
        </is>
      </c>
      <c r="B1883" s="1" t="n">
        <v>44858</v>
      </c>
      <c r="C1883" s="1" t="n">
        <v>45795</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48528-2022</t>
        </is>
      </c>
      <c r="B1884" s="1" t="n">
        <v>44859</v>
      </c>
      <c r="C1884" s="1" t="n">
        <v>45795</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48545-2022</t>
        </is>
      </c>
      <c r="B1885" s="1" t="n">
        <v>44858</v>
      </c>
      <c r="C1885" s="1" t="n">
        <v>45795</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48542-2022</t>
        </is>
      </c>
      <c r="B1886" s="1" t="n">
        <v>44859</v>
      </c>
      <c r="C1886" s="1" t="n">
        <v>45795</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48546-2022</t>
        </is>
      </c>
      <c r="B1887" s="1" t="n">
        <v>44858</v>
      </c>
      <c r="C1887" s="1" t="n">
        <v>45795</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48926-2022</t>
        </is>
      </c>
      <c r="B1888" s="1" t="n">
        <v>44859</v>
      </c>
      <c r="C1888" s="1" t="n">
        <v>45795</v>
      </c>
      <c r="D1888" t="inlineStr">
        <is>
          <t>JÄMTLANDS LÄN</t>
        </is>
      </c>
      <c r="E1888" t="inlineStr">
        <is>
          <t>STRÖMSUND</t>
        </is>
      </c>
      <c r="F1888" t="inlineStr">
        <is>
          <t>SCA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48894-2022</t>
        </is>
      </c>
      <c r="B1889" s="1" t="n">
        <v>44860</v>
      </c>
      <c r="C1889" s="1" t="n">
        <v>45795</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48933-2022</t>
        </is>
      </c>
      <c r="B1890" s="1" t="n">
        <v>44860</v>
      </c>
      <c r="C1890" s="1" t="n">
        <v>45795</v>
      </c>
      <c r="D1890" t="inlineStr">
        <is>
          <t>JÄMTLANDS LÄN</t>
        </is>
      </c>
      <c r="E1890" t="inlineStr">
        <is>
          <t>STRÖMSUND</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49752-2022</t>
        </is>
      </c>
      <c r="B1891" s="1" t="n">
        <v>44859</v>
      </c>
      <c r="C1891" s="1" t="n">
        <v>45795</v>
      </c>
      <c r="D1891" t="inlineStr">
        <is>
          <t>JÄMTLANDS LÄN</t>
        </is>
      </c>
      <c r="E1891" t="inlineStr">
        <is>
          <t>STRÖMSUND</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48963-2022</t>
        </is>
      </c>
      <c r="B1892" s="1" t="n">
        <v>44860</v>
      </c>
      <c r="C1892" s="1" t="n">
        <v>45795</v>
      </c>
      <c r="D1892" t="inlineStr">
        <is>
          <t>JÄMTLANDS LÄN</t>
        </is>
      </c>
      <c r="E1892" t="inlineStr">
        <is>
          <t>STRÖMSUND</t>
        </is>
      </c>
      <c r="F1892" t="inlineStr">
        <is>
          <t>Sveaskog</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49541-2022</t>
        </is>
      </c>
      <c r="B1893" s="1" t="n">
        <v>44862</v>
      </c>
      <c r="C1893" s="1" t="n">
        <v>45795</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50313-2022</t>
        </is>
      </c>
      <c r="B1894" s="1" t="n">
        <v>44865</v>
      </c>
      <c r="C1894" s="1" t="n">
        <v>45795</v>
      </c>
      <c r="D1894" t="inlineStr">
        <is>
          <t>JÄMTLANDS LÄN</t>
        </is>
      </c>
      <c r="E1894" t="inlineStr">
        <is>
          <t>STRÖMSUND</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50317-2022</t>
        </is>
      </c>
      <c r="B1895" s="1" t="n">
        <v>44865</v>
      </c>
      <c r="C1895" s="1" t="n">
        <v>45795</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50316-2022</t>
        </is>
      </c>
      <c r="B1896" s="1" t="n">
        <v>44865</v>
      </c>
      <c r="C1896" s="1" t="n">
        <v>45795</v>
      </c>
      <c r="D1896" t="inlineStr">
        <is>
          <t>JÄMTLANDS LÄN</t>
        </is>
      </c>
      <c r="E1896" t="inlineStr">
        <is>
          <t>STRÖMSUND</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50305-2022</t>
        </is>
      </c>
      <c r="B1897" s="1" t="n">
        <v>44865</v>
      </c>
      <c r="C1897" s="1" t="n">
        <v>45795</v>
      </c>
      <c r="D1897" t="inlineStr">
        <is>
          <t>JÄMTLANDS LÄN</t>
        </is>
      </c>
      <c r="E1897" t="inlineStr">
        <is>
          <t>STRÖMSUND</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50314-2022</t>
        </is>
      </c>
      <c r="B1898" s="1" t="n">
        <v>44865</v>
      </c>
      <c r="C1898" s="1" t="n">
        <v>45795</v>
      </c>
      <c r="D1898" t="inlineStr">
        <is>
          <t>JÄMTLANDS LÄN</t>
        </is>
      </c>
      <c r="E1898" t="inlineStr">
        <is>
          <t>STRÖMSUND</t>
        </is>
      </c>
      <c r="F1898" t="inlineStr">
        <is>
          <t>SCA</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50337-2022</t>
        </is>
      </c>
      <c r="B1899" s="1" t="n">
        <v>44865</v>
      </c>
      <c r="C1899" s="1" t="n">
        <v>45795</v>
      </c>
      <c r="D1899" t="inlineStr">
        <is>
          <t>JÄMTLANDS LÄN</t>
        </is>
      </c>
      <c r="E1899" t="inlineStr">
        <is>
          <t>STRÖMSUND</t>
        </is>
      </c>
      <c r="F1899" t="inlineStr">
        <is>
          <t>SCA</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50315-2022</t>
        </is>
      </c>
      <c r="B1900" s="1" t="n">
        <v>44865</v>
      </c>
      <c r="C1900" s="1" t="n">
        <v>45795</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50320-2022</t>
        </is>
      </c>
      <c r="B1901" s="1" t="n">
        <v>44865</v>
      </c>
      <c r="C1901" s="1" t="n">
        <v>45795</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50335-2022</t>
        </is>
      </c>
      <c r="B1902" s="1" t="n">
        <v>44865</v>
      </c>
      <c r="C1902" s="1" t="n">
        <v>45795</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50450-2022</t>
        </is>
      </c>
      <c r="B1903" s="1" t="n">
        <v>44866</v>
      </c>
      <c r="C1903" s="1" t="n">
        <v>45795</v>
      </c>
      <c r="D1903" t="inlineStr">
        <is>
          <t>JÄMTLANDS LÄN</t>
        </is>
      </c>
      <c r="E1903" t="inlineStr">
        <is>
          <t>STRÖMSUND</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50645-2022</t>
        </is>
      </c>
      <c r="B1904" s="1" t="n">
        <v>44866</v>
      </c>
      <c r="C1904" s="1" t="n">
        <v>45795</v>
      </c>
      <c r="D1904" t="inlineStr">
        <is>
          <t>JÄMTLANDS LÄN</t>
        </is>
      </c>
      <c r="E1904" t="inlineStr">
        <is>
          <t>STRÖMSUND</t>
        </is>
      </c>
      <c r="F1904" t="inlineStr">
        <is>
          <t>SCA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50646-2022</t>
        </is>
      </c>
      <c r="B1905" s="1" t="n">
        <v>44866</v>
      </c>
      <c r="C1905" s="1" t="n">
        <v>45795</v>
      </c>
      <c r="D1905" t="inlineStr">
        <is>
          <t>JÄMTLANDS LÄN</t>
        </is>
      </c>
      <c r="E1905" t="inlineStr">
        <is>
          <t>STRÖMSUND</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50657-2022</t>
        </is>
      </c>
      <c r="B1906" s="1" t="n">
        <v>44866</v>
      </c>
      <c r="C1906" s="1" t="n">
        <v>45795</v>
      </c>
      <c r="D1906" t="inlineStr">
        <is>
          <t>JÄMTLANDS LÄN</t>
        </is>
      </c>
      <c r="E1906" t="inlineStr">
        <is>
          <t>STRÖMSUND</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50661-2022</t>
        </is>
      </c>
      <c r="B1907" s="1" t="n">
        <v>44866</v>
      </c>
      <c r="C1907" s="1" t="n">
        <v>45795</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50659-2022</t>
        </is>
      </c>
      <c r="B1908" s="1" t="n">
        <v>44866</v>
      </c>
      <c r="C1908" s="1" t="n">
        <v>45795</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50663-2022</t>
        </is>
      </c>
      <c r="B1909" s="1" t="n">
        <v>44866</v>
      </c>
      <c r="C1909" s="1" t="n">
        <v>45795</v>
      </c>
      <c r="D1909" t="inlineStr">
        <is>
          <t>JÄMTLANDS LÄN</t>
        </is>
      </c>
      <c r="E1909" t="inlineStr">
        <is>
          <t>STRÖMSUND</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50664-2022</t>
        </is>
      </c>
      <c r="B1910" s="1" t="n">
        <v>44866</v>
      </c>
      <c r="C1910" s="1" t="n">
        <v>45795</v>
      </c>
      <c r="D1910" t="inlineStr">
        <is>
          <t>JÄMTLANDS LÄN</t>
        </is>
      </c>
      <c r="E1910" t="inlineStr">
        <is>
          <t>STRÖMSUND</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50680-2022</t>
        </is>
      </c>
      <c r="B1911" s="1" t="n">
        <v>44866</v>
      </c>
      <c r="C1911" s="1" t="n">
        <v>45795</v>
      </c>
      <c r="D1911" t="inlineStr">
        <is>
          <t>JÄMTLANDS LÄN</t>
        </is>
      </c>
      <c r="E1911" t="inlineStr">
        <is>
          <t>STRÖMSUND</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50647-2022</t>
        </is>
      </c>
      <c r="B1912" s="1" t="n">
        <v>44866</v>
      </c>
      <c r="C1912" s="1" t="n">
        <v>45795</v>
      </c>
      <c r="D1912" t="inlineStr">
        <is>
          <t>JÄMTLANDS LÄN</t>
        </is>
      </c>
      <c r="E1912" t="inlineStr">
        <is>
          <t>STRÖMSUND</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50658-2022</t>
        </is>
      </c>
      <c r="B1913" s="1" t="n">
        <v>44866</v>
      </c>
      <c r="C1913" s="1" t="n">
        <v>45795</v>
      </c>
      <c r="D1913" t="inlineStr">
        <is>
          <t>JÄMTLANDS LÄN</t>
        </is>
      </c>
      <c r="E1913" t="inlineStr">
        <is>
          <t>STRÖMSUND</t>
        </is>
      </c>
      <c r="F1913" t="inlineStr">
        <is>
          <t>SCA</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51344-2022</t>
        </is>
      </c>
      <c r="B1914" s="1" t="n">
        <v>44866</v>
      </c>
      <c r="C1914" s="1" t="n">
        <v>45795</v>
      </c>
      <c r="D1914" t="inlineStr">
        <is>
          <t>JÄMTLANDS LÄN</t>
        </is>
      </c>
      <c r="E1914" t="inlineStr">
        <is>
          <t>STRÖMSUND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50681-2022</t>
        </is>
      </c>
      <c r="B1915" s="1" t="n">
        <v>44866</v>
      </c>
      <c r="C1915" s="1" t="n">
        <v>45795</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50687-2022</t>
        </is>
      </c>
      <c r="B1916" s="1" t="n">
        <v>44866</v>
      </c>
      <c r="C1916" s="1" t="n">
        <v>45795</v>
      </c>
      <c r="D1916" t="inlineStr">
        <is>
          <t>JÄMTLANDS LÄN</t>
        </is>
      </c>
      <c r="E1916" t="inlineStr">
        <is>
          <t>STRÖMSUND</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50934-2022</t>
        </is>
      </c>
      <c r="B1917" s="1" t="n">
        <v>44867</v>
      </c>
      <c r="C1917" s="1" t="n">
        <v>45795</v>
      </c>
      <c r="D1917" t="inlineStr">
        <is>
          <t>JÄMTLANDS LÄN</t>
        </is>
      </c>
      <c r="E1917" t="inlineStr">
        <is>
          <t>STRÖMSUND</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51013-2022</t>
        </is>
      </c>
      <c r="B1918" s="1" t="n">
        <v>44867</v>
      </c>
      <c r="C1918" s="1" t="n">
        <v>45795</v>
      </c>
      <c r="D1918" t="inlineStr">
        <is>
          <t>JÄMTLANDS LÄN</t>
        </is>
      </c>
      <c r="E1918" t="inlineStr">
        <is>
          <t>STRÖMSUND</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51015-2022</t>
        </is>
      </c>
      <c r="B1919" s="1" t="n">
        <v>44867</v>
      </c>
      <c r="C1919" s="1" t="n">
        <v>45795</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51021-2022</t>
        </is>
      </c>
      <c r="B1920" s="1" t="n">
        <v>44867</v>
      </c>
      <c r="C1920" s="1" t="n">
        <v>45795</v>
      </c>
      <c r="D1920" t="inlineStr">
        <is>
          <t>JÄMTLANDS LÄN</t>
        </is>
      </c>
      <c r="E1920" t="inlineStr">
        <is>
          <t>STRÖMSUND</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51889-2022</t>
        </is>
      </c>
      <c r="B1921" s="1" t="n">
        <v>44867</v>
      </c>
      <c r="C1921" s="1" t="n">
        <v>45795</v>
      </c>
      <c r="D1921" t="inlineStr">
        <is>
          <t>JÄMTLANDS LÄN</t>
        </is>
      </c>
      <c r="E1921" t="inlineStr">
        <is>
          <t>STRÖMSUND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51325-2022</t>
        </is>
      </c>
      <c r="B1922" s="1" t="n">
        <v>44868</v>
      </c>
      <c r="C1922" s="1" t="n">
        <v>45795</v>
      </c>
      <c r="D1922" t="inlineStr">
        <is>
          <t>JÄMTLANDS LÄN</t>
        </is>
      </c>
      <c r="E1922" t="inlineStr">
        <is>
          <t>STRÖMSUND</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51324-2022</t>
        </is>
      </c>
      <c r="B1923" s="1" t="n">
        <v>44868</v>
      </c>
      <c r="C1923" s="1" t="n">
        <v>45795</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52181-2022</t>
        </is>
      </c>
      <c r="B1924" s="1" t="n">
        <v>44868</v>
      </c>
      <c r="C1924" s="1" t="n">
        <v>45795</v>
      </c>
      <c r="D1924" t="inlineStr">
        <is>
          <t>JÄMTLANDS LÄN</t>
        </is>
      </c>
      <c r="E1924" t="inlineStr">
        <is>
          <t>STRÖMSUND</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51450-2022</t>
        </is>
      </c>
      <c r="B1925" s="1" t="n">
        <v>44869</v>
      </c>
      <c r="C1925" s="1" t="n">
        <v>45795</v>
      </c>
      <c r="D1925" t="inlineStr">
        <is>
          <t>JÄMTLANDS LÄN</t>
        </is>
      </c>
      <c r="E1925" t="inlineStr">
        <is>
          <t>STRÖMSUND</t>
        </is>
      </c>
      <c r="F1925" t="inlineStr">
        <is>
          <t>Holmen skog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51562-2022</t>
        </is>
      </c>
      <c r="B1926" s="1" t="n">
        <v>44869</v>
      </c>
      <c r="C1926" s="1" t="n">
        <v>45795</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51563-2022</t>
        </is>
      </c>
      <c r="B1927" s="1" t="n">
        <v>44869</v>
      </c>
      <c r="C1927" s="1" t="n">
        <v>45795</v>
      </c>
      <c r="D1927" t="inlineStr">
        <is>
          <t>JÄMTLANDS LÄN</t>
        </is>
      </c>
      <c r="E1927" t="inlineStr">
        <is>
          <t>STRÖMSUND</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52038-2022</t>
        </is>
      </c>
      <c r="B1928" s="1" t="n">
        <v>44872</v>
      </c>
      <c r="C1928" s="1" t="n">
        <v>45795</v>
      </c>
      <c r="D1928" t="inlineStr">
        <is>
          <t>JÄMTLANDS LÄN</t>
        </is>
      </c>
      <c r="E1928" t="inlineStr">
        <is>
          <t>STRÖMSUND</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52028-2022</t>
        </is>
      </c>
      <c r="B1929" s="1" t="n">
        <v>44872</v>
      </c>
      <c r="C1929" s="1" t="n">
        <v>45795</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52806-2022</t>
        </is>
      </c>
      <c r="B1930" s="1" t="n">
        <v>44872</v>
      </c>
      <c r="C1930" s="1" t="n">
        <v>45795</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52345-2022</t>
        </is>
      </c>
      <c r="B1931" s="1" t="n">
        <v>44873</v>
      </c>
      <c r="C1931" s="1" t="n">
        <v>45795</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52352-2022</t>
        </is>
      </c>
      <c r="B1932" s="1" t="n">
        <v>44873</v>
      </c>
      <c r="C1932" s="1" t="n">
        <v>45795</v>
      </c>
      <c r="D1932" t="inlineStr">
        <is>
          <t>JÄMTLANDS LÄN</t>
        </is>
      </c>
      <c r="E1932" t="inlineStr">
        <is>
          <t>STRÖMSUND</t>
        </is>
      </c>
      <c r="F1932" t="inlineStr">
        <is>
          <t>SCA</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52344-2022</t>
        </is>
      </c>
      <c r="B1933" s="1" t="n">
        <v>44873</v>
      </c>
      <c r="C1933" s="1" t="n">
        <v>45795</v>
      </c>
      <c r="D1933" t="inlineStr">
        <is>
          <t>JÄMTLANDS LÄN</t>
        </is>
      </c>
      <c r="E1933" t="inlineStr">
        <is>
          <t>STRÖMSUND</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52715-2022</t>
        </is>
      </c>
      <c r="B1934" s="1" t="n">
        <v>44874</v>
      </c>
      <c r="C1934" s="1" t="n">
        <v>45795</v>
      </c>
      <c r="D1934" t="inlineStr">
        <is>
          <t>JÄMTLANDS LÄN</t>
        </is>
      </c>
      <c r="E1934" t="inlineStr">
        <is>
          <t>STRÖMSUND</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52521-2022</t>
        </is>
      </c>
      <c r="B1935" s="1" t="n">
        <v>44874</v>
      </c>
      <c r="C1935" s="1" t="n">
        <v>45795</v>
      </c>
      <c r="D1935" t="inlineStr">
        <is>
          <t>JÄMTLANDS LÄN</t>
        </is>
      </c>
      <c r="E1935" t="inlineStr">
        <is>
          <t>STRÖMSUND</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52728-2022</t>
        </is>
      </c>
      <c r="B1936" s="1" t="n">
        <v>44874</v>
      </c>
      <c r="C1936" s="1" t="n">
        <v>45795</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53019-2022</t>
        </is>
      </c>
      <c r="B1937" s="1" t="n">
        <v>44875</v>
      </c>
      <c r="C1937" s="1" t="n">
        <v>45795</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53020-2022</t>
        </is>
      </c>
      <c r="B1938" s="1" t="n">
        <v>44875</v>
      </c>
      <c r="C1938" s="1" t="n">
        <v>45795</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53016-2022</t>
        </is>
      </c>
      <c r="B1939" s="1" t="n">
        <v>44875</v>
      </c>
      <c r="C1939" s="1" t="n">
        <v>45795</v>
      </c>
      <c r="D1939" t="inlineStr">
        <is>
          <t>JÄMTLANDS LÄN</t>
        </is>
      </c>
      <c r="E1939" t="inlineStr">
        <is>
          <t>STRÖMSUND</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53143-2022</t>
        </is>
      </c>
      <c r="B1940" s="1" t="n">
        <v>44876</v>
      </c>
      <c r="C1940" s="1" t="n">
        <v>45795</v>
      </c>
      <c r="D1940" t="inlineStr">
        <is>
          <t>JÄMTLANDS LÄN</t>
        </is>
      </c>
      <c r="E1940" t="inlineStr">
        <is>
          <t>STRÖMSUND</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53149-2022</t>
        </is>
      </c>
      <c r="B1941" s="1" t="n">
        <v>44876</v>
      </c>
      <c r="C1941" s="1" t="n">
        <v>45795</v>
      </c>
      <c r="D1941" t="inlineStr">
        <is>
          <t>JÄMTLANDS LÄN</t>
        </is>
      </c>
      <c r="E1941" t="inlineStr">
        <is>
          <t>STRÖMSUND</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53816-2022</t>
        </is>
      </c>
      <c r="B1942" s="1" t="n">
        <v>44876</v>
      </c>
      <c r="C1942" s="1" t="n">
        <v>45795</v>
      </c>
      <c r="D1942" t="inlineStr">
        <is>
          <t>JÄMTLANDS LÄN</t>
        </is>
      </c>
      <c r="E1942" t="inlineStr">
        <is>
          <t>STRÖMSUND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54050-2022</t>
        </is>
      </c>
      <c r="B1943" s="1" t="n">
        <v>44876</v>
      </c>
      <c r="C1943" s="1" t="n">
        <v>45795</v>
      </c>
      <c r="D1943" t="inlineStr">
        <is>
          <t>JÄMTLANDS LÄN</t>
        </is>
      </c>
      <c r="E1943" t="inlineStr">
        <is>
          <t>STRÖMSUND</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53318-2022</t>
        </is>
      </c>
      <c r="B1944" s="1" t="n">
        <v>44878</v>
      </c>
      <c r="C1944" s="1" t="n">
        <v>45795</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53338-2022</t>
        </is>
      </c>
      <c r="B1945" s="1" t="n">
        <v>44879</v>
      </c>
      <c r="C1945" s="1" t="n">
        <v>45795</v>
      </c>
      <c r="D1945" t="inlineStr">
        <is>
          <t>JÄMTLANDS LÄN</t>
        </is>
      </c>
      <c r="E1945" t="inlineStr">
        <is>
          <t>STRÖMSUND</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53400-2022</t>
        </is>
      </c>
      <c r="B1946" s="1" t="n">
        <v>44879</v>
      </c>
      <c r="C1946" s="1" t="n">
        <v>45795</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53396-2022</t>
        </is>
      </c>
      <c r="B1947" s="1" t="n">
        <v>44879</v>
      </c>
      <c r="C1947" s="1" t="n">
        <v>45795</v>
      </c>
      <c r="D1947" t="inlineStr">
        <is>
          <t>JÄMTLANDS LÄN</t>
        </is>
      </c>
      <c r="E1947" t="inlineStr">
        <is>
          <t>STRÖMSUND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54577-2022</t>
        </is>
      </c>
      <c r="B1948" s="1" t="n">
        <v>44882</v>
      </c>
      <c r="C1948" s="1" t="n">
        <v>45795</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54581-2022</t>
        </is>
      </c>
      <c r="B1949" s="1" t="n">
        <v>44882</v>
      </c>
      <c r="C1949" s="1" t="n">
        <v>45795</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55459-2022</t>
        </is>
      </c>
      <c r="B1950" s="1" t="n">
        <v>44882</v>
      </c>
      <c r="C1950" s="1" t="n">
        <v>45795</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55485-2022</t>
        </is>
      </c>
      <c r="B1951" s="1" t="n">
        <v>44882</v>
      </c>
      <c r="C1951" s="1" t="n">
        <v>45795</v>
      </c>
      <c r="D1951" t="inlineStr">
        <is>
          <t>JÄMTLANDS LÄN</t>
        </is>
      </c>
      <c r="E1951" t="inlineStr">
        <is>
          <t>STRÖMSUND</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54828-2022</t>
        </is>
      </c>
      <c r="B1952" s="1" t="n">
        <v>44883</v>
      </c>
      <c r="C1952" s="1" t="n">
        <v>45795</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54839-2022</t>
        </is>
      </c>
      <c r="B1953" s="1" t="n">
        <v>44883</v>
      </c>
      <c r="C1953" s="1" t="n">
        <v>45795</v>
      </c>
      <c r="D1953" t="inlineStr">
        <is>
          <t>JÄMTLANDS LÄN</t>
        </is>
      </c>
      <c r="E1953" t="inlineStr">
        <is>
          <t>STRÖMSUND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54843-2022</t>
        </is>
      </c>
      <c r="B1954" s="1" t="n">
        <v>44883</v>
      </c>
      <c r="C1954" s="1" t="n">
        <v>45795</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54844-2022</t>
        </is>
      </c>
      <c r="B1955" s="1" t="n">
        <v>44883</v>
      </c>
      <c r="C1955" s="1" t="n">
        <v>45795</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55525-2022</t>
        </is>
      </c>
      <c r="B1956" s="1" t="n">
        <v>44887</v>
      </c>
      <c r="C1956" s="1" t="n">
        <v>45795</v>
      </c>
      <c r="D1956" t="inlineStr">
        <is>
          <t>JÄMTLANDS LÄN</t>
        </is>
      </c>
      <c r="E1956" t="inlineStr">
        <is>
          <t>STRÖMSUND</t>
        </is>
      </c>
      <c r="F1956" t="inlineStr">
        <is>
          <t>SCA</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55524-2022</t>
        </is>
      </c>
      <c r="B1957" s="1" t="n">
        <v>44887</v>
      </c>
      <c r="C1957" s="1" t="n">
        <v>45795</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55531-2022</t>
        </is>
      </c>
      <c r="B1958" s="1" t="n">
        <v>44887</v>
      </c>
      <c r="C1958" s="1" t="n">
        <v>45795</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55901-2022</t>
        </is>
      </c>
      <c r="B1959" s="1" t="n">
        <v>44888</v>
      </c>
      <c r="C1959" s="1" t="n">
        <v>45795</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56091-2022</t>
        </is>
      </c>
      <c r="B1960" s="1" t="n">
        <v>44889</v>
      </c>
      <c r="C1960" s="1" t="n">
        <v>45795</v>
      </c>
      <c r="D1960" t="inlineStr">
        <is>
          <t>JÄMTLANDS LÄN</t>
        </is>
      </c>
      <c r="E1960" t="inlineStr">
        <is>
          <t>STRÖMSUND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56171-2022</t>
        </is>
      </c>
      <c r="B1961" s="1" t="n">
        <v>44889</v>
      </c>
      <c r="C1961" s="1" t="n">
        <v>45795</v>
      </c>
      <c r="D1961" t="inlineStr">
        <is>
          <t>JÄMTLANDS LÄN</t>
        </is>
      </c>
      <c r="E1961" t="inlineStr">
        <is>
          <t>STRÖMSUND</t>
        </is>
      </c>
      <c r="F1961" t="inlineStr">
        <is>
          <t>SCA</t>
        </is>
      </c>
      <c r="G1961" t="n">
        <v>21.9</v>
      </c>
      <c r="H1961" t="n">
        <v>0</v>
      </c>
      <c r="I1961" t="n">
        <v>0</v>
      </c>
      <c r="J1961" t="n">
        <v>0</v>
      </c>
      <c r="K1961" t="n">
        <v>0</v>
      </c>
      <c r="L1961" t="n">
        <v>0</v>
      </c>
      <c r="M1961" t="n">
        <v>0</v>
      </c>
      <c r="N1961" t="n">
        <v>0</v>
      </c>
      <c r="O1961" t="n">
        <v>0</v>
      </c>
      <c r="P1961" t="n">
        <v>0</v>
      </c>
      <c r="Q1961" t="n">
        <v>0</v>
      </c>
      <c r="R1961" s="2" t="inlineStr"/>
    </row>
    <row r="1962" ht="15" customHeight="1">
      <c r="A1962" t="inlineStr">
        <is>
          <t>A 56196-2022</t>
        </is>
      </c>
      <c r="B1962" s="1" t="n">
        <v>44889</v>
      </c>
      <c r="C1962" s="1" t="n">
        <v>45795</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56412-2022</t>
        </is>
      </c>
      <c r="B1963" s="1" t="n">
        <v>44890</v>
      </c>
      <c r="C1963" s="1" t="n">
        <v>45795</v>
      </c>
      <c r="D1963" t="inlineStr">
        <is>
          <t>JÄMTLANDS LÄN</t>
        </is>
      </c>
      <c r="E1963" t="inlineStr">
        <is>
          <t>STRÖMSUND</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57740-2022</t>
        </is>
      </c>
      <c r="B1964" s="1" t="n">
        <v>44890</v>
      </c>
      <c r="C1964" s="1" t="n">
        <v>45795</v>
      </c>
      <c r="D1964" t="inlineStr">
        <is>
          <t>JÄMTLANDS LÄN</t>
        </is>
      </c>
      <c r="E1964" t="inlineStr">
        <is>
          <t>STRÖMSUND</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57762-2022</t>
        </is>
      </c>
      <c r="B1965" s="1" t="n">
        <v>44890</v>
      </c>
      <c r="C1965" s="1" t="n">
        <v>45795</v>
      </c>
      <c r="D1965" t="inlineStr">
        <is>
          <t>JÄMTLANDS LÄN</t>
        </is>
      </c>
      <c r="E1965" t="inlineStr">
        <is>
          <t>STRÖMSUND</t>
        </is>
      </c>
      <c r="F1965" t="inlineStr">
        <is>
          <t>Kyrkan</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56413-2022</t>
        </is>
      </c>
      <c r="B1966" s="1" t="n">
        <v>44890</v>
      </c>
      <c r="C1966" s="1" t="n">
        <v>45795</v>
      </c>
      <c r="D1966" t="inlineStr">
        <is>
          <t>JÄMTLANDS LÄN</t>
        </is>
      </c>
      <c r="E1966" t="inlineStr">
        <is>
          <t>STRÖMSUND</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57754-2022</t>
        </is>
      </c>
      <c r="B1967" s="1" t="n">
        <v>44890</v>
      </c>
      <c r="C1967" s="1" t="n">
        <v>45795</v>
      </c>
      <c r="D1967" t="inlineStr">
        <is>
          <t>JÄMTLANDS LÄN</t>
        </is>
      </c>
      <c r="E1967" t="inlineStr">
        <is>
          <t>STRÖMSUND</t>
        </is>
      </c>
      <c r="F1967" t="inlineStr">
        <is>
          <t>Kyrkan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58031-2022</t>
        </is>
      </c>
      <c r="B1968" s="1" t="n">
        <v>44893</v>
      </c>
      <c r="C1968" s="1" t="n">
        <v>45795</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58037-2022</t>
        </is>
      </c>
      <c r="B1969" s="1" t="n">
        <v>44893</v>
      </c>
      <c r="C1969" s="1" t="n">
        <v>45795</v>
      </c>
      <c r="D1969" t="inlineStr">
        <is>
          <t>JÄMTLANDS LÄN</t>
        </is>
      </c>
      <c r="E1969" t="inlineStr">
        <is>
          <t>STRÖMSUND</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58025-2022</t>
        </is>
      </c>
      <c r="B1970" s="1" t="n">
        <v>44893</v>
      </c>
      <c r="C1970" s="1" t="n">
        <v>45795</v>
      </c>
      <c r="D1970" t="inlineStr">
        <is>
          <t>JÄMTLANDS LÄN</t>
        </is>
      </c>
      <c r="E1970" t="inlineStr">
        <is>
          <t>STRÖMSUND</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57005-2022</t>
        </is>
      </c>
      <c r="B1971" s="1" t="n">
        <v>44894</v>
      </c>
      <c r="C1971" s="1" t="n">
        <v>45795</v>
      </c>
      <c r="D1971" t="inlineStr">
        <is>
          <t>JÄMTLANDS LÄN</t>
        </is>
      </c>
      <c r="E1971" t="inlineStr">
        <is>
          <t>STRÖMSUND</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56999-2022</t>
        </is>
      </c>
      <c r="B1972" s="1" t="n">
        <v>44894</v>
      </c>
      <c r="C1972" s="1" t="n">
        <v>45795</v>
      </c>
      <c r="D1972" t="inlineStr">
        <is>
          <t>JÄMTLANDS LÄN</t>
        </is>
      </c>
      <c r="E1972" t="inlineStr">
        <is>
          <t>STRÖMSUND</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57012-2022</t>
        </is>
      </c>
      <c r="B1973" s="1" t="n">
        <v>44894</v>
      </c>
      <c r="C1973" s="1" t="n">
        <v>45795</v>
      </c>
      <c r="D1973" t="inlineStr">
        <is>
          <t>JÄMTLANDS LÄN</t>
        </is>
      </c>
      <c r="E1973" t="inlineStr">
        <is>
          <t>STRÖMSUND</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57017-2022</t>
        </is>
      </c>
      <c r="B1974" s="1" t="n">
        <v>44895</v>
      </c>
      <c r="C1974" s="1" t="n">
        <v>45795</v>
      </c>
      <c r="D1974" t="inlineStr">
        <is>
          <t>JÄMTLANDS LÄN</t>
        </is>
      </c>
      <c r="E1974" t="inlineStr">
        <is>
          <t>STRÖMSUND</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57021-2022</t>
        </is>
      </c>
      <c r="B1975" s="1" t="n">
        <v>44895</v>
      </c>
      <c r="C1975" s="1" t="n">
        <v>45795</v>
      </c>
      <c r="D1975" t="inlineStr">
        <is>
          <t>JÄMTLANDS LÄN</t>
        </is>
      </c>
      <c r="E1975" t="inlineStr">
        <is>
          <t>STRÖMSUND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57018-2022</t>
        </is>
      </c>
      <c r="B1976" s="1" t="n">
        <v>44895</v>
      </c>
      <c r="C1976" s="1" t="n">
        <v>45795</v>
      </c>
      <c r="D1976" t="inlineStr">
        <is>
          <t>JÄMTLANDS LÄN</t>
        </is>
      </c>
      <c r="E1976" t="inlineStr">
        <is>
          <t>STRÖMSUND</t>
        </is>
      </c>
      <c r="F1976" t="inlineStr">
        <is>
          <t>SCA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57022-2022</t>
        </is>
      </c>
      <c r="B1977" s="1" t="n">
        <v>44895</v>
      </c>
      <c r="C1977" s="1" t="n">
        <v>45795</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56931-2022</t>
        </is>
      </c>
      <c r="B1978" s="1" t="n">
        <v>44894</v>
      </c>
      <c r="C1978" s="1" t="n">
        <v>45795</v>
      </c>
      <c r="D1978" t="inlineStr">
        <is>
          <t>JÄMTLANDS LÄN</t>
        </is>
      </c>
      <c r="E1978" t="inlineStr">
        <is>
          <t>STRÖMSUND</t>
        </is>
      </c>
      <c r="F1978" t="inlineStr">
        <is>
          <t>Holmen skog AB</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57002-2022</t>
        </is>
      </c>
      <c r="B1979" s="1" t="n">
        <v>44894</v>
      </c>
      <c r="C1979" s="1" t="n">
        <v>45795</v>
      </c>
      <c r="D1979" t="inlineStr">
        <is>
          <t>JÄMTLANDS LÄN</t>
        </is>
      </c>
      <c r="E1979" t="inlineStr">
        <is>
          <t>STRÖMSUND</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57014-2022</t>
        </is>
      </c>
      <c r="B1980" s="1" t="n">
        <v>44894</v>
      </c>
      <c r="C1980" s="1" t="n">
        <v>45795</v>
      </c>
      <c r="D1980" t="inlineStr">
        <is>
          <t>JÄMTLANDS LÄN</t>
        </is>
      </c>
      <c r="E1980" t="inlineStr">
        <is>
          <t>STRÖMSUND</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57016-2022</t>
        </is>
      </c>
      <c r="B1981" s="1" t="n">
        <v>44894</v>
      </c>
      <c r="C1981" s="1" t="n">
        <v>45795</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57272-2022</t>
        </is>
      </c>
      <c r="B1982" s="1" t="n">
        <v>44895</v>
      </c>
      <c r="C1982" s="1" t="n">
        <v>45795</v>
      </c>
      <c r="D1982" t="inlineStr">
        <is>
          <t>JÄMTLANDS LÄN</t>
        </is>
      </c>
      <c r="E1982" t="inlineStr">
        <is>
          <t>STRÖMSUND</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57278-2022</t>
        </is>
      </c>
      <c r="B1983" s="1" t="n">
        <v>44895</v>
      </c>
      <c r="C1983" s="1" t="n">
        <v>45795</v>
      </c>
      <c r="D1983" t="inlineStr">
        <is>
          <t>JÄMTLANDS LÄN</t>
        </is>
      </c>
      <c r="E1983" t="inlineStr">
        <is>
          <t>STRÖMSUND</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57274-2022</t>
        </is>
      </c>
      <c r="B1984" s="1" t="n">
        <v>44895</v>
      </c>
      <c r="C1984" s="1" t="n">
        <v>45795</v>
      </c>
      <c r="D1984" t="inlineStr">
        <is>
          <t>JÄMTLANDS LÄN</t>
        </is>
      </c>
      <c r="E1984" t="inlineStr">
        <is>
          <t>STRÖMSUND</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57280-2022</t>
        </is>
      </c>
      <c r="B1985" s="1" t="n">
        <v>44895</v>
      </c>
      <c r="C1985" s="1" t="n">
        <v>45795</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57277-2022</t>
        </is>
      </c>
      <c r="B1986" s="1" t="n">
        <v>44895</v>
      </c>
      <c r="C1986" s="1" t="n">
        <v>45795</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57297-2022</t>
        </is>
      </c>
      <c r="B1987" s="1" t="n">
        <v>44895</v>
      </c>
      <c r="C1987" s="1" t="n">
        <v>45795</v>
      </c>
      <c r="D1987" t="inlineStr">
        <is>
          <t>JÄMTLANDS LÄN</t>
        </is>
      </c>
      <c r="E1987" t="inlineStr">
        <is>
          <t>STRÖMSUND</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57626-2022</t>
        </is>
      </c>
      <c r="B1988" s="1" t="n">
        <v>44897</v>
      </c>
      <c r="C1988" s="1" t="n">
        <v>45795</v>
      </c>
      <c r="D1988" t="inlineStr">
        <is>
          <t>JÄMTLANDS LÄN</t>
        </is>
      </c>
      <c r="E1988" t="inlineStr">
        <is>
          <t>STRÖMSUND</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57829-2022</t>
        </is>
      </c>
      <c r="B1989" s="1" t="n">
        <v>44897</v>
      </c>
      <c r="C1989" s="1" t="n">
        <v>45795</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58179-2022</t>
        </is>
      </c>
      <c r="B1990" s="1" t="n">
        <v>44900</v>
      </c>
      <c r="C1990" s="1" t="n">
        <v>45795</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58170-2022</t>
        </is>
      </c>
      <c r="B1991" s="1" t="n">
        <v>44900</v>
      </c>
      <c r="C1991" s="1" t="n">
        <v>45795</v>
      </c>
      <c r="D1991" t="inlineStr">
        <is>
          <t>JÄMTLANDS LÄN</t>
        </is>
      </c>
      <c r="E1991" t="inlineStr">
        <is>
          <t>STRÖMSUND</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45795</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45795</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45795</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58729-2022</t>
        </is>
      </c>
      <c r="B1995" s="1" t="n">
        <v>44902</v>
      </c>
      <c r="C1995" s="1" t="n">
        <v>45795</v>
      </c>
      <c r="D1995" t="inlineStr">
        <is>
          <t>JÄMTLANDS LÄN</t>
        </is>
      </c>
      <c r="E1995" t="inlineStr">
        <is>
          <t>STRÖMSUND</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58743-2022</t>
        </is>
      </c>
      <c r="B1996" s="1" t="n">
        <v>44902</v>
      </c>
      <c r="C1996" s="1" t="n">
        <v>45795</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59003-2022</t>
        </is>
      </c>
      <c r="B1997" s="1" t="n">
        <v>44903</v>
      </c>
      <c r="C1997" s="1" t="n">
        <v>45795</v>
      </c>
      <c r="D1997" t="inlineStr">
        <is>
          <t>JÄMTLANDS LÄN</t>
        </is>
      </c>
      <c r="E1997" t="inlineStr">
        <is>
          <t>STRÖMSUND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58973-2022</t>
        </is>
      </c>
      <c r="B1998" s="1" t="n">
        <v>44903</v>
      </c>
      <c r="C1998" s="1" t="n">
        <v>45795</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58905-2022</t>
        </is>
      </c>
      <c r="B1999" s="1" t="n">
        <v>44903</v>
      </c>
      <c r="C1999" s="1" t="n">
        <v>45795</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59035-2022</t>
        </is>
      </c>
      <c r="B2000" s="1" t="n">
        <v>44903</v>
      </c>
      <c r="C2000" s="1" t="n">
        <v>45795</v>
      </c>
      <c r="D2000" t="inlineStr">
        <is>
          <t>JÄMTLANDS LÄN</t>
        </is>
      </c>
      <c r="E2000" t="inlineStr">
        <is>
          <t>STRÖMSUND</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59367-2022</t>
        </is>
      </c>
      <c r="B2001" s="1" t="n">
        <v>44904</v>
      </c>
      <c r="C2001" s="1" t="n">
        <v>45795</v>
      </c>
      <c r="D2001" t="inlineStr">
        <is>
          <t>JÄMTLANDS LÄN</t>
        </is>
      </c>
      <c r="E2001" t="inlineStr">
        <is>
          <t>STRÖMSUND</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59372-2022</t>
        </is>
      </c>
      <c r="B2002" s="1" t="n">
        <v>44904</v>
      </c>
      <c r="C2002" s="1" t="n">
        <v>45795</v>
      </c>
      <c r="D2002" t="inlineStr">
        <is>
          <t>JÄMTLANDS LÄN</t>
        </is>
      </c>
      <c r="E2002" t="inlineStr">
        <is>
          <t>STRÖMSUND</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59376-2022</t>
        </is>
      </c>
      <c r="B2003" s="1" t="n">
        <v>44904</v>
      </c>
      <c r="C2003" s="1" t="n">
        <v>45795</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59461-2022</t>
        </is>
      </c>
      <c r="B2004" s="1" t="n">
        <v>44907</v>
      </c>
      <c r="C2004" s="1" t="n">
        <v>45795</v>
      </c>
      <c r="D2004" t="inlineStr">
        <is>
          <t>JÄMTLANDS LÄN</t>
        </is>
      </c>
      <c r="E2004" t="inlineStr">
        <is>
          <t>STRÖMSUND</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59637-2022</t>
        </is>
      </c>
      <c r="B2005" s="1" t="n">
        <v>44908</v>
      </c>
      <c r="C2005" s="1" t="n">
        <v>45795</v>
      </c>
      <c r="D2005" t="inlineStr">
        <is>
          <t>JÄMTLANDS LÄN</t>
        </is>
      </c>
      <c r="E2005" t="inlineStr">
        <is>
          <t>STRÖMSUND</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59645-2022</t>
        </is>
      </c>
      <c r="B2006" s="1" t="n">
        <v>44908</v>
      </c>
      <c r="C2006" s="1" t="n">
        <v>45795</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59646-2022</t>
        </is>
      </c>
      <c r="B2007" s="1" t="n">
        <v>44908</v>
      </c>
      <c r="C2007" s="1" t="n">
        <v>45795</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60639-2022</t>
        </is>
      </c>
      <c r="B2008" s="1" t="n">
        <v>44907</v>
      </c>
      <c r="C2008" s="1" t="n">
        <v>45795</v>
      </c>
      <c r="D2008" t="inlineStr">
        <is>
          <t>JÄMTLANDS LÄN</t>
        </is>
      </c>
      <c r="E2008" t="inlineStr">
        <is>
          <t>STRÖMSUND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60775-2022</t>
        </is>
      </c>
      <c r="B2009" s="1" t="n">
        <v>44907</v>
      </c>
      <c r="C2009" s="1" t="n">
        <v>45795</v>
      </c>
      <c r="D2009" t="inlineStr">
        <is>
          <t>JÄMTLANDS LÄN</t>
        </is>
      </c>
      <c r="E2009" t="inlineStr">
        <is>
          <t>STRÖMSUND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60002-2022</t>
        </is>
      </c>
      <c r="B2010" s="1" t="n">
        <v>44909</v>
      </c>
      <c r="C2010" s="1" t="n">
        <v>45795</v>
      </c>
      <c r="D2010" t="inlineStr">
        <is>
          <t>JÄMTLANDS LÄN</t>
        </is>
      </c>
      <c r="E2010" t="inlineStr">
        <is>
          <t>STRÖMSUND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60667-2022</t>
        </is>
      </c>
      <c r="B2011" s="1" t="n">
        <v>44911</v>
      </c>
      <c r="C2011" s="1" t="n">
        <v>45795</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60740-2022</t>
        </is>
      </c>
      <c r="B2012" s="1" t="n">
        <v>44913</v>
      </c>
      <c r="C2012" s="1" t="n">
        <v>45795</v>
      </c>
      <c r="D2012" t="inlineStr">
        <is>
          <t>JÄMTLANDS LÄN</t>
        </is>
      </c>
      <c r="E2012" t="inlineStr">
        <is>
          <t>STRÖMSUND</t>
        </is>
      </c>
      <c r="F2012" t="inlineStr">
        <is>
          <t>SCA</t>
        </is>
      </c>
      <c r="G2012" t="n">
        <v>16.7</v>
      </c>
      <c r="H2012" t="n">
        <v>0</v>
      </c>
      <c r="I2012" t="n">
        <v>0</v>
      </c>
      <c r="J2012" t="n">
        <v>0</v>
      </c>
      <c r="K2012" t="n">
        <v>0</v>
      </c>
      <c r="L2012" t="n">
        <v>0</v>
      </c>
      <c r="M2012" t="n">
        <v>0</v>
      </c>
      <c r="N2012" t="n">
        <v>0</v>
      </c>
      <c r="O2012" t="n">
        <v>0</v>
      </c>
      <c r="P2012" t="n">
        <v>0</v>
      </c>
      <c r="Q2012" t="n">
        <v>0</v>
      </c>
      <c r="R2012" s="2" t="inlineStr"/>
    </row>
    <row r="2013" ht="15" customHeight="1">
      <c r="A2013" t="inlineStr">
        <is>
          <t>A 60742-2022</t>
        </is>
      </c>
      <c r="B2013" s="1" t="n">
        <v>44913</v>
      </c>
      <c r="C2013" s="1" t="n">
        <v>45795</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60801-2022</t>
        </is>
      </c>
      <c r="B2014" s="1" t="n">
        <v>44914</v>
      </c>
      <c r="C2014" s="1" t="n">
        <v>45795</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61038-2022</t>
        </is>
      </c>
      <c r="B2015" s="1" t="n">
        <v>44914</v>
      </c>
      <c r="C2015" s="1" t="n">
        <v>45795</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61374-2022</t>
        </is>
      </c>
      <c r="B2016" s="1" t="n">
        <v>44915</v>
      </c>
      <c r="C2016" s="1" t="n">
        <v>45795</v>
      </c>
      <c r="D2016" t="inlineStr">
        <is>
          <t>JÄMTLANDS LÄN</t>
        </is>
      </c>
      <c r="E2016" t="inlineStr">
        <is>
          <t>STRÖMSUND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61380-2022</t>
        </is>
      </c>
      <c r="B2017" s="1" t="n">
        <v>44915</v>
      </c>
      <c r="C2017" s="1" t="n">
        <v>45795</v>
      </c>
      <c r="D2017" t="inlineStr">
        <is>
          <t>JÄMTLANDS LÄN</t>
        </is>
      </c>
      <c r="E2017" t="inlineStr">
        <is>
          <t>STRÖMSUND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61375-2022</t>
        </is>
      </c>
      <c r="B2018" s="1" t="n">
        <v>44915</v>
      </c>
      <c r="C2018" s="1" t="n">
        <v>45795</v>
      </c>
      <c r="D2018" t="inlineStr">
        <is>
          <t>JÄMTLANDS LÄN</t>
        </is>
      </c>
      <c r="E2018" t="inlineStr">
        <is>
          <t>STRÖMSUND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61382-2022</t>
        </is>
      </c>
      <c r="B2019" s="1" t="n">
        <v>44915</v>
      </c>
      <c r="C2019" s="1" t="n">
        <v>45795</v>
      </c>
      <c r="D2019" t="inlineStr">
        <is>
          <t>JÄMTLANDS LÄN</t>
        </is>
      </c>
      <c r="E2019" t="inlineStr">
        <is>
          <t>STRÖMSUND</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62211-2022</t>
        </is>
      </c>
      <c r="B2020" s="1" t="n">
        <v>44915</v>
      </c>
      <c r="C2020" s="1" t="n">
        <v>45795</v>
      </c>
      <c r="D2020" t="inlineStr">
        <is>
          <t>JÄMTLANDS LÄN</t>
        </is>
      </c>
      <c r="E2020" t="inlineStr">
        <is>
          <t>STRÖMSUND</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62229-2022</t>
        </is>
      </c>
      <c r="B2021" s="1" t="n">
        <v>44916</v>
      </c>
      <c r="C2021" s="1" t="n">
        <v>45795</v>
      </c>
      <c r="D2021" t="inlineStr">
        <is>
          <t>JÄMTLANDS LÄN</t>
        </is>
      </c>
      <c r="E2021" t="inlineStr">
        <is>
          <t>STRÖMSUND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61921-2022</t>
        </is>
      </c>
      <c r="B2022" s="1" t="n">
        <v>44917</v>
      </c>
      <c r="C2022" s="1" t="n">
        <v>45795</v>
      </c>
      <c r="D2022" t="inlineStr">
        <is>
          <t>JÄMTLANDS LÄN</t>
        </is>
      </c>
      <c r="E2022" t="inlineStr">
        <is>
          <t>STRÖMSUND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31-2023</t>
        </is>
      </c>
      <c r="B2023" s="1" t="n">
        <v>44918</v>
      </c>
      <c r="C2023" s="1" t="n">
        <v>45795</v>
      </c>
      <c r="D2023" t="inlineStr">
        <is>
          <t>JÄMTLANDS LÄN</t>
        </is>
      </c>
      <c r="E2023" t="inlineStr">
        <is>
          <t>STRÖMSUND</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25-2023</t>
        </is>
      </c>
      <c r="B2024" s="1" t="n">
        <v>44928</v>
      </c>
      <c r="C2024" s="1" t="n">
        <v>45795</v>
      </c>
      <c r="D2024" t="inlineStr">
        <is>
          <t>JÄMTLANDS LÄN</t>
        </is>
      </c>
      <c r="E2024" t="inlineStr">
        <is>
          <t>STRÖMSUND</t>
        </is>
      </c>
      <c r="F2024" t="inlineStr">
        <is>
          <t>Sveaskog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286-2023</t>
        </is>
      </c>
      <c r="B2025" s="1" t="n">
        <v>44928</v>
      </c>
      <c r="C2025" s="1" t="n">
        <v>45795</v>
      </c>
      <c r="D2025" t="inlineStr">
        <is>
          <t>JÄMTLANDS LÄN</t>
        </is>
      </c>
      <c r="E2025" t="inlineStr">
        <is>
          <t>STRÖMSUND</t>
        </is>
      </c>
      <c r="F2025" t="inlineStr">
        <is>
          <t>SCA</t>
        </is>
      </c>
      <c r="G2025" t="n">
        <v>40.5</v>
      </c>
      <c r="H2025" t="n">
        <v>0</v>
      </c>
      <c r="I2025" t="n">
        <v>0</v>
      </c>
      <c r="J2025" t="n">
        <v>0</v>
      </c>
      <c r="K2025" t="n">
        <v>0</v>
      </c>
      <c r="L2025" t="n">
        <v>0</v>
      </c>
      <c r="M2025" t="n">
        <v>0</v>
      </c>
      <c r="N2025" t="n">
        <v>0</v>
      </c>
      <c r="O2025" t="n">
        <v>0</v>
      </c>
      <c r="P2025" t="n">
        <v>0</v>
      </c>
      <c r="Q2025" t="n">
        <v>0</v>
      </c>
      <c r="R2025" s="2" t="inlineStr"/>
    </row>
    <row r="2026" ht="15" customHeight="1">
      <c r="A2026" t="inlineStr">
        <is>
          <t>A 536-2023</t>
        </is>
      </c>
      <c r="B2026" s="1" t="n">
        <v>44930</v>
      </c>
      <c r="C2026" s="1" t="n">
        <v>45795</v>
      </c>
      <c r="D2026" t="inlineStr">
        <is>
          <t>JÄMTLANDS LÄN</t>
        </is>
      </c>
      <c r="E2026" t="inlineStr">
        <is>
          <t>STRÖMSUND</t>
        </is>
      </c>
      <c r="G2026" t="n">
        <v>35.4</v>
      </c>
      <c r="H2026" t="n">
        <v>0</v>
      </c>
      <c r="I2026" t="n">
        <v>0</v>
      </c>
      <c r="J2026" t="n">
        <v>0</v>
      </c>
      <c r="K2026" t="n">
        <v>0</v>
      </c>
      <c r="L2026" t="n">
        <v>0</v>
      </c>
      <c r="M2026" t="n">
        <v>0</v>
      </c>
      <c r="N2026" t="n">
        <v>0</v>
      </c>
      <c r="O2026" t="n">
        <v>0</v>
      </c>
      <c r="P2026" t="n">
        <v>0</v>
      </c>
      <c r="Q2026" t="n">
        <v>0</v>
      </c>
      <c r="R2026" s="2" t="inlineStr"/>
    </row>
    <row r="2027" ht="15" customHeight="1">
      <c r="A2027" t="inlineStr">
        <is>
          <t>A 1187-2023</t>
        </is>
      </c>
      <c r="B2027" s="1" t="n">
        <v>44930</v>
      </c>
      <c r="C2027" s="1" t="n">
        <v>45795</v>
      </c>
      <c r="D2027" t="inlineStr">
        <is>
          <t>JÄMTLANDS LÄN</t>
        </is>
      </c>
      <c r="E2027" t="inlineStr">
        <is>
          <t>STRÖMSUND</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897-2023</t>
        </is>
      </c>
      <c r="B2028" s="1" t="n">
        <v>44931</v>
      </c>
      <c r="C2028" s="1" t="n">
        <v>45795</v>
      </c>
      <c r="D2028" t="inlineStr">
        <is>
          <t>JÄMTLANDS LÄN</t>
        </is>
      </c>
      <c r="E2028" t="inlineStr">
        <is>
          <t>STRÖMSUND</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1288-2023</t>
        </is>
      </c>
      <c r="B2029" s="1" t="n">
        <v>44931</v>
      </c>
      <c r="C2029" s="1" t="n">
        <v>45795</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1224-2023</t>
        </is>
      </c>
      <c r="B2030" s="1" t="n">
        <v>44935</v>
      </c>
      <c r="C2030" s="1" t="n">
        <v>45795</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1747-2023</t>
        </is>
      </c>
      <c r="B2031" s="1" t="n">
        <v>44936</v>
      </c>
      <c r="C2031" s="1" t="n">
        <v>45795</v>
      </c>
      <c r="D2031" t="inlineStr">
        <is>
          <t>JÄMTLANDS LÄN</t>
        </is>
      </c>
      <c r="E2031" t="inlineStr">
        <is>
          <t>STRÖMSUND</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1744-2023</t>
        </is>
      </c>
      <c r="B2032" s="1" t="n">
        <v>44936</v>
      </c>
      <c r="C2032" s="1" t="n">
        <v>45795</v>
      </c>
      <c r="D2032" t="inlineStr">
        <is>
          <t>JÄMTLANDS LÄN</t>
        </is>
      </c>
      <c r="E2032" t="inlineStr">
        <is>
          <t>STRÖMSUND</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1641-2023</t>
        </is>
      </c>
      <c r="B2033" s="1" t="n">
        <v>44937</v>
      </c>
      <c r="C2033" s="1" t="n">
        <v>45795</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1642-2023</t>
        </is>
      </c>
      <c r="B2034" s="1" t="n">
        <v>44937</v>
      </c>
      <c r="C2034" s="1" t="n">
        <v>45795</v>
      </c>
      <c r="D2034" t="inlineStr">
        <is>
          <t>JÄMTLANDS LÄN</t>
        </is>
      </c>
      <c r="E2034" t="inlineStr">
        <is>
          <t>STRÖMSUND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1952-2023</t>
        </is>
      </c>
      <c r="B2035" s="1" t="n">
        <v>44938</v>
      </c>
      <c r="C2035" s="1" t="n">
        <v>45795</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2050-2023</t>
        </is>
      </c>
      <c r="B2036" s="1" t="n">
        <v>44939</v>
      </c>
      <c r="C2036" s="1" t="n">
        <v>45795</v>
      </c>
      <c r="D2036" t="inlineStr">
        <is>
          <t>JÄMTLANDS LÄN</t>
        </is>
      </c>
      <c r="E2036" t="inlineStr">
        <is>
          <t>STRÖMSUND</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2246-2023</t>
        </is>
      </c>
      <c r="B2037" s="1" t="n">
        <v>44939</v>
      </c>
      <c r="C2037" s="1" t="n">
        <v>45795</v>
      </c>
      <c r="D2037" t="inlineStr">
        <is>
          <t>JÄMTLANDS LÄN</t>
        </is>
      </c>
      <c r="E2037" t="inlineStr">
        <is>
          <t>STRÖMSUND</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2296-2023</t>
        </is>
      </c>
      <c r="B2038" s="1" t="n">
        <v>44942</v>
      </c>
      <c r="C2038" s="1" t="n">
        <v>45795</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2675-2023</t>
        </is>
      </c>
      <c r="B2039" s="1" t="n">
        <v>44942</v>
      </c>
      <c r="C2039" s="1" t="n">
        <v>45795</v>
      </c>
      <c r="D2039" t="inlineStr">
        <is>
          <t>JÄMTLANDS LÄN</t>
        </is>
      </c>
      <c r="E2039" t="inlineStr">
        <is>
          <t>STRÖMSUND</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3182-2023</t>
        </is>
      </c>
      <c r="B2040" s="1" t="n">
        <v>44942</v>
      </c>
      <c r="C2040" s="1" t="n">
        <v>45795</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3027-2023</t>
        </is>
      </c>
      <c r="B2041" s="1" t="n">
        <v>44945</v>
      </c>
      <c r="C2041" s="1" t="n">
        <v>45795</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3481-2023</t>
        </is>
      </c>
      <c r="B2042" s="1" t="n">
        <v>44949</v>
      </c>
      <c r="C2042" s="1" t="n">
        <v>45795</v>
      </c>
      <c r="D2042" t="inlineStr">
        <is>
          <t>JÄMTLANDS LÄN</t>
        </is>
      </c>
      <c r="E2042" t="inlineStr">
        <is>
          <t>STRÖMSUND</t>
        </is>
      </c>
      <c r="G2042" t="n">
        <v>21.6</v>
      </c>
      <c r="H2042" t="n">
        <v>0</v>
      </c>
      <c r="I2042" t="n">
        <v>0</v>
      </c>
      <c r="J2042" t="n">
        <v>0</v>
      </c>
      <c r="K2042" t="n">
        <v>0</v>
      </c>
      <c r="L2042" t="n">
        <v>0</v>
      </c>
      <c r="M2042" t="n">
        <v>0</v>
      </c>
      <c r="N2042" t="n">
        <v>0</v>
      </c>
      <c r="O2042" t="n">
        <v>0</v>
      </c>
      <c r="P2042" t="n">
        <v>0</v>
      </c>
      <c r="Q2042" t="n">
        <v>0</v>
      </c>
      <c r="R2042" s="2" t="inlineStr"/>
    </row>
    <row r="2043" ht="15" customHeight="1">
      <c r="A2043" t="inlineStr">
        <is>
          <t>A 3693-2023</t>
        </is>
      </c>
      <c r="B2043" s="1" t="n">
        <v>44950</v>
      </c>
      <c r="C2043" s="1" t="n">
        <v>45795</v>
      </c>
      <c r="D2043" t="inlineStr">
        <is>
          <t>JÄMTLANDS LÄN</t>
        </is>
      </c>
      <c r="E2043" t="inlineStr">
        <is>
          <t>STRÖMSUND</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4045-2023</t>
        </is>
      </c>
      <c r="B2044" s="1" t="n">
        <v>44952</v>
      </c>
      <c r="C2044" s="1" t="n">
        <v>45795</v>
      </c>
      <c r="D2044" t="inlineStr">
        <is>
          <t>JÄMTLANDS LÄN</t>
        </is>
      </c>
      <c r="E2044" t="inlineStr">
        <is>
          <t>STRÖMSUND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4537-2023</t>
        </is>
      </c>
      <c r="B2045" s="1" t="n">
        <v>44952</v>
      </c>
      <c r="C2045" s="1" t="n">
        <v>45795</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4050-2023</t>
        </is>
      </c>
      <c r="B2046" s="1" t="n">
        <v>44952</v>
      </c>
      <c r="C2046" s="1" t="n">
        <v>45795</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4684-2023</t>
        </is>
      </c>
      <c r="B2047" s="1" t="n">
        <v>44952</v>
      </c>
      <c r="C2047" s="1" t="n">
        <v>45795</v>
      </c>
      <c r="D2047" t="inlineStr">
        <is>
          <t>JÄMTLANDS LÄN</t>
        </is>
      </c>
      <c r="E2047" t="inlineStr">
        <is>
          <t>STRÖMSUND</t>
        </is>
      </c>
      <c r="G2047" t="n">
        <v>24.1</v>
      </c>
      <c r="H2047" t="n">
        <v>0</v>
      </c>
      <c r="I2047" t="n">
        <v>0</v>
      </c>
      <c r="J2047" t="n">
        <v>0</v>
      </c>
      <c r="K2047" t="n">
        <v>0</v>
      </c>
      <c r="L2047" t="n">
        <v>0</v>
      </c>
      <c r="M2047" t="n">
        <v>0</v>
      </c>
      <c r="N2047" t="n">
        <v>0</v>
      </c>
      <c r="O2047" t="n">
        <v>0</v>
      </c>
      <c r="P2047" t="n">
        <v>0</v>
      </c>
      <c r="Q2047" t="n">
        <v>0</v>
      </c>
      <c r="R2047" s="2" t="inlineStr"/>
    </row>
    <row r="2048" ht="15" customHeight="1">
      <c r="A2048" t="inlineStr">
        <is>
          <t>A 4523-2023</t>
        </is>
      </c>
      <c r="B2048" s="1" t="n">
        <v>44952</v>
      </c>
      <c r="C2048" s="1" t="n">
        <v>45795</v>
      </c>
      <c r="D2048" t="inlineStr">
        <is>
          <t>JÄMTLANDS LÄN</t>
        </is>
      </c>
      <c r="E2048" t="inlineStr">
        <is>
          <t>STRÖMSUND</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4388-2023</t>
        </is>
      </c>
      <c r="B2049" s="1" t="n">
        <v>44955</v>
      </c>
      <c r="C2049" s="1" t="n">
        <v>45795</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4621-2023</t>
        </is>
      </c>
      <c r="B2050" s="1" t="n">
        <v>44956</v>
      </c>
      <c r="C2050" s="1" t="n">
        <v>45795</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4988-2023</t>
        </is>
      </c>
      <c r="B2051" s="1" t="n">
        <v>44956</v>
      </c>
      <c r="C2051" s="1" t="n">
        <v>45795</v>
      </c>
      <c r="D2051" t="inlineStr">
        <is>
          <t>JÄMTLANDS LÄN</t>
        </is>
      </c>
      <c r="E2051" t="inlineStr">
        <is>
          <t>STRÖMSUND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4981-2023</t>
        </is>
      </c>
      <c r="B2052" s="1" t="n">
        <v>44956</v>
      </c>
      <c r="C2052" s="1" t="n">
        <v>45795</v>
      </c>
      <c r="D2052" t="inlineStr">
        <is>
          <t>JÄMTLANDS LÄN</t>
        </is>
      </c>
      <c r="E2052" t="inlineStr">
        <is>
          <t>STRÖMSUND</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4880-2023</t>
        </is>
      </c>
      <c r="B2053" s="1" t="n">
        <v>44957</v>
      </c>
      <c r="C2053" s="1" t="n">
        <v>45795</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5154-2023</t>
        </is>
      </c>
      <c r="B2054" s="1" t="n">
        <v>44958</v>
      </c>
      <c r="C2054" s="1" t="n">
        <v>45795</v>
      </c>
      <c r="D2054" t="inlineStr">
        <is>
          <t>JÄMTLANDS LÄN</t>
        </is>
      </c>
      <c r="E2054" t="inlineStr">
        <is>
          <t>STRÖMSUND</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5174-2023</t>
        </is>
      </c>
      <c r="B2055" s="1" t="n">
        <v>44958</v>
      </c>
      <c r="C2055" s="1" t="n">
        <v>45795</v>
      </c>
      <c r="D2055" t="inlineStr">
        <is>
          <t>JÄMTLANDS LÄN</t>
        </is>
      </c>
      <c r="E2055" t="inlineStr">
        <is>
          <t>STRÖMSUND</t>
        </is>
      </c>
      <c r="F2055" t="inlineStr">
        <is>
          <t>SCA</t>
        </is>
      </c>
      <c r="G2055" t="n">
        <v>64.5</v>
      </c>
      <c r="H2055" t="n">
        <v>0</v>
      </c>
      <c r="I2055" t="n">
        <v>0</v>
      </c>
      <c r="J2055" t="n">
        <v>0</v>
      </c>
      <c r="K2055" t="n">
        <v>0</v>
      </c>
      <c r="L2055" t="n">
        <v>0</v>
      </c>
      <c r="M2055" t="n">
        <v>0</v>
      </c>
      <c r="N2055" t="n">
        <v>0</v>
      </c>
      <c r="O2055" t="n">
        <v>0</v>
      </c>
      <c r="P2055" t="n">
        <v>0</v>
      </c>
      <c r="Q2055" t="n">
        <v>0</v>
      </c>
      <c r="R2055" s="2" t="inlineStr"/>
    </row>
    <row r="2056" ht="15" customHeight="1">
      <c r="A2056" t="inlineStr">
        <is>
          <t>A 5155-2023</t>
        </is>
      </c>
      <c r="B2056" s="1" t="n">
        <v>44958</v>
      </c>
      <c r="C2056" s="1" t="n">
        <v>45795</v>
      </c>
      <c r="D2056" t="inlineStr">
        <is>
          <t>JÄMTLANDS LÄN</t>
        </is>
      </c>
      <c r="E2056" t="inlineStr">
        <is>
          <t>STRÖMSUND</t>
        </is>
      </c>
      <c r="F2056" t="inlineStr">
        <is>
          <t>SCA</t>
        </is>
      </c>
      <c r="G2056" t="n">
        <v>34.1</v>
      </c>
      <c r="H2056" t="n">
        <v>0</v>
      </c>
      <c r="I2056" t="n">
        <v>0</v>
      </c>
      <c r="J2056" t="n">
        <v>0</v>
      </c>
      <c r="K2056" t="n">
        <v>0</v>
      </c>
      <c r="L2056" t="n">
        <v>0</v>
      </c>
      <c r="M2056" t="n">
        <v>0</v>
      </c>
      <c r="N2056" t="n">
        <v>0</v>
      </c>
      <c r="O2056" t="n">
        <v>0</v>
      </c>
      <c r="P2056" t="n">
        <v>0</v>
      </c>
      <c r="Q2056" t="n">
        <v>0</v>
      </c>
      <c r="R2056" s="2" t="inlineStr"/>
    </row>
    <row r="2057" ht="15" customHeight="1">
      <c r="A2057" t="inlineStr">
        <is>
          <t>A 5162-2023</t>
        </is>
      </c>
      <c r="B2057" s="1" t="n">
        <v>44958</v>
      </c>
      <c r="C2057" s="1" t="n">
        <v>45795</v>
      </c>
      <c r="D2057" t="inlineStr">
        <is>
          <t>JÄMTLANDS LÄN</t>
        </is>
      </c>
      <c r="E2057" t="inlineStr">
        <is>
          <t>STRÖMSUND</t>
        </is>
      </c>
      <c r="F2057" t="inlineStr">
        <is>
          <t>SCA</t>
        </is>
      </c>
      <c r="G2057" t="n">
        <v>62.1</v>
      </c>
      <c r="H2057" t="n">
        <v>0</v>
      </c>
      <c r="I2057" t="n">
        <v>0</v>
      </c>
      <c r="J2057" t="n">
        <v>0</v>
      </c>
      <c r="K2057" t="n">
        <v>0</v>
      </c>
      <c r="L2057" t="n">
        <v>0</v>
      </c>
      <c r="M2057" t="n">
        <v>0</v>
      </c>
      <c r="N2057" t="n">
        <v>0</v>
      </c>
      <c r="O2057" t="n">
        <v>0</v>
      </c>
      <c r="P2057" t="n">
        <v>0</v>
      </c>
      <c r="Q2057" t="n">
        <v>0</v>
      </c>
      <c r="R2057" s="2" t="inlineStr"/>
    </row>
    <row r="2058" ht="15" customHeight="1">
      <c r="A2058" t="inlineStr">
        <is>
          <t>A 5279-2023</t>
        </is>
      </c>
      <c r="B2058" s="1" t="n">
        <v>44959</v>
      </c>
      <c r="C2058" s="1" t="n">
        <v>45795</v>
      </c>
      <c r="D2058" t="inlineStr">
        <is>
          <t>JÄMTLANDS LÄN</t>
        </is>
      </c>
      <c r="E2058" t="inlineStr">
        <is>
          <t>STRÖMSUND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5277-2023</t>
        </is>
      </c>
      <c r="B2059" s="1" t="n">
        <v>44959</v>
      </c>
      <c r="C2059" s="1" t="n">
        <v>45795</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5278-2023</t>
        </is>
      </c>
      <c r="B2060" s="1" t="n">
        <v>44959</v>
      </c>
      <c r="C2060" s="1" t="n">
        <v>45795</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5397-2023</t>
        </is>
      </c>
      <c r="B2061" s="1" t="n">
        <v>44959</v>
      </c>
      <c r="C2061" s="1" t="n">
        <v>45795</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5452-2023</t>
        </is>
      </c>
      <c r="B2062" s="1" t="n">
        <v>44959</v>
      </c>
      <c r="C2062" s="1" t="n">
        <v>45795</v>
      </c>
      <c r="D2062" t="inlineStr">
        <is>
          <t>JÄMTLANDS LÄN</t>
        </is>
      </c>
      <c r="E2062" t="inlineStr">
        <is>
          <t>STRÖMSUND</t>
        </is>
      </c>
      <c r="F2062" t="inlineStr">
        <is>
          <t>SCA</t>
        </is>
      </c>
      <c r="G2062" t="n">
        <v>33.6</v>
      </c>
      <c r="H2062" t="n">
        <v>0</v>
      </c>
      <c r="I2062" t="n">
        <v>0</v>
      </c>
      <c r="J2062" t="n">
        <v>0</v>
      </c>
      <c r="K2062" t="n">
        <v>0</v>
      </c>
      <c r="L2062" t="n">
        <v>0</v>
      </c>
      <c r="M2062" t="n">
        <v>0</v>
      </c>
      <c r="N2062" t="n">
        <v>0</v>
      </c>
      <c r="O2062" t="n">
        <v>0</v>
      </c>
      <c r="P2062" t="n">
        <v>0</v>
      </c>
      <c r="Q2062" t="n">
        <v>0</v>
      </c>
      <c r="R2062" s="2" t="inlineStr"/>
      <c r="U2062">
        <f>HYPERLINK("https://klasma.github.io/Logging_2313/knärot/A 5452-2023 karta knärot.png", "A 5452-2023")</f>
        <v/>
      </c>
      <c r="V2062">
        <f>HYPERLINK("https://klasma.github.io/Logging_2313/klagomål/A 5452-2023 FSC-klagomål.docx", "A 5452-2023")</f>
        <v/>
      </c>
      <c r="W2062">
        <f>HYPERLINK("https://klasma.github.io/Logging_2313/klagomålsmail/A 5452-2023 FSC-klagomål mail.docx", "A 5452-2023")</f>
        <v/>
      </c>
      <c r="X2062">
        <f>HYPERLINK("https://klasma.github.io/Logging_2313/tillsyn/A 5452-2023 tillsynsbegäran.docx", "A 5452-2023")</f>
        <v/>
      </c>
      <c r="Y2062">
        <f>HYPERLINK("https://klasma.github.io/Logging_2313/tillsynsmail/A 5452-2023 tillsynsbegäran mail.docx", "A 5452-2023")</f>
        <v/>
      </c>
    </row>
    <row r="2063" ht="15" customHeight="1">
      <c r="A2063" t="inlineStr">
        <is>
          <t>A 5714-2023</t>
        </is>
      </c>
      <c r="B2063" s="1" t="n">
        <v>44960</v>
      </c>
      <c r="C2063" s="1" t="n">
        <v>45795</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6267-2023</t>
        </is>
      </c>
      <c r="B2064" s="1" t="n">
        <v>44960</v>
      </c>
      <c r="C2064" s="1" t="n">
        <v>45795</v>
      </c>
      <c r="D2064" t="inlineStr">
        <is>
          <t>JÄMTLANDS LÄN</t>
        </is>
      </c>
      <c r="E2064" t="inlineStr">
        <is>
          <t>STRÖMSUND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6581-2023</t>
        </is>
      </c>
      <c r="B2065" s="1" t="n">
        <v>44963</v>
      </c>
      <c r="C2065" s="1" t="n">
        <v>45795</v>
      </c>
      <c r="D2065" t="inlineStr">
        <is>
          <t>JÄMTLANDS LÄN</t>
        </is>
      </c>
      <c r="E2065" t="inlineStr">
        <is>
          <t>STRÖMSUND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6583-2023</t>
        </is>
      </c>
      <c r="B2066" s="1" t="n">
        <v>44963</v>
      </c>
      <c r="C2066" s="1" t="n">
        <v>45795</v>
      </c>
      <c r="D2066" t="inlineStr">
        <is>
          <t>JÄMTLANDS LÄN</t>
        </is>
      </c>
      <c r="E2066" t="inlineStr">
        <is>
          <t>STRÖMSUND</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5956-2023</t>
        </is>
      </c>
      <c r="B2067" s="1" t="n">
        <v>44963</v>
      </c>
      <c r="C2067" s="1" t="n">
        <v>45795</v>
      </c>
      <c r="D2067" t="inlineStr">
        <is>
          <t>JÄMTLANDS LÄN</t>
        </is>
      </c>
      <c r="E2067" t="inlineStr">
        <is>
          <t>STRÖMSUND</t>
        </is>
      </c>
      <c r="F2067" t="inlineStr">
        <is>
          <t>SCA</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6234-2023</t>
        </is>
      </c>
      <c r="B2068" s="1" t="n">
        <v>44964</v>
      </c>
      <c r="C2068" s="1" t="n">
        <v>45795</v>
      </c>
      <c r="D2068" t="inlineStr">
        <is>
          <t>JÄMTLANDS LÄN</t>
        </is>
      </c>
      <c r="E2068" t="inlineStr">
        <is>
          <t>STRÖMSUND</t>
        </is>
      </c>
      <c r="F2068" t="inlineStr">
        <is>
          <t>SCA</t>
        </is>
      </c>
      <c r="G2068" t="n">
        <v>13.7</v>
      </c>
      <c r="H2068" t="n">
        <v>0</v>
      </c>
      <c r="I2068" t="n">
        <v>0</v>
      </c>
      <c r="J2068" t="n">
        <v>0</v>
      </c>
      <c r="K2068" t="n">
        <v>0</v>
      </c>
      <c r="L2068" t="n">
        <v>0</v>
      </c>
      <c r="M2068" t="n">
        <v>0</v>
      </c>
      <c r="N2068" t="n">
        <v>0</v>
      </c>
      <c r="O2068" t="n">
        <v>0</v>
      </c>
      <c r="P2068" t="n">
        <v>0</v>
      </c>
      <c r="Q2068" t="n">
        <v>0</v>
      </c>
      <c r="R2068" s="2" t="inlineStr"/>
    </row>
    <row r="2069" ht="15" customHeight="1">
      <c r="A2069" t="inlineStr">
        <is>
          <t>A 6928-2023</t>
        </is>
      </c>
      <c r="B2069" s="1" t="n">
        <v>44964</v>
      </c>
      <c r="C2069" s="1" t="n">
        <v>45795</v>
      </c>
      <c r="D2069" t="inlineStr">
        <is>
          <t>JÄMTLANDS LÄN</t>
        </is>
      </c>
      <c r="E2069" t="inlineStr">
        <is>
          <t>STRÖMSUND</t>
        </is>
      </c>
      <c r="G2069" t="n">
        <v>8.699999999999999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6932-2023</t>
        </is>
      </c>
      <c r="B2070" s="1" t="n">
        <v>44964</v>
      </c>
      <c r="C2070" s="1" t="n">
        <v>45795</v>
      </c>
      <c r="D2070" t="inlineStr">
        <is>
          <t>JÄMTLANDS LÄN</t>
        </is>
      </c>
      <c r="E2070" t="inlineStr">
        <is>
          <t>STRÖMSUND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6455-2023</t>
        </is>
      </c>
      <c r="B2071" s="1" t="n">
        <v>44965</v>
      </c>
      <c r="C2071" s="1" t="n">
        <v>45795</v>
      </c>
      <c r="D2071" t="inlineStr">
        <is>
          <t>JÄMTLANDS LÄN</t>
        </is>
      </c>
      <c r="E2071" t="inlineStr">
        <is>
          <t>STRÖMSUND</t>
        </is>
      </c>
      <c r="F2071" t="inlineStr">
        <is>
          <t>SCA</t>
        </is>
      </c>
      <c r="G2071" t="n">
        <v>74.7</v>
      </c>
      <c r="H2071" t="n">
        <v>0</v>
      </c>
      <c r="I2071" t="n">
        <v>0</v>
      </c>
      <c r="J2071" t="n">
        <v>0</v>
      </c>
      <c r="K2071" t="n">
        <v>0</v>
      </c>
      <c r="L2071" t="n">
        <v>0</v>
      </c>
      <c r="M2071" t="n">
        <v>0</v>
      </c>
      <c r="N2071" t="n">
        <v>0</v>
      </c>
      <c r="O2071" t="n">
        <v>0</v>
      </c>
      <c r="P2071" t="n">
        <v>0</v>
      </c>
      <c r="Q2071" t="n">
        <v>0</v>
      </c>
      <c r="R2071" s="2" t="inlineStr"/>
    </row>
    <row r="2072" ht="15" customHeight="1">
      <c r="A2072" t="inlineStr">
        <is>
          <t>A 6462-2023</t>
        </is>
      </c>
      <c r="B2072" s="1" t="n">
        <v>44965</v>
      </c>
      <c r="C2072" s="1" t="n">
        <v>45795</v>
      </c>
      <c r="D2072" t="inlineStr">
        <is>
          <t>JÄMTLANDS LÄN</t>
        </is>
      </c>
      <c r="E2072" t="inlineStr">
        <is>
          <t>STRÖMSUND</t>
        </is>
      </c>
      <c r="F2072" t="inlineStr">
        <is>
          <t>SCA</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6773-2023</t>
        </is>
      </c>
      <c r="B2073" s="1" t="n">
        <v>44966</v>
      </c>
      <c r="C2073" s="1" t="n">
        <v>45795</v>
      </c>
      <c r="D2073" t="inlineStr">
        <is>
          <t>JÄMTLANDS LÄN</t>
        </is>
      </c>
      <c r="E2073" t="inlineStr">
        <is>
          <t>STRÖMSUND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6798-2023</t>
        </is>
      </c>
      <c r="B2074" s="1" t="n">
        <v>44966</v>
      </c>
      <c r="C2074" s="1" t="n">
        <v>45795</v>
      </c>
      <c r="D2074" t="inlineStr">
        <is>
          <t>JÄMTLANDS LÄN</t>
        </is>
      </c>
      <c r="E2074" t="inlineStr">
        <is>
          <t>STRÖMSUND</t>
        </is>
      </c>
      <c r="F2074" t="inlineStr">
        <is>
          <t>SCA</t>
        </is>
      </c>
      <c r="G2074" t="n">
        <v>70.3</v>
      </c>
      <c r="H2074" t="n">
        <v>0</v>
      </c>
      <c r="I2074" t="n">
        <v>0</v>
      </c>
      <c r="J2074" t="n">
        <v>0</v>
      </c>
      <c r="K2074" t="n">
        <v>0</v>
      </c>
      <c r="L2074" t="n">
        <v>0</v>
      </c>
      <c r="M2074" t="n">
        <v>0</v>
      </c>
      <c r="N2074" t="n">
        <v>0</v>
      </c>
      <c r="O2074" t="n">
        <v>0</v>
      </c>
      <c r="P2074" t="n">
        <v>0</v>
      </c>
      <c r="Q2074" t="n">
        <v>0</v>
      </c>
      <c r="R2074" s="2" t="inlineStr"/>
    </row>
    <row r="2075" ht="15" customHeight="1">
      <c r="A2075" t="inlineStr">
        <is>
          <t>A 6780-2023</t>
        </is>
      </c>
      <c r="B2075" s="1" t="n">
        <v>44966</v>
      </c>
      <c r="C2075" s="1" t="n">
        <v>45795</v>
      </c>
      <c r="D2075" t="inlineStr">
        <is>
          <t>JÄMTLANDS LÄN</t>
        </is>
      </c>
      <c r="E2075" t="inlineStr">
        <is>
          <t>STRÖMSUND</t>
        </is>
      </c>
      <c r="F2075" t="inlineStr">
        <is>
          <t>SCA</t>
        </is>
      </c>
      <c r="G2075" t="n">
        <v>38.5</v>
      </c>
      <c r="H2075" t="n">
        <v>0</v>
      </c>
      <c r="I2075" t="n">
        <v>0</v>
      </c>
      <c r="J2075" t="n">
        <v>0</v>
      </c>
      <c r="K2075" t="n">
        <v>0</v>
      </c>
      <c r="L2075" t="n">
        <v>0</v>
      </c>
      <c r="M2075" t="n">
        <v>0</v>
      </c>
      <c r="N2075" t="n">
        <v>0</v>
      </c>
      <c r="O2075" t="n">
        <v>0</v>
      </c>
      <c r="P2075" t="n">
        <v>0</v>
      </c>
      <c r="Q2075" t="n">
        <v>0</v>
      </c>
      <c r="R2075" s="2" t="inlineStr"/>
    </row>
    <row r="2076" ht="15" customHeight="1">
      <c r="A2076" t="inlineStr">
        <is>
          <t>A 7489-2023</t>
        </is>
      </c>
      <c r="B2076" s="1" t="n">
        <v>44966</v>
      </c>
      <c r="C2076" s="1" t="n">
        <v>45795</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7020-2023</t>
        </is>
      </c>
      <c r="B2077" s="1" t="n">
        <v>44967</v>
      </c>
      <c r="C2077" s="1" t="n">
        <v>45795</v>
      </c>
      <c r="D2077" t="inlineStr">
        <is>
          <t>JÄMTLANDS LÄN</t>
        </is>
      </c>
      <c r="E2077" t="inlineStr">
        <is>
          <t>STRÖMSUND</t>
        </is>
      </c>
      <c r="F2077" t="inlineStr">
        <is>
          <t>SCA</t>
        </is>
      </c>
      <c r="G2077" t="n">
        <v>33.9</v>
      </c>
      <c r="H2077" t="n">
        <v>0</v>
      </c>
      <c r="I2077" t="n">
        <v>0</v>
      </c>
      <c r="J2077" t="n">
        <v>0</v>
      </c>
      <c r="K2077" t="n">
        <v>0</v>
      </c>
      <c r="L2077" t="n">
        <v>0</v>
      </c>
      <c r="M2077" t="n">
        <v>0</v>
      </c>
      <c r="N2077" t="n">
        <v>0</v>
      </c>
      <c r="O2077" t="n">
        <v>0</v>
      </c>
      <c r="P2077" t="n">
        <v>0</v>
      </c>
      <c r="Q2077" t="n">
        <v>0</v>
      </c>
      <c r="R2077" s="2" t="inlineStr"/>
    </row>
    <row r="2078" ht="15" customHeight="1">
      <c r="A2078" t="inlineStr">
        <is>
          <t>A 7015-2023</t>
        </is>
      </c>
      <c r="B2078" s="1" t="n">
        <v>44967</v>
      </c>
      <c r="C2078" s="1" t="n">
        <v>45795</v>
      </c>
      <c r="D2078" t="inlineStr">
        <is>
          <t>JÄMTLANDS LÄN</t>
        </is>
      </c>
      <c r="E2078" t="inlineStr">
        <is>
          <t>STRÖMSUND</t>
        </is>
      </c>
      <c r="F2078" t="inlineStr">
        <is>
          <t>SCA</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7326-2023</t>
        </is>
      </c>
      <c r="B2079" s="1" t="n">
        <v>44971</v>
      </c>
      <c r="C2079" s="1" t="n">
        <v>45795</v>
      </c>
      <c r="D2079" t="inlineStr">
        <is>
          <t>JÄMTLANDS LÄN</t>
        </is>
      </c>
      <c r="E2079" t="inlineStr">
        <is>
          <t>STRÖMSUND</t>
        </is>
      </c>
      <c r="F2079" t="inlineStr">
        <is>
          <t>SCA</t>
        </is>
      </c>
      <c r="G2079" t="n">
        <v>15.7</v>
      </c>
      <c r="H2079" t="n">
        <v>0</v>
      </c>
      <c r="I2079" t="n">
        <v>0</v>
      </c>
      <c r="J2079" t="n">
        <v>0</v>
      </c>
      <c r="K2079" t="n">
        <v>0</v>
      </c>
      <c r="L2079" t="n">
        <v>0</v>
      </c>
      <c r="M2079" t="n">
        <v>0</v>
      </c>
      <c r="N2079" t="n">
        <v>0</v>
      </c>
      <c r="O2079" t="n">
        <v>0</v>
      </c>
      <c r="P2079" t="n">
        <v>0</v>
      </c>
      <c r="Q2079" t="n">
        <v>0</v>
      </c>
      <c r="R2079" s="2" t="inlineStr"/>
    </row>
    <row r="2080" ht="15" customHeight="1">
      <c r="A2080" t="inlineStr">
        <is>
          <t>A 7334-2023</t>
        </is>
      </c>
      <c r="B2080" s="1" t="n">
        <v>44971</v>
      </c>
      <c r="C2080" s="1" t="n">
        <v>45795</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8031-2023</t>
        </is>
      </c>
      <c r="B2081" s="1" t="n">
        <v>44973</v>
      </c>
      <c r="C2081" s="1" t="n">
        <v>45795</v>
      </c>
      <c r="D2081" t="inlineStr">
        <is>
          <t>JÄMTLANDS LÄN</t>
        </is>
      </c>
      <c r="E2081" t="inlineStr">
        <is>
          <t>STRÖMSUND</t>
        </is>
      </c>
      <c r="F2081" t="inlineStr">
        <is>
          <t>SCA</t>
        </is>
      </c>
      <c r="G2081" t="n">
        <v>39.1</v>
      </c>
      <c r="H2081" t="n">
        <v>0</v>
      </c>
      <c r="I2081" t="n">
        <v>0</v>
      </c>
      <c r="J2081" t="n">
        <v>0</v>
      </c>
      <c r="K2081" t="n">
        <v>0</v>
      </c>
      <c r="L2081" t="n">
        <v>0</v>
      </c>
      <c r="M2081" t="n">
        <v>0</v>
      </c>
      <c r="N2081" t="n">
        <v>0</v>
      </c>
      <c r="O2081" t="n">
        <v>0</v>
      </c>
      <c r="P2081" t="n">
        <v>0</v>
      </c>
      <c r="Q2081" t="n">
        <v>0</v>
      </c>
      <c r="R2081" s="2" t="inlineStr"/>
    </row>
    <row r="2082" ht="15" customHeight="1">
      <c r="A2082" t="inlineStr">
        <is>
          <t>A 8647-2023</t>
        </is>
      </c>
      <c r="B2082" s="1" t="n">
        <v>44977</v>
      </c>
      <c r="C2082" s="1" t="n">
        <v>45795</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8676-2023</t>
        </is>
      </c>
      <c r="B2083" s="1" t="n">
        <v>44978</v>
      </c>
      <c r="C2083" s="1" t="n">
        <v>45795</v>
      </c>
      <c r="D2083" t="inlineStr">
        <is>
          <t>JÄMTLANDS LÄN</t>
        </is>
      </c>
      <c r="E2083" t="inlineStr">
        <is>
          <t>STRÖMSUND</t>
        </is>
      </c>
      <c r="F2083" t="inlineStr">
        <is>
          <t>SCA</t>
        </is>
      </c>
      <c r="G2083" t="n">
        <v>16.5</v>
      </c>
      <c r="H2083" t="n">
        <v>0</v>
      </c>
      <c r="I2083" t="n">
        <v>0</v>
      </c>
      <c r="J2083" t="n">
        <v>0</v>
      </c>
      <c r="K2083" t="n">
        <v>0</v>
      </c>
      <c r="L2083" t="n">
        <v>0</v>
      </c>
      <c r="M2083" t="n">
        <v>0</v>
      </c>
      <c r="N2083" t="n">
        <v>0</v>
      </c>
      <c r="O2083" t="n">
        <v>0</v>
      </c>
      <c r="P2083" t="n">
        <v>0</v>
      </c>
      <c r="Q2083" t="n">
        <v>0</v>
      </c>
      <c r="R2083" s="2" t="inlineStr"/>
    </row>
    <row r="2084" ht="15" customHeight="1">
      <c r="A2084" t="inlineStr">
        <is>
          <t>A 9301-2023</t>
        </is>
      </c>
      <c r="B2084" s="1" t="n">
        <v>44977</v>
      </c>
      <c r="C2084" s="1" t="n">
        <v>45795</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9716-2023</t>
        </is>
      </c>
      <c r="B2085" s="1" t="n">
        <v>44978</v>
      </c>
      <c r="C2085" s="1" t="n">
        <v>45795</v>
      </c>
      <c r="D2085" t="inlineStr">
        <is>
          <t>JÄMTLANDS LÄN</t>
        </is>
      </c>
      <c r="E2085" t="inlineStr">
        <is>
          <t>STRÖMSUND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9089-2023</t>
        </is>
      </c>
      <c r="B2086" s="1" t="n">
        <v>44979</v>
      </c>
      <c r="C2086" s="1" t="n">
        <v>45795</v>
      </c>
      <c r="D2086" t="inlineStr">
        <is>
          <t>JÄMTLANDS LÄN</t>
        </is>
      </c>
      <c r="E2086" t="inlineStr">
        <is>
          <t>STRÖMSUND</t>
        </is>
      </c>
      <c r="F2086" t="inlineStr">
        <is>
          <t>SCA</t>
        </is>
      </c>
      <c r="G2086" t="n">
        <v>41.2</v>
      </c>
      <c r="H2086" t="n">
        <v>0</v>
      </c>
      <c r="I2086" t="n">
        <v>0</v>
      </c>
      <c r="J2086" t="n">
        <v>0</v>
      </c>
      <c r="K2086" t="n">
        <v>0</v>
      </c>
      <c r="L2086" t="n">
        <v>0</v>
      </c>
      <c r="M2086" t="n">
        <v>0</v>
      </c>
      <c r="N2086" t="n">
        <v>0</v>
      </c>
      <c r="O2086" t="n">
        <v>0</v>
      </c>
      <c r="P2086" t="n">
        <v>0</v>
      </c>
      <c r="Q2086" t="n">
        <v>0</v>
      </c>
      <c r="R2086" s="2" t="inlineStr"/>
    </row>
    <row r="2087" ht="15" customHeight="1">
      <c r="A2087" t="inlineStr">
        <is>
          <t>A 9354-2023</t>
        </is>
      </c>
      <c r="B2087" s="1" t="n">
        <v>44980</v>
      </c>
      <c r="C2087" s="1" t="n">
        <v>45795</v>
      </c>
      <c r="D2087" t="inlineStr">
        <is>
          <t>JÄMTLANDS LÄN</t>
        </is>
      </c>
      <c r="E2087" t="inlineStr">
        <is>
          <t>STRÖMSUND</t>
        </is>
      </c>
      <c r="F2087" t="inlineStr">
        <is>
          <t>SCA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9353-2023</t>
        </is>
      </c>
      <c r="B2088" s="1" t="n">
        <v>44980</v>
      </c>
      <c r="C2088" s="1" t="n">
        <v>45795</v>
      </c>
      <c r="D2088" t="inlineStr">
        <is>
          <t>JÄMTLANDS LÄN</t>
        </is>
      </c>
      <c r="E2088" t="inlineStr">
        <is>
          <t>STRÖMSUND</t>
        </is>
      </c>
      <c r="F2088" t="inlineStr">
        <is>
          <t>SCA</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9555-2023</t>
        </is>
      </c>
      <c r="B2089" s="1" t="n">
        <v>44981</v>
      </c>
      <c r="C2089" s="1" t="n">
        <v>45795</v>
      </c>
      <c r="D2089" t="inlineStr">
        <is>
          <t>JÄMTLANDS LÄN</t>
        </is>
      </c>
      <c r="E2089" t="inlineStr">
        <is>
          <t>STRÖMSUND</t>
        </is>
      </c>
      <c r="F2089" t="inlineStr">
        <is>
          <t>SCA</t>
        </is>
      </c>
      <c r="G2089" t="n">
        <v>18.8</v>
      </c>
      <c r="H2089" t="n">
        <v>0</v>
      </c>
      <c r="I2089" t="n">
        <v>0</v>
      </c>
      <c r="J2089" t="n">
        <v>0</v>
      </c>
      <c r="K2089" t="n">
        <v>0</v>
      </c>
      <c r="L2089" t="n">
        <v>0</v>
      </c>
      <c r="M2089" t="n">
        <v>0</v>
      </c>
      <c r="N2089" t="n">
        <v>0</v>
      </c>
      <c r="O2089" t="n">
        <v>0</v>
      </c>
      <c r="P2089" t="n">
        <v>0</v>
      </c>
      <c r="Q2089" t="n">
        <v>0</v>
      </c>
      <c r="R2089" s="2" t="inlineStr"/>
    </row>
    <row r="2090" ht="15" customHeight="1">
      <c r="A2090" t="inlineStr">
        <is>
          <t>A 9554-2023</t>
        </is>
      </c>
      <c r="B2090" s="1" t="n">
        <v>44981</v>
      </c>
      <c r="C2090" s="1" t="n">
        <v>45795</v>
      </c>
      <c r="D2090" t="inlineStr">
        <is>
          <t>JÄMTLANDS LÄN</t>
        </is>
      </c>
      <c r="E2090" t="inlineStr">
        <is>
          <t>STRÖMSUND</t>
        </is>
      </c>
      <c r="F2090" t="inlineStr">
        <is>
          <t>SCA</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9678-2023</t>
        </is>
      </c>
      <c r="B2091" s="1" t="n">
        <v>44984</v>
      </c>
      <c r="C2091" s="1" t="n">
        <v>45795</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9851-2023</t>
        </is>
      </c>
      <c r="B2092" s="1" t="n">
        <v>44984</v>
      </c>
      <c r="C2092" s="1" t="n">
        <v>45795</v>
      </c>
      <c r="D2092" t="inlineStr">
        <is>
          <t>JÄMTLANDS LÄN</t>
        </is>
      </c>
      <c r="E2092" t="inlineStr">
        <is>
          <t>STRÖMSUND</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10738-2023</t>
        </is>
      </c>
      <c r="B2093" s="1" t="n">
        <v>44984</v>
      </c>
      <c r="C2093" s="1" t="n">
        <v>45795</v>
      </c>
      <c r="D2093" t="inlineStr">
        <is>
          <t>JÄMTLANDS LÄN</t>
        </is>
      </c>
      <c r="E2093" t="inlineStr">
        <is>
          <t>STRÖMSUND</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10101-2023</t>
        </is>
      </c>
      <c r="B2094" s="1" t="n">
        <v>44985</v>
      </c>
      <c r="C2094" s="1" t="n">
        <v>45795</v>
      </c>
      <c r="D2094" t="inlineStr">
        <is>
          <t>JÄMTLANDS LÄN</t>
        </is>
      </c>
      <c r="E2094" t="inlineStr">
        <is>
          <t>STRÖMSUND</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10102-2023</t>
        </is>
      </c>
      <c r="B2095" s="1" t="n">
        <v>44985</v>
      </c>
      <c r="C2095" s="1" t="n">
        <v>45795</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10074-2023</t>
        </is>
      </c>
      <c r="B2096" s="1" t="n">
        <v>44985</v>
      </c>
      <c r="C2096" s="1" t="n">
        <v>45795</v>
      </c>
      <c r="D2096" t="inlineStr">
        <is>
          <t>JÄMTLANDS LÄN</t>
        </is>
      </c>
      <c r="E2096" t="inlineStr">
        <is>
          <t>STRÖMSUND</t>
        </is>
      </c>
      <c r="F2096" t="inlineStr">
        <is>
          <t>SCA</t>
        </is>
      </c>
      <c r="G2096" t="n">
        <v>58.9</v>
      </c>
      <c r="H2096" t="n">
        <v>0</v>
      </c>
      <c r="I2096" t="n">
        <v>0</v>
      </c>
      <c r="J2096" t="n">
        <v>0</v>
      </c>
      <c r="K2096" t="n">
        <v>0</v>
      </c>
      <c r="L2096" t="n">
        <v>0</v>
      </c>
      <c r="M2096" t="n">
        <v>0</v>
      </c>
      <c r="N2096" t="n">
        <v>0</v>
      </c>
      <c r="O2096" t="n">
        <v>0</v>
      </c>
      <c r="P2096" t="n">
        <v>0</v>
      </c>
      <c r="Q2096" t="n">
        <v>0</v>
      </c>
      <c r="R2096" s="2" t="inlineStr"/>
    </row>
    <row r="2097" ht="15" customHeight="1">
      <c r="A2097" t="inlineStr">
        <is>
          <t>A 10944-2023</t>
        </is>
      </c>
      <c r="B2097" s="1" t="n">
        <v>44985</v>
      </c>
      <c r="C2097" s="1" t="n">
        <v>45795</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10537-2023</t>
        </is>
      </c>
      <c r="B2098" s="1" t="n">
        <v>44987</v>
      </c>
      <c r="C2098" s="1" t="n">
        <v>45795</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10826-2023</t>
        </is>
      </c>
      <c r="B2099" s="1" t="n">
        <v>44990</v>
      </c>
      <c r="C2099" s="1" t="n">
        <v>45795</v>
      </c>
      <c r="D2099" t="inlineStr">
        <is>
          <t>JÄMTLANDS LÄN</t>
        </is>
      </c>
      <c r="E2099" t="inlineStr">
        <is>
          <t>STRÖMSUND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11058-2023</t>
        </is>
      </c>
      <c r="B2100" s="1" t="n">
        <v>44991</v>
      </c>
      <c r="C2100" s="1" t="n">
        <v>45795</v>
      </c>
      <c r="D2100" t="inlineStr">
        <is>
          <t>JÄMTLANDS LÄN</t>
        </is>
      </c>
      <c r="E2100" t="inlineStr">
        <is>
          <t>STRÖMSUND</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11061-2023</t>
        </is>
      </c>
      <c r="B2101" s="1" t="n">
        <v>44991</v>
      </c>
      <c r="C2101" s="1" t="n">
        <v>45795</v>
      </c>
      <c r="D2101" t="inlineStr">
        <is>
          <t>JÄMTLANDS LÄN</t>
        </is>
      </c>
      <c r="E2101" t="inlineStr">
        <is>
          <t>STRÖMSUND</t>
        </is>
      </c>
      <c r="F2101" t="inlineStr">
        <is>
          <t>SCA</t>
        </is>
      </c>
      <c r="G2101" t="n">
        <v>26.7</v>
      </c>
      <c r="H2101" t="n">
        <v>0</v>
      </c>
      <c r="I2101" t="n">
        <v>0</v>
      </c>
      <c r="J2101" t="n">
        <v>0</v>
      </c>
      <c r="K2101" t="n">
        <v>0</v>
      </c>
      <c r="L2101" t="n">
        <v>0</v>
      </c>
      <c r="M2101" t="n">
        <v>0</v>
      </c>
      <c r="N2101" t="n">
        <v>0</v>
      </c>
      <c r="O2101" t="n">
        <v>0</v>
      </c>
      <c r="P2101" t="n">
        <v>0</v>
      </c>
      <c r="Q2101" t="n">
        <v>0</v>
      </c>
      <c r="R2101" s="2" t="inlineStr"/>
    </row>
    <row r="2102" ht="15" customHeight="1">
      <c r="A2102" t="inlineStr">
        <is>
          <t>A 11458-2023</t>
        </is>
      </c>
      <c r="B2102" s="1" t="n">
        <v>44991</v>
      </c>
      <c r="C2102" s="1" t="n">
        <v>45795</v>
      </c>
      <c r="D2102" t="inlineStr">
        <is>
          <t>JÄMTLANDS LÄN</t>
        </is>
      </c>
      <c r="E2102" t="inlineStr">
        <is>
          <t>STRÖMSUND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11444-2023</t>
        </is>
      </c>
      <c r="B2103" s="1" t="n">
        <v>44991</v>
      </c>
      <c r="C2103" s="1" t="n">
        <v>45795</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11303-2023</t>
        </is>
      </c>
      <c r="B2104" s="1" t="n">
        <v>44993</v>
      </c>
      <c r="C2104" s="1" t="n">
        <v>45795</v>
      </c>
      <c r="D2104" t="inlineStr">
        <is>
          <t>JÄMTLANDS LÄN</t>
        </is>
      </c>
      <c r="E2104" t="inlineStr">
        <is>
          <t>STRÖMSUND</t>
        </is>
      </c>
      <c r="F2104" t="inlineStr">
        <is>
          <t>SCA</t>
        </is>
      </c>
      <c r="G2104" t="n">
        <v>39.2</v>
      </c>
      <c r="H2104" t="n">
        <v>0</v>
      </c>
      <c r="I2104" t="n">
        <v>0</v>
      </c>
      <c r="J2104" t="n">
        <v>0</v>
      </c>
      <c r="K2104" t="n">
        <v>0</v>
      </c>
      <c r="L2104" t="n">
        <v>0</v>
      </c>
      <c r="M2104" t="n">
        <v>0</v>
      </c>
      <c r="N2104" t="n">
        <v>0</v>
      </c>
      <c r="O2104" t="n">
        <v>0</v>
      </c>
      <c r="P2104" t="n">
        <v>0</v>
      </c>
      <c r="Q2104" t="n">
        <v>0</v>
      </c>
      <c r="R2104" s="2" t="inlineStr"/>
    </row>
    <row r="2105" ht="15" customHeight="1">
      <c r="A2105" t="inlineStr">
        <is>
          <t>A 11302-2023</t>
        </is>
      </c>
      <c r="B2105" s="1" t="n">
        <v>44993</v>
      </c>
      <c r="C2105" s="1" t="n">
        <v>45795</v>
      </c>
      <c r="D2105" t="inlineStr">
        <is>
          <t>JÄMTLANDS LÄN</t>
        </is>
      </c>
      <c r="E2105" t="inlineStr">
        <is>
          <t>STRÖMSUND</t>
        </is>
      </c>
      <c r="F2105" t="inlineStr">
        <is>
          <t>SCA</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11324-2023</t>
        </is>
      </c>
      <c r="B2106" s="1" t="n">
        <v>44993</v>
      </c>
      <c r="C2106" s="1" t="n">
        <v>45795</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12042-2023</t>
        </is>
      </c>
      <c r="B2107" s="1" t="n">
        <v>44996</v>
      </c>
      <c r="C2107" s="1" t="n">
        <v>45795</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12644-2023</t>
        </is>
      </c>
      <c r="B2108" s="1" t="n">
        <v>45000</v>
      </c>
      <c r="C2108" s="1" t="n">
        <v>45795</v>
      </c>
      <c r="D2108" t="inlineStr">
        <is>
          <t>JÄMTLANDS LÄN</t>
        </is>
      </c>
      <c r="E2108" t="inlineStr">
        <is>
          <t>STRÖMSUND</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12731-2023</t>
        </is>
      </c>
      <c r="B2109" s="1" t="n">
        <v>45000</v>
      </c>
      <c r="C2109" s="1" t="n">
        <v>45795</v>
      </c>
      <c r="D2109" t="inlineStr">
        <is>
          <t>JÄMTLANDS LÄN</t>
        </is>
      </c>
      <c r="E2109" t="inlineStr">
        <is>
          <t>STRÖMSUND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12971-2023</t>
        </is>
      </c>
      <c r="B2110" s="1" t="n">
        <v>45001</v>
      </c>
      <c r="C2110" s="1" t="n">
        <v>45795</v>
      </c>
      <c r="D2110" t="inlineStr">
        <is>
          <t>JÄMTLANDS LÄN</t>
        </is>
      </c>
      <c r="E2110" t="inlineStr">
        <is>
          <t>STRÖMSUND</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12993-2023</t>
        </is>
      </c>
      <c r="B2111" s="1" t="n">
        <v>45002</v>
      </c>
      <c r="C2111" s="1" t="n">
        <v>45795</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12994-2023</t>
        </is>
      </c>
      <c r="B2112" s="1" t="n">
        <v>45002</v>
      </c>
      <c r="C2112" s="1" t="n">
        <v>45795</v>
      </c>
      <c r="D2112" t="inlineStr">
        <is>
          <t>JÄMTLANDS LÄN</t>
        </is>
      </c>
      <c r="E2112" t="inlineStr">
        <is>
          <t>STRÖMSUND</t>
        </is>
      </c>
      <c r="F2112" t="inlineStr">
        <is>
          <t>SCA</t>
        </is>
      </c>
      <c r="G2112" t="n">
        <v>14.5</v>
      </c>
      <c r="H2112" t="n">
        <v>0</v>
      </c>
      <c r="I2112" t="n">
        <v>0</v>
      </c>
      <c r="J2112" t="n">
        <v>0</v>
      </c>
      <c r="K2112" t="n">
        <v>0</v>
      </c>
      <c r="L2112" t="n">
        <v>0</v>
      </c>
      <c r="M2112" t="n">
        <v>0</v>
      </c>
      <c r="N2112" t="n">
        <v>0</v>
      </c>
      <c r="O2112" t="n">
        <v>0</v>
      </c>
      <c r="P2112" t="n">
        <v>0</v>
      </c>
      <c r="Q2112" t="n">
        <v>0</v>
      </c>
      <c r="R2112" s="2" t="inlineStr"/>
    </row>
    <row r="2113" ht="15" customHeight="1">
      <c r="A2113" t="inlineStr">
        <is>
          <t>A 13685-2023</t>
        </is>
      </c>
      <c r="B2113" s="1" t="n">
        <v>45006</v>
      </c>
      <c r="C2113" s="1" t="n">
        <v>45795</v>
      </c>
      <c r="D2113" t="inlineStr">
        <is>
          <t>JÄMTLANDS LÄN</t>
        </is>
      </c>
      <c r="E2113" t="inlineStr">
        <is>
          <t>STRÖMSUND</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13684-2023</t>
        </is>
      </c>
      <c r="B2114" s="1" t="n">
        <v>45006</v>
      </c>
      <c r="C2114" s="1" t="n">
        <v>45795</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13687-2023</t>
        </is>
      </c>
      <c r="B2115" s="1" t="n">
        <v>45006</v>
      </c>
      <c r="C2115" s="1" t="n">
        <v>45795</v>
      </c>
      <c r="D2115" t="inlineStr">
        <is>
          <t>JÄMTLANDS LÄN</t>
        </is>
      </c>
      <c r="E2115" t="inlineStr">
        <is>
          <t>STRÖMSUND</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13686-2023</t>
        </is>
      </c>
      <c r="B2116" s="1" t="n">
        <v>45006</v>
      </c>
      <c r="C2116" s="1" t="n">
        <v>45795</v>
      </c>
      <c r="D2116" t="inlineStr">
        <is>
          <t>JÄMTLANDS LÄN</t>
        </is>
      </c>
      <c r="E2116" t="inlineStr">
        <is>
          <t>STRÖMSUND</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14070-2023</t>
        </is>
      </c>
      <c r="B2117" s="1" t="n">
        <v>45008</v>
      </c>
      <c r="C2117" s="1" t="n">
        <v>45795</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14069-2023</t>
        </is>
      </c>
      <c r="B2118" s="1" t="n">
        <v>45008</v>
      </c>
      <c r="C2118" s="1" t="n">
        <v>45795</v>
      </c>
      <c r="D2118" t="inlineStr">
        <is>
          <t>JÄMTLANDS LÄN</t>
        </is>
      </c>
      <c r="E2118" t="inlineStr">
        <is>
          <t>STRÖMSUND</t>
        </is>
      </c>
      <c r="G2118" t="n">
        <v>28.2</v>
      </c>
      <c r="H2118" t="n">
        <v>0</v>
      </c>
      <c r="I2118" t="n">
        <v>0</v>
      </c>
      <c r="J2118" t="n">
        <v>0</v>
      </c>
      <c r="K2118" t="n">
        <v>0</v>
      </c>
      <c r="L2118" t="n">
        <v>0</v>
      </c>
      <c r="M2118" t="n">
        <v>0</v>
      </c>
      <c r="N2118" t="n">
        <v>0</v>
      </c>
      <c r="O2118" t="n">
        <v>0</v>
      </c>
      <c r="P2118" t="n">
        <v>0</v>
      </c>
      <c r="Q2118" t="n">
        <v>0</v>
      </c>
      <c r="R2118" s="2" t="inlineStr"/>
    </row>
    <row r="2119" ht="15" customHeight="1">
      <c r="A2119" t="inlineStr">
        <is>
          <t>A 14068-2023</t>
        </is>
      </c>
      <c r="B2119" s="1" t="n">
        <v>45009</v>
      </c>
      <c r="C2119" s="1" t="n">
        <v>45795</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14072-2023</t>
        </is>
      </c>
      <c r="B2120" s="1" t="n">
        <v>45009</v>
      </c>
      <c r="C2120" s="1" t="n">
        <v>45795</v>
      </c>
      <c r="D2120" t="inlineStr">
        <is>
          <t>JÄMTLANDS LÄN</t>
        </is>
      </c>
      <c r="E2120" t="inlineStr">
        <is>
          <t>STRÖMSUND</t>
        </is>
      </c>
      <c r="F2120" t="inlineStr">
        <is>
          <t>SCA</t>
        </is>
      </c>
      <c r="G2120" t="n">
        <v>24.8</v>
      </c>
      <c r="H2120" t="n">
        <v>0</v>
      </c>
      <c r="I2120" t="n">
        <v>0</v>
      </c>
      <c r="J2120" t="n">
        <v>0</v>
      </c>
      <c r="K2120" t="n">
        <v>0</v>
      </c>
      <c r="L2120" t="n">
        <v>0</v>
      </c>
      <c r="M2120" t="n">
        <v>0</v>
      </c>
      <c r="N2120" t="n">
        <v>0</v>
      </c>
      <c r="O2120" t="n">
        <v>0</v>
      </c>
      <c r="P2120" t="n">
        <v>0</v>
      </c>
      <c r="Q2120" t="n">
        <v>0</v>
      </c>
      <c r="R2120" s="2" t="inlineStr"/>
    </row>
    <row r="2121" ht="15" customHeight="1">
      <c r="A2121" t="inlineStr">
        <is>
          <t>A 14338-2023</t>
        </is>
      </c>
      <c r="B2121" s="1" t="n">
        <v>45012</v>
      </c>
      <c r="C2121" s="1" t="n">
        <v>45795</v>
      </c>
      <c r="D2121" t="inlineStr">
        <is>
          <t>JÄMTLANDS LÄN</t>
        </is>
      </c>
      <c r="E2121" t="inlineStr">
        <is>
          <t>STRÖMSUND</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14344-2023</t>
        </is>
      </c>
      <c r="B2122" s="1" t="n">
        <v>45012</v>
      </c>
      <c r="C2122" s="1" t="n">
        <v>45795</v>
      </c>
      <c r="D2122" t="inlineStr">
        <is>
          <t>JÄMTLANDS LÄN</t>
        </is>
      </c>
      <c r="E2122" t="inlineStr">
        <is>
          <t>STRÖMSUND</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14371-2023</t>
        </is>
      </c>
      <c r="B2123" s="1" t="n">
        <v>45012</v>
      </c>
      <c r="C2123" s="1" t="n">
        <v>45795</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14347-2023</t>
        </is>
      </c>
      <c r="B2124" s="1" t="n">
        <v>45012</v>
      </c>
      <c r="C2124" s="1" t="n">
        <v>45795</v>
      </c>
      <c r="D2124" t="inlineStr">
        <is>
          <t>JÄMTLANDS LÄN</t>
        </is>
      </c>
      <c r="E2124" t="inlineStr">
        <is>
          <t>STRÖMSUND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14528-2023</t>
        </is>
      </c>
      <c r="B2125" s="1" t="n">
        <v>45012</v>
      </c>
      <c r="C2125" s="1" t="n">
        <v>45795</v>
      </c>
      <c r="D2125" t="inlineStr">
        <is>
          <t>JÄMTLANDS LÄN</t>
        </is>
      </c>
      <c r="E2125" t="inlineStr">
        <is>
          <t>STRÖMSUND</t>
        </is>
      </c>
      <c r="F2125" t="inlineStr">
        <is>
          <t>SCA</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14975-2023</t>
        </is>
      </c>
      <c r="B2126" s="1" t="n">
        <v>45013</v>
      </c>
      <c r="C2126" s="1" t="n">
        <v>45795</v>
      </c>
      <c r="D2126" t="inlineStr">
        <is>
          <t>JÄMTLANDS LÄN</t>
        </is>
      </c>
      <c r="E2126" t="inlineStr">
        <is>
          <t>STRÖMSUND</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14821-2023</t>
        </is>
      </c>
      <c r="B2127" s="1" t="n">
        <v>45013</v>
      </c>
      <c r="C2127" s="1" t="n">
        <v>45795</v>
      </c>
      <c r="D2127" t="inlineStr">
        <is>
          <t>JÄMTLANDS LÄN</t>
        </is>
      </c>
      <c r="E2127" t="inlineStr">
        <is>
          <t>STRÖMSUND</t>
        </is>
      </c>
      <c r="G2127" t="n">
        <v>39.3</v>
      </c>
      <c r="H2127" t="n">
        <v>0</v>
      </c>
      <c r="I2127" t="n">
        <v>0</v>
      </c>
      <c r="J2127" t="n">
        <v>0</v>
      </c>
      <c r="K2127" t="n">
        <v>0</v>
      </c>
      <c r="L2127" t="n">
        <v>0</v>
      </c>
      <c r="M2127" t="n">
        <v>0</v>
      </c>
      <c r="N2127" t="n">
        <v>0</v>
      </c>
      <c r="O2127" t="n">
        <v>0</v>
      </c>
      <c r="P2127" t="n">
        <v>0</v>
      </c>
      <c r="Q2127" t="n">
        <v>0</v>
      </c>
      <c r="R2127" s="2" t="inlineStr"/>
    </row>
    <row r="2128" ht="15" customHeight="1">
      <c r="A2128" t="inlineStr">
        <is>
          <t>A 14861-2023</t>
        </is>
      </c>
      <c r="B2128" s="1" t="n">
        <v>45015</v>
      </c>
      <c r="C2128" s="1" t="n">
        <v>45795</v>
      </c>
      <c r="D2128" t="inlineStr">
        <is>
          <t>JÄMTLANDS LÄN</t>
        </is>
      </c>
      <c r="E2128" t="inlineStr">
        <is>
          <t>STRÖMSUND</t>
        </is>
      </c>
      <c r="F2128" t="inlineStr">
        <is>
          <t>SCA</t>
        </is>
      </c>
      <c r="G2128" t="n">
        <v>26.3</v>
      </c>
      <c r="H2128" t="n">
        <v>0</v>
      </c>
      <c r="I2128" t="n">
        <v>0</v>
      </c>
      <c r="J2128" t="n">
        <v>0</v>
      </c>
      <c r="K2128" t="n">
        <v>0</v>
      </c>
      <c r="L2128" t="n">
        <v>0</v>
      </c>
      <c r="M2128" t="n">
        <v>0</v>
      </c>
      <c r="N2128" t="n">
        <v>0</v>
      </c>
      <c r="O2128" t="n">
        <v>0</v>
      </c>
      <c r="P2128" t="n">
        <v>0</v>
      </c>
      <c r="Q2128" t="n">
        <v>0</v>
      </c>
      <c r="R2128" s="2" t="inlineStr"/>
    </row>
    <row r="2129" ht="15" customHeight="1">
      <c r="A2129" t="inlineStr">
        <is>
          <t>A 14867-2023</t>
        </is>
      </c>
      <c r="B2129" s="1" t="n">
        <v>45015</v>
      </c>
      <c r="C2129" s="1" t="n">
        <v>45795</v>
      </c>
      <c r="D2129" t="inlineStr">
        <is>
          <t>JÄMTLANDS LÄN</t>
        </is>
      </c>
      <c r="E2129" t="inlineStr">
        <is>
          <t>STRÖMSUND</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14866-2023</t>
        </is>
      </c>
      <c r="B2130" s="1" t="n">
        <v>45015</v>
      </c>
      <c r="C2130" s="1" t="n">
        <v>45795</v>
      </c>
      <c r="D2130" t="inlineStr">
        <is>
          <t>JÄMTLANDS LÄN</t>
        </is>
      </c>
      <c r="E2130" t="inlineStr">
        <is>
          <t>STRÖMSUND</t>
        </is>
      </c>
      <c r="F2130" t="inlineStr">
        <is>
          <t>SCA</t>
        </is>
      </c>
      <c r="G2130" t="n">
        <v>64.90000000000001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15064-2023</t>
        </is>
      </c>
      <c r="B2131" s="1" t="n">
        <v>45015</v>
      </c>
      <c r="C2131" s="1" t="n">
        <v>45795</v>
      </c>
      <c r="D2131" t="inlineStr">
        <is>
          <t>JÄMTLANDS LÄN</t>
        </is>
      </c>
      <c r="E2131" t="inlineStr">
        <is>
          <t>STRÖMSUND</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15207-2023</t>
        </is>
      </c>
      <c r="B2132" s="1" t="n">
        <v>45018</v>
      </c>
      <c r="C2132" s="1" t="n">
        <v>45795</v>
      </c>
      <c r="D2132" t="inlineStr">
        <is>
          <t>JÄMTLANDS LÄN</t>
        </is>
      </c>
      <c r="E2132" t="inlineStr">
        <is>
          <t>STRÖMSUND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15455-2023</t>
        </is>
      </c>
      <c r="B2133" s="1" t="n">
        <v>45019</v>
      </c>
      <c r="C2133" s="1" t="n">
        <v>45795</v>
      </c>
      <c r="D2133" t="inlineStr">
        <is>
          <t>JÄMTLANDS LÄN</t>
        </is>
      </c>
      <c r="E2133" t="inlineStr">
        <is>
          <t>STRÖMSUND</t>
        </is>
      </c>
      <c r="G2133" t="n">
        <v>20.3</v>
      </c>
      <c r="H2133" t="n">
        <v>0</v>
      </c>
      <c r="I2133" t="n">
        <v>0</v>
      </c>
      <c r="J2133" t="n">
        <v>0</v>
      </c>
      <c r="K2133" t="n">
        <v>0</v>
      </c>
      <c r="L2133" t="n">
        <v>0</v>
      </c>
      <c r="M2133" t="n">
        <v>0</v>
      </c>
      <c r="N2133" t="n">
        <v>0</v>
      </c>
      <c r="O2133" t="n">
        <v>0</v>
      </c>
      <c r="P2133" t="n">
        <v>0</v>
      </c>
      <c r="Q2133" t="n">
        <v>0</v>
      </c>
      <c r="R2133" s="2" t="inlineStr"/>
    </row>
    <row r="2134" ht="15" customHeight="1">
      <c r="A2134" t="inlineStr">
        <is>
          <t>A 15818-2023</t>
        </is>
      </c>
      <c r="B2134" s="1" t="n">
        <v>45021</v>
      </c>
      <c r="C2134" s="1" t="n">
        <v>45795</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16780-2023</t>
        </is>
      </c>
      <c r="B2135" s="1" t="n">
        <v>45032</v>
      </c>
      <c r="C2135" s="1" t="n">
        <v>45795</v>
      </c>
      <c r="D2135" t="inlineStr">
        <is>
          <t>JÄMTLANDS LÄN</t>
        </is>
      </c>
      <c r="E2135" t="inlineStr">
        <is>
          <t>STRÖMSUND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17334-2023</t>
        </is>
      </c>
      <c r="B2136" s="1" t="n">
        <v>45033</v>
      </c>
      <c r="C2136" s="1" t="n">
        <v>45795</v>
      </c>
      <c r="D2136" t="inlineStr">
        <is>
          <t>JÄMTLANDS LÄN</t>
        </is>
      </c>
      <c r="E2136" t="inlineStr">
        <is>
          <t>STRÖMSUND</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17006-2023</t>
        </is>
      </c>
      <c r="B2137" s="1" t="n">
        <v>45033</v>
      </c>
      <c r="C2137" s="1" t="n">
        <v>45795</v>
      </c>
      <c r="D2137" t="inlineStr">
        <is>
          <t>JÄMTLANDS LÄN</t>
        </is>
      </c>
      <c r="E2137" t="inlineStr">
        <is>
          <t>STRÖMSUND</t>
        </is>
      </c>
      <c r="F2137" t="inlineStr">
        <is>
          <t>SCA</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17337-2023</t>
        </is>
      </c>
      <c r="B2138" s="1" t="n">
        <v>45033</v>
      </c>
      <c r="C2138" s="1" t="n">
        <v>45795</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17338-2023</t>
        </is>
      </c>
      <c r="B2139" s="1" t="n">
        <v>45033</v>
      </c>
      <c r="C2139" s="1" t="n">
        <v>45795</v>
      </c>
      <c r="D2139" t="inlineStr">
        <is>
          <t>JÄMTLANDS LÄN</t>
        </is>
      </c>
      <c r="E2139" t="inlineStr">
        <is>
          <t>STRÖMSUND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17222-2023</t>
        </is>
      </c>
      <c r="B2140" s="1" t="n">
        <v>45035</v>
      </c>
      <c r="C2140" s="1" t="n">
        <v>45795</v>
      </c>
      <c r="D2140" t="inlineStr">
        <is>
          <t>JÄMTLANDS LÄN</t>
        </is>
      </c>
      <c r="E2140" t="inlineStr">
        <is>
          <t>STRÖMSUND</t>
        </is>
      </c>
      <c r="F2140" t="inlineStr">
        <is>
          <t>SCA</t>
        </is>
      </c>
      <c r="G2140" t="n">
        <v>25.2</v>
      </c>
      <c r="H2140" t="n">
        <v>0</v>
      </c>
      <c r="I2140" t="n">
        <v>0</v>
      </c>
      <c r="J2140" t="n">
        <v>0</v>
      </c>
      <c r="K2140" t="n">
        <v>0</v>
      </c>
      <c r="L2140" t="n">
        <v>0</v>
      </c>
      <c r="M2140" t="n">
        <v>0</v>
      </c>
      <c r="N2140" t="n">
        <v>0</v>
      </c>
      <c r="O2140" t="n">
        <v>0</v>
      </c>
      <c r="P2140" t="n">
        <v>0</v>
      </c>
      <c r="Q2140" t="n">
        <v>0</v>
      </c>
      <c r="R2140" s="2" t="inlineStr"/>
    </row>
    <row r="2141" ht="15" customHeight="1">
      <c r="A2141" t="inlineStr">
        <is>
          <t>A 17220-2023</t>
        </is>
      </c>
      <c r="B2141" s="1" t="n">
        <v>45035</v>
      </c>
      <c r="C2141" s="1" t="n">
        <v>45795</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17433-2023</t>
        </is>
      </c>
      <c r="B2142" s="1" t="n">
        <v>45035</v>
      </c>
      <c r="C2142" s="1" t="n">
        <v>45795</v>
      </c>
      <c r="D2142" t="inlineStr">
        <is>
          <t>JÄMTLANDS LÄN</t>
        </is>
      </c>
      <c r="E2142" t="inlineStr">
        <is>
          <t>STRÖMSUND</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17663-2023</t>
        </is>
      </c>
      <c r="B2143" s="1" t="n">
        <v>45037</v>
      </c>
      <c r="C2143" s="1" t="n">
        <v>45795</v>
      </c>
      <c r="D2143" t="inlineStr">
        <is>
          <t>JÄMTLANDS LÄN</t>
        </is>
      </c>
      <c r="E2143" t="inlineStr">
        <is>
          <t>STRÖMSUND</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17662-2023</t>
        </is>
      </c>
      <c r="B2144" s="1" t="n">
        <v>45037</v>
      </c>
      <c r="C2144" s="1" t="n">
        <v>45795</v>
      </c>
      <c r="D2144" t="inlineStr">
        <is>
          <t>JÄMTLANDS LÄN</t>
        </is>
      </c>
      <c r="E2144" t="inlineStr">
        <is>
          <t>STRÖMSUND</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17798-2023</t>
        </is>
      </c>
      <c r="B2145" s="1" t="n">
        <v>45036</v>
      </c>
      <c r="C2145" s="1" t="n">
        <v>45795</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17789-2023</t>
        </is>
      </c>
      <c r="B2146" s="1" t="n">
        <v>45036</v>
      </c>
      <c r="C2146" s="1" t="n">
        <v>45795</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18158-2023</t>
        </is>
      </c>
      <c r="B2147" s="1" t="n">
        <v>45040</v>
      </c>
      <c r="C2147" s="1" t="n">
        <v>45795</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18369-2023</t>
        </is>
      </c>
      <c r="B2148" s="1" t="n">
        <v>45042</v>
      </c>
      <c r="C2148" s="1" t="n">
        <v>45795</v>
      </c>
      <c r="D2148" t="inlineStr">
        <is>
          <t>JÄMTLANDS LÄN</t>
        </is>
      </c>
      <c r="E2148" t="inlineStr">
        <is>
          <t>STRÖMSUND</t>
        </is>
      </c>
      <c r="F2148" t="inlineStr">
        <is>
          <t>SCA</t>
        </is>
      </c>
      <c r="G2148" t="n">
        <v>100.1</v>
      </c>
      <c r="H2148" t="n">
        <v>0</v>
      </c>
      <c r="I2148" t="n">
        <v>0</v>
      </c>
      <c r="J2148" t="n">
        <v>0</v>
      </c>
      <c r="K2148" t="n">
        <v>0</v>
      </c>
      <c r="L2148" t="n">
        <v>0</v>
      </c>
      <c r="M2148" t="n">
        <v>0</v>
      </c>
      <c r="N2148" t="n">
        <v>0</v>
      </c>
      <c r="O2148" t="n">
        <v>0</v>
      </c>
      <c r="P2148" t="n">
        <v>0</v>
      </c>
      <c r="Q2148" t="n">
        <v>0</v>
      </c>
      <c r="R2148" s="2" t="inlineStr"/>
    </row>
    <row r="2149" ht="15" customHeight="1">
      <c r="A2149" t="inlineStr">
        <is>
          <t>A 18374-2023</t>
        </is>
      </c>
      <c r="B2149" s="1" t="n">
        <v>45041</v>
      </c>
      <c r="C2149" s="1" t="n">
        <v>45795</v>
      </c>
      <c r="D2149" t="inlineStr">
        <is>
          <t>JÄMTLANDS LÄN</t>
        </is>
      </c>
      <c r="E2149" t="inlineStr">
        <is>
          <t>STRÖMSUND</t>
        </is>
      </c>
      <c r="F2149" t="inlineStr">
        <is>
          <t>SCA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18553-2023</t>
        </is>
      </c>
      <c r="B2150" s="1" t="n">
        <v>45042</v>
      </c>
      <c r="C2150" s="1" t="n">
        <v>45795</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18564-2023</t>
        </is>
      </c>
      <c r="B2151" s="1" t="n">
        <v>45043</v>
      </c>
      <c r="C2151" s="1" t="n">
        <v>45795</v>
      </c>
      <c r="D2151" t="inlineStr">
        <is>
          <t>JÄMTLANDS LÄN</t>
        </is>
      </c>
      <c r="E2151" t="inlineStr">
        <is>
          <t>STRÖMSUND</t>
        </is>
      </c>
      <c r="F2151" t="inlineStr">
        <is>
          <t>SCA</t>
        </is>
      </c>
      <c r="G2151" t="n">
        <v>40.5</v>
      </c>
      <c r="H2151" t="n">
        <v>0</v>
      </c>
      <c r="I2151" t="n">
        <v>0</v>
      </c>
      <c r="J2151" t="n">
        <v>0</v>
      </c>
      <c r="K2151" t="n">
        <v>0</v>
      </c>
      <c r="L2151" t="n">
        <v>0</v>
      </c>
      <c r="M2151" t="n">
        <v>0</v>
      </c>
      <c r="N2151" t="n">
        <v>0</v>
      </c>
      <c r="O2151" t="n">
        <v>0</v>
      </c>
      <c r="P2151" t="n">
        <v>0</v>
      </c>
      <c r="Q2151" t="n">
        <v>0</v>
      </c>
      <c r="R2151" s="2" t="inlineStr"/>
    </row>
    <row r="2152" ht="15" customHeight="1">
      <c r="A2152" t="inlineStr">
        <is>
          <t>A 18775-2023</t>
        </is>
      </c>
      <c r="B2152" s="1" t="n">
        <v>45044</v>
      </c>
      <c r="C2152" s="1" t="n">
        <v>45795</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18773-2023</t>
        </is>
      </c>
      <c r="B2153" s="1" t="n">
        <v>45044</v>
      </c>
      <c r="C2153" s="1" t="n">
        <v>45795</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18783-2023</t>
        </is>
      </c>
      <c r="B2154" s="1" t="n">
        <v>45043</v>
      </c>
      <c r="C2154" s="1" t="n">
        <v>45795</v>
      </c>
      <c r="D2154" t="inlineStr">
        <is>
          <t>JÄMTLANDS LÄN</t>
        </is>
      </c>
      <c r="E2154" t="inlineStr">
        <is>
          <t>STRÖMSUND</t>
        </is>
      </c>
      <c r="F2154" t="inlineStr">
        <is>
          <t>SCA</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18768-2023</t>
        </is>
      </c>
      <c r="B2155" s="1" t="n">
        <v>45043</v>
      </c>
      <c r="C2155" s="1" t="n">
        <v>45795</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18777-2023</t>
        </is>
      </c>
      <c r="B2156" s="1" t="n">
        <v>45044</v>
      </c>
      <c r="C2156" s="1" t="n">
        <v>45795</v>
      </c>
      <c r="D2156" t="inlineStr">
        <is>
          <t>JÄMTLANDS LÄN</t>
        </is>
      </c>
      <c r="E2156" t="inlineStr">
        <is>
          <t>STRÖMSUND</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18774-2023</t>
        </is>
      </c>
      <c r="B2157" s="1" t="n">
        <v>45044</v>
      </c>
      <c r="C2157" s="1" t="n">
        <v>45795</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18788-2023</t>
        </is>
      </c>
      <c r="B2158" s="1" t="n">
        <v>45044</v>
      </c>
      <c r="C2158" s="1" t="n">
        <v>45795</v>
      </c>
      <c r="D2158" t="inlineStr">
        <is>
          <t>JÄMTLANDS LÄN</t>
        </is>
      </c>
      <c r="E2158" t="inlineStr">
        <is>
          <t>STRÖMSUND</t>
        </is>
      </c>
      <c r="F2158" t="inlineStr">
        <is>
          <t>SCA</t>
        </is>
      </c>
      <c r="G2158" t="n">
        <v>69.09999999999999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18992-2023</t>
        </is>
      </c>
      <c r="B2159" s="1" t="n">
        <v>45044</v>
      </c>
      <c r="C2159" s="1" t="n">
        <v>45795</v>
      </c>
      <c r="D2159" t="inlineStr">
        <is>
          <t>JÄMTLANDS LÄN</t>
        </is>
      </c>
      <c r="E2159" t="inlineStr">
        <is>
          <t>STRÖMSUND</t>
        </is>
      </c>
      <c r="F2159" t="inlineStr">
        <is>
          <t>SCA</t>
        </is>
      </c>
      <c r="G2159" t="n">
        <v>25.7</v>
      </c>
      <c r="H2159" t="n">
        <v>0</v>
      </c>
      <c r="I2159" t="n">
        <v>0</v>
      </c>
      <c r="J2159" t="n">
        <v>0</v>
      </c>
      <c r="K2159" t="n">
        <v>0</v>
      </c>
      <c r="L2159" t="n">
        <v>0</v>
      </c>
      <c r="M2159" t="n">
        <v>0</v>
      </c>
      <c r="N2159" t="n">
        <v>0</v>
      </c>
      <c r="O2159" t="n">
        <v>0</v>
      </c>
      <c r="P2159" t="n">
        <v>0</v>
      </c>
      <c r="Q2159" t="n">
        <v>0</v>
      </c>
      <c r="R2159" s="2" t="inlineStr"/>
    </row>
    <row r="2160" ht="15" customHeight="1">
      <c r="A2160" t="inlineStr">
        <is>
          <t>A 18993-2023</t>
        </is>
      </c>
      <c r="B2160" s="1" t="n">
        <v>45044</v>
      </c>
      <c r="C2160" s="1" t="n">
        <v>45795</v>
      </c>
      <c r="D2160" t="inlineStr">
        <is>
          <t>JÄMTLANDS LÄN</t>
        </is>
      </c>
      <c r="E2160" t="inlineStr">
        <is>
          <t>STRÖMSUND</t>
        </is>
      </c>
      <c r="F2160" t="inlineStr">
        <is>
          <t>SCA</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18997-2023</t>
        </is>
      </c>
      <c r="B2161" s="1" t="n">
        <v>45044</v>
      </c>
      <c r="C2161" s="1" t="n">
        <v>45795</v>
      </c>
      <c r="D2161" t="inlineStr">
        <is>
          <t>JÄMTLANDS LÄN</t>
        </is>
      </c>
      <c r="E2161" t="inlineStr">
        <is>
          <t>STRÖMSUND</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18994-2023</t>
        </is>
      </c>
      <c r="B2162" s="1" t="n">
        <v>45045</v>
      </c>
      <c r="C2162" s="1" t="n">
        <v>45795</v>
      </c>
      <c r="D2162" t="inlineStr">
        <is>
          <t>JÄMTLANDS LÄN</t>
        </is>
      </c>
      <c r="E2162" t="inlineStr">
        <is>
          <t>STRÖMSUND</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19029-2023</t>
        </is>
      </c>
      <c r="B2163" s="1" t="n">
        <v>45047</v>
      </c>
      <c r="C2163" s="1" t="n">
        <v>45795</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19027-2023</t>
        </is>
      </c>
      <c r="B2164" s="1" t="n">
        <v>45047</v>
      </c>
      <c r="C2164" s="1" t="n">
        <v>45795</v>
      </c>
      <c r="D2164" t="inlineStr">
        <is>
          <t>JÄMTLANDS LÄN</t>
        </is>
      </c>
      <c r="E2164" t="inlineStr">
        <is>
          <t>STRÖMSUND</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19026-2023</t>
        </is>
      </c>
      <c r="B2165" s="1" t="n">
        <v>45047</v>
      </c>
      <c r="C2165" s="1" t="n">
        <v>45795</v>
      </c>
      <c r="D2165" t="inlineStr">
        <is>
          <t>JÄMTLANDS LÄN</t>
        </is>
      </c>
      <c r="E2165" t="inlineStr">
        <is>
          <t>STRÖMSUND</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19239-2023</t>
        </is>
      </c>
      <c r="B2166" s="1" t="n">
        <v>45048</v>
      </c>
      <c r="C2166" s="1" t="n">
        <v>45795</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19261-2023</t>
        </is>
      </c>
      <c r="B2167" s="1" t="n">
        <v>45048</v>
      </c>
      <c r="C2167" s="1" t="n">
        <v>45795</v>
      </c>
      <c r="D2167" t="inlineStr">
        <is>
          <t>JÄMTLANDS LÄN</t>
        </is>
      </c>
      <c r="E2167" t="inlineStr">
        <is>
          <t>STRÖMSUND</t>
        </is>
      </c>
      <c r="G2167" t="n">
        <v>17.2</v>
      </c>
      <c r="H2167" t="n">
        <v>0</v>
      </c>
      <c r="I2167" t="n">
        <v>0</v>
      </c>
      <c r="J2167" t="n">
        <v>0</v>
      </c>
      <c r="K2167" t="n">
        <v>0</v>
      </c>
      <c r="L2167" t="n">
        <v>0</v>
      </c>
      <c r="M2167" t="n">
        <v>0</v>
      </c>
      <c r="N2167" t="n">
        <v>0</v>
      </c>
      <c r="O2167" t="n">
        <v>0</v>
      </c>
      <c r="P2167" t="n">
        <v>0</v>
      </c>
      <c r="Q2167" t="n">
        <v>0</v>
      </c>
      <c r="R2167" s="2" t="inlineStr"/>
    </row>
    <row r="2168" ht="15" customHeight="1">
      <c r="A2168" t="inlineStr">
        <is>
          <t>A 19621-2023</t>
        </is>
      </c>
      <c r="B2168" s="1" t="n">
        <v>45051</v>
      </c>
      <c r="C2168" s="1" t="n">
        <v>45795</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19658-2023</t>
        </is>
      </c>
      <c r="B2169" s="1" t="n">
        <v>45050</v>
      </c>
      <c r="C2169" s="1" t="n">
        <v>45795</v>
      </c>
      <c r="D2169" t="inlineStr">
        <is>
          <t>JÄMTLANDS LÄN</t>
        </is>
      </c>
      <c r="E2169" t="inlineStr">
        <is>
          <t>STRÖMSUND</t>
        </is>
      </c>
      <c r="F2169" t="inlineStr">
        <is>
          <t>Kommuner</t>
        </is>
      </c>
      <c r="G2169" t="n">
        <v>23.7</v>
      </c>
      <c r="H2169" t="n">
        <v>0</v>
      </c>
      <c r="I2169" t="n">
        <v>0</v>
      </c>
      <c r="J2169" t="n">
        <v>0</v>
      </c>
      <c r="K2169" t="n">
        <v>0</v>
      </c>
      <c r="L2169" t="n">
        <v>0</v>
      </c>
      <c r="M2169" t="n">
        <v>0</v>
      </c>
      <c r="N2169" t="n">
        <v>0</v>
      </c>
      <c r="O2169" t="n">
        <v>0</v>
      </c>
      <c r="P2169" t="n">
        <v>0</v>
      </c>
      <c r="Q2169" t="n">
        <v>0</v>
      </c>
      <c r="R2169" s="2" t="inlineStr"/>
    </row>
    <row r="2170" ht="15" customHeight="1">
      <c r="A2170" t="inlineStr">
        <is>
          <t>A 19652-2023</t>
        </is>
      </c>
      <c r="B2170" s="1" t="n">
        <v>45050</v>
      </c>
      <c r="C2170" s="1" t="n">
        <v>45795</v>
      </c>
      <c r="D2170" t="inlineStr">
        <is>
          <t>JÄMTLANDS LÄN</t>
        </is>
      </c>
      <c r="E2170" t="inlineStr">
        <is>
          <t>STRÖMSUND</t>
        </is>
      </c>
      <c r="F2170" t="inlineStr">
        <is>
          <t>Kommuner</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19656-2023</t>
        </is>
      </c>
      <c r="B2171" s="1" t="n">
        <v>45050</v>
      </c>
      <c r="C2171" s="1" t="n">
        <v>45795</v>
      </c>
      <c r="D2171" t="inlineStr">
        <is>
          <t>JÄMTLANDS LÄN</t>
        </is>
      </c>
      <c r="E2171" t="inlineStr">
        <is>
          <t>STRÖMSUND</t>
        </is>
      </c>
      <c r="F2171" t="inlineStr">
        <is>
          <t>Kommuner</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19826-2023</t>
        </is>
      </c>
      <c r="B2172" s="1" t="n">
        <v>45052</v>
      </c>
      <c r="C2172" s="1" t="n">
        <v>45795</v>
      </c>
      <c r="D2172" t="inlineStr">
        <is>
          <t>JÄMTLANDS LÄN</t>
        </is>
      </c>
      <c r="E2172" t="inlineStr">
        <is>
          <t>STRÖMSUND</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19831-2023</t>
        </is>
      </c>
      <c r="B2173" s="1" t="n">
        <v>45052</v>
      </c>
      <c r="C2173" s="1" t="n">
        <v>45795</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20590-2023</t>
        </is>
      </c>
      <c r="B2174" s="1" t="n">
        <v>45058</v>
      </c>
      <c r="C2174" s="1" t="n">
        <v>45795</v>
      </c>
      <c r="D2174" t="inlineStr">
        <is>
          <t>JÄMTLANDS LÄN</t>
        </is>
      </c>
      <c r="E2174" t="inlineStr">
        <is>
          <t>STRÖMSUND</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20631-2023</t>
        </is>
      </c>
      <c r="B2175" s="1" t="n">
        <v>45057</v>
      </c>
      <c r="C2175" s="1" t="n">
        <v>45795</v>
      </c>
      <c r="D2175" t="inlineStr">
        <is>
          <t>JÄMTLANDS LÄN</t>
        </is>
      </c>
      <c r="E2175" t="inlineStr">
        <is>
          <t>STRÖMSUND</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21146-2023</t>
        </is>
      </c>
      <c r="B2176" s="1" t="n">
        <v>45057</v>
      </c>
      <c r="C2176" s="1" t="n">
        <v>45795</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20597-2023</t>
        </is>
      </c>
      <c r="B2177" s="1" t="n">
        <v>45058</v>
      </c>
      <c r="C2177" s="1" t="n">
        <v>45795</v>
      </c>
      <c r="D2177" t="inlineStr">
        <is>
          <t>JÄMTLANDS LÄN</t>
        </is>
      </c>
      <c r="E2177" t="inlineStr">
        <is>
          <t>STRÖMSUND</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20592-2023</t>
        </is>
      </c>
      <c r="B2178" s="1" t="n">
        <v>45057</v>
      </c>
      <c r="C2178" s="1" t="n">
        <v>45795</v>
      </c>
      <c r="D2178" t="inlineStr">
        <is>
          <t>JÄMTLANDS LÄN</t>
        </is>
      </c>
      <c r="E2178" t="inlineStr">
        <is>
          <t>STRÖMSUND</t>
        </is>
      </c>
      <c r="F2178" t="inlineStr">
        <is>
          <t>SCA</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20887-2023</t>
        </is>
      </c>
      <c r="B2179" s="1" t="n">
        <v>45058</v>
      </c>
      <c r="C2179" s="1" t="n">
        <v>45795</v>
      </c>
      <c r="D2179" t="inlineStr">
        <is>
          <t>JÄMTLANDS LÄN</t>
        </is>
      </c>
      <c r="E2179" t="inlineStr">
        <is>
          <t>STRÖMSUND</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21115-2023</t>
        </is>
      </c>
      <c r="B2180" s="1" t="n">
        <v>45061</v>
      </c>
      <c r="C2180" s="1" t="n">
        <v>45795</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21110-2023</t>
        </is>
      </c>
      <c r="B2181" s="1" t="n">
        <v>45061</v>
      </c>
      <c r="C2181" s="1" t="n">
        <v>45795</v>
      </c>
      <c r="D2181" t="inlineStr">
        <is>
          <t>JÄMTLANDS LÄN</t>
        </is>
      </c>
      <c r="E2181" t="inlineStr">
        <is>
          <t>STRÖMSUND</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21358-2023</t>
        </is>
      </c>
      <c r="B2182" s="1" t="n">
        <v>45063</v>
      </c>
      <c r="C2182" s="1" t="n">
        <v>45795</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21338-2023</t>
        </is>
      </c>
      <c r="B2183" s="1" t="n">
        <v>45062</v>
      </c>
      <c r="C2183" s="1" t="n">
        <v>45795</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21339-2023</t>
        </is>
      </c>
      <c r="B2184" s="1" t="n">
        <v>45063</v>
      </c>
      <c r="C2184" s="1" t="n">
        <v>45795</v>
      </c>
      <c r="D2184" t="inlineStr">
        <is>
          <t>JÄMTLANDS LÄN</t>
        </is>
      </c>
      <c r="E2184" t="inlineStr">
        <is>
          <t>STRÖMSUND</t>
        </is>
      </c>
      <c r="F2184" t="inlineStr">
        <is>
          <t>SCA</t>
        </is>
      </c>
      <c r="G2184" t="n">
        <v>22.5</v>
      </c>
      <c r="H2184" t="n">
        <v>0</v>
      </c>
      <c r="I2184" t="n">
        <v>0</v>
      </c>
      <c r="J2184" t="n">
        <v>0</v>
      </c>
      <c r="K2184" t="n">
        <v>0</v>
      </c>
      <c r="L2184" t="n">
        <v>0</v>
      </c>
      <c r="M2184" t="n">
        <v>0</v>
      </c>
      <c r="N2184" t="n">
        <v>0</v>
      </c>
      <c r="O2184" t="n">
        <v>0</v>
      </c>
      <c r="P2184" t="n">
        <v>0</v>
      </c>
      <c r="Q2184" t="n">
        <v>0</v>
      </c>
      <c r="R2184" s="2" t="inlineStr"/>
    </row>
    <row r="2185" ht="15" customHeight="1">
      <c r="A2185" t="inlineStr">
        <is>
          <t>A 21687-2023</t>
        </is>
      </c>
      <c r="B2185" s="1" t="n">
        <v>45063</v>
      </c>
      <c r="C2185" s="1" t="n">
        <v>45795</v>
      </c>
      <c r="D2185" t="inlineStr">
        <is>
          <t>JÄMTLANDS LÄN</t>
        </is>
      </c>
      <c r="E2185" t="inlineStr">
        <is>
          <t>STRÖMSUND</t>
        </is>
      </c>
      <c r="F2185" t="inlineStr">
        <is>
          <t>SCA</t>
        </is>
      </c>
      <c r="G2185" t="n">
        <v>38.4</v>
      </c>
      <c r="H2185" t="n">
        <v>0</v>
      </c>
      <c r="I2185" t="n">
        <v>0</v>
      </c>
      <c r="J2185" t="n">
        <v>0</v>
      </c>
      <c r="K2185" t="n">
        <v>0</v>
      </c>
      <c r="L2185" t="n">
        <v>0</v>
      </c>
      <c r="M2185" t="n">
        <v>0</v>
      </c>
      <c r="N2185" t="n">
        <v>0</v>
      </c>
      <c r="O2185" t="n">
        <v>0</v>
      </c>
      <c r="P2185" t="n">
        <v>0</v>
      </c>
      <c r="Q2185" t="n">
        <v>0</v>
      </c>
      <c r="R2185" s="2" t="inlineStr"/>
    </row>
    <row r="2186" ht="15" customHeight="1">
      <c r="A2186" t="inlineStr">
        <is>
          <t>A 21685-2023</t>
        </is>
      </c>
      <c r="B2186" s="1" t="n">
        <v>45064</v>
      </c>
      <c r="C2186" s="1" t="n">
        <v>45795</v>
      </c>
      <c r="D2186" t="inlineStr">
        <is>
          <t>JÄMTLANDS LÄN</t>
        </is>
      </c>
      <c r="E2186" t="inlineStr">
        <is>
          <t>STRÖMSUND</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21711-2023</t>
        </is>
      </c>
      <c r="B2187" s="1" t="n">
        <v>45065</v>
      </c>
      <c r="C2187" s="1" t="n">
        <v>45795</v>
      </c>
      <c r="D2187" t="inlineStr">
        <is>
          <t>JÄMTLANDS LÄN</t>
        </is>
      </c>
      <c r="E2187" t="inlineStr">
        <is>
          <t>STRÖMSUND</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22223-2023</t>
        </is>
      </c>
      <c r="B2188" s="1" t="n">
        <v>45069</v>
      </c>
      <c r="C2188" s="1" t="n">
        <v>45795</v>
      </c>
      <c r="D2188" t="inlineStr">
        <is>
          <t>JÄMTLANDS LÄN</t>
        </is>
      </c>
      <c r="E2188" t="inlineStr">
        <is>
          <t>STRÖMSUND</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22475-2023</t>
        </is>
      </c>
      <c r="B2189" s="1" t="n">
        <v>45071</v>
      </c>
      <c r="C2189" s="1" t="n">
        <v>45795</v>
      </c>
      <c r="D2189" t="inlineStr">
        <is>
          <t>JÄMTLANDS LÄN</t>
        </is>
      </c>
      <c r="E2189" t="inlineStr">
        <is>
          <t>STRÖMSUND</t>
        </is>
      </c>
      <c r="F2189" t="inlineStr">
        <is>
          <t>SCA</t>
        </is>
      </c>
      <c r="G2189" t="n">
        <v>35.1</v>
      </c>
      <c r="H2189" t="n">
        <v>0</v>
      </c>
      <c r="I2189" t="n">
        <v>0</v>
      </c>
      <c r="J2189" t="n">
        <v>0</v>
      </c>
      <c r="K2189" t="n">
        <v>0</v>
      </c>
      <c r="L2189" t="n">
        <v>0</v>
      </c>
      <c r="M2189" t="n">
        <v>0</v>
      </c>
      <c r="N2189" t="n">
        <v>0</v>
      </c>
      <c r="O2189" t="n">
        <v>0</v>
      </c>
      <c r="P2189" t="n">
        <v>0</v>
      </c>
      <c r="Q2189" t="n">
        <v>0</v>
      </c>
      <c r="R2189" s="2" t="inlineStr"/>
    </row>
    <row r="2190" ht="15" customHeight="1">
      <c r="A2190" t="inlineStr">
        <is>
          <t>A 22346-2023</t>
        </is>
      </c>
      <c r="B2190" s="1" t="n">
        <v>45070</v>
      </c>
      <c r="C2190" s="1" t="n">
        <v>45795</v>
      </c>
      <c r="D2190" t="inlineStr">
        <is>
          <t>JÄMTLANDS LÄN</t>
        </is>
      </c>
      <c r="E2190" t="inlineStr">
        <is>
          <t>STRÖMSUND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22468-2023</t>
        </is>
      </c>
      <c r="B2191" s="1" t="n">
        <v>45070</v>
      </c>
      <c r="C2191" s="1" t="n">
        <v>45795</v>
      </c>
      <c r="D2191" t="inlineStr">
        <is>
          <t>JÄMTLANDS LÄN</t>
        </is>
      </c>
      <c r="E2191" t="inlineStr">
        <is>
          <t>STRÖMSUND</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22478-2023</t>
        </is>
      </c>
      <c r="B2192" s="1" t="n">
        <v>45071</v>
      </c>
      <c r="C2192" s="1" t="n">
        <v>45795</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22476-2023</t>
        </is>
      </c>
      <c r="B2193" s="1" t="n">
        <v>45070</v>
      </c>
      <c r="C2193" s="1" t="n">
        <v>45795</v>
      </c>
      <c r="D2193" t="inlineStr">
        <is>
          <t>JÄMTLANDS LÄN</t>
        </is>
      </c>
      <c r="E2193" t="inlineStr">
        <is>
          <t>STRÖMSUND</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22477-2023</t>
        </is>
      </c>
      <c r="B2194" s="1" t="n">
        <v>45070</v>
      </c>
      <c r="C2194" s="1" t="n">
        <v>45795</v>
      </c>
      <c r="D2194" t="inlineStr">
        <is>
          <t>JÄMTLANDS LÄN</t>
        </is>
      </c>
      <c r="E2194" t="inlineStr">
        <is>
          <t>STRÖMSUND</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22745-2023</t>
        </is>
      </c>
      <c r="B2195" s="1" t="n">
        <v>45072</v>
      </c>
      <c r="C2195" s="1" t="n">
        <v>45795</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23303-2023</t>
        </is>
      </c>
      <c r="B2196" s="1" t="n">
        <v>45076</v>
      </c>
      <c r="C2196" s="1" t="n">
        <v>45795</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23310-2023</t>
        </is>
      </c>
      <c r="B2197" s="1" t="n">
        <v>45075</v>
      </c>
      <c r="C2197" s="1" t="n">
        <v>45795</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23309-2023</t>
        </is>
      </c>
      <c r="B2198" s="1" t="n">
        <v>45075</v>
      </c>
      <c r="C2198" s="1" t="n">
        <v>45795</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23311-2023</t>
        </is>
      </c>
      <c r="B2199" s="1" t="n">
        <v>45075</v>
      </c>
      <c r="C2199" s="1" t="n">
        <v>45795</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23906-2023</t>
        </is>
      </c>
      <c r="B2200" s="1" t="n">
        <v>45075</v>
      </c>
      <c r="C2200" s="1" t="n">
        <v>45795</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23839-2023</t>
        </is>
      </c>
      <c r="B2201" s="1" t="n">
        <v>45075</v>
      </c>
      <c r="C2201" s="1" t="n">
        <v>45795</v>
      </c>
      <c r="D2201" t="inlineStr">
        <is>
          <t>JÄMTLANDS LÄN</t>
        </is>
      </c>
      <c r="E2201" t="inlineStr">
        <is>
          <t>STRÖMSUND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23446-2023</t>
        </is>
      </c>
      <c r="B2202" s="1" t="n">
        <v>45076</v>
      </c>
      <c r="C2202" s="1" t="n">
        <v>45795</v>
      </c>
      <c r="D2202" t="inlineStr">
        <is>
          <t>JÄMTLANDS LÄN</t>
        </is>
      </c>
      <c r="E2202" t="inlineStr">
        <is>
          <t>STRÖMSUND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23406-2023</t>
        </is>
      </c>
      <c r="B2203" s="1" t="n">
        <v>45076</v>
      </c>
      <c r="C2203" s="1" t="n">
        <v>45795</v>
      </c>
      <c r="D2203" t="inlineStr">
        <is>
          <t>JÄMTLANDS LÄN</t>
        </is>
      </c>
      <c r="E2203" t="inlineStr">
        <is>
          <t>STRÖMSUND</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23528-2023</t>
        </is>
      </c>
      <c r="B2204" s="1" t="n">
        <v>45076</v>
      </c>
      <c r="C2204" s="1" t="n">
        <v>45795</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23518-2023</t>
        </is>
      </c>
      <c r="B2205" s="1" t="n">
        <v>45077</v>
      </c>
      <c r="C2205" s="1" t="n">
        <v>45795</v>
      </c>
      <c r="D2205" t="inlineStr">
        <is>
          <t>JÄMTLANDS LÄN</t>
        </is>
      </c>
      <c r="E2205" t="inlineStr">
        <is>
          <t>STRÖMSUND</t>
        </is>
      </c>
      <c r="F2205" t="inlineStr">
        <is>
          <t>SCA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23525-2023</t>
        </is>
      </c>
      <c r="B2206" s="1" t="n">
        <v>45076</v>
      </c>
      <c r="C2206" s="1" t="n">
        <v>45795</v>
      </c>
      <c r="D2206" t="inlineStr">
        <is>
          <t>JÄMTLANDS LÄN</t>
        </is>
      </c>
      <c r="E2206" t="inlineStr">
        <is>
          <t>STRÖMSUND</t>
        </is>
      </c>
      <c r="F2206" t="inlineStr">
        <is>
          <t>SCA</t>
        </is>
      </c>
      <c r="G2206" t="n">
        <v>11.8</v>
      </c>
      <c r="H2206" t="n">
        <v>0</v>
      </c>
      <c r="I2206" t="n">
        <v>0</v>
      </c>
      <c r="J2206" t="n">
        <v>0</v>
      </c>
      <c r="K2206" t="n">
        <v>0</v>
      </c>
      <c r="L2206" t="n">
        <v>0</v>
      </c>
      <c r="M2206" t="n">
        <v>0</v>
      </c>
      <c r="N2206" t="n">
        <v>0</v>
      </c>
      <c r="O2206" t="n">
        <v>0</v>
      </c>
      <c r="P2206" t="n">
        <v>0</v>
      </c>
      <c r="Q2206" t="n">
        <v>0</v>
      </c>
      <c r="R2206" s="2" t="inlineStr"/>
    </row>
    <row r="2207" ht="15" customHeight="1">
      <c r="A2207" t="inlineStr">
        <is>
          <t>A 23748-2023</t>
        </is>
      </c>
      <c r="B2207" s="1" t="n">
        <v>45077</v>
      </c>
      <c r="C2207" s="1" t="n">
        <v>45795</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23777-2023</t>
        </is>
      </c>
      <c r="B2208" s="1" t="n">
        <v>45078</v>
      </c>
      <c r="C2208" s="1" t="n">
        <v>45795</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23770-2023</t>
        </is>
      </c>
      <c r="B2209" s="1" t="n">
        <v>45078</v>
      </c>
      <c r="C2209" s="1" t="n">
        <v>45795</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23780-2023</t>
        </is>
      </c>
      <c r="B2210" s="1" t="n">
        <v>45078</v>
      </c>
      <c r="C2210" s="1" t="n">
        <v>45795</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23779-2023</t>
        </is>
      </c>
      <c r="B2211" s="1" t="n">
        <v>45078</v>
      </c>
      <c r="C2211" s="1" t="n">
        <v>45795</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23783-2023</t>
        </is>
      </c>
      <c r="B2212" s="1" t="n">
        <v>45078</v>
      </c>
      <c r="C2212" s="1" t="n">
        <v>45795</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24073-2023</t>
        </is>
      </c>
      <c r="B2213" s="1" t="n">
        <v>45079</v>
      </c>
      <c r="C2213" s="1" t="n">
        <v>45795</v>
      </c>
      <c r="D2213" t="inlineStr">
        <is>
          <t>JÄMTLANDS LÄN</t>
        </is>
      </c>
      <c r="E2213" t="inlineStr">
        <is>
          <t>STRÖMSUND</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24071-2023</t>
        </is>
      </c>
      <c r="B2214" s="1" t="n">
        <v>45079</v>
      </c>
      <c r="C2214" s="1" t="n">
        <v>45795</v>
      </c>
      <c r="D2214" t="inlineStr">
        <is>
          <t>JÄMTLANDS LÄN</t>
        </is>
      </c>
      <c r="E2214" t="inlineStr">
        <is>
          <t>STRÖMSUND</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24070-2023</t>
        </is>
      </c>
      <c r="B2215" s="1" t="n">
        <v>45078</v>
      </c>
      <c r="C2215" s="1" t="n">
        <v>45795</v>
      </c>
      <c r="D2215" t="inlineStr">
        <is>
          <t>JÄMTLANDS LÄN</t>
        </is>
      </c>
      <c r="E2215" t="inlineStr">
        <is>
          <t>STRÖMSUND</t>
        </is>
      </c>
      <c r="F2215" t="inlineStr">
        <is>
          <t>SCA</t>
        </is>
      </c>
      <c r="G2215" t="n">
        <v>25.2</v>
      </c>
      <c r="H2215" t="n">
        <v>0</v>
      </c>
      <c r="I2215" t="n">
        <v>0</v>
      </c>
      <c r="J2215" t="n">
        <v>0</v>
      </c>
      <c r="K2215" t="n">
        <v>0</v>
      </c>
      <c r="L2215" t="n">
        <v>0</v>
      </c>
      <c r="M2215" t="n">
        <v>0</v>
      </c>
      <c r="N2215" t="n">
        <v>0</v>
      </c>
      <c r="O2215" t="n">
        <v>0</v>
      </c>
      <c r="P2215" t="n">
        <v>0</v>
      </c>
      <c r="Q2215" t="n">
        <v>0</v>
      </c>
      <c r="R2215" s="2" t="inlineStr"/>
    </row>
    <row r="2216" ht="15" customHeight="1">
      <c r="A2216" t="inlineStr">
        <is>
          <t>A 24315-2023</t>
        </is>
      </c>
      <c r="B2216" s="1" t="n">
        <v>45079</v>
      </c>
      <c r="C2216" s="1" t="n">
        <v>45795</v>
      </c>
      <c r="D2216" t="inlineStr">
        <is>
          <t>JÄMTLANDS LÄN</t>
        </is>
      </c>
      <c r="E2216" t="inlineStr">
        <is>
          <t>STRÖMSUND</t>
        </is>
      </c>
      <c r="F2216" t="inlineStr">
        <is>
          <t>SCA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24303-2023</t>
        </is>
      </c>
      <c r="B2217" s="1" t="n">
        <v>45079</v>
      </c>
      <c r="C2217" s="1" t="n">
        <v>45795</v>
      </c>
      <c r="D2217" t="inlineStr">
        <is>
          <t>JÄMTLANDS LÄN</t>
        </is>
      </c>
      <c r="E2217" t="inlineStr">
        <is>
          <t>STRÖMSUND</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24301-2023</t>
        </is>
      </c>
      <c r="B2218" s="1" t="n">
        <v>45080</v>
      </c>
      <c r="C2218" s="1" t="n">
        <v>45795</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24308-2023</t>
        </is>
      </c>
      <c r="B2219" s="1" t="n">
        <v>45080</v>
      </c>
      <c r="C2219" s="1" t="n">
        <v>45795</v>
      </c>
      <c r="D2219" t="inlineStr">
        <is>
          <t>JÄMTLANDS LÄN</t>
        </is>
      </c>
      <c r="E2219" t="inlineStr">
        <is>
          <t>STRÖMSUND</t>
        </is>
      </c>
      <c r="F2219" t="inlineStr">
        <is>
          <t>SCA</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24313-2023</t>
        </is>
      </c>
      <c r="B2220" s="1" t="n">
        <v>45080</v>
      </c>
      <c r="C2220" s="1" t="n">
        <v>45795</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24317-2023</t>
        </is>
      </c>
      <c r="B2221" s="1" t="n">
        <v>45080</v>
      </c>
      <c r="C2221" s="1" t="n">
        <v>45795</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24312-2023</t>
        </is>
      </c>
      <c r="B2222" s="1" t="n">
        <v>45080</v>
      </c>
      <c r="C2222" s="1" t="n">
        <v>45795</v>
      </c>
      <c r="D2222" t="inlineStr">
        <is>
          <t>JÄMTLANDS LÄN</t>
        </is>
      </c>
      <c r="E2222" t="inlineStr">
        <is>
          <t>STRÖMSUND</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24316-2023</t>
        </is>
      </c>
      <c r="B2223" s="1" t="n">
        <v>45079</v>
      </c>
      <c r="C2223" s="1" t="n">
        <v>45795</v>
      </c>
      <c r="D2223" t="inlineStr">
        <is>
          <t>JÄMTLANDS LÄN</t>
        </is>
      </c>
      <c r="E2223" t="inlineStr">
        <is>
          <t>STRÖMSUND</t>
        </is>
      </c>
      <c r="F2223" t="inlineStr">
        <is>
          <t>SCA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24397-2023</t>
        </is>
      </c>
      <c r="B2224" s="1" t="n">
        <v>45082</v>
      </c>
      <c r="C2224" s="1" t="n">
        <v>45795</v>
      </c>
      <c r="D2224" t="inlineStr">
        <is>
          <t>JÄMTLANDS LÄN</t>
        </is>
      </c>
      <c r="E2224" t="inlineStr">
        <is>
          <t>STRÖMSUND</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24599-2023</t>
        </is>
      </c>
      <c r="B2225" s="1" t="n">
        <v>45084</v>
      </c>
      <c r="C2225" s="1" t="n">
        <v>45795</v>
      </c>
      <c r="D2225" t="inlineStr">
        <is>
          <t>JÄMTLANDS LÄN</t>
        </is>
      </c>
      <c r="E2225" t="inlineStr">
        <is>
          <t>STRÖMSUND</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24602-2023</t>
        </is>
      </c>
      <c r="B2226" s="1" t="n">
        <v>45083</v>
      </c>
      <c r="C2226" s="1" t="n">
        <v>45795</v>
      </c>
      <c r="D2226" t="inlineStr">
        <is>
          <t>JÄMTLANDS LÄN</t>
        </is>
      </c>
      <c r="E2226" t="inlineStr">
        <is>
          <t>STRÖMSUND</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24601-2023</t>
        </is>
      </c>
      <c r="B2227" s="1" t="n">
        <v>45084</v>
      </c>
      <c r="C2227" s="1" t="n">
        <v>45795</v>
      </c>
      <c r="D2227" t="inlineStr">
        <is>
          <t>JÄMTLANDS LÄN</t>
        </is>
      </c>
      <c r="E2227" t="inlineStr">
        <is>
          <t>STRÖMSUND</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24600-2023</t>
        </is>
      </c>
      <c r="B2228" s="1" t="n">
        <v>45084</v>
      </c>
      <c r="C2228" s="1" t="n">
        <v>45795</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24831-2023</t>
        </is>
      </c>
      <c r="B2229" s="1" t="n">
        <v>45085</v>
      </c>
      <c r="C2229" s="1" t="n">
        <v>45795</v>
      </c>
      <c r="D2229" t="inlineStr">
        <is>
          <t>JÄMTLANDS LÄN</t>
        </is>
      </c>
      <c r="E2229" t="inlineStr">
        <is>
          <t>STRÖMSUND</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24833-2023</t>
        </is>
      </c>
      <c r="B2230" s="1" t="n">
        <v>45084</v>
      </c>
      <c r="C2230" s="1" t="n">
        <v>45795</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24830-2023</t>
        </is>
      </c>
      <c r="B2231" s="1" t="n">
        <v>45085</v>
      </c>
      <c r="C2231" s="1" t="n">
        <v>45795</v>
      </c>
      <c r="D2231" t="inlineStr">
        <is>
          <t>JÄMTLANDS LÄN</t>
        </is>
      </c>
      <c r="E2231" t="inlineStr">
        <is>
          <t>STRÖMSUND</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25052-2023</t>
        </is>
      </c>
      <c r="B2232" s="1" t="n">
        <v>45086</v>
      </c>
      <c r="C2232" s="1" t="n">
        <v>45795</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25026-2023</t>
        </is>
      </c>
      <c r="B2233" s="1" t="n">
        <v>45085</v>
      </c>
      <c r="C2233" s="1" t="n">
        <v>45795</v>
      </c>
      <c r="D2233" t="inlineStr">
        <is>
          <t>JÄMTLANDS LÄN</t>
        </is>
      </c>
      <c r="E2233" t="inlineStr">
        <is>
          <t>STRÖMSUND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25066-2023</t>
        </is>
      </c>
      <c r="B2234" s="1" t="n">
        <v>45085</v>
      </c>
      <c r="C2234" s="1" t="n">
        <v>45795</v>
      </c>
      <c r="D2234" t="inlineStr">
        <is>
          <t>JÄMTLANDS LÄN</t>
        </is>
      </c>
      <c r="E2234" t="inlineStr">
        <is>
          <t>STRÖMSUND</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25328-2023</t>
        </is>
      </c>
      <c r="B2235" s="1" t="n">
        <v>45087</v>
      </c>
      <c r="C2235" s="1" t="n">
        <v>45795</v>
      </c>
      <c r="D2235" t="inlineStr">
        <is>
          <t>JÄMTLANDS LÄN</t>
        </is>
      </c>
      <c r="E2235" t="inlineStr">
        <is>
          <t>STRÖMSUND</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26226-2023</t>
        </is>
      </c>
      <c r="B2236" s="1" t="n">
        <v>45086</v>
      </c>
      <c r="C2236" s="1" t="n">
        <v>45795</v>
      </c>
      <c r="D2236" t="inlineStr">
        <is>
          <t>JÄMTLANDS LÄN</t>
        </is>
      </c>
      <c r="E2236" t="inlineStr">
        <is>
          <t>STRÖMSUND</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25326-2023</t>
        </is>
      </c>
      <c r="B2237" s="1" t="n">
        <v>45087</v>
      </c>
      <c r="C2237" s="1" t="n">
        <v>45795</v>
      </c>
      <c r="D2237" t="inlineStr">
        <is>
          <t>JÄMTLANDS LÄN</t>
        </is>
      </c>
      <c r="E2237" t="inlineStr">
        <is>
          <t>STRÖMSUND</t>
        </is>
      </c>
      <c r="F2237" t="inlineStr">
        <is>
          <t>SCA</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25673-2023</t>
        </is>
      </c>
      <c r="B2238" s="1" t="n">
        <v>45090</v>
      </c>
      <c r="C2238" s="1" t="n">
        <v>45795</v>
      </c>
      <c r="D2238" t="inlineStr">
        <is>
          <t>JÄMTLANDS LÄN</t>
        </is>
      </c>
      <c r="E2238" t="inlineStr">
        <is>
          <t>STRÖMSUND</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25682-2023</t>
        </is>
      </c>
      <c r="B2239" s="1" t="n">
        <v>45089</v>
      </c>
      <c r="C2239" s="1" t="n">
        <v>45795</v>
      </c>
      <c r="D2239" t="inlineStr">
        <is>
          <t>JÄMTLANDS LÄN</t>
        </is>
      </c>
      <c r="E2239" t="inlineStr">
        <is>
          <t>STRÖMSUND</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26346-2023</t>
        </is>
      </c>
      <c r="B2240" s="1" t="n">
        <v>45092</v>
      </c>
      <c r="C2240" s="1" t="n">
        <v>45795</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26349-2023</t>
        </is>
      </c>
      <c r="B2241" s="1" t="n">
        <v>45092</v>
      </c>
      <c r="C2241" s="1" t="n">
        <v>45795</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26348-2023</t>
        </is>
      </c>
      <c r="B2242" s="1" t="n">
        <v>45092</v>
      </c>
      <c r="C2242" s="1" t="n">
        <v>45795</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26368-2023</t>
        </is>
      </c>
      <c r="B2243" s="1" t="n">
        <v>45091</v>
      </c>
      <c r="C2243" s="1" t="n">
        <v>45795</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26666-2023</t>
        </is>
      </c>
      <c r="B2244" s="1" t="n">
        <v>45093</v>
      </c>
      <c r="C2244" s="1" t="n">
        <v>45795</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26665-2023</t>
        </is>
      </c>
      <c r="B2245" s="1" t="n">
        <v>45093</v>
      </c>
      <c r="C2245" s="1" t="n">
        <v>45795</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26650-2023</t>
        </is>
      </c>
      <c r="B2246" s="1" t="n">
        <v>45093</v>
      </c>
      <c r="C2246" s="1" t="n">
        <v>45795</v>
      </c>
      <c r="D2246" t="inlineStr">
        <is>
          <t>JÄMTLANDS LÄN</t>
        </is>
      </c>
      <c r="E2246" t="inlineStr">
        <is>
          <t>STRÖMSUND</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26659-2023</t>
        </is>
      </c>
      <c r="B2247" s="1" t="n">
        <v>45092</v>
      </c>
      <c r="C2247" s="1" t="n">
        <v>45795</v>
      </c>
      <c r="D2247" t="inlineStr">
        <is>
          <t>JÄMTLANDS LÄN</t>
        </is>
      </c>
      <c r="E2247" t="inlineStr">
        <is>
          <t>STRÖMSUND</t>
        </is>
      </c>
      <c r="F2247" t="inlineStr">
        <is>
          <t>SCA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26660-2023</t>
        </is>
      </c>
      <c r="B2248" s="1" t="n">
        <v>45092</v>
      </c>
      <c r="C2248" s="1" t="n">
        <v>45795</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26799-2023</t>
        </is>
      </c>
      <c r="B2249" s="1" t="n">
        <v>45093</v>
      </c>
      <c r="C2249" s="1" t="n">
        <v>45795</v>
      </c>
      <c r="D2249" t="inlineStr">
        <is>
          <t>JÄMTLANDS LÄN</t>
        </is>
      </c>
      <c r="E2249" t="inlineStr">
        <is>
          <t>STRÖMSUND</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26735-2023</t>
        </is>
      </c>
      <c r="B2250" s="1" t="n">
        <v>45093</v>
      </c>
      <c r="C2250" s="1" t="n">
        <v>45795</v>
      </c>
      <c r="D2250" t="inlineStr">
        <is>
          <t>JÄMTLANDS LÄN</t>
        </is>
      </c>
      <c r="E2250" t="inlineStr">
        <is>
          <t>STRÖMSUND</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27389-2023</t>
        </is>
      </c>
      <c r="B2251" s="1" t="n">
        <v>45096</v>
      </c>
      <c r="C2251" s="1" t="n">
        <v>45795</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27366-2023</t>
        </is>
      </c>
      <c r="B2252" s="1" t="n">
        <v>45096</v>
      </c>
      <c r="C2252" s="1" t="n">
        <v>45795</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27386-2023</t>
        </is>
      </c>
      <c r="B2253" s="1" t="n">
        <v>45097</v>
      </c>
      <c r="C2253" s="1" t="n">
        <v>45795</v>
      </c>
      <c r="D2253" t="inlineStr">
        <is>
          <t>JÄMTLANDS LÄN</t>
        </is>
      </c>
      <c r="E2253" t="inlineStr">
        <is>
          <t>STRÖMSUND</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27374-2023</t>
        </is>
      </c>
      <c r="B2254" s="1" t="n">
        <v>45097</v>
      </c>
      <c r="C2254" s="1" t="n">
        <v>45795</v>
      </c>
      <c r="D2254" t="inlineStr">
        <is>
          <t>JÄMTLANDS LÄN</t>
        </is>
      </c>
      <c r="E2254" t="inlineStr">
        <is>
          <t>STRÖMSUND</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27388-2023</t>
        </is>
      </c>
      <c r="B2255" s="1" t="n">
        <v>45097</v>
      </c>
      <c r="C2255" s="1" t="n">
        <v>45795</v>
      </c>
      <c r="D2255" t="inlineStr">
        <is>
          <t>JÄMTLANDS LÄN</t>
        </is>
      </c>
      <c r="E2255" t="inlineStr">
        <is>
          <t>STRÖMSUND</t>
        </is>
      </c>
      <c r="F2255" t="inlineStr">
        <is>
          <t>SCA</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27368-2023</t>
        </is>
      </c>
      <c r="B2256" s="1" t="n">
        <v>45096</v>
      </c>
      <c r="C2256" s="1" t="n">
        <v>45795</v>
      </c>
      <c r="D2256" t="inlineStr">
        <is>
          <t>JÄMTLANDS LÄN</t>
        </is>
      </c>
      <c r="E2256" t="inlineStr">
        <is>
          <t>STRÖMSUND</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27365-2023</t>
        </is>
      </c>
      <c r="B2257" s="1" t="n">
        <v>45097</v>
      </c>
      <c r="C2257" s="1" t="n">
        <v>45795</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27387-2023</t>
        </is>
      </c>
      <c r="B2258" s="1" t="n">
        <v>45097</v>
      </c>
      <c r="C2258" s="1" t="n">
        <v>45795</v>
      </c>
      <c r="D2258" t="inlineStr">
        <is>
          <t>JÄMTLANDS LÄN</t>
        </is>
      </c>
      <c r="E2258" t="inlineStr">
        <is>
          <t>STRÖMSUND</t>
        </is>
      </c>
      <c r="F2258" t="inlineStr">
        <is>
          <t>SCA</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27375-2023</t>
        </is>
      </c>
      <c r="B2259" s="1" t="n">
        <v>45097</v>
      </c>
      <c r="C2259" s="1" t="n">
        <v>45795</v>
      </c>
      <c r="D2259" t="inlineStr">
        <is>
          <t>JÄMTLANDS LÄN</t>
        </is>
      </c>
      <c r="E2259" t="inlineStr">
        <is>
          <t>STRÖMSUND</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28660-2023</t>
        </is>
      </c>
      <c r="B2260" s="1" t="n">
        <v>45096</v>
      </c>
      <c r="C2260" s="1" t="n">
        <v>45795</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27679-2023</t>
        </is>
      </c>
      <c r="B2261" s="1" t="n">
        <v>45098</v>
      </c>
      <c r="C2261" s="1" t="n">
        <v>45795</v>
      </c>
      <c r="D2261" t="inlineStr">
        <is>
          <t>JÄMTLANDS LÄN</t>
        </is>
      </c>
      <c r="E2261" t="inlineStr">
        <is>
          <t>STRÖMSUND</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28005-2023</t>
        </is>
      </c>
      <c r="B2262" s="1" t="n">
        <v>45099</v>
      </c>
      <c r="C2262" s="1" t="n">
        <v>45795</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28006-2023</t>
        </is>
      </c>
      <c r="B2263" s="1" t="n">
        <v>45099</v>
      </c>
      <c r="C2263" s="1" t="n">
        <v>45795</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28014-2023</t>
        </is>
      </c>
      <c r="B2264" s="1" t="n">
        <v>45098</v>
      </c>
      <c r="C2264" s="1" t="n">
        <v>45795</v>
      </c>
      <c r="D2264" t="inlineStr">
        <is>
          <t>JÄMTLANDS LÄN</t>
        </is>
      </c>
      <c r="E2264" t="inlineStr">
        <is>
          <t>STRÖMSUND</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28003-2023</t>
        </is>
      </c>
      <c r="B2265" s="1" t="n">
        <v>45099</v>
      </c>
      <c r="C2265" s="1" t="n">
        <v>45795</v>
      </c>
      <c r="D2265" t="inlineStr">
        <is>
          <t>JÄMTLANDS LÄN</t>
        </is>
      </c>
      <c r="E2265" t="inlineStr">
        <is>
          <t>STRÖMSUND</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28004-2023</t>
        </is>
      </c>
      <c r="B2266" s="1" t="n">
        <v>45099</v>
      </c>
      <c r="C2266" s="1" t="n">
        <v>45795</v>
      </c>
      <c r="D2266" t="inlineStr">
        <is>
          <t>JÄMTLANDS LÄN</t>
        </is>
      </c>
      <c r="E2266" t="inlineStr">
        <is>
          <t>STRÖMSUND</t>
        </is>
      </c>
      <c r="F2266" t="inlineStr">
        <is>
          <t>SCA</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28016-2023</t>
        </is>
      </c>
      <c r="B2267" s="1" t="n">
        <v>45099</v>
      </c>
      <c r="C2267" s="1" t="n">
        <v>45795</v>
      </c>
      <c r="D2267" t="inlineStr">
        <is>
          <t>JÄMTLANDS LÄN</t>
        </is>
      </c>
      <c r="E2267" t="inlineStr">
        <is>
          <t>STRÖMSUND</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29593-2023</t>
        </is>
      </c>
      <c r="B2268" s="1" t="n">
        <v>45098</v>
      </c>
      <c r="C2268" s="1" t="n">
        <v>45795</v>
      </c>
      <c r="D2268" t="inlineStr">
        <is>
          <t>JÄMTLANDS LÄN</t>
        </is>
      </c>
      <c r="E2268" t="inlineStr">
        <is>
          <t>STRÖMSUND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28297-2023</t>
        </is>
      </c>
      <c r="B2269" s="1" t="n">
        <v>45099</v>
      </c>
      <c r="C2269" s="1" t="n">
        <v>45795</v>
      </c>
      <c r="D2269" t="inlineStr">
        <is>
          <t>JÄMTLANDS LÄN</t>
        </is>
      </c>
      <c r="E2269" t="inlineStr">
        <is>
          <t>STRÖMSUND</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28365-2023</t>
        </is>
      </c>
      <c r="B2270" s="1" t="n">
        <v>45100</v>
      </c>
      <c r="C2270" s="1" t="n">
        <v>45795</v>
      </c>
      <c r="D2270" t="inlineStr">
        <is>
          <t>JÄMTLANDS LÄN</t>
        </is>
      </c>
      <c r="E2270" t="inlineStr">
        <is>
          <t>STRÖMSUND</t>
        </is>
      </c>
      <c r="F2270" t="inlineStr">
        <is>
          <t>SCA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28376-2023</t>
        </is>
      </c>
      <c r="B2271" s="1" t="n">
        <v>45100</v>
      </c>
      <c r="C2271" s="1" t="n">
        <v>45795</v>
      </c>
      <c r="D2271" t="inlineStr">
        <is>
          <t>JÄMTLANDS LÄN</t>
        </is>
      </c>
      <c r="E2271" t="inlineStr">
        <is>
          <t>STRÖMSUND</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28364-2023</t>
        </is>
      </c>
      <c r="B2272" s="1" t="n">
        <v>45100</v>
      </c>
      <c r="C2272" s="1" t="n">
        <v>45795</v>
      </c>
      <c r="D2272" t="inlineStr">
        <is>
          <t>JÄMTLANDS LÄN</t>
        </is>
      </c>
      <c r="E2272" t="inlineStr">
        <is>
          <t>STRÖMSUND</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28362-2023</t>
        </is>
      </c>
      <c r="B2273" s="1" t="n">
        <v>45100</v>
      </c>
      <c r="C2273" s="1" t="n">
        <v>45795</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28377-2023</t>
        </is>
      </c>
      <c r="B2274" s="1" t="n">
        <v>45100</v>
      </c>
      <c r="C2274" s="1" t="n">
        <v>45795</v>
      </c>
      <c r="D2274" t="inlineStr">
        <is>
          <t>JÄMTLANDS LÄN</t>
        </is>
      </c>
      <c r="E2274" t="inlineStr">
        <is>
          <t>STRÖMSUND</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28405-2023</t>
        </is>
      </c>
      <c r="B2275" s="1" t="n">
        <v>45101</v>
      </c>
      <c r="C2275" s="1" t="n">
        <v>45795</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28715-2023</t>
        </is>
      </c>
      <c r="B2276" s="1" t="n">
        <v>45103</v>
      </c>
      <c r="C2276" s="1" t="n">
        <v>45795</v>
      </c>
      <c r="D2276" t="inlineStr">
        <is>
          <t>JÄMTLANDS LÄN</t>
        </is>
      </c>
      <c r="E2276" t="inlineStr">
        <is>
          <t>STRÖMSUND</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28740-2023</t>
        </is>
      </c>
      <c r="B2277" s="1" t="n">
        <v>45104</v>
      </c>
      <c r="C2277" s="1" t="n">
        <v>45795</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28744-2023</t>
        </is>
      </c>
      <c r="B2278" s="1" t="n">
        <v>45104</v>
      </c>
      <c r="C2278" s="1" t="n">
        <v>45795</v>
      </c>
      <c r="D2278" t="inlineStr">
        <is>
          <t>JÄMTLANDS LÄN</t>
        </is>
      </c>
      <c r="E2278" t="inlineStr">
        <is>
          <t>STRÖMSUND</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28753-2023</t>
        </is>
      </c>
      <c r="B2279" s="1" t="n">
        <v>45104</v>
      </c>
      <c r="C2279" s="1" t="n">
        <v>45795</v>
      </c>
      <c r="D2279" t="inlineStr">
        <is>
          <t>JÄMTLANDS LÄN</t>
        </is>
      </c>
      <c r="E2279" t="inlineStr">
        <is>
          <t>STRÖMSUND</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28766-2023</t>
        </is>
      </c>
      <c r="B2280" s="1" t="n">
        <v>45104</v>
      </c>
      <c r="C2280" s="1" t="n">
        <v>45795</v>
      </c>
      <c r="D2280" t="inlineStr">
        <is>
          <t>JÄMTLANDS LÄN</t>
        </is>
      </c>
      <c r="E2280" t="inlineStr">
        <is>
          <t>STRÖMSUND</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28713-2023</t>
        </is>
      </c>
      <c r="B2281" s="1" t="n">
        <v>45103</v>
      </c>
      <c r="C2281" s="1" t="n">
        <v>45795</v>
      </c>
      <c r="D2281" t="inlineStr">
        <is>
          <t>JÄMTLANDS LÄN</t>
        </is>
      </c>
      <c r="E2281" t="inlineStr">
        <is>
          <t>STRÖMSUND</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28741-2023</t>
        </is>
      </c>
      <c r="B2282" s="1" t="n">
        <v>45103</v>
      </c>
      <c r="C2282" s="1" t="n">
        <v>45795</v>
      </c>
      <c r="D2282" t="inlineStr">
        <is>
          <t>JÄMTLANDS LÄN</t>
        </is>
      </c>
      <c r="E2282" t="inlineStr">
        <is>
          <t>STRÖMSUND</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28754-2023</t>
        </is>
      </c>
      <c r="B2283" s="1" t="n">
        <v>45104</v>
      </c>
      <c r="C2283" s="1" t="n">
        <v>45795</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28767-2023</t>
        </is>
      </c>
      <c r="B2284" s="1" t="n">
        <v>45104</v>
      </c>
      <c r="C2284" s="1" t="n">
        <v>45795</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31156-2023</t>
        </is>
      </c>
      <c r="B2285" s="1" t="n">
        <v>45103</v>
      </c>
      <c r="C2285" s="1" t="n">
        <v>45795</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28714-2023</t>
        </is>
      </c>
      <c r="B2286" s="1" t="n">
        <v>45103</v>
      </c>
      <c r="C2286" s="1" t="n">
        <v>45795</v>
      </c>
      <c r="D2286" t="inlineStr">
        <is>
          <t>JÄMTLANDS LÄN</t>
        </is>
      </c>
      <c r="E2286" t="inlineStr">
        <is>
          <t>STRÖMSUND</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28735-2023</t>
        </is>
      </c>
      <c r="B2287" s="1" t="n">
        <v>45104</v>
      </c>
      <c r="C2287" s="1" t="n">
        <v>45795</v>
      </c>
      <c r="D2287" t="inlineStr">
        <is>
          <t>JÄMTLANDS LÄN</t>
        </is>
      </c>
      <c r="E2287" t="inlineStr">
        <is>
          <t>STRÖMSUND</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28743-2023</t>
        </is>
      </c>
      <c r="B2288" s="1" t="n">
        <v>45103</v>
      </c>
      <c r="C2288" s="1" t="n">
        <v>45795</v>
      </c>
      <c r="D2288" t="inlineStr">
        <is>
          <t>JÄMTLANDS LÄN</t>
        </is>
      </c>
      <c r="E2288" t="inlineStr">
        <is>
          <t>STRÖMSUND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28752-2023</t>
        </is>
      </c>
      <c r="B2289" s="1" t="n">
        <v>45104</v>
      </c>
      <c r="C2289" s="1" t="n">
        <v>45795</v>
      </c>
      <c r="D2289" t="inlineStr">
        <is>
          <t>JÄMTLANDS LÄN</t>
        </is>
      </c>
      <c r="E2289" t="inlineStr">
        <is>
          <t>STRÖMSUND</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29039-2023</t>
        </is>
      </c>
      <c r="B2290" s="1" t="n">
        <v>45104</v>
      </c>
      <c r="C2290" s="1" t="n">
        <v>45795</v>
      </c>
      <c r="D2290" t="inlineStr">
        <is>
          <t>JÄMTLANDS LÄN</t>
        </is>
      </c>
      <c r="E2290" t="inlineStr">
        <is>
          <t>STRÖMSUND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29069-2023</t>
        </is>
      </c>
      <c r="B2291" s="1" t="n">
        <v>45105</v>
      </c>
      <c r="C2291" s="1" t="n">
        <v>45795</v>
      </c>
      <c r="D2291" t="inlineStr">
        <is>
          <t>JÄMTLANDS LÄN</t>
        </is>
      </c>
      <c r="E2291" t="inlineStr">
        <is>
          <t>STRÖMSUND</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29040-2023</t>
        </is>
      </c>
      <c r="B2292" s="1" t="n">
        <v>45104</v>
      </c>
      <c r="C2292" s="1" t="n">
        <v>45795</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29305-2023</t>
        </is>
      </c>
      <c r="B2293" s="1" t="n">
        <v>45106</v>
      </c>
      <c r="C2293" s="1" t="n">
        <v>45795</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29329-2023</t>
        </is>
      </c>
      <c r="B2294" s="1" t="n">
        <v>45106</v>
      </c>
      <c r="C2294" s="1" t="n">
        <v>45795</v>
      </c>
      <c r="D2294" t="inlineStr">
        <is>
          <t>JÄMTLANDS LÄN</t>
        </is>
      </c>
      <c r="E2294" t="inlineStr">
        <is>
          <t>STRÖMSUND</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29328-2023</t>
        </is>
      </c>
      <c r="B2295" s="1" t="n">
        <v>45106</v>
      </c>
      <c r="C2295" s="1" t="n">
        <v>45795</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29335-2023</t>
        </is>
      </c>
      <c r="B2296" s="1" t="n">
        <v>45106</v>
      </c>
      <c r="C2296" s="1" t="n">
        <v>45795</v>
      </c>
      <c r="D2296" t="inlineStr">
        <is>
          <t>JÄMTLANDS LÄN</t>
        </is>
      </c>
      <c r="E2296" t="inlineStr">
        <is>
          <t>STRÖMSUND</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29343-2023</t>
        </is>
      </c>
      <c r="B2297" s="1" t="n">
        <v>45106</v>
      </c>
      <c r="C2297" s="1" t="n">
        <v>45795</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29605-2023</t>
        </is>
      </c>
      <c r="B2298" s="1" t="n">
        <v>45107</v>
      </c>
      <c r="C2298" s="1" t="n">
        <v>45795</v>
      </c>
      <c r="D2298" t="inlineStr">
        <is>
          <t>JÄMTLANDS LÄN</t>
        </is>
      </c>
      <c r="E2298" t="inlineStr">
        <is>
          <t>STRÖMSUND</t>
        </is>
      </c>
      <c r="F2298" t="inlineStr">
        <is>
          <t>SCA</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29632-2023</t>
        </is>
      </c>
      <c r="B2299" s="1" t="n">
        <v>45107</v>
      </c>
      <c r="C2299" s="1" t="n">
        <v>45795</v>
      </c>
      <c r="D2299" t="inlineStr">
        <is>
          <t>JÄMTLANDS LÄN</t>
        </is>
      </c>
      <c r="E2299" t="inlineStr">
        <is>
          <t>STRÖMSUND</t>
        </is>
      </c>
      <c r="F2299" t="inlineStr">
        <is>
          <t>SCA</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29631-2023</t>
        </is>
      </c>
      <c r="B2300" s="1" t="n">
        <v>45107</v>
      </c>
      <c r="C2300" s="1" t="n">
        <v>45795</v>
      </c>
      <c r="D2300" t="inlineStr">
        <is>
          <t>JÄMTLANDS LÄN</t>
        </is>
      </c>
      <c r="E2300" t="inlineStr">
        <is>
          <t>STRÖMSUND</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29635-2023</t>
        </is>
      </c>
      <c r="B2301" s="1" t="n">
        <v>45107</v>
      </c>
      <c r="C2301" s="1" t="n">
        <v>45795</v>
      </c>
      <c r="D2301" t="inlineStr">
        <is>
          <t>JÄMTLANDS LÄN</t>
        </is>
      </c>
      <c r="E2301" t="inlineStr">
        <is>
          <t>STRÖMSUND</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29965-2023</t>
        </is>
      </c>
      <c r="B2302" s="1" t="n">
        <v>45107</v>
      </c>
      <c r="C2302" s="1" t="n">
        <v>45795</v>
      </c>
      <c r="D2302" t="inlineStr">
        <is>
          <t>JÄMTLANDS LÄN</t>
        </is>
      </c>
      <c r="E2302" t="inlineStr">
        <is>
          <t>STRÖMSUND</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29959-2023</t>
        </is>
      </c>
      <c r="B2303" s="1" t="n">
        <v>45108</v>
      </c>
      <c r="C2303" s="1" t="n">
        <v>45795</v>
      </c>
      <c r="D2303" t="inlineStr">
        <is>
          <t>JÄMTLANDS LÄN</t>
        </is>
      </c>
      <c r="E2303" t="inlineStr">
        <is>
          <t>STRÖMSUND</t>
        </is>
      </c>
      <c r="F2303" t="inlineStr">
        <is>
          <t>SCA</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30170-2023</t>
        </is>
      </c>
      <c r="B2304" s="1" t="n">
        <v>45110</v>
      </c>
      <c r="C2304" s="1" t="n">
        <v>45795</v>
      </c>
      <c r="D2304" t="inlineStr">
        <is>
          <t>JÄMTLANDS LÄN</t>
        </is>
      </c>
      <c r="E2304" t="inlineStr">
        <is>
          <t>STRÖMSUND</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32379-2023</t>
        </is>
      </c>
      <c r="B2305" s="1" t="n">
        <v>45110</v>
      </c>
      <c r="C2305" s="1" t="n">
        <v>45795</v>
      </c>
      <c r="D2305" t="inlineStr">
        <is>
          <t>JÄMTLANDS LÄN</t>
        </is>
      </c>
      <c r="E2305" t="inlineStr">
        <is>
          <t>STRÖMSUND</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30284-2023</t>
        </is>
      </c>
      <c r="B2306" s="1" t="n">
        <v>45110</v>
      </c>
      <c r="C2306" s="1" t="n">
        <v>45795</v>
      </c>
      <c r="D2306" t="inlineStr">
        <is>
          <t>JÄMTLANDS LÄN</t>
        </is>
      </c>
      <c r="E2306" t="inlineStr">
        <is>
          <t>STRÖMSUND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30285-2023</t>
        </is>
      </c>
      <c r="B2307" s="1" t="n">
        <v>45110</v>
      </c>
      <c r="C2307" s="1" t="n">
        <v>45795</v>
      </c>
      <c r="D2307" t="inlineStr">
        <is>
          <t>JÄMTLANDS LÄN</t>
        </is>
      </c>
      <c r="E2307" t="inlineStr">
        <is>
          <t>STRÖMSUND</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30565-2023</t>
        </is>
      </c>
      <c r="B2308" s="1" t="n">
        <v>45112</v>
      </c>
      <c r="C2308" s="1" t="n">
        <v>45795</v>
      </c>
      <c r="D2308" t="inlineStr">
        <is>
          <t>JÄMTLANDS LÄN</t>
        </is>
      </c>
      <c r="E2308" t="inlineStr">
        <is>
          <t>STRÖMSUND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32530-2023</t>
        </is>
      </c>
      <c r="B2309" s="1" t="n">
        <v>45111</v>
      </c>
      <c r="C2309" s="1" t="n">
        <v>45795</v>
      </c>
      <c r="D2309" t="inlineStr">
        <is>
          <t>JÄMTLANDS LÄN</t>
        </is>
      </c>
      <c r="E2309" t="inlineStr">
        <is>
          <t>STRÖMSUND</t>
        </is>
      </c>
      <c r="F2309" t="inlineStr">
        <is>
          <t>Kommuner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32572-2023</t>
        </is>
      </c>
      <c r="B2310" s="1" t="n">
        <v>45111</v>
      </c>
      <c r="C2310" s="1" t="n">
        <v>45795</v>
      </c>
      <c r="D2310" t="inlineStr">
        <is>
          <t>JÄMTLANDS LÄN</t>
        </is>
      </c>
      <c r="E2310" t="inlineStr">
        <is>
          <t>STRÖMSUND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32546-2023</t>
        </is>
      </c>
      <c r="B2311" s="1" t="n">
        <v>45111</v>
      </c>
      <c r="C2311" s="1" t="n">
        <v>45795</v>
      </c>
      <c r="D2311" t="inlineStr">
        <is>
          <t>JÄMTLANDS LÄN</t>
        </is>
      </c>
      <c r="E2311" t="inlineStr">
        <is>
          <t>STRÖMSUND</t>
        </is>
      </c>
      <c r="F2311" t="inlineStr">
        <is>
          <t>Kommuner</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32538-2023</t>
        </is>
      </c>
      <c r="B2312" s="1" t="n">
        <v>45111</v>
      </c>
      <c r="C2312" s="1" t="n">
        <v>45795</v>
      </c>
      <c r="D2312" t="inlineStr">
        <is>
          <t>JÄMTLANDS LÄN</t>
        </is>
      </c>
      <c r="E2312" t="inlineStr">
        <is>
          <t>STRÖMSUND</t>
        </is>
      </c>
      <c r="F2312" t="inlineStr">
        <is>
          <t>Kommuner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32550-2023</t>
        </is>
      </c>
      <c r="B2313" s="1" t="n">
        <v>45111</v>
      </c>
      <c r="C2313" s="1" t="n">
        <v>45795</v>
      </c>
      <c r="D2313" t="inlineStr">
        <is>
          <t>JÄMTLANDS LÄN</t>
        </is>
      </c>
      <c r="E2313" t="inlineStr">
        <is>
          <t>STRÖMSUND</t>
        </is>
      </c>
      <c r="F2313" t="inlineStr">
        <is>
          <t>Kommuner</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30818-2023</t>
        </is>
      </c>
      <c r="B2314" s="1" t="n">
        <v>45112</v>
      </c>
      <c r="C2314" s="1" t="n">
        <v>45795</v>
      </c>
      <c r="D2314" t="inlineStr">
        <is>
          <t>JÄMTLANDS LÄN</t>
        </is>
      </c>
      <c r="E2314" t="inlineStr">
        <is>
          <t>STRÖMSUND</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30830-2023</t>
        </is>
      </c>
      <c r="B2315" s="1" t="n">
        <v>45113</v>
      </c>
      <c r="C2315" s="1" t="n">
        <v>45795</v>
      </c>
      <c r="D2315" t="inlineStr">
        <is>
          <t>JÄMTLANDS LÄN</t>
        </is>
      </c>
      <c r="E2315" t="inlineStr">
        <is>
          <t>STRÖMSUND</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30842-2023</t>
        </is>
      </c>
      <c r="B2316" s="1" t="n">
        <v>45113</v>
      </c>
      <c r="C2316" s="1" t="n">
        <v>45795</v>
      </c>
      <c r="D2316" t="inlineStr">
        <is>
          <t>JÄMTLANDS LÄN</t>
        </is>
      </c>
      <c r="E2316" t="inlineStr">
        <is>
          <t>STRÖMSUND</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30849-2023</t>
        </is>
      </c>
      <c r="B2317" s="1" t="n">
        <v>45113</v>
      </c>
      <c r="C2317" s="1" t="n">
        <v>45795</v>
      </c>
      <c r="D2317" t="inlineStr">
        <is>
          <t>JÄMTLANDS LÄN</t>
        </is>
      </c>
      <c r="E2317" t="inlineStr">
        <is>
          <t>STRÖMSUND</t>
        </is>
      </c>
      <c r="F2317" t="inlineStr">
        <is>
          <t>SCA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30819-2023</t>
        </is>
      </c>
      <c r="B2318" s="1" t="n">
        <v>45113</v>
      </c>
      <c r="C2318" s="1" t="n">
        <v>45795</v>
      </c>
      <c r="D2318" t="inlineStr">
        <is>
          <t>JÄMTLANDS LÄN</t>
        </is>
      </c>
      <c r="E2318" t="inlineStr">
        <is>
          <t>STRÖMSUND</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30831-2023</t>
        </is>
      </c>
      <c r="B2319" s="1" t="n">
        <v>45113</v>
      </c>
      <c r="C2319" s="1" t="n">
        <v>45795</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30816-2023</t>
        </is>
      </c>
      <c r="B2320" s="1" t="n">
        <v>45112</v>
      </c>
      <c r="C2320" s="1" t="n">
        <v>45795</v>
      </c>
      <c r="D2320" t="inlineStr">
        <is>
          <t>JÄMTLANDS LÄN</t>
        </is>
      </c>
      <c r="E2320" t="inlineStr">
        <is>
          <t>STRÖMSUND</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30828-2023</t>
        </is>
      </c>
      <c r="B2321" s="1" t="n">
        <v>45113</v>
      </c>
      <c r="C2321" s="1" t="n">
        <v>45795</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30832-2023</t>
        </is>
      </c>
      <c r="B2322" s="1" t="n">
        <v>45112</v>
      </c>
      <c r="C2322" s="1" t="n">
        <v>45795</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30836-2023</t>
        </is>
      </c>
      <c r="B2323" s="1" t="n">
        <v>45113</v>
      </c>
      <c r="C2323" s="1" t="n">
        <v>45795</v>
      </c>
      <c r="D2323" t="inlineStr">
        <is>
          <t>JÄMTLANDS LÄN</t>
        </is>
      </c>
      <c r="E2323" t="inlineStr">
        <is>
          <t>STRÖMSUND</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32871-2023</t>
        </is>
      </c>
      <c r="B2324" s="1" t="n">
        <v>45112</v>
      </c>
      <c r="C2324" s="1" t="n">
        <v>45795</v>
      </c>
      <c r="D2324" t="inlineStr">
        <is>
          <t>JÄMTLANDS LÄN</t>
        </is>
      </c>
      <c r="E2324" t="inlineStr">
        <is>
          <t>STRÖMSUND</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32873-2023</t>
        </is>
      </c>
      <c r="B2325" s="1" t="n">
        <v>45112</v>
      </c>
      <c r="C2325" s="1" t="n">
        <v>45795</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32882-2023</t>
        </is>
      </c>
      <c r="B2326" s="1" t="n">
        <v>45112</v>
      </c>
      <c r="C2326" s="1" t="n">
        <v>45795</v>
      </c>
      <c r="D2326" t="inlineStr">
        <is>
          <t>JÄMTLANDS LÄN</t>
        </is>
      </c>
      <c r="E2326" t="inlineStr">
        <is>
          <t>STRÖMSUND</t>
        </is>
      </c>
      <c r="F2326" t="inlineStr">
        <is>
          <t>Kommuner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32883-2023</t>
        </is>
      </c>
      <c r="B2327" s="1" t="n">
        <v>45112</v>
      </c>
      <c r="C2327" s="1" t="n">
        <v>45795</v>
      </c>
      <c r="D2327" t="inlineStr">
        <is>
          <t>JÄMTLANDS LÄN</t>
        </is>
      </c>
      <c r="E2327" t="inlineStr">
        <is>
          <t>STRÖMSUND</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32884-2023</t>
        </is>
      </c>
      <c r="B2328" s="1" t="n">
        <v>45112</v>
      </c>
      <c r="C2328" s="1" t="n">
        <v>45795</v>
      </c>
      <c r="D2328" t="inlineStr">
        <is>
          <t>JÄMTLANDS LÄN</t>
        </is>
      </c>
      <c r="E2328" t="inlineStr">
        <is>
          <t>STRÖMSUND</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31201-2023</t>
        </is>
      </c>
      <c r="B2329" s="1" t="n">
        <v>45113</v>
      </c>
      <c r="C2329" s="1" t="n">
        <v>45795</v>
      </c>
      <c r="D2329" t="inlineStr">
        <is>
          <t>JÄMTLANDS LÄN</t>
        </is>
      </c>
      <c r="E2329" t="inlineStr">
        <is>
          <t>STRÖMSUND</t>
        </is>
      </c>
      <c r="F2329" t="inlineStr">
        <is>
          <t>SCA</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31210-2023</t>
        </is>
      </c>
      <c r="B2330" s="1" t="n">
        <v>45114</v>
      </c>
      <c r="C2330" s="1" t="n">
        <v>45795</v>
      </c>
      <c r="D2330" t="inlineStr">
        <is>
          <t>JÄMTLANDS LÄN</t>
        </is>
      </c>
      <c r="E2330" t="inlineStr">
        <is>
          <t>STRÖMSUND</t>
        </is>
      </c>
      <c r="F2330" t="inlineStr">
        <is>
          <t>SCA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31182-2023</t>
        </is>
      </c>
      <c r="B2331" s="1" t="n">
        <v>45113</v>
      </c>
      <c r="C2331" s="1" t="n">
        <v>45795</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31491-2023</t>
        </is>
      </c>
      <c r="B2332" s="1" t="n">
        <v>45114</v>
      </c>
      <c r="C2332" s="1" t="n">
        <v>45795</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31497-2023</t>
        </is>
      </c>
      <c r="B2333" s="1" t="n">
        <v>45115</v>
      </c>
      <c r="C2333" s="1" t="n">
        <v>45795</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31929-2023</t>
        </is>
      </c>
      <c r="B2334" s="1" t="n">
        <v>45118</v>
      </c>
      <c r="C2334" s="1" t="n">
        <v>45795</v>
      </c>
      <c r="D2334" t="inlineStr">
        <is>
          <t>JÄMTLANDS LÄN</t>
        </is>
      </c>
      <c r="E2334" t="inlineStr">
        <is>
          <t>STRÖMSUND</t>
        </is>
      </c>
      <c r="F2334" t="inlineStr">
        <is>
          <t>SCA</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32210-2023</t>
        </is>
      </c>
      <c r="B2335" s="1" t="n">
        <v>45120</v>
      </c>
      <c r="C2335" s="1" t="n">
        <v>45795</v>
      </c>
      <c r="D2335" t="inlineStr">
        <is>
          <t>JÄMTLANDS LÄN</t>
        </is>
      </c>
      <c r="E2335" t="inlineStr">
        <is>
          <t>STRÖMSUND</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32220-2023</t>
        </is>
      </c>
      <c r="B2336" s="1" t="n">
        <v>45120</v>
      </c>
      <c r="C2336" s="1" t="n">
        <v>45795</v>
      </c>
      <c r="D2336" t="inlineStr">
        <is>
          <t>JÄMTLANDS LÄN</t>
        </is>
      </c>
      <c r="E2336" t="inlineStr">
        <is>
          <t>STRÖMSUND</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32231-2023</t>
        </is>
      </c>
      <c r="B2337" s="1" t="n">
        <v>45120</v>
      </c>
      <c r="C2337" s="1" t="n">
        <v>45795</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32730-2023</t>
        </is>
      </c>
      <c r="B2338" s="1" t="n">
        <v>45122</v>
      </c>
      <c r="C2338" s="1" t="n">
        <v>45795</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32724-2023</t>
        </is>
      </c>
      <c r="B2339" s="1" t="n">
        <v>45121</v>
      </c>
      <c r="C2339" s="1" t="n">
        <v>45795</v>
      </c>
      <c r="D2339" t="inlineStr">
        <is>
          <t>JÄMTLANDS LÄN</t>
        </is>
      </c>
      <c r="E2339" t="inlineStr">
        <is>
          <t>STRÖMSUND</t>
        </is>
      </c>
      <c r="F2339" t="inlineStr">
        <is>
          <t>SCA</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32729-2023</t>
        </is>
      </c>
      <c r="B2340" s="1" t="n">
        <v>45122</v>
      </c>
      <c r="C2340" s="1" t="n">
        <v>45795</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32731-2023</t>
        </is>
      </c>
      <c r="B2341" s="1" t="n">
        <v>45122</v>
      </c>
      <c r="C2341" s="1" t="n">
        <v>45795</v>
      </c>
      <c r="D2341" t="inlineStr">
        <is>
          <t>JÄMTLANDS LÄN</t>
        </is>
      </c>
      <c r="E2341" t="inlineStr">
        <is>
          <t>STRÖMSUND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32907-2023</t>
        </is>
      </c>
      <c r="B2342" s="1" t="n">
        <v>45124</v>
      </c>
      <c r="C2342" s="1" t="n">
        <v>45795</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32911-2023</t>
        </is>
      </c>
      <c r="B2343" s="1" t="n">
        <v>45125</v>
      </c>
      <c r="C2343" s="1" t="n">
        <v>45795</v>
      </c>
      <c r="D2343" t="inlineStr">
        <is>
          <t>JÄMTLANDS LÄN</t>
        </is>
      </c>
      <c r="E2343" t="inlineStr">
        <is>
          <t>STRÖMSUND</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32906-2023</t>
        </is>
      </c>
      <c r="B2344" s="1" t="n">
        <v>45125</v>
      </c>
      <c r="C2344" s="1" t="n">
        <v>45795</v>
      </c>
      <c r="D2344" t="inlineStr">
        <is>
          <t>JÄMTLANDS LÄN</t>
        </is>
      </c>
      <c r="E2344" t="inlineStr">
        <is>
          <t>STRÖMSUND</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32910-2023</t>
        </is>
      </c>
      <c r="B2345" s="1" t="n">
        <v>45125</v>
      </c>
      <c r="C2345" s="1" t="n">
        <v>45795</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33045-2023</t>
        </is>
      </c>
      <c r="B2346" s="1" t="n">
        <v>45126</v>
      </c>
      <c r="C2346" s="1" t="n">
        <v>45795</v>
      </c>
      <c r="D2346" t="inlineStr">
        <is>
          <t>JÄMTLANDS LÄN</t>
        </is>
      </c>
      <c r="E2346" t="inlineStr">
        <is>
          <t>STRÖMSUND</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33176-2023</t>
        </is>
      </c>
      <c r="B2347" s="1" t="n">
        <v>45127</v>
      </c>
      <c r="C2347" s="1" t="n">
        <v>45795</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33426-2023</t>
        </is>
      </c>
      <c r="B2348" s="1" t="n">
        <v>45129</v>
      </c>
      <c r="C2348" s="1" t="n">
        <v>45795</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33427-2023</t>
        </is>
      </c>
      <c r="B2349" s="1" t="n">
        <v>45128</v>
      </c>
      <c r="C2349" s="1" t="n">
        <v>45795</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33433-2023</t>
        </is>
      </c>
      <c r="B2350" s="1" t="n">
        <v>45129</v>
      </c>
      <c r="C2350" s="1" t="n">
        <v>45795</v>
      </c>
      <c r="D2350" t="inlineStr">
        <is>
          <t>JÄMTLANDS LÄN</t>
        </is>
      </c>
      <c r="E2350" t="inlineStr">
        <is>
          <t>STRÖMSUND</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33453-2023</t>
        </is>
      </c>
      <c r="B2351" s="1" t="n">
        <v>45130</v>
      </c>
      <c r="C2351" s="1" t="n">
        <v>45795</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33532-2023</t>
        </is>
      </c>
      <c r="B2352" s="1" t="n">
        <v>45131</v>
      </c>
      <c r="C2352" s="1" t="n">
        <v>45795</v>
      </c>
      <c r="D2352" t="inlineStr">
        <is>
          <t>JÄMTLANDS LÄN</t>
        </is>
      </c>
      <c r="E2352" t="inlineStr">
        <is>
          <t>STRÖMSUND</t>
        </is>
      </c>
      <c r="F2352" t="inlineStr">
        <is>
          <t>Kyrkan</t>
        </is>
      </c>
      <c r="G2352" t="n">
        <v>20.3</v>
      </c>
      <c r="H2352" t="n">
        <v>0</v>
      </c>
      <c r="I2352" t="n">
        <v>0</v>
      </c>
      <c r="J2352" t="n">
        <v>0</v>
      </c>
      <c r="K2352" t="n">
        <v>0</v>
      </c>
      <c r="L2352" t="n">
        <v>0</v>
      </c>
      <c r="M2352" t="n">
        <v>0</v>
      </c>
      <c r="N2352" t="n">
        <v>0</v>
      </c>
      <c r="O2352" t="n">
        <v>0</v>
      </c>
      <c r="P2352" t="n">
        <v>0</v>
      </c>
      <c r="Q2352" t="n">
        <v>0</v>
      </c>
      <c r="R2352" s="2" t="inlineStr"/>
    </row>
    <row r="2353" ht="15" customHeight="1">
      <c r="A2353" t="inlineStr">
        <is>
          <t>A 33590-2023</t>
        </is>
      </c>
      <c r="B2353" s="1" t="n">
        <v>45132</v>
      </c>
      <c r="C2353" s="1" t="n">
        <v>45795</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33718-2023</t>
        </is>
      </c>
      <c r="B2354" s="1" t="n">
        <v>45133</v>
      </c>
      <c r="C2354" s="1" t="n">
        <v>45795</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34002-2023</t>
        </is>
      </c>
      <c r="B2355" s="1" t="n">
        <v>45135</v>
      </c>
      <c r="C2355" s="1" t="n">
        <v>45795</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34010-2023</t>
        </is>
      </c>
      <c r="B2356" s="1" t="n">
        <v>45134</v>
      </c>
      <c r="C2356" s="1" t="n">
        <v>45795</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34001-2023</t>
        </is>
      </c>
      <c r="B2357" s="1" t="n">
        <v>45135</v>
      </c>
      <c r="C2357" s="1" t="n">
        <v>45795</v>
      </c>
      <c r="D2357" t="inlineStr">
        <is>
          <t>JÄMTLANDS LÄN</t>
        </is>
      </c>
      <c r="E2357" t="inlineStr">
        <is>
          <t>STRÖMSUND</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34005-2023</t>
        </is>
      </c>
      <c r="B2358" s="1" t="n">
        <v>45134</v>
      </c>
      <c r="C2358" s="1" t="n">
        <v>45795</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34003-2023</t>
        </is>
      </c>
      <c r="B2359" s="1" t="n">
        <v>45135</v>
      </c>
      <c r="C2359" s="1" t="n">
        <v>45795</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34007-2023</t>
        </is>
      </c>
      <c r="B2360" s="1" t="n">
        <v>45135</v>
      </c>
      <c r="C2360" s="1" t="n">
        <v>45795</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34009-2023</t>
        </is>
      </c>
      <c r="B2361" s="1" t="n">
        <v>45135</v>
      </c>
      <c r="C2361" s="1" t="n">
        <v>45795</v>
      </c>
      <c r="D2361" t="inlineStr">
        <is>
          <t>JÄMTLANDS LÄN</t>
        </is>
      </c>
      <c r="E2361" t="inlineStr">
        <is>
          <t>STRÖMSUND</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34004-2023</t>
        </is>
      </c>
      <c r="B2362" s="1" t="n">
        <v>45135</v>
      </c>
      <c r="C2362" s="1" t="n">
        <v>45795</v>
      </c>
      <c r="D2362" t="inlineStr">
        <is>
          <t>JÄMTLANDS LÄN</t>
        </is>
      </c>
      <c r="E2362" t="inlineStr">
        <is>
          <t>STRÖMSUND</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34008-2023</t>
        </is>
      </c>
      <c r="B2363" s="1" t="n">
        <v>45134</v>
      </c>
      <c r="C2363" s="1" t="n">
        <v>45795</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34479-2023</t>
        </is>
      </c>
      <c r="B2364" s="1" t="n">
        <v>45139</v>
      </c>
      <c r="C2364" s="1" t="n">
        <v>45795</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34480-2023</t>
        </is>
      </c>
      <c r="B2365" s="1" t="n">
        <v>45140</v>
      </c>
      <c r="C2365" s="1" t="n">
        <v>45795</v>
      </c>
      <c r="D2365" t="inlineStr">
        <is>
          <t>JÄMTLANDS LÄN</t>
        </is>
      </c>
      <c r="E2365" t="inlineStr">
        <is>
          <t>STRÖMSUND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34824-2023</t>
        </is>
      </c>
      <c r="B2366" s="1" t="n">
        <v>45141</v>
      </c>
      <c r="C2366" s="1" t="n">
        <v>45795</v>
      </c>
      <c r="D2366" t="inlineStr">
        <is>
          <t>JÄMTLANDS LÄN</t>
        </is>
      </c>
      <c r="E2366" t="inlineStr">
        <is>
          <t>STRÖMSUND</t>
        </is>
      </c>
      <c r="F2366" t="inlineStr">
        <is>
          <t>Kyrkan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34907-2023</t>
        </is>
      </c>
      <c r="B2367" s="1" t="n">
        <v>45141</v>
      </c>
      <c r="C2367" s="1" t="n">
        <v>45795</v>
      </c>
      <c r="D2367" t="inlineStr">
        <is>
          <t>JÄMTLANDS LÄN</t>
        </is>
      </c>
      <c r="E2367" t="inlineStr">
        <is>
          <t>STRÖMSUND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35004-2023</t>
        </is>
      </c>
      <c r="B2368" s="1" t="n">
        <v>45143</v>
      </c>
      <c r="C2368" s="1" t="n">
        <v>45795</v>
      </c>
      <c r="D2368" t="inlineStr">
        <is>
          <t>JÄMTLANDS LÄN</t>
        </is>
      </c>
      <c r="E2368" t="inlineStr">
        <is>
          <t>STRÖMSUND</t>
        </is>
      </c>
      <c r="F2368" t="inlineStr">
        <is>
          <t>SCA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35007-2023</t>
        </is>
      </c>
      <c r="B2369" s="1" t="n">
        <v>45143</v>
      </c>
      <c r="C2369" s="1" t="n">
        <v>45795</v>
      </c>
      <c r="D2369" t="inlineStr">
        <is>
          <t>JÄMTLANDS LÄN</t>
        </is>
      </c>
      <c r="E2369" t="inlineStr">
        <is>
          <t>STRÖMSUND</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35012-2023</t>
        </is>
      </c>
      <c r="B2370" s="1" t="n">
        <v>45143</v>
      </c>
      <c r="C2370" s="1" t="n">
        <v>45795</v>
      </c>
      <c r="D2370" t="inlineStr">
        <is>
          <t>JÄMTLANDS LÄN</t>
        </is>
      </c>
      <c r="E2370" t="inlineStr">
        <is>
          <t>STRÖMSUND</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35011-2023</t>
        </is>
      </c>
      <c r="B2371" s="1" t="n">
        <v>45143</v>
      </c>
      <c r="C2371" s="1" t="n">
        <v>45795</v>
      </c>
      <c r="D2371" t="inlineStr">
        <is>
          <t>JÄMTLANDS LÄN</t>
        </is>
      </c>
      <c r="E2371" t="inlineStr">
        <is>
          <t>STRÖMSUND</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35279-2023</t>
        </is>
      </c>
      <c r="B2372" s="1" t="n">
        <v>45146</v>
      </c>
      <c r="C2372" s="1" t="n">
        <v>45795</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35385-2023</t>
        </is>
      </c>
      <c r="B2373" s="1" t="n">
        <v>45145</v>
      </c>
      <c r="C2373" s="1" t="n">
        <v>45795</v>
      </c>
      <c r="D2373" t="inlineStr">
        <is>
          <t>JÄMTLANDS LÄN</t>
        </is>
      </c>
      <c r="E2373" t="inlineStr">
        <is>
          <t>STRÖMSUND</t>
        </is>
      </c>
      <c r="G2373" t="n">
        <v>29.8</v>
      </c>
      <c r="H2373" t="n">
        <v>0</v>
      </c>
      <c r="I2373" t="n">
        <v>0</v>
      </c>
      <c r="J2373" t="n">
        <v>0</v>
      </c>
      <c r="K2373" t="n">
        <v>0</v>
      </c>
      <c r="L2373" t="n">
        <v>0</v>
      </c>
      <c r="M2373" t="n">
        <v>0</v>
      </c>
      <c r="N2373" t="n">
        <v>0</v>
      </c>
      <c r="O2373" t="n">
        <v>0</v>
      </c>
      <c r="P2373" t="n">
        <v>0</v>
      </c>
      <c r="Q2373" t="n">
        <v>0</v>
      </c>
      <c r="R2373" s="2" t="inlineStr"/>
    </row>
    <row r="2374" ht="15" customHeight="1">
      <c r="A2374" t="inlineStr">
        <is>
          <t>A 35278-2023</t>
        </is>
      </c>
      <c r="B2374" s="1" t="n">
        <v>45146</v>
      </c>
      <c r="C2374" s="1" t="n">
        <v>45795</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35461-2023</t>
        </is>
      </c>
      <c r="B2375" s="1" t="n">
        <v>45146</v>
      </c>
      <c r="C2375" s="1" t="n">
        <v>45795</v>
      </c>
      <c r="D2375" t="inlineStr">
        <is>
          <t>JÄMTLANDS LÄN</t>
        </is>
      </c>
      <c r="E2375" t="inlineStr">
        <is>
          <t>STRÖMSUND</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35897-2023</t>
        </is>
      </c>
      <c r="B2376" s="1" t="n">
        <v>45148</v>
      </c>
      <c r="C2376" s="1" t="n">
        <v>45795</v>
      </c>
      <c r="D2376" t="inlineStr">
        <is>
          <t>JÄMTLANDS LÄN</t>
        </is>
      </c>
      <c r="E2376" t="inlineStr">
        <is>
          <t>STRÖMSUND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36503-2023</t>
        </is>
      </c>
      <c r="B2377" s="1" t="n">
        <v>45153</v>
      </c>
      <c r="C2377" s="1" t="n">
        <v>45795</v>
      </c>
      <c r="D2377" t="inlineStr">
        <is>
          <t>JÄMTLANDS LÄN</t>
        </is>
      </c>
      <c r="E2377" t="inlineStr">
        <is>
          <t>STRÖMSUND</t>
        </is>
      </c>
      <c r="F2377" t="inlineStr">
        <is>
          <t>SCA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36507-2023</t>
        </is>
      </c>
      <c r="B2378" s="1" t="n">
        <v>45152</v>
      </c>
      <c r="C2378" s="1" t="n">
        <v>45795</v>
      </c>
      <c r="D2378" t="inlineStr">
        <is>
          <t>JÄMTLANDS LÄN</t>
        </is>
      </c>
      <c r="E2378" t="inlineStr">
        <is>
          <t>STRÖMSUND</t>
        </is>
      </c>
      <c r="F2378" t="inlineStr">
        <is>
          <t>SCA</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36524-2023</t>
        </is>
      </c>
      <c r="B2379" s="1" t="n">
        <v>45152</v>
      </c>
      <c r="C2379" s="1" t="n">
        <v>45795</v>
      </c>
      <c r="D2379" t="inlineStr">
        <is>
          <t>JÄMTLANDS LÄN</t>
        </is>
      </c>
      <c r="E2379" t="inlineStr">
        <is>
          <t>STRÖMSUND</t>
        </is>
      </c>
      <c r="G2379" t="n">
        <v>20.7</v>
      </c>
      <c r="H2379" t="n">
        <v>0</v>
      </c>
      <c r="I2379" t="n">
        <v>0</v>
      </c>
      <c r="J2379" t="n">
        <v>0</v>
      </c>
      <c r="K2379" t="n">
        <v>0</v>
      </c>
      <c r="L2379" t="n">
        <v>0</v>
      </c>
      <c r="M2379" t="n">
        <v>0</v>
      </c>
      <c r="N2379" t="n">
        <v>0</v>
      </c>
      <c r="O2379" t="n">
        <v>0</v>
      </c>
      <c r="P2379" t="n">
        <v>0</v>
      </c>
      <c r="Q2379" t="n">
        <v>0</v>
      </c>
      <c r="R2379" s="2" t="inlineStr"/>
    </row>
    <row r="2380" ht="15" customHeight="1">
      <c r="A2380" t="inlineStr">
        <is>
          <t>A 36394-2023</t>
        </is>
      </c>
      <c r="B2380" s="1" t="n">
        <v>45152</v>
      </c>
      <c r="C2380" s="1" t="n">
        <v>45795</v>
      </c>
      <c r="D2380" t="inlineStr">
        <is>
          <t>JÄMTLANDS LÄN</t>
        </is>
      </c>
      <c r="E2380" t="inlineStr">
        <is>
          <t>STRÖMSUND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36502-2023</t>
        </is>
      </c>
      <c r="B2381" s="1" t="n">
        <v>45153</v>
      </c>
      <c r="C2381" s="1" t="n">
        <v>45795</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36764-2023</t>
        </is>
      </c>
      <c r="B2382" s="1" t="n">
        <v>45154</v>
      </c>
      <c r="C2382" s="1" t="n">
        <v>45795</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36749-2023</t>
        </is>
      </c>
      <c r="B2383" s="1" t="n">
        <v>45154</v>
      </c>
      <c r="C2383" s="1" t="n">
        <v>45795</v>
      </c>
      <c r="D2383" t="inlineStr">
        <is>
          <t>JÄMTLANDS LÄN</t>
        </is>
      </c>
      <c r="E2383" t="inlineStr">
        <is>
          <t>STRÖMSUND</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36773-2023</t>
        </is>
      </c>
      <c r="B2384" s="1" t="n">
        <v>45154</v>
      </c>
      <c r="C2384" s="1" t="n">
        <v>45795</v>
      </c>
      <c r="D2384" t="inlineStr">
        <is>
          <t>JÄMTLANDS LÄN</t>
        </is>
      </c>
      <c r="E2384" t="inlineStr">
        <is>
          <t>STRÖMSUND</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36968-2023</t>
        </is>
      </c>
      <c r="B2385" s="1" t="n">
        <v>45155</v>
      </c>
      <c r="C2385" s="1" t="n">
        <v>45795</v>
      </c>
      <c r="D2385" t="inlineStr">
        <is>
          <t>JÄMTLANDS LÄN</t>
        </is>
      </c>
      <c r="E2385" t="inlineStr">
        <is>
          <t>STRÖMSUND</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36993-2023</t>
        </is>
      </c>
      <c r="B2386" s="1" t="n">
        <v>45155</v>
      </c>
      <c r="C2386" s="1" t="n">
        <v>45795</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36959-2023</t>
        </is>
      </c>
      <c r="B2387" s="1" t="n">
        <v>45155</v>
      </c>
      <c r="C2387" s="1" t="n">
        <v>45795</v>
      </c>
      <c r="D2387" t="inlineStr">
        <is>
          <t>JÄMTLANDS LÄN</t>
        </is>
      </c>
      <c r="E2387" t="inlineStr">
        <is>
          <t>STRÖMSUND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37146-2023</t>
        </is>
      </c>
      <c r="B2388" s="1" t="n">
        <v>45155</v>
      </c>
      <c r="C2388" s="1" t="n">
        <v>45795</v>
      </c>
      <c r="D2388" t="inlineStr">
        <is>
          <t>JÄMTLANDS LÄN</t>
        </is>
      </c>
      <c r="E2388" t="inlineStr">
        <is>
          <t>STRÖMSUND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37261-2023</t>
        </is>
      </c>
      <c r="B2389" s="1" t="n">
        <v>45155</v>
      </c>
      <c r="C2389" s="1" t="n">
        <v>45795</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37143-2023</t>
        </is>
      </c>
      <c r="B2390" s="1" t="n">
        <v>45155</v>
      </c>
      <c r="C2390" s="1" t="n">
        <v>45795</v>
      </c>
      <c r="D2390" t="inlineStr">
        <is>
          <t>JÄMTLANDS LÄN</t>
        </is>
      </c>
      <c r="E2390" t="inlineStr">
        <is>
          <t>STRÖMSUND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37260-2023</t>
        </is>
      </c>
      <c r="B2391" s="1" t="n">
        <v>45155</v>
      </c>
      <c r="C2391" s="1" t="n">
        <v>45795</v>
      </c>
      <c r="D2391" t="inlineStr">
        <is>
          <t>JÄMTLANDS LÄN</t>
        </is>
      </c>
      <c r="E2391" t="inlineStr">
        <is>
          <t>STRÖMSUND</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37258-2023</t>
        </is>
      </c>
      <c r="B2392" s="1" t="n">
        <v>45156</v>
      </c>
      <c r="C2392" s="1" t="n">
        <v>45795</v>
      </c>
      <c r="D2392" t="inlineStr">
        <is>
          <t>JÄMTLANDS LÄN</t>
        </is>
      </c>
      <c r="E2392" t="inlineStr">
        <is>
          <t>STRÖMSUND</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37469-2023</t>
        </is>
      </c>
      <c r="B2393" s="1" t="n">
        <v>45157</v>
      </c>
      <c r="C2393" s="1" t="n">
        <v>45795</v>
      </c>
      <c r="D2393" t="inlineStr">
        <is>
          <t>JÄMTLANDS LÄN</t>
        </is>
      </c>
      <c r="E2393" t="inlineStr">
        <is>
          <t>STRÖMSUND</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37490-2023</t>
        </is>
      </c>
      <c r="B2394" s="1" t="n">
        <v>45157</v>
      </c>
      <c r="C2394" s="1" t="n">
        <v>45795</v>
      </c>
      <c r="D2394" t="inlineStr">
        <is>
          <t>JÄMTLANDS LÄN</t>
        </is>
      </c>
      <c r="E2394" t="inlineStr">
        <is>
          <t>STRÖMSUND</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37803-2023</t>
        </is>
      </c>
      <c r="B2395" s="1" t="n">
        <v>45160</v>
      </c>
      <c r="C2395" s="1" t="n">
        <v>45795</v>
      </c>
      <c r="D2395" t="inlineStr">
        <is>
          <t>JÄMTLANDS LÄN</t>
        </is>
      </c>
      <c r="E2395" t="inlineStr">
        <is>
          <t>STRÖMSUND</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37809-2023</t>
        </is>
      </c>
      <c r="B2396" s="1" t="n">
        <v>45160</v>
      </c>
      <c r="C2396" s="1" t="n">
        <v>45795</v>
      </c>
      <c r="D2396" t="inlineStr">
        <is>
          <t>JÄMTLANDS LÄN</t>
        </is>
      </c>
      <c r="E2396" t="inlineStr">
        <is>
          <t>STRÖMSUND</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38418-2023</t>
        </is>
      </c>
      <c r="B2397" s="1" t="n">
        <v>45160</v>
      </c>
      <c r="C2397" s="1" t="n">
        <v>45795</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38248-2023</t>
        </is>
      </c>
      <c r="B2398" s="1" t="n">
        <v>45161</v>
      </c>
      <c r="C2398" s="1" t="n">
        <v>45795</v>
      </c>
      <c r="D2398" t="inlineStr">
        <is>
          <t>JÄMTLANDS LÄN</t>
        </is>
      </c>
      <c r="E2398" t="inlineStr">
        <is>
          <t>STRÖMSUND</t>
        </is>
      </c>
      <c r="F2398" t="inlineStr">
        <is>
          <t>Holmen skog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38374-2023</t>
        </is>
      </c>
      <c r="B2399" s="1" t="n">
        <v>45162</v>
      </c>
      <c r="C2399" s="1" t="n">
        <v>45795</v>
      </c>
      <c r="D2399" t="inlineStr">
        <is>
          <t>JÄMTLANDS LÄN</t>
        </is>
      </c>
      <c r="E2399" t="inlineStr">
        <is>
          <t>STRÖMSUND</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38642-2023</t>
        </is>
      </c>
      <c r="B2400" s="1" t="n">
        <v>45162</v>
      </c>
      <c r="C2400" s="1" t="n">
        <v>45795</v>
      </c>
      <c r="D2400" t="inlineStr">
        <is>
          <t>JÄMTLANDS LÄN</t>
        </is>
      </c>
      <c r="E2400" t="inlineStr">
        <is>
          <t>STRÖMSUND</t>
        </is>
      </c>
      <c r="F2400" t="inlineStr">
        <is>
          <t>Holmen skog AB</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38842-2023</t>
        </is>
      </c>
      <c r="B2401" s="1" t="n">
        <v>45163</v>
      </c>
      <c r="C2401" s="1" t="n">
        <v>45795</v>
      </c>
      <c r="D2401" t="inlineStr">
        <is>
          <t>JÄMTLANDS LÄN</t>
        </is>
      </c>
      <c r="E2401" t="inlineStr">
        <is>
          <t>STRÖMSUND</t>
        </is>
      </c>
      <c r="F2401" t="inlineStr">
        <is>
          <t>Holmen skog AB</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39051-2023</t>
        </is>
      </c>
      <c r="B2402" s="1" t="n">
        <v>45163</v>
      </c>
      <c r="C2402" s="1" t="n">
        <v>45795</v>
      </c>
      <c r="D2402" t="inlineStr">
        <is>
          <t>JÄMTLANDS LÄN</t>
        </is>
      </c>
      <c r="E2402" t="inlineStr">
        <is>
          <t>STRÖMSUND</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39054-2023</t>
        </is>
      </c>
      <c r="B2403" s="1" t="n">
        <v>45164</v>
      </c>
      <c r="C2403" s="1" t="n">
        <v>45795</v>
      </c>
      <c r="D2403" t="inlineStr">
        <is>
          <t>JÄMTLANDS LÄN</t>
        </is>
      </c>
      <c r="E2403" t="inlineStr">
        <is>
          <t>STRÖMSUND</t>
        </is>
      </c>
      <c r="F2403" t="inlineStr">
        <is>
          <t>SCA</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39066-2023</t>
        </is>
      </c>
      <c r="B2404" s="1" t="n">
        <v>45164</v>
      </c>
      <c r="C2404" s="1" t="n">
        <v>45795</v>
      </c>
      <c r="D2404" t="inlineStr">
        <is>
          <t>JÄMTLANDS LÄN</t>
        </is>
      </c>
      <c r="E2404" t="inlineStr">
        <is>
          <t>STRÖMSUND</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38698-2023</t>
        </is>
      </c>
      <c r="B2405" s="1" t="n">
        <v>45163</v>
      </c>
      <c r="C2405" s="1" t="n">
        <v>45795</v>
      </c>
      <c r="D2405" t="inlineStr">
        <is>
          <t>JÄMTLANDS LÄN</t>
        </is>
      </c>
      <c r="E2405" t="inlineStr">
        <is>
          <t>STRÖMSUND</t>
        </is>
      </c>
      <c r="F2405" t="inlineStr">
        <is>
          <t>Holmen skog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39064-2023</t>
        </is>
      </c>
      <c r="B2406" s="1" t="n">
        <v>45163</v>
      </c>
      <c r="C2406" s="1" t="n">
        <v>45795</v>
      </c>
      <c r="D2406" t="inlineStr">
        <is>
          <t>JÄMTLANDS LÄN</t>
        </is>
      </c>
      <c r="E2406" t="inlineStr">
        <is>
          <t>STRÖMSUND</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39080-2023</t>
        </is>
      </c>
      <c r="B2407" s="1" t="n">
        <v>45164</v>
      </c>
      <c r="C2407" s="1" t="n">
        <v>45795</v>
      </c>
      <c r="D2407" t="inlineStr">
        <is>
          <t>JÄMTLANDS LÄN</t>
        </is>
      </c>
      <c r="E2407" t="inlineStr">
        <is>
          <t>STRÖMSUND</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38740-2023</t>
        </is>
      </c>
      <c r="B2408" s="1" t="n">
        <v>45163</v>
      </c>
      <c r="C2408" s="1" t="n">
        <v>45795</v>
      </c>
      <c r="D2408" t="inlineStr">
        <is>
          <t>JÄMTLANDS LÄN</t>
        </is>
      </c>
      <c r="E2408" t="inlineStr">
        <is>
          <t>STRÖMSUND</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39480-2023</t>
        </is>
      </c>
      <c r="B2409" s="1" t="n">
        <v>45167</v>
      </c>
      <c r="C2409" s="1" t="n">
        <v>45795</v>
      </c>
      <c r="D2409" t="inlineStr">
        <is>
          <t>JÄMTLANDS LÄN</t>
        </is>
      </c>
      <c r="E2409" t="inlineStr">
        <is>
          <t>STRÖMSUND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39479-2023</t>
        </is>
      </c>
      <c r="B2410" s="1" t="n">
        <v>45167</v>
      </c>
      <c r="C2410" s="1" t="n">
        <v>45795</v>
      </c>
      <c r="D2410" t="inlineStr">
        <is>
          <t>JÄMTLANDS LÄN</t>
        </is>
      </c>
      <c r="E2410" t="inlineStr">
        <is>
          <t>STRÖMSUND</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39490-2023</t>
        </is>
      </c>
      <c r="B2411" s="1" t="n">
        <v>45166</v>
      </c>
      <c r="C2411" s="1" t="n">
        <v>45795</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39671-2023</t>
        </is>
      </c>
      <c r="B2412" s="1" t="n">
        <v>45167</v>
      </c>
      <c r="C2412" s="1" t="n">
        <v>45795</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39799-2023</t>
        </is>
      </c>
      <c r="B2413" s="1" t="n">
        <v>45168</v>
      </c>
      <c r="C2413" s="1" t="n">
        <v>45795</v>
      </c>
      <c r="D2413" t="inlineStr">
        <is>
          <t>JÄMTLANDS LÄN</t>
        </is>
      </c>
      <c r="E2413" t="inlineStr">
        <is>
          <t>STRÖMSUND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39817-2023</t>
        </is>
      </c>
      <c r="B2414" s="1" t="n">
        <v>45168</v>
      </c>
      <c r="C2414" s="1" t="n">
        <v>45795</v>
      </c>
      <c r="D2414" t="inlineStr">
        <is>
          <t>JÄMTLANDS LÄN</t>
        </is>
      </c>
      <c r="E2414" t="inlineStr">
        <is>
          <t>STRÖMSUND</t>
        </is>
      </c>
      <c r="F2414" t="inlineStr">
        <is>
          <t>SCA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39792-2023</t>
        </is>
      </c>
      <c r="B2415" s="1" t="n">
        <v>45168</v>
      </c>
      <c r="C2415" s="1" t="n">
        <v>45795</v>
      </c>
      <c r="D2415" t="inlineStr">
        <is>
          <t>JÄMTLANDS LÄN</t>
        </is>
      </c>
      <c r="E2415" t="inlineStr">
        <is>
          <t>STRÖMSUND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39800-2023</t>
        </is>
      </c>
      <c r="B2416" s="1" t="n">
        <v>45168</v>
      </c>
      <c r="C2416" s="1" t="n">
        <v>45795</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39870-2023</t>
        </is>
      </c>
      <c r="B2417" s="1" t="n">
        <v>45168</v>
      </c>
      <c r="C2417" s="1" t="n">
        <v>45795</v>
      </c>
      <c r="D2417" t="inlineStr">
        <is>
          <t>JÄMTLANDS LÄN</t>
        </is>
      </c>
      <c r="E2417" t="inlineStr">
        <is>
          <t>STRÖMSUND</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39922-2023</t>
        </is>
      </c>
      <c r="B2418" s="1" t="n">
        <v>45168</v>
      </c>
      <c r="C2418" s="1" t="n">
        <v>45795</v>
      </c>
      <c r="D2418" t="inlineStr">
        <is>
          <t>JÄMTLANDS LÄN</t>
        </is>
      </c>
      <c r="E2418" t="inlineStr">
        <is>
          <t>STRÖMSUND</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39946-2023</t>
        </is>
      </c>
      <c r="B2419" s="1" t="n">
        <v>45168</v>
      </c>
      <c r="C2419" s="1" t="n">
        <v>45795</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40104-2023</t>
        </is>
      </c>
      <c r="B2420" s="1" t="n">
        <v>45169</v>
      </c>
      <c r="C2420" s="1" t="n">
        <v>45795</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40102-2023</t>
        </is>
      </c>
      <c r="B2421" s="1" t="n">
        <v>45169</v>
      </c>
      <c r="C2421" s="1" t="n">
        <v>45795</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40110-2023</t>
        </is>
      </c>
      <c r="B2422" s="1" t="n">
        <v>45168</v>
      </c>
      <c r="C2422" s="1" t="n">
        <v>45795</v>
      </c>
      <c r="D2422" t="inlineStr">
        <is>
          <t>JÄMTLANDS LÄN</t>
        </is>
      </c>
      <c r="E2422" t="inlineStr">
        <is>
          <t>STRÖMSUND</t>
        </is>
      </c>
      <c r="F2422" t="inlineStr">
        <is>
          <t>SCA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40103-2023</t>
        </is>
      </c>
      <c r="B2423" s="1" t="n">
        <v>45169</v>
      </c>
      <c r="C2423" s="1" t="n">
        <v>45795</v>
      </c>
      <c r="D2423" t="inlineStr">
        <is>
          <t>JÄMTLANDS LÄN</t>
        </is>
      </c>
      <c r="E2423" t="inlineStr">
        <is>
          <t>STRÖMSUND</t>
        </is>
      </c>
      <c r="F2423" t="inlineStr">
        <is>
          <t>SCA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40101-2023</t>
        </is>
      </c>
      <c r="B2424" s="1" t="n">
        <v>45169</v>
      </c>
      <c r="C2424" s="1" t="n">
        <v>45795</v>
      </c>
      <c r="D2424" t="inlineStr">
        <is>
          <t>JÄMTLANDS LÄN</t>
        </is>
      </c>
      <c r="E2424" t="inlineStr">
        <is>
          <t>STRÖMSUND</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40105-2023</t>
        </is>
      </c>
      <c r="B2425" s="1" t="n">
        <v>45169</v>
      </c>
      <c r="C2425" s="1" t="n">
        <v>45795</v>
      </c>
      <c r="D2425" t="inlineStr">
        <is>
          <t>JÄMTLANDS LÄN</t>
        </is>
      </c>
      <c r="E2425" t="inlineStr">
        <is>
          <t>STRÖMSUND</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40109-2023</t>
        </is>
      </c>
      <c r="B2426" s="1" t="n">
        <v>45168</v>
      </c>
      <c r="C2426" s="1" t="n">
        <v>45795</v>
      </c>
      <c r="D2426" t="inlineStr">
        <is>
          <t>JÄMTLANDS LÄN</t>
        </is>
      </c>
      <c r="E2426" t="inlineStr">
        <is>
          <t>STRÖMSUND</t>
        </is>
      </c>
      <c r="F2426" t="inlineStr">
        <is>
          <t>SCA</t>
        </is>
      </c>
      <c r="G2426" t="n">
        <v>55.1</v>
      </c>
      <c r="H2426" t="n">
        <v>0</v>
      </c>
      <c r="I2426" t="n">
        <v>0</v>
      </c>
      <c r="J2426" t="n">
        <v>0</v>
      </c>
      <c r="K2426" t="n">
        <v>0</v>
      </c>
      <c r="L2426" t="n">
        <v>0</v>
      </c>
      <c r="M2426" t="n">
        <v>0</v>
      </c>
      <c r="N2426" t="n">
        <v>0</v>
      </c>
      <c r="O2426" t="n">
        <v>0</v>
      </c>
      <c r="P2426" t="n">
        <v>0</v>
      </c>
      <c r="Q2426" t="n">
        <v>0</v>
      </c>
      <c r="R2426" s="2" t="inlineStr"/>
    </row>
    <row r="2427" ht="15" customHeight="1">
      <c r="A2427" t="inlineStr">
        <is>
          <t>A 40395-2023</t>
        </is>
      </c>
      <c r="B2427" s="1" t="n">
        <v>45170</v>
      </c>
      <c r="C2427" s="1" t="n">
        <v>45795</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40399-2023</t>
        </is>
      </c>
      <c r="B2428" s="1" t="n">
        <v>45170</v>
      </c>
      <c r="C2428" s="1" t="n">
        <v>45795</v>
      </c>
      <c r="D2428" t="inlineStr">
        <is>
          <t>JÄMTLANDS LÄN</t>
        </is>
      </c>
      <c r="E2428" t="inlineStr">
        <is>
          <t>STRÖMSUND</t>
        </is>
      </c>
      <c r="F2428" t="inlineStr">
        <is>
          <t>SCA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40407-2023</t>
        </is>
      </c>
      <c r="B2429" s="1" t="n">
        <v>45170</v>
      </c>
      <c r="C2429" s="1" t="n">
        <v>45795</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40398-2023</t>
        </is>
      </c>
      <c r="B2430" s="1" t="n">
        <v>45170</v>
      </c>
      <c r="C2430" s="1" t="n">
        <v>45795</v>
      </c>
      <c r="D2430" t="inlineStr">
        <is>
          <t>JÄMTLANDS LÄN</t>
        </is>
      </c>
      <c r="E2430" t="inlineStr">
        <is>
          <t>STRÖMSUND</t>
        </is>
      </c>
      <c r="F2430" t="inlineStr">
        <is>
          <t>SCA</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40440-2023</t>
        </is>
      </c>
      <c r="B2431" s="1" t="n">
        <v>45170</v>
      </c>
      <c r="C2431" s="1" t="n">
        <v>45795</v>
      </c>
      <c r="D2431" t="inlineStr">
        <is>
          <t>JÄMTLANDS LÄN</t>
        </is>
      </c>
      <c r="E2431" t="inlineStr">
        <is>
          <t>STRÖMSUND</t>
        </is>
      </c>
      <c r="F2431" t="inlineStr">
        <is>
          <t>SCA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40427-2023</t>
        </is>
      </c>
      <c r="B2432" s="1" t="n">
        <v>45170</v>
      </c>
      <c r="C2432" s="1" t="n">
        <v>45795</v>
      </c>
      <c r="D2432" t="inlineStr">
        <is>
          <t>JÄMTLANDS LÄN</t>
        </is>
      </c>
      <c r="E2432" t="inlineStr">
        <is>
          <t>STRÖMSUND</t>
        </is>
      </c>
      <c r="F2432" t="inlineStr">
        <is>
          <t>SCA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40402-2023</t>
        </is>
      </c>
      <c r="B2433" s="1" t="n">
        <v>45170</v>
      </c>
      <c r="C2433" s="1" t="n">
        <v>45795</v>
      </c>
      <c r="D2433" t="inlineStr">
        <is>
          <t>JÄMTLANDS LÄN</t>
        </is>
      </c>
      <c r="E2433" t="inlineStr">
        <is>
          <t>STRÖMSUND</t>
        </is>
      </c>
      <c r="F2433" t="inlineStr">
        <is>
          <t>SCA</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40396-2023</t>
        </is>
      </c>
      <c r="B2434" s="1" t="n">
        <v>45170</v>
      </c>
      <c r="C2434" s="1" t="n">
        <v>45795</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40439-2023</t>
        </is>
      </c>
      <c r="B2435" s="1" t="n">
        <v>45169</v>
      </c>
      <c r="C2435" s="1" t="n">
        <v>45795</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40408-2023</t>
        </is>
      </c>
      <c r="B2436" s="1" t="n">
        <v>45170</v>
      </c>
      <c r="C2436" s="1" t="n">
        <v>45795</v>
      </c>
      <c r="D2436" t="inlineStr">
        <is>
          <t>JÄMTLANDS LÄN</t>
        </is>
      </c>
      <c r="E2436" t="inlineStr">
        <is>
          <t>STRÖMSUND</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40424-2023</t>
        </is>
      </c>
      <c r="B2437" s="1" t="n">
        <v>45170</v>
      </c>
      <c r="C2437" s="1" t="n">
        <v>45795</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40441-2023</t>
        </is>
      </c>
      <c r="B2438" s="1" t="n">
        <v>45169</v>
      </c>
      <c r="C2438" s="1" t="n">
        <v>45795</v>
      </c>
      <c r="D2438" t="inlineStr">
        <is>
          <t>JÄMTLANDS LÄN</t>
        </is>
      </c>
      <c r="E2438" t="inlineStr">
        <is>
          <t>STRÖMSUND</t>
        </is>
      </c>
      <c r="F2438" t="inlineStr">
        <is>
          <t>SCA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40625-2023</t>
        </is>
      </c>
      <c r="B2439" s="1" t="n">
        <v>45169</v>
      </c>
      <c r="C2439" s="1" t="n">
        <v>45795</v>
      </c>
      <c r="D2439" t="inlineStr">
        <is>
          <t>JÄMTLANDS LÄN</t>
        </is>
      </c>
      <c r="E2439" t="inlineStr">
        <is>
          <t>STRÖMSUND</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41150-2023</t>
        </is>
      </c>
      <c r="B2440" s="1" t="n">
        <v>45174</v>
      </c>
      <c r="C2440" s="1" t="n">
        <v>45795</v>
      </c>
      <c r="D2440" t="inlineStr">
        <is>
          <t>JÄMTLANDS LÄN</t>
        </is>
      </c>
      <c r="E2440" t="inlineStr">
        <is>
          <t>STRÖMSUND</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41536-2023</t>
        </is>
      </c>
      <c r="B2441" s="1" t="n">
        <v>45173</v>
      </c>
      <c r="C2441" s="1" t="n">
        <v>45795</v>
      </c>
      <c r="D2441" t="inlineStr">
        <is>
          <t>JÄMTLANDS LÄN</t>
        </is>
      </c>
      <c r="E2441" t="inlineStr">
        <is>
          <t>STRÖMSUND</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41268-2023</t>
        </is>
      </c>
      <c r="B2442" s="1" t="n">
        <v>45174</v>
      </c>
      <c r="C2442" s="1" t="n">
        <v>45795</v>
      </c>
      <c r="D2442" t="inlineStr">
        <is>
          <t>JÄMTLANDS LÄN</t>
        </is>
      </c>
      <c r="E2442" t="inlineStr">
        <is>
          <t>STRÖMSUND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41970-2023</t>
        </is>
      </c>
      <c r="B2443" s="1" t="n">
        <v>45174</v>
      </c>
      <c r="C2443" s="1" t="n">
        <v>45795</v>
      </c>
      <c r="D2443" t="inlineStr">
        <is>
          <t>JÄMTLANDS LÄN</t>
        </is>
      </c>
      <c r="E2443" t="inlineStr">
        <is>
          <t>STRÖMSUND</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41978-2023</t>
        </is>
      </c>
      <c r="B2444" s="1" t="n">
        <v>45174</v>
      </c>
      <c r="C2444" s="1" t="n">
        <v>45795</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41644-2023</t>
        </is>
      </c>
      <c r="B2445" s="1" t="n">
        <v>45175</v>
      </c>
      <c r="C2445" s="1" t="n">
        <v>45795</v>
      </c>
      <c r="D2445" t="inlineStr">
        <is>
          <t>JÄMTLANDS LÄN</t>
        </is>
      </c>
      <c r="E2445" t="inlineStr">
        <is>
          <t>STRÖMSUND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41902-2023</t>
        </is>
      </c>
      <c r="B2446" s="1" t="n">
        <v>45176</v>
      </c>
      <c r="C2446" s="1" t="n">
        <v>45795</v>
      </c>
      <c r="D2446" t="inlineStr">
        <is>
          <t>JÄMTLANDS LÄN</t>
        </is>
      </c>
      <c r="E2446" t="inlineStr">
        <is>
          <t>STRÖMSUND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41917-2023</t>
        </is>
      </c>
      <c r="B2447" s="1" t="n">
        <v>45177</v>
      </c>
      <c r="C2447" s="1" t="n">
        <v>45795</v>
      </c>
      <c r="D2447" t="inlineStr">
        <is>
          <t>JÄMTLANDS LÄN</t>
        </is>
      </c>
      <c r="E2447" t="inlineStr">
        <is>
          <t>STRÖMSUND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41921-2023</t>
        </is>
      </c>
      <c r="B2448" s="1" t="n">
        <v>45177</v>
      </c>
      <c r="C2448" s="1" t="n">
        <v>45795</v>
      </c>
      <c r="D2448" t="inlineStr">
        <is>
          <t>JÄMTLANDS LÄN</t>
        </is>
      </c>
      <c r="E2448" t="inlineStr">
        <is>
          <t>STRÖMSUND</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41903-2023</t>
        </is>
      </c>
      <c r="B2449" s="1" t="n">
        <v>45176</v>
      </c>
      <c r="C2449" s="1" t="n">
        <v>45795</v>
      </c>
      <c r="D2449" t="inlineStr">
        <is>
          <t>JÄMTLANDS LÄN</t>
        </is>
      </c>
      <c r="E2449" t="inlineStr">
        <is>
          <t>STRÖMSUND</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41916-2023</t>
        </is>
      </c>
      <c r="B2450" s="1" t="n">
        <v>45177</v>
      </c>
      <c r="C2450" s="1" t="n">
        <v>45795</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41939-2023</t>
        </is>
      </c>
      <c r="B2451" s="1" t="n">
        <v>45177</v>
      </c>
      <c r="C2451" s="1" t="n">
        <v>45795</v>
      </c>
      <c r="D2451" t="inlineStr">
        <is>
          <t>JÄMTLANDS LÄN</t>
        </is>
      </c>
      <c r="E2451" t="inlineStr">
        <is>
          <t>STRÖMSUND</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41940-2023</t>
        </is>
      </c>
      <c r="B2452" s="1" t="n">
        <v>45176</v>
      </c>
      <c r="C2452" s="1" t="n">
        <v>45795</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42284-2023</t>
        </is>
      </c>
      <c r="B2453" s="1" t="n">
        <v>45180</v>
      </c>
      <c r="C2453" s="1" t="n">
        <v>45795</v>
      </c>
      <c r="D2453" t="inlineStr">
        <is>
          <t>JÄMTLANDS LÄN</t>
        </is>
      </c>
      <c r="E2453" t="inlineStr">
        <is>
          <t>STRÖMSUND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42502-2023</t>
        </is>
      </c>
      <c r="B2454" s="1" t="n">
        <v>45181</v>
      </c>
      <c r="C2454" s="1" t="n">
        <v>45795</v>
      </c>
      <c r="D2454" t="inlineStr">
        <is>
          <t>JÄMTLANDS LÄN</t>
        </is>
      </c>
      <c r="E2454" t="inlineStr">
        <is>
          <t>STRÖMSUND</t>
        </is>
      </c>
      <c r="F2454" t="inlineStr">
        <is>
          <t>SCA</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42287-2023</t>
        </is>
      </c>
      <c r="B2455" s="1" t="n">
        <v>45180</v>
      </c>
      <c r="C2455" s="1" t="n">
        <v>45795</v>
      </c>
      <c r="D2455" t="inlineStr">
        <is>
          <t>JÄMTLANDS LÄN</t>
        </is>
      </c>
      <c r="E2455" t="inlineStr">
        <is>
          <t>STRÖMSUND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42291-2023</t>
        </is>
      </c>
      <c r="B2456" s="1" t="n">
        <v>45180</v>
      </c>
      <c r="C2456" s="1" t="n">
        <v>45795</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42428-2023</t>
        </is>
      </c>
      <c r="B2457" s="1" t="n">
        <v>45180</v>
      </c>
      <c r="C2457" s="1" t="n">
        <v>45795</v>
      </c>
      <c r="D2457" t="inlineStr">
        <is>
          <t>JÄMTLANDS LÄN</t>
        </is>
      </c>
      <c r="E2457" t="inlineStr">
        <is>
          <t>STRÖMSUND</t>
        </is>
      </c>
      <c r="F2457" t="inlineStr">
        <is>
          <t>Holmen skog AB</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42448-2023</t>
        </is>
      </c>
      <c r="B2458" s="1" t="n">
        <v>45180</v>
      </c>
      <c r="C2458" s="1" t="n">
        <v>45795</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43565-2023</t>
        </is>
      </c>
      <c r="B2459" s="1" t="n">
        <v>45181</v>
      </c>
      <c r="C2459" s="1" t="n">
        <v>45795</v>
      </c>
      <c r="D2459" t="inlineStr">
        <is>
          <t>JÄMTLANDS LÄN</t>
        </is>
      </c>
      <c r="E2459" t="inlineStr">
        <is>
          <t>STRÖMSUND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43558-2023</t>
        </is>
      </c>
      <c r="B2460" s="1" t="n">
        <v>45181</v>
      </c>
      <c r="C2460" s="1" t="n">
        <v>45795</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42966-2023</t>
        </is>
      </c>
      <c r="B2461" s="1" t="n">
        <v>45182</v>
      </c>
      <c r="C2461" s="1" t="n">
        <v>45795</v>
      </c>
      <c r="D2461" t="inlineStr">
        <is>
          <t>JÄMTLANDS LÄN</t>
        </is>
      </c>
      <c r="E2461" t="inlineStr">
        <is>
          <t>STRÖMSUND</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42964-2023</t>
        </is>
      </c>
      <c r="B2462" s="1" t="n">
        <v>45182</v>
      </c>
      <c r="C2462" s="1" t="n">
        <v>45795</v>
      </c>
      <c r="D2462" t="inlineStr">
        <is>
          <t>JÄMTLANDS LÄN</t>
        </is>
      </c>
      <c r="E2462" t="inlineStr">
        <is>
          <t>STRÖMSUND</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43112-2023</t>
        </is>
      </c>
      <c r="B2463" s="1" t="n">
        <v>45183</v>
      </c>
      <c r="C2463" s="1" t="n">
        <v>45795</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43421-2023</t>
        </is>
      </c>
      <c r="B2464" s="1" t="n">
        <v>45184</v>
      </c>
      <c r="C2464" s="1" t="n">
        <v>45795</v>
      </c>
      <c r="D2464" t="inlineStr">
        <is>
          <t>JÄMTLANDS LÄN</t>
        </is>
      </c>
      <c r="E2464" t="inlineStr">
        <is>
          <t>STRÖMSUND</t>
        </is>
      </c>
      <c r="F2464" t="inlineStr">
        <is>
          <t>SCA</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44642-2023</t>
        </is>
      </c>
      <c r="B2465" s="1" t="n">
        <v>45184</v>
      </c>
      <c r="C2465" s="1" t="n">
        <v>45795</v>
      </c>
      <c r="D2465" t="inlineStr">
        <is>
          <t>JÄMTLANDS LÄN</t>
        </is>
      </c>
      <c r="E2465" t="inlineStr">
        <is>
          <t>STRÖMSUND</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43947-2023</t>
        </is>
      </c>
      <c r="B2466" s="1" t="n">
        <v>45188</v>
      </c>
      <c r="C2466" s="1" t="n">
        <v>45795</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43955-2023</t>
        </is>
      </c>
      <c r="B2467" s="1" t="n">
        <v>45188</v>
      </c>
      <c r="C2467" s="1" t="n">
        <v>45795</v>
      </c>
      <c r="D2467" t="inlineStr">
        <is>
          <t>JÄMTLANDS LÄN</t>
        </is>
      </c>
      <c r="E2467" t="inlineStr">
        <is>
          <t>STRÖMSUND</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43953-2023</t>
        </is>
      </c>
      <c r="B2468" s="1" t="n">
        <v>45187</v>
      </c>
      <c r="C2468" s="1" t="n">
        <v>45795</v>
      </c>
      <c r="D2468" t="inlineStr">
        <is>
          <t>JÄMTLANDS LÄN</t>
        </is>
      </c>
      <c r="E2468" t="inlineStr">
        <is>
          <t>STRÖMSUND</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43956-2023</t>
        </is>
      </c>
      <c r="B2469" s="1" t="n">
        <v>45188</v>
      </c>
      <c r="C2469" s="1" t="n">
        <v>45795</v>
      </c>
      <c r="D2469" t="inlineStr">
        <is>
          <t>JÄMTLANDS LÄN</t>
        </is>
      </c>
      <c r="E2469" t="inlineStr">
        <is>
          <t>STRÖMSUND</t>
        </is>
      </c>
      <c r="F2469" t="inlineStr">
        <is>
          <t>SCA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43976-2023</t>
        </is>
      </c>
      <c r="B2470" s="1" t="n">
        <v>45187</v>
      </c>
      <c r="C2470" s="1" t="n">
        <v>45795</v>
      </c>
      <c r="D2470" t="inlineStr">
        <is>
          <t>JÄMTLANDS LÄN</t>
        </is>
      </c>
      <c r="E2470" t="inlineStr">
        <is>
          <t>STRÖMSUND</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44385-2023</t>
        </is>
      </c>
      <c r="B2471" s="1" t="n">
        <v>45189</v>
      </c>
      <c r="C2471" s="1" t="n">
        <v>45795</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44384-2023</t>
        </is>
      </c>
      <c r="B2472" s="1" t="n">
        <v>45189</v>
      </c>
      <c r="C2472" s="1" t="n">
        <v>45795</v>
      </c>
      <c r="D2472" t="inlineStr">
        <is>
          <t>JÄMTLANDS LÄN</t>
        </is>
      </c>
      <c r="E2472" t="inlineStr">
        <is>
          <t>STRÖMSUND</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44411-2023</t>
        </is>
      </c>
      <c r="B2473" s="1" t="n">
        <v>45189</v>
      </c>
      <c r="C2473" s="1" t="n">
        <v>45795</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44390-2023</t>
        </is>
      </c>
      <c r="B2474" s="1" t="n">
        <v>45189</v>
      </c>
      <c r="C2474" s="1" t="n">
        <v>45795</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44402-2023</t>
        </is>
      </c>
      <c r="B2475" s="1" t="n">
        <v>45188</v>
      </c>
      <c r="C2475" s="1" t="n">
        <v>45795</v>
      </c>
      <c r="D2475" t="inlineStr">
        <is>
          <t>JÄMTLANDS LÄN</t>
        </is>
      </c>
      <c r="E2475" t="inlineStr">
        <is>
          <t>STRÖMSUND</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45928-2023</t>
        </is>
      </c>
      <c r="B2476" s="1" t="n">
        <v>45189</v>
      </c>
      <c r="C2476" s="1" t="n">
        <v>45795</v>
      </c>
      <c r="D2476" t="inlineStr">
        <is>
          <t>JÄMTLANDS LÄN</t>
        </is>
      </c>
      <c r="E2476" t="inlineStr">
        <is>
          <t>STRÖMSUND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44995-2023</t>
        </is>
      </c>
      <c r="B2477" s="1" t="n">
        <v>45191</v>
      </c>
      <c r="C2477" s="1" t="n">
        <v>45795</v>
      </c>
      <c r="D2477" t="inlineStr">
        <is>
          <t>JÄMTLANDS LÄN</t>
        </is>
      </c>
      <c r="E2477" t="inlineStr">
        <is>
          <t>STRÖMSUND</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44813-2023</t>
        </is>
      </c>
      <c r="B2478" s="1" t="n">
        <v>45190</v>
      </c>
      <c r="C2478" s="1" t="n">
        <v>45795</v>
      </c>
      <c r="D2478" t="inlineStr">
        <is>
          <t>JÄMTLANDS LÄN</t>
        </is>
      </c>
      <c r="E2478" t="inlineStr">
        <is>
          <t>STRÖMSUND</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44969-2023</t>
        </is>
      </c>
      <c r="B2479" s="1" t="n">
        <v>45191</v>
      </c>
      <c r="C2479" s="1" t="n">
        <v>45795</v>
      </c>
      <c r="D2479" t="inlineStr">
        <is>
          <t>JÄMTLANDS LÄN</t>
        </is>
      </c>
      <c r="E2479" t="inlineStr">
        <is>
          <t>STRÖMSUND</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45091-2023</t>
        </is>
      </c>
      <c r="B2480" s="1" t="n">
        <v>45191</v>
      </c>
      <c r="C2480" s="1" t="n">
        <v>45795</v>
      </c>
      <c r="D2480" t="inlineStr">
        <is>
          <t>JÄMTLANDS LÄN</t>
        </is>
      </c>
      <c r="E2480" t="inlineStr">
        <is>
          <t>STRÖMSUND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45329-2023</t>
        </is>
      </c>
      <c r="B2481" s="1" t="n">
        <v>45192</v>
      </c>
      <c r="C2481" s="1" t="n">
        <v>45795</v>
      </c>
      <c r="D2481" t="inlineStr">
        <is>
          <t>JÄMTLANDS LÄN</t>
        </is>
      </c>
      <c r="E2481" t="inlineStr">
        <is>
          <t>STRÖMSUND</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45341-2023</t>
        </is>
      </c>
      <c r="B2482" s="1" t="n">
        <v>45192</v>
      </c>
      <c r="C2482" s="1" t="n">
        <v>45795</v>
      </c>
      <c r="D2482" t="inlineStr">
        <is>
          <t>JÄMTLANDS LÄN</t>
        </is>
      </c>
      <c r="E2482" t="inlineStr">
        <is>
          <t>STRÖMSUND</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45340-2023</t>
        </is>
      </c>
      <c r="B2483" s="1" t="n">
        <v>45192</v>
      </c>
      <c r="C2483" s="1" t="n">
        <v>45795</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45315-2023</t>
        </is>
      </c>
      <c r="B2484" s="1" t="n">
        <v>45191</v>
      </c>
      <c r="C2484" s="1" t="n">
        <v>45795</v>
      </c>
      <c r="D2484" t="inlineStr">
        <is>
          <t>JÄMTLANDS LÄN</t>
        </is>
      </c>
      <c r="E2484" t="inlineStr">
        <is>
          <t>STRÖMSUND</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45339-2023</t>
        </is>
      </c>
      <c r="B2485" s="1" t="n">
        <v>45192</v>
      </c>
      <c r="C2485" s="1" t="n">
        <v>45795</v>
      </c>
      <c r="D2485" t="inlineStr">
        <is>
          <t>JÄMTLANDS LÄN</t>
        </is>
      </c>
      <c r="E2485" t="inlineStr">
        <is>
          <t>STRÖMSUND</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45366-2023</t>
        </is>
      </c>
      <c r="B2486" s="1" t="n">
        <v>45192</v>
      </c>
      <c r="C2486" s="1" t="n">
        <v>45795</v>
      </c>
      <c r="D2486" t="inlineStr">
        <is>
          <t>JÄMTLANDS LÄN</t>
        </is>
      </c>
      <c r="E2486" t="inlineStr">
        <is>
          <t>STRÖMSUND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45497-2023</t>
        </is>
      </c>
      <c r="B2487" s="1" t="n">
        <v>45194</v>
      </c>
      <c r="C2487" s="1" t="n">
        <v>45795</v>
      </c>
      <c r="D2487" t="inlineStr">
        <is>
          <t>JÄMTLANDS LÄN</t>
        </is>
      </c>
      <c r="E2487" t="inlineStr">
        <is>
          <t>STRÖMSUND</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45566-2023</t>
        </is>
      </c>
      <c r="B2488" s="1" t="n">
        <v>45194</v>
      </c>
      <c r="C2488" s="1" t="n">
        <v>45795</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45506-2023</t>
        </is>
      </c>
      <c r="B2489" s="1" t="n">
        <v>45194</v>
      </c>
      <c r="C2489" s="1" t="n">
        <v>45795</v>
      </c>
      <c r="D2489" t="inlineStr">
        <is>
          <t>JÄMTLANDS LÄN</t>
        </is>
      </c>
      <c r="E2489" t="inlineStr">
        <is>
          <t>STRÖMSUND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45584-2023</t>
        </is>
      </c>
      <c r="B2490" s="1" t="n">
        <v>45194</v>
      </c>
      <c r="C2490" s="1" t="n">
        <v>45795</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45502-2023</t>
        </is>
      </c>
      <c r="B2491" s="1" t="n">
        <v>45194</v>
      </c>
      <c r="C2491" s="1" t="n">
        <v>45795</v>
      </c>
      <c r="D2491" t="inlineStr">
        <is>
          <t>JÄMTLANDS LÄN</t>
        </is>
      </c>
      <c r="E2491" t="inlineStr">
        <is>
          <t>STRÖMSUND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45809-2023</t>
        </is>
      </c>
      <c r="B2492" s="1" t="n">
        <v>45195</v>
      </c>
      <c r="C2492" s="1" t="n">
        <v>45795</v>
      </c>
      <c r="D2492" t="inlineStr">
        <is>
          <t>JÄMTLANDS LÄN</t>
        </is>
      </c>
      <c r="E2492" t="inlineStr">
        <is>
          <t>STRÖMSUND</t>
        </is>
      </c>
      <c r="G2492" t="n">
        <v>12.3</v>
      </c>
      <c r="H2492" t="n">
        <v>0</v>
      </c>
      <c r="I2492" t="n">
        <v>0</v>
      </c>
      <c r="J2492" t="n">
        <v>0</v>
      </c>
      <c r="K2492" t="n">
        <v>0</v>
      </c>
      <c r="L2492" t="n">
        <v>0</v>
      </c>
      <c r="M2492" t="n">
        <v>0</v>
      </c>
      <c r="N2492" t="n">
        <v>0</v>
      </c>
      <c r="O2492" t="n">
        <v>0</v>
      </c>
      <c r="P2492" t="n">
        <v>0</v>
      </c>
      <c r="Q2492" t="n">
        <v>0</v>
      </c>
      <c r="R2492" s="2" t="inlineStr"/>
    </row>
    <row r="2493" ht="15" customHeight="1">
      <c r="A2493" t="inlineStr">
        <is>
          <t>A 45938-2023</t>
        </is>
      </c>
      <c r="B2493" s="1" t="n">
        <v>45196</v>
      </c>
      <c r="C2493" s="1" t="n">
        <v>45795</v>
      </c>
      <c r="D2493" t="inlineStr">
        <is>
          <t>JÄMTLANDS LÄN</t>
        </is>
      </c>
      <c r="E2493" t="inlineStr">
        <is>
          <t>STRÖMSUND</t>
        </is>
      </c>
      <c r="F2493" t="inlineStr">
        <is>
          <t>SCA</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46788-2023</t>
        </is>
      </c>
      <c r="B2494" s="1" t="n">
        <v>45195</v>
      </c>
      <c r="C2494" s="1" t="n">
        <v>45795</v>
      </c>
      <c r="D2494" t="inlineStr">
        <is>
          <t>JÄMTLANDS LÄN</t>
        </is>
      </c>
      <c r="E2494" t="inlineStr">
        <is>
          <t>STRÖMSUND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45975-2023</t>
        </is>
      </c>
      <c r="B2495" s="1" t="n">
        <v>45196</v>
      </c>
      <c r="C2495" s="1" t="n">
        <v>45795</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46789-2023</t>
        </is>
      </c>
      <c r="B2496" s="1" t="n">
        <v>45195</v>
      </c>
      <c r="C2496" s="1" t="n">
        <v>45795</v>
      </c>
      <c r="D2496" t="inlineStr">
        <is>
          <t>JÄMTLANDS LÄN</t>
        </is>
      </c>
      <c r="E2496" t="inlineStr">
        <is>
          <t>STRÖMSUND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46776-2023</t>
        </is>
      </c>
      <c r="B2497" s="1" t="n">
        <v>45195</v>
      </c>
      <c r="C2497" s="1" t="n">
        <v>45795</v>
      </c>
      <c r="D2497" t="inlineStr">
        <is>
          <t>JÄMTLANDS LÄN</t>
        </is>
      </c>
      <c r="E2497" t="inlineStr">
        <is>
          <t>STRÖMSUND</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46794-2023</t>
        </is>
      </c>
      <c r="B2498" s="1" t="n">
        <v>45195</v>
      </c>
      <c r="C2498" s="1" t="n">
        <v>45795</v>
      </c>
      <c r="D2498" t="inlineStr">
        <is>
          <t>JÄMTLANDS LÄN</t>
        </is>
      </c>
      <c r="E2498" t="inlineStr">
        <is>
          <t>STRÖMSUND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46793-2023</t>
        </is>
      </c>
      <c r="B2499" s="1" t="n">
        <v>45195</v>
      </c>
      <c r="C2499" s="1" t="n">
        <v>45795</v>
      </c>
      <c r="D2499" t="inlineStr">
        <is>
          <t>JÄMTLANDS LÄN</t>
        </is>
      </c>
      <c r="E2499" t="inlineStr">
        <is>
          <t>STRÖMSUND</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46258-2023</t>
        </is>
      </c>
      <c r="B2500" s="1" t="n">
        <v>45197</v>
      </c>
      <c r="C2500" s="1" t="n">
        <v>45795</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46265-2023</t>
        </is>
      </c>
      <c r="B2501" s="1" t="n">
        <v>45196</v>
      </c>
      <c r="C2501" s="1" t="n">
        <v>45795</v>
      </c>
      <c r="D2501" t="inlineStr">
        <is>
          <t>JÄMTLANDS LÄN</t>
        </is>
      </c>
      <c r="E2501" t="inlineStr">
        <is>
          <t>STRÖMSUND</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46259-2023</t>
        </is>
      </c>
      <c r="B2502" s="1" t="n">
        <v>45197</v>
      </c>
      <c r="C2502" s="1" t="n">
        <v>45795</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46365-2023</t>
        </is>
      </c>
      <c r="B2503" s="1" t="n">
        <v>45197</v>
      </c>
      <c r="C2503" s="1" t="n">
        <v>45795</v>
      </c>
      <c r="D2503" t="inlineStr">
        <is>
          <t>JÄMTLANDS LÄN</t>
        </is>
      </c>
      <c r="E2503" t="inlineStr">
        <is>
          <t>STRÖMSUND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46545-2023</t>
        </is>
      </c>
      <c r="B2504" s="1" t="n">
        <v>45198</v>
      </c>
      <c r="C2504" s="1" t="n">
        <v>45795</v>
      </c>
      <c r="D2504" t="inlineStr">
        <is>
          <t>JÄMTLANDS LÄN</t>
        </is>
      </c>
      <c r="E2504" t="inlineStr">
        <is>
          <t>STRÖMSUND</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46556-2023</t>
        </is>
      </c>
      <c r="B2505" s="1" t="n">
        <v>45198</v>
      </c>
      <c r="C2505" s="1" t="n">
        <v>45795</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46557-2023</t>
        </is>
      </c>
      <c r="B2506" s="1" t="n">
        <v>45197</v>
      </c>
      <c r="C2506" s="1" t="n">
        <v>45795</v>
      </c>
      <c r="D2506" t="inlineStr">
        <is>
          <t>JÄMTLANDS LÄN</t>
        </is>
      </c>
      <c r="E2506" t="inlineStr">
        <is>
          <t>STRÖMSUND</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46807-2023</t>
        </is>
      </c>
      <c r="B2507" s="1" t="n">
        <v>45199</v>
      </c>
      <c r="C2507" s="1" t="n">
        <v>45795</v>
      </c>
      <c r="D2507" t="inlineStr">
        <is>
          <t>JÄMTLANDS LÄN</t>
        </is>
      </c>
      <c r="E2507" t="inlineStr">
        <is>
          <t>STRÖMSUND</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46811-2023</t>
        </is>
      </c>
      <c r="B2508" s="1" t="n">
        <v>45199</v>
      </c>
      <c r="C2508" s="1" t="n">
        <v>45795</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46813-2023</t>
        </is>
      </c>
      <c r="B2509" s="1" t="n">
        <v>45199</v>
      </c>
      <c r="C2509" s="1" t="n">
        <v>45795</v>
      </c>
      <c r="D2509" t="inlineStr">
        <is>
          <t>JÄMTLANDS LÄN</t>
        </is>
      </c>
      <c r="E2509" t="inlineStr">
        <is>
          <t>STRÖMSUND</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46770-2023</t>
        </is>
      </c>
      <c r="B2510" s="1" t="n">
        <v>45198</v>
      </c>
      <c r="C2510" s="1" t="n">
        <v>45795</v>
      </c>
      <c r="D2510" t="inlineStr">
        <is>
          <t>JÄMTLANDS LÄN</t>
        </is>
      </c>
      <c r="E2510" t="inlineStr">
        <is>
          <t>STRÖMSUND</t>
        </is>
      </c>
      <c r="F2510" t="inlineStr">
        <is>
          <t>Sveaskog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46774-2023</t>
        </is>
      </c>
      <c r="B2511" s="1" t="n">
        <v>45198</v>
      </c>
      <c r="C2511" s="1" t="n">
        <v>45795</v>
      </c>
      <c r="D2511" t="inlineStr">
        <is>
          <t>JÄMTLANDS LÄN</t>
        </is>
      </c>
      <c r="E2511" t="inlineStr">
        <is>
          <t>STRÖMSUND</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47151-2023</t>
        </is>
      </c>
      <c r="B2512" s="1" t="n">
        <v>45201</v>
      </c>
      <c r="C2512" s="1" t="n">
        <v>45795</v>
      </c>
      <c r="D2512" t="inlineStr">
        <is>
          <t>JÄMTLANDS LÄN</t>
        </is>
      </c>
      <c r="E2512" t="inlineStr">
        <is>
          <t>STRÖMSUND</t>
        </is>
      </c>
      <c r="F2512" t="inlineStr">
        <is>
          <t>Holmen skog AB</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47178-2023</t>
        </is>
      </c>
      <c r="B2513" s="1" t="n">
        <v>45201</v>
      </c>
      <c r="C2513" s="1" t="n">
        <v>45795</v>
      </c>
      <c r="D2513" t="inlineStr">
        <is>
          <t>JÄMTLANDS LÄN</t>
        </is>
      </c>
      <c r="E2513" t="inlineStr">
        <is>
          <t>STRÖMSUND</t>
        </is>
      </c>
      <c r="F2513" t="inlineStr">
        <is>
          <t>SCA</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47182-2023</t>
        </is>
      </c>
      <c r="B2514" s="1" t="n">
        <v>45202</v>
      </c>
      <c r="C2514" s="1" t="n">
        <v>45795</v>
      </c>
      <c r="D2514" t="inlineStr">
        <is>
          <t>JÄMTLANDS LÄN</t>
        </is>
      </c>
      <c r="E2514" t="inlineStr">
        <is>
          <t>STRÖMSUND</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47116-2023</t>
        </is>
      </c>
      <c r="B2515" s="1" t="n">
        <v>45201</v>
      </c>
      <c r="C2515" s="1" t="n">
        <v>45795</v>
      </c>
      <c r="D2515" t="inlineStr">
        <is>
          <t>JÄMTLANDS LÄN</t>
        </is>
      </c>
      <c r="E2515" t="inlineStr">
        <is>
          <t>STRÖMSUND</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48328-2023</t>
        </is>
      </c>
      <c r="B2516" s="1" t="n">
        <v>45201</v>
      </c>
      <c r="C2516" s="1" t="n">
        <v>45795</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47491-2023</t>
        </is>
      </c>
      <c r="B2517" s="1" t="n">
        <v>45203</v>
      </c>
      <c r="C2517" s="1" t="n">
        <v>45795</v>
      </c>
      <c r="D2517" t="inlineStr">
        <is>
          <t>JÄMTLANDS LÄN</t>
        </is>
      </c>
      <c r="E2517" t="inlineStr">
        <is>
          <t>STRÖMSUND</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47843-2023</t>
        </is>
      </c>
      <c r="B2518" s="1" t="n">
        <v>45204</v>
      </c>
      <c r="C2518" s="1" t="n">
        <v>45795</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48038-2023</t>
        </is>
      </c>
      <c r="B2519" s="1" t="n">
        <v>45204</v>
      </c>
      <c r="C2519" s="1" t="n">
        <v>45795</v>
      </c>
      <c r="D2519" t="inlineStr">
        <is>
          <t>JÄMTLANDS LÄN</t>
        </is>
      </c>
      <c r="E2519" t="inlineStr">
        <is>
          <t>STRÖMSUND</t>
        </is>
      </c>
      <c r="F2519" t="inlineStr">
        <is>
          <t>Holmen skog AB</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48042-2023</t>
        </is>
      </c>
      <c r="B2520" s="1" t="n">
        <v>45204</v>
      </c>
      <c r="C2520" s="1" t="n">
        <v>45795</v>
      </c>
      <c r="D2520" t="inlineStr">
        <is>
          <t>JÄMTLANDS LÄN</t>
        </is>
      </c>
      <c r="E2520" t="inlineStr">
        <is>
          <t>STRÖMSUND</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48071-2023</t>
        </is>
      </c>
      <c r="B2521" s="1" t="n">
        <v>45205</v>
      </c>
      <c r="C2521" s="1" t="n">
        <v>45795</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48070-2023</t>
        </is>
      </c>
      <c r="B2522" s="1" t="n">
        <v>45204</v>
      </c>
      <c r="C2522" s="1" t="n">
        <v>45795</v>
      </c>
      <c r="D2522" t="inlineStr">
        <is>
          <t>JÄMTLANDS LÄN</t>
        </is>
      </c>
      <c r="E2522" t="inlineStr">
        <is>
          <t>STRÖMSUND</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48982-2023</t>
        </is>
      </c>
      <c r="B2523" s="1" t="n">
        <v>45204</v>
      </c>
      <c r="C2523" s="1" t="n">
        <v>45795</v>
      </c>
      <c r="D2523" t="inlineStr">
        <is>
          <t>JÄMTLANDS LÄN</t>
        </is>
      </c>
      <c r="E2523" t="inlineStr">
        <is>
          <t>STRÖMSUND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48994-2023</t>
        </is>
      </c>
      <c r="B2524" s="1" t="n">
        <v>45204</v>
      </c>
      <c r="C2524" s="1" t="n">
        <v>45795</v>
      </c>
      <c r="D2524" t="inlineStr">
        <is>
          <t>JÄMTLANDS LÄN</t>
        </is>
      </c>
      <c r="E2524" t="inlineStr">
        <is>
          <t>STRÖMSUND</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49008-2023</t>
        </is>
      </c>
      <c r="B2525" s="1" t="n">
        <v>45204</v>
      </c>
      <c r="C2525" s="1" t="n">
        <v>45795</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48976-2023</t>
        </is>
      </c>
      <c r="B2526" s="1" t="n">
        <v>45204</v>
      </c>
      <c r="C2526" s="1" t="n">
        <v>45795</v>
      </c>
      <c r="D2526" t="inlineStr">
        <is>
          <t>JÄMTLANDS LÄN</t>
        </is>
      </c>
      <c r="E2526" t="inlineStr">
        <is>
          <t>STRÖMSUND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48991-2023</t>
        </is>
      </c>
      <c r="B2527" s="1" t="n">
        <v>45204</v>
      </c>
      <c r="C2527" s="1" t="n">
        <v>45795</v>
      </c>
      <c r="D2527" t="inlineStr">
        <is>
          <t>JÄMTLANDS LÄN</t>
        </is>
      </c>
      <c r="E2527" t="inlineStr">
        <is>
          <t>STRÖMSUND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48988-2023</t>
        </is>
      </c>
      <c r="B2528" s="1" t="n">
        <v>45204</v>
      </c>
      <c r="C2528" s="1" t="n">
        <v>45795</v>
      </c>
      <c r="D2528" t="inlineStr">
        <is>
          <t>JÄMTLANDS LÄN</t>
        </is>
      </c>
      <c r="E2528" t="inlineStr">
        <is>
          <t>STRÖMSUND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48997-2023</t>
        </is>
      </c>
      <c r="B2529" s="1" t="n">
        <v>45204</v>
      </c>
      <c r="C2529" s="1" t="n">
        <v>45795</v>
      </c>
      <c r="D2529" t="inlineStr">
        <is>
          <t>JÄMTLANDS LÄN</t>
        </is>
      </c>
      <c r="E2529" t="inlineStr">
        <is>
          <t>STRÖMSUND</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49091-2023</t>
        </is>
      </c>
      <c r="B2530" s="1" t="n">
        <v>45204</v>
      </c>
      <c r="C2530" s="1" t="n">
        <v>45795</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48388-2023</t>
        </is>
      </c>
      <c r="B2531" s="1" t="n">
        <v>45205</v>
      </c>
      <c r="C2531" s="1" t="n">
        <v>45795</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48420-2023</t>
        </is>
      </c>
      <c r="B2532" s="1" t="n">
        <v>45205</v>
      </c>
      <c r="C2532" s="1" t="n">
        <v>45795</v>
      </c>
      <c r="D2532" t="inlineStr">
        <is>
          <t>JÄMTLANDS LÄN</t>
        </is>
      </c>
      <c r="E2532" t="inlineStr">
        <is>
          <t>STRÖMSUND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48476-2023</t>
        </is>
      </c>
      <c r="B2533" s="1" t="n">
        <v>45206</v>
      </c>
      <c r="C2533" s="1" t="n">
        <v>45795</v>
      </c>
      <c r="D2533" t="inlineStr">
        <is>
          <t>JÄMTLANDS LÄN</t>
        </is>
      </c>
      <c r="E2533" t="inlineStr">
        <is>
          <t>STRÖMSUND</t>
        </is>
      </c>
      <c r="F2533" t="inlineStr">
        <is>
          <t>SCA</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48775-2023</t>
        </is>
      </c>
      <c r="B2534" s="1" t="n">
        <v>45209</v>
      </c>
      <c r="C2534" s="1" t="n">
        <v>45795</v>
      </c>
      <c r="D2534" t="inlineStr">
        <is>
          <t>JÄMTLANDS LÄN</t>
        </is>
      </c>
      <c r="E2534" t="inlineStr">
        <is>
          <t>STRÖMSUND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48637-2023</t>
        </is>
      </c>
      <c r="B2535" s="1" t="n">
        <v>45208</v>
      </c>
      <c r="C2535" s="1" t="n">
        <v>45795</v>
      </c>
      <c r="D2535" t="inlineStr">
        <is>
          <t>JÄMTLANDS LÄN</t>
        </is>
      </c>
      <c r="E2535" t="inlineStr">
        <is>
          <t>STRÖMSUND</t>
        </is>
      </c>
      <c r="F2535" t="inlineStr">
        <is>
          <t>Kommuner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49763-2023</t>
        </is>
      </c>
      <c r="B2536" s="1" t="n">
        <v>45208</v>
      </c>
      <c r="C2536" s="1" t="n">
        <v>45795</v>
      </c>
      <c r="D2536" t="inlineStr">
        <is>
          <t>JÄMTLANDS LÄN</t>
        </is>
      </c>
      <c r="E2536" t="inlineStr">
        <is>
          <t>STRÖMSUND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49147-2023</t>
        </is>
      </c>
      <c r="B2537" s="1" t="n">
        <v>45210</v>
      </c>
      <c r="C2537" s="1" t="n">
        <v>45795</v>
      </c>
      <c r="D2537" t="inlineStr">
        <is>
          <t>JÄMTLANDS LÄN</t>
        </is>
      </c>
      <c r="E2537" t="inlineStr">
        <is>
          <t>STRÖMSUND</t>
        </is>
      </c>
      <c r="F2537" t="inlineStr">
        <is>
          <t>Holmen skog AB</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50647-2023</t>
        </is>
      </c>
      <c r="B2538" s="1" t="n">
        <v>45210</v>
      </c>
      <c r="C2538" s="1" t="n">
        <v>45795</v>
      </c>
      <c r="D2538" t="inlineStr">
        <is>
          <t>JÄMTLANDS LÄN</t>
        </is>
      </c>
      <c r="E2538" t="inlineStr">
        <is>
          <t>STRÖMSUND</t>
        </is>
      </c>
      <c r="G2538" t="n">
        <v>15.1</v>
      </c>
      <c r="H2538" t="n">
        <v>0</v>
      </c>
      <c r="I2538" t="n">
        <v>0</v>
      </c>
      <c r="J2538" t="n">
        <v>0</v>
      </c>
      <c r="K2538" t="n">
        <v>0</v>
      </c>
      <c r="L2538" t="n">
        <v>0</v>
      </c>
      <c r="M2538" t="n">
        <v>0</v>
      </c>
      <c r="N2538" t="n">
        <v>0</v>
      </c>
      <c r="O2538" t="n">
        <v>0</v>
      </c>
      <c r="P2538" t="n">
        <v>0</v>
      </c>
      <c r="Q2538" t="n">
        <v>0</v>
      </c>
      <c r="R2538" s="2" t="inlineStr"/>
    </row>
    <row r="2539" ht="15" customHeight="1">
      <c r="A2539" t="inlineStr">
        <is>
          <t>A 49377-2023</t>
        </is>
      </c>
      <c r="B2539" s="1" t="n">
        <v>45211</v>
      </c>
      <c r="C2539" s="1" t="n">
        <v>45795</v>
      </c>
      <c r="D2539" t="inlineStr">
        <is>
          <t>JÄMTLANDS LÄN</t>
        </is>
      </c>
      <c r="E2539" t="inlineStr">
        <is>
          <t>STRÖMSUND</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49415-2023</t>
        </is>
      </c>
      <c r="B2540" s="1" t="n">
        <v>45211</v>
      </c>
      <c r="C2540" s="1" t="n">
        <v>45795</v>
      </c>
      <c r="D2540" t="inlineStr">
        <is>
          <t>JÄMTLANDS LÄN</t>
        </is>
      </c>
      <c r="E2540" t="inlineStr">
        <is>
          <t>STRÖMSUND</t>
        </is>
      </c>
      <c r="F2540" t="inlineStr">
        <is>
          <t>Holmen skog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51074-2023</t>
        </is>
      </c>
      <c r="B2541" s="1" t="n">
        <v>45211</v>
      </c>
      <c r="C2541" s="1" t="n">
        <v>45795</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51077-2023</t>
        </is>
      </c>
      <c r="B2542" s="1" t="n">
        <v>45211</v>
      </c>
      <c r="C2542" s="1" t="n">
        <v>45795</v>
      </c>
      <c r="D2542" t="inlineStr">
        <is>
          <t>JÄMTLANDS LÄN</t>
        </is>
      </c>
      <c r="E2542" t="inlineStr">
        <is>
          <t>STRÖMSUND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51075-2023</t>
        </is>
      </c>
      <c r="B2543" s="1" t="n">
        <v>45211</v>
      </c>
      <c r="C2543" s="1" t="n">
        <v>45795</v>
      </c>
      <c r="D2543" t="inlineStr">
        <is>
          <t>JÄMTLANDS LÄN</t>
        </is>
      </c>
      <c r="E2543" t="inlineStr">
        <is>
          <t>STRÖMSUND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49861-2023</t>
        </is>
      </c>
      <c r="B2544" s="1" t="n">
        <v>45212</v>
      </c>
      <c r="C2544" s="1" t="n">
        <v>45795</v>
      </c>
      <c r="D2544" t="inlineStr">
        <is>
          <t>JÄMTLANDS LÄN</t>
        </is>
      </c>
      <c r="E2544" t="inlineStr">
        <is>
          <t>STRÖMSUND</t>
        </is>
      </c>
      <c r="F2544" t="inlineStr">
        <is>
          <t>SCA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50203-2023</t>
        </is>
      </c>
      <c r="B2545" s="1" t="n">
        <v>45216</v>
      </c>
      <c r="C2545" s="1" t="n">
        <v>45795</v>
      </c>
      <c r="D2545" t="inlineStr">
        <is>
          <t>JÄMTLANDS LÄN</t>
        </is>
      </c>
      <c r="E2545" t="inlineStr">
        <is>
          <t>STRÖMSUND</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50495-2023</t>
        </is>
      </c>
      <c r="B2546" s="1" t="n">
        <v>45216</v>
      </c>
      <c r="C2546" s="1" t="n">
        <v>45795</v>
      </c>
      <c r="D2546" t="inlineStr">
        <is>
          <t>JÄMTLANDS LÄN</t>
        </is>
      </c>
      <c r="E2546" t="inlineStr">
        <is>
          <t>STRÖMSUND</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52303-2023</t>
        </is>
      </c>
      <c r="B2547" s="1" t="n">
        <v>45217</v>
      </c>
      <c r="C2547" s="1" t="n">
        <v>45795</v>
      </c>
      <c r="D2547" t="inlineStr">
        <is>
          <t>JÄMTLANDS LÄN</t>
        </is>
      </c>
      <c r="E2547" t="inlineStr">
        <is>
          <t>STRÖMSUND</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51429-2023</t>
        </is>
      </c>
      <c r="B2548" s="1" t="n">
        <v>45220</v>
      </c>
      <c r="C2548" s="1" t="n">
        <v>45795</v>
      </c>
      <c r="D2548" t="inlineStr">
        <is>
          <t>JÄMTLANDS LÄN</t>
        </is>
      </c>
      <c r="E2548" t="inlineStr">
        <is>
          <t>STRÖMSUND</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51795-2023</t>
        </is>
      </c>
      <c r="B2549" s="1" t="n">
        <v>45222</v>
      </c>
      <c r="C2549" s="1" t="n">
        <v>45795</v>
      </c>
      <c r="D2549" t="inlineStr">
        <is>
          <t>JÄMTLANDS LÄN</t>
        </is>
      </c>
      <c r="E2549" t="inlineStr">
        <is>
          <t>STRÖMSUND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51799-2023</t>
        </is>
      </c>
      <c r="B2550" s="1" t="n">
        <v>45223</v>
      </c>
      <c r="C2550" s="1" t="n">
        <v>45795</v>
      </c>
      <c r="D2550" t="inlineStr">
        <is>
          <t>JÄMTLANDS LÄN</t>
        </is>
      </c>
      <c r="E2550" t="inlineStr">
        <is>
          <t>STRÖMSUND</t>
        </is>
      </c>
      <c r="F2550" t="inlineStr">
        <is>
          <t>SCA</t>
        </is>
      </c>
      <c r="G2550" t="n">
        <v>42.6</v>
      </c>
      <c r="H2550" t="n">
        <v>0</v>
      </c>
      <c r="I2550" t="n">
        <v>0</v>
      </c>
      <c r="J2550" t="n">
        <v>0</v>
      </c>
      <c r="K2550" t="n">
        <v>0</v>
      </c>
      <c r="L2550" t="n">
        <v>0</v>
      </c>
      <c r="M2550" t="n">
        <v>0</v>
      </c>
      <c r="N2550" t="n">
        <v>0</v>
      </c>
      <c r="O2550" t="n">
        <v>0</v>
      </c>
      <c r="P2550" t="n">
        <v>0</v>
      </c>
      <c r="Q2550" t="n">
        <v>0</v>
      </c>
      <c r="R2550" s="2" t="inlineStr"/>
    </row>
    <row r="2551" ht="15" customHeight="1">
      <c r="A2551" t="inlineStr">
        <is>
          <t>A 51796-2023</t>
        </is>
      </c>
      <c r="B2551" s="1" t="n">
        <v>45222</v>
      </c>
      <c r="C2551" s="1" t="n">
        <v>45795</v>
      </c>
      <c r="D2551" t="inlineStr">
        <is>
          <t>JÄMTLANDS LÄN</t>
        </is>
      </c>
      <c r="E2551" t="inlineStr">
        <is>
          <t>STRÖMSUND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53025-2023</t>
        </is>
      </c>
      <c r="B2552" s="1" t="n">
        <v>45222</v>
      </c>
      <c r="C2552" s="1" t="n">
        <v>45795</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53024-2023</t>
        </is>
      </c>
      <c r="B2553" s="1" t="n">
        <v>45222</v>
      </c>
      <c r="C2553" s="1" t="n">
        <v>45795</v>
      </c>
      <c r="D2553" t="inlineStr">
        <is>
          <t>JÄMTLANDS LÄN</t>
        </is>
      </c>
      <c r="E2553" t="inlineStr">
        <is>
          <t>STRÖMSUND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51786-2023</t>
        </is>
      </c>
      <c r="B2554" s="1" t="n">
        <v>45222</v>
      </c>
      <c r="C2554" s="1" t="n">
        <v>45795</v>
      </c>
      <c r="D2554" t="inlineStr">
        <is>
          <t>JÄMTLANDS LÄN</t>
        </is>
      </c>
      <c r="E2554" t="inlineStr">
        <is>
          <t>STRÖMSUND</t>
        </is>
      </c>
      <c r="F2554" t="inlineStr">
        <is>
          <t>Holmen skog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52139-2023</t>
        </is>
      </c>
      <c r="B2555" s="1" t="n">
        <v>45223</v>
      </c>
      <c r="C2555" s="1" t="n">
        <v>45795</v>
      </c>
      <c r="D2555" t="inlineStr">
        <is>
          <t>JÄMTLANDS LÄN</t>
        </is>
      </c>
      <c r="E2555" t="inlineStr">
        <is>
          <t>STRÖMSUND</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52108-2023</t>
        </is>
      </c>
      <c r="B2556" s="1" t="n">
        <v>45224</v>
      </c>
      <c r="C2556" s="1" t="n">
        <v>45795</v>
      </c>
      <c r="D2556" t="inlineStr">
        <is>
          <t>JÄMTLANDS LÄN</t>
        </is>
      </c>
      <c r="E2556" t="inlineStr">
        <is>
          <t>STRÖMSUND</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52113-2023</t>
        </is>
      </c>
      <c r="B2557" s="1" t="n">
        <v>45224</v>
      </c>
      <c r="C2557" s="1" t="n">
        <v>45795</v>
      </c>
      <c r="D2557" t="inlineStr">
        <is>
          <t>JÄMTLANDS LÄN</t>
        </is>
      </c>
      <c r="E2557" t="inlineStr">
        <is>
          <t>STRÖMSUND</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52121-2023</t>
        </is>
      </c>
      <c r="B2558" s="1" t="n">
        <v>45223</v>
      </c>
      <c r="C2558" s="1" t="n">
        <v>45795</v>
      </c>
      <c r="D2558" t="inlineStr">
        <is>
          <t>JÄMTLANDS LÄN</t>
        </is>
      </c>
      <c r="E2558" t="inlineStr">
        <is>
          <t>STRÖMSUND</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52134-2023</t>
        </is>
      </c>
      <c r="B2559" s="1" t="n">
        <v>45223</v>
      </c>
      <c r="C2559" s="1" t="n">
        <v>45795</v>
      </c>
      <c r="D2559" t="inlineStr">
        <is>
          <t>JÄMTLANDS LÄN</t>
        </is>
      </c>
      <c r="E2559" t="inlineStr">
        <is>
          <t>STRÖMSUND</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52402-2023</t>
        </is>
      </c>
      <c r="B2560" s="1" t="n">
        <v>45225</v>
      </c>
      <c r="C2560" s="1" t="n">
        <v>45795</v>
      </c>
      <c r="D2560" t="inlineStr">
        <is>
          <t>JÄMTLANDS LÄN</t>
        </is>
      </c>
      <c r="E2560" t="inlineStr">
        <is>
          <t>STRÖMSUND</t>
        </is>
      </c>
      <c r="F2560" t="inlineStr">
        <is>
          <t>SCA</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52478-2023</t>
        </is>
      </c>
      <c r="B2561" s="1" t="n">
        <v>45225</v>
      </c>
      <c r="C2561" s="1" t="n">
        <v>45795</v>
      </c>
      <c r="D2561" t="inlineStr">
        <is>
          <t>JÄMTLANDS LÄN</t>
        </is>
      </c>
      <c r="E2561" t="inlineStr">
        <is>
          <t>STRÖMSUND</t>
        </is>
      </c>
      <c r="F2561" t="inlineStr">
        <is>
          <t>Holmen skog AB</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52725-2023</t>
        </is>
      </c>
      <c r="B2562" s="1" t="n">
        <v>45226</v>
      </c>
      <c r="C2562" s="1" t="n">
        <v>45795</v>
      </c>
      <c r="D2562" t="inlineStr">
        <is>
          <t>JÄMTLANDS LÄN</t>
        </is>
      </c>
      <c r="E2562" t="inlineStr">
        <is>
          <t>STRÖMSUND</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52733-2023</t>
        </is>
      </c>
      <c r="B2563" s="1" t="n">
        <v>45226</v>
      </c>
      <c r="C2563" s="1" t="n">
        <v>45795</v>
      </c>
      <c r="D2563" t="inlineStr">
        <is>
          <t>JÄMTLANDS LÄN</t>
        </is>
      </c>
      <c r="E2563" t="inlineStr">
        <is>
          <t>STRÖMSUND</t>
        </is>
      </c>
      <c r="F2563" t="inlineStr">
        <is>
          <t>SCA</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52737-2023</t>
        </is>
      </c>
      <c r="B2564" s="1" t="n">
        <v>45226</v>
      </c>
      <c r="C2564" s="1" t="n">
        <v>45795</v>
      </c>
      <c r="D2564" t="inlineStr">
        <is>
          <t>JÄMTLANDS LÄN</t>
        </is>
      </c>
      <c r="E2564" t="inlineStr">
        <is>
          <t>STRÖMSUND</t>
        </is>
      </c>
      <c r="F2564" t="inlineStr">
        <is>
          <t>SCA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52735-2023</t>
        </is>
      </c>
      <c r="B2565" s="1" t="n">
        <v>45225</v>
      </c>
      <c r="C2565" s="1" t="n">
        <v>45795</v>
      </c>
      <c r="D2565" t="inlineStr">
        <is>
          <t>JÄMTLANDS LÄN</t>
        </is>
      </c>
      <c r="E2565" t="inlineStr">
        <is>
          <t>STRÖMSUND</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52736-2023</t>
        </is>
      </c>
      <c r="B2566" s="1" t="n">
        <v>45226</v>
      </c>
      <c r="C2566" s="1" t="n">
        <v>45795</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52726-2023</t>
        </is>
      </c>
      <c r="B2567" s="1" t="n">
        <v>45225</v>
      </c>
      <c r="C2567" s="1" t="n">
        <v>45795</v>
      </c>
      <c r="D2567" t="inlineStr">
        <is>
          <t>JÄMTLANDS LÄN</t>
        </is>
      </c>
      <c r="E2567" t="inlineStr">
        <is>
          <t>STRÖMSUND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52734-2023</t>
        </is>
      </c>
      <c r="B2568" s="1" t="n">
        <v>45225</v>
      </c>
      <c r="C2568" s="1" t="n">
        <v>45795</v>
      </c>
      <c r="D2568" t="inlineStr">
        <is>
          <t>JÄMTLANDS LÄN</t>
        </is>
      </c>
      <c r="E2568" t="inlineStr">
        <is>
          <t>STRÖMSUND</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52756-2023</t>
        </is>
      </c>
      <c r="B2569" s="1" t="n">
        <v>45225</v>
      </c>
      <c r="C2569" s="1" t="n">
        <v>45795</v>
      </c>
      <c r="D2569" t="inlineStr">
        <is>
          <t>JÄMTLANDS LÄN</t>
        </is>
      </c>
      <c r="E2569" t="inlineStr">
        <is>
          <t>STRÖMSUND</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54549-2023</t>
        </is>
      </c>
      <c r="B2570" s="1" t="n">
        <v>45226</v>
      </c>
      <c r="C2570" s="1" t="n">
        <v>45795</v>
      </c>
      <c r="D2570" t="inlineStr">
        <is>
          <t>JÄMTLANDS LÄN</t>
        </is>
      </c>
      <c r="E2570" t="inlineStr">
        <is>
          <t>STRÖMSUND</t>
        </is>
      </c>
      <c r="G2570" t="n">
        <v>29.2</v>
      </c>
      <c r="H2570" t="n">
        <v>0</v>
      </c>
      <c r="I2570" t="n">
        <v>0</v>
      </c>
      <c r="J2570" t="n">
        <v>0</v>
      </c>
      <c r="K2570" t="n">
        <v>0</v>
      </c>
      <c r="L2570" t="n">
        <v>0</v>
      </c>
      <c r="M2570" t="n">
        <v>0</v>
      </c>
      <c r="N2570" t="n">
        <v>0</v>
      </c>
      <c r="O2570" t="n">
        <v>0</v>
      </c>
      <c r="P2570" t="n">
        <v>0</v>
      </c>
      <c r="Q2570" t="n">
        <v>0</v>
      </c>
      <c r="R2570" s="2" t="inlineStr"/>
    </row>
    <row r="2571" ht="15" customHeight="1">
      <c r="A2571" t="inlineStr">
        <is>
          <t>A 53050-2023</t>
        </is>
      </c>
      <c r="B2571" s="1" t="n">
        <v>45227</v>
      </c>
      <c r="C2571" s="1" t="n">
        <v>45795</v>
      </c>
      <c r="D2571" t="inlineStr">
        <is>
          <t>JÄMTLANDS LÄN</t>
        </is>
      </c>
      <c r="E2571" t="inlineStr">
        <is>
          <t>STRÖMSUND</t>
        </is>
      </c>
      <c r="F2571" t="inlineStr">
        <is>
          <t>SCA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52855-2023</t>
        </is>
      </c>
      <c r="B2572" s="1" t="n">
        <v>45226</v>
      </c>
      <c r="C2572" s="1" t="n">
        <v>45795</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52850-2023</t>
        </is>
      </c>
      <c r="B2573" s="1" t="n">
        <v>45226</v>
      </c>
      <c r="C2573" s="1" t="n">
        <v>45795</v>
      </c>
      <c r="D2573" t="inlineStr">
        <is>
          <t>JÄMTLANDS LÄN</t>
        </is>
      </c>
      <c r="E2573" t="inlineStr">
        <is>
          <t>STRÖMSUND</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52826-2023</t>
        </is>
      </c>
      <c r="B2574" s="1" t="n">
        <v>45226</v>
      </c>
      <c r="C2574" s="1" t="n">
        <v>45795</v>
      </c>
      <c r="D2574" t="inlineStr">
        <is>
          <t>JÄMTLANDS LÄN</t>
        </is>
      </c>
      <c r="E2574" t="inlineStr">
        <is>
          <t>STRÖMSUND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52818-2023</t>
        </is>
      </c>
      <c r="B2575" s="1" t="n">
        <v>45226</v>
      </c>
      <c r="C2575" s="1" t="n">
        <v>45795</v>
      </c>
      <c r="D2575" t="inlineStr">
        <is>
          <t>JÄMTLANDS LÄN</t>
        </is>
      </c>
      <c r="E2575" t="inlineStr">
        <is>
          <t>STRÖMSUND</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53051-2023</t>
        </is>
      </c>
      <c r="B2576" s="1" t="n">
        <v>45227</v>
      </c>
      <c r="C2576" s="1" t="n">
        <v>45795</v>
      </c>
      <c r="D2576" t="inlineStr">
        <is>
          <t>JÄMTLANDS LÄN</t>
        </is>
      </c>
      <c r="E2576" t="inlineStr">
        <is>
          <t>STRÖMSUND</t>
        </is>
      </c>
      <c r="F2576" t="inlineStr">
        <is>
          <t>SCA</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53053-2023</t>
        </is>
      </c>
      <c r="B2577" s="1" t="n">
        <v>45226</v>
      </c>
      <c r="C2577" s="1" t="n">
        <v>45795</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53052-2023</t>
        </is>
      </c>
      <c r="B2578" s="1" t="n">
        <v>45226</v>
      </c>
      <c r="C2578" s="1" t="n">
        <v>45795</v>
      </c>
      <c r="D2578" t="inlineStr">
        <is>
          <t>JÄMTLANDS LÄN</t>
        </is>
      </c>
      <c r="E2578" t="inlineStr">
        <is>
          <t>STRÖMSUND</t>
        </is>
      </c>
      <c r="F2578" t="inlineStr">
        <is>
          <t>SCA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53142-2023</t>
        </is>
      </c>
      <c r="B2579" s="1" t="n">
        <v>45229</v>
      </c>
      <c r="C2579" s="1" t="n">
        <v>45795</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54899-2023</t>
        </is>
      </c>
      <c r="B2580" s="1" t="n">
        <v>45229</v>
      </c>
      <c r="C2580" s="1" t="n">
        <v>45795</v>
      </c>
      <c r="D2580" t="inlineStr">
        <is>
          <t>JÄMTLANDS LÄN</t>
        </is>
      </c>
      <c r="E2580" t="inlineStr">
        <is>
          <t>STRÖMSUND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54063-2023</t>
        </is>
      </c>
      <c r="B2581" s="1" t="n">
        <v>45231</v>
      </c>
      <c r="C2581" s="1" t="n">
        <v>45795</v>
      </c>
      <c r="D2581" t="inlineStr">
        <is>
          <t>JÄMTLANDS LÄN</t>
        </is>
      </c>
      <c r="E2581" t="inlineStr">
        <is>
          <t>STRÖMSUND</t>
        </is>
      </c>
      <c r="F2581" t="inlineStr">
        <is>
          <t>SCA</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54038-2023</t>
        </is>
      </c>
      <c r="B2582" s="1" t="n">
        <v>45231</v>
      </c>
      <c r="C2582" s="1" t="n">
        <v>45795</v>
      </c>
      <c r="D2582" t="inlineStr">
        <is>
          <t>JÄMTLANDS LÄN</t>
        </is>
      </c>
      <c r="E2582" t="inlineStr">
        <is>
          <t>STRÖMSUND</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54042-2023</t>
        </is>
      </c>
      <c r="B2583" s="1" t="n">
        <v>45232</v>
      </c>
      <c r="C2583" s="1" t="n">
        <v>45795</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54066-2023</t>
        </is>
      </c>
      <c r="B2584" s="1" t="n">
        <v>45231</v>
      </c>
      <c r="C2584" s="1" t="n">
        <v>45795</v>
      </c>
      <c r="D2584" t="inlineStr">
        <is>
          <t>JÄMTLANDS LÄN</t>
        </is>
      </c>
      <c r="E2584" t="inlineStr">
        <is>
          <t>STRÖMSUND</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54031-2023</t>
        </is>
      </c>
      <c r="B2585" s="1" t="n">
        <v>45231</v>
      </c>
      <c r="C2585" s="1" t="n">
        <v>45795</v>
      </c>
      <c r="D2585" t="inlineStr">
        <is>
          <t>JÄMTLANDS LÄN</t>
        </is>
      </c>
      <c r="E2585" t="inlineStr">
        <is>
          <t>STRÖMSUND</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54028-2023</t>
        </is>
      </c>
      <c r="B2586" s="1" t="n">
        <v>45231</v>
      </c>
      <c r="C2586" s="1" t="n">
        <v>45795</v>
      </c>
      <c r="D2586" t="inlineStr">
        <is>
          <t>JÄMTLANDS LÄN</t>
        </is>
      </c>
      <c r="E2586" t="inlineStr">
        <is>
          <t>STRÖMSUND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54032-2023</t>
        </is>
      </c>
      <c r="B2587" s="1" t="n">
        <v>45231</v>
      </c>
      <c r="C2587" s="1" t="n">
        <v>45795</v>
      </c>
      <c r="D2587" t="inlineStr">
        <is>
          <t>JÄMTLANDS LÄN</t>
        </is>
      </c>
      <c r="E2587" t="inlineStr">
        <is>
          <t>STRÖMSUND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54061-2023</t>
        </is>
      </c>
      <c r="B2588" s="1" t="n">
        <v>45232</v>
      </c>
      <c r="C2588" s="1" t="n">
        <v>45795</v>
      </c>
      <c r="D2588" t="inlineStr">
        <is>
          <t>JÄMTLANDS LÄN</t>
        </is>
      </c>
      <c r="E2588" t="inlineStr">
        <is>
          <t>STRÖMSUND</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54077-2023</t>
        </is>
      </c>
      <c r="B2589" s="1" t="n">
        <v>45231</v>
      </c>
      <c r="C2589" s="1" t="n">
        <v>45795</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54315-2023</t>
        </is>
      </c>
      <c r="B2590" s="1" t="n">
        <v>45232</v>
      </c>
      <c r="C2590" s="1" t="n">
        <v>45795</v>
      </c>
      <c r="D2590" t="inlineStr">
        <is>
          <t>JÄMTLANDS LÄN</t>
        </is>
      </c>
      <c r="E2590" t="inlineStr">
        <is>
          <t>STRÖMSUND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54319-2023</t>
        </is>
      </c>
      <c r="B2591" s="1" t="n">
        <v>45232</v>
      </c>
      <c r="C2591" s="1" t="n">
        <v>45795</v>
      </c>
      <c r="D2591" t="inlineStr">
        <is>
          <t>JÄMTLANDS LÄN</t>
        </is>
      </c>
      <c r="E2591" t="inlineStr">
        <is>
          <t>STRÖMSUND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56074-2023</t>
        </is>
      </c>
      <c r="B2592" s="1" t="n">
        <v>45233</v>
      </c>
      <c r="C2592" s="1" t="n">
        <v>45795</v>
      </c>
      <c r="D2592" t="inlineStr">
        <is>
          <t>JÄMTLANDS LÄN</t>
        </is>
      </c>
      <c r="E2592" t="inlineStr">
        <is>
          <t>STRÖMSUND</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54482-2023</t>
        </is>
      </c>
      <c r="B2593" s="1" t="n">
        <v>45233</v>
      </c>
      <c r="C2593" s="1" t="n">
        <v>45795</v>
      </c>
      <c r="D2593" t="inlineStr">
        <is>
          <t>JÄMTLANDS LÄN</t>
        </is>
      </c>
      <c r="E2593" t="inlineStr">
        <is>
          <t>STRÖMSUND</t>
        </is>
      </c>
      <c r="F2593" t="inlineStr">
        <is>
          <t>Holmen skog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54478-2023</t>
        </is>
      </c>
      <c r="B2594" s="1" t="n">
        <v>45233</v>
      </c>
      <c r="C2594" s="1" t="n">
        <v>45795</v>
      </c>
      <c r="D2594" t="inlineStr">
        <is>
          <t>JÄMTLANDS LÄN</t>
        </is>
      </c>
      <c r="E2594" t="inlineStr">
        <is>
          <t>STRÖMSUND</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54598-2023</t>
        </is>
      </c>
      <c r="B2595" s="1" t="n">
        <v>45233</v>
      </c>
      <c r="C2595" s="1" t="n">
        <v>45795</v>
      </c>
      <c r="D2595" t="inlineStr">
        <is>
          <t>JÄMTLANDS LÄN</t>
        </is>
      </c>
      <c r="E2595" t="inlineStr">
        <is>
          <t>STRÖMSUND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54479-2023</t>
        </is>
      </c>
      <c r="B2596" s="1" t="n">
        <v>45233</v>
      </c>
      <c r="C2596" s="1" t="n">
        <v>45795</v>
      </c>
      <c r="D2596" t="inlineStr">
        <is>
          <t>JÄMTLANDS LÄN</t>
        </is>
      </c>
      <c r="E2596" t="inlineStr">
        <is>
          <t>STRÖMSUND</t>
        </is>
      </c>
      <c r="F2596" t="inlineStr">
        <is>
          <t>Holmen skog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54753-2023</t>
        </is>
      </c>
      <c r="B2597" s="1" t="n">
        <v>45236</v>
      </c>
      <c r="C2597" s="1" t="n">
        <v>45795</v>
      </c>
      <c r="D2597" t="inlineStr">
        <is>
          <t>JÄMTLANDS LÄN</t>
        </is>
      </c>
      <c r="E2597" t="inlineStr">
        <is>
          <t>STRÖMSUND</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54980-2023</t>
        </is>
      </c>
      <c r="B2598" s="1" t="n">
        <v>45237</v>
      </c>
      <c r="C2598" s="1" t="n">
        <v>45795</v>
      </c>
      <c r="D2598" t="inlineStr">
        <is>
          <t>JÄMTLANDS LÄN</t>
        </is>
      </c>
      <c r="E2598" t="inlineStr">
        <is>
          <t>STRÖMSUND</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54974-2023</t>
        </is>
      </c>
      <c r="B2599" s="1" t="n">
        <v>45236</v>
      </c>
      <c r="C2599" s="1" t="n">
        <v>45795</v>
      </c>
      <c r="D2599" t="inlineStr">
        <is>
          <t>JÄMTLANDS LÄN</t>
        </is>
      </c>
      <c r="E2599" t="inlineStr">
        <is>
          <t>STRÖMSUND</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55073-2023</t>
        </is>
      </c>
      <c r="B2600" s="1" t="n">
        <v>45237</v>
      </c>
      <c r="C2600" s="1" t="n">
        <v>45795</v>
      </c>
      <c r="D2600" t="inlineStr">
        <is>
          <t>JÄMTLANDS LÄN</t>
        </is>
      </c>
      <c r="E2600" t="inlineStr">
        <is>
          <t>STRÖMSUND</t>
        </is>
      </c>
      <c r="G2600" t="n">
        <v>20.5</v>
      </c>
      <c r="H2600" t="n">
        <v>0</v>
      </c>
      <c r="I2600" t="n">
        <v>0</v>
      </c>
      <c r="J2600" t="n">
        <v>0</v>
      </c>
      <c r="K2600" t="n">
        <v>0</v>
      </c>
      <c r="L2600" t="n">
        <v>0</v>
      </c>
      <c r="M2600" t="n">
        <v>0</v>
      </c>
      <c r="N2600" t="n">
        <v>0</v>
      </c>
      <c r="O2600" t="n">
        <v>0</v>
      </c>
      <c r="P2600" t="n">
        <v>0</v>
      </c>
      <c r="Q2600" t="n">
        <v>0</v>
      </c>
      <c r="R2600" s="2" t="inlineStr"/>
    </row>
    <row r="2601" ht="15" customHeight="1">
      <c r="A2601" t="inlineStr">
        <is>
          <t>A 55177-2023</t>
        </is>
      </c>
      <c r="B2601" s="1" t="n">
        <v>45237</v>
      </c>
      <c r="C2601" s="1" t="n">
        <v>45795</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55067-2023</t>
        </is>
      </c>
      <c r="B2602" s="1" t="n">
        <v>45237</v>
      </c>
      <c r="C2602" s="1" t="n">
        <v>45795</v>
      </c>
      <c r="D2602" t="inlineStr">
        <is>
          <t>JÄMTLANDS LÄN</t>
        </is>
      </c>
      <c r="E2602" t="inlineStr">
        <is>
          <t>STRÖMSUND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55156-2023</t>
        </is>
      </c>
      <c r="B2603" s="1" t="n">
        <v>45237</v>
      </c>
      <c r="C2603" s="1" t="n">
        <v>45795</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55321-2023</t>
        </is>
      </c>
      <c r="B2604" s="1" t="n">
        <v>45237</v>
      </c>
      <c r="C2604" s="1" t="n">
        <v>45795</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55322-2023</t>
        </is>
      </c>
      <c r="B2605" s="1" t="n">
        <v>45237</v>
      </c>
      <c r="C2605" s="1" t="n">
        <v>45795</v>
      </c>
      <c r="D2605" t="inlineStr">
        <is>
          <t>JÄMTLANDS LÄN</t>
        </is>
      </c>
      <c r="E2605" t="inlineStr">
        <is>
          <t>STRÖMSUND</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56468-2023</t>
        </is>
      </c>
      <c r="B2606" s="1" t="n">
        <v>45237</v>
      </c>
      <c r="C2606" s="1" t="n">
        <v>45795</v>
      </c>
      <c r="D2606" t="inlineStr">
        <is>
          <t>JÄMTLANDS LÄN</t>
        </is>
      </c>
      <c r="E2606" t="inlineStr">
        <is>
          <t>STRÖMSUND</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55340-2023</t>
        </is>
      </c>
      <c r="B2607" s="1" t="n">
        <v>45237</v>
      </c>
      <c r="C2607" s="1" t="n">
        <v>45795</v>
      </c>
      <c r="D2607" t="inlineStr">
        <is>
          <t>JÄMTLANDS LÄN</t>
        </is>
      </c>
      <c r="E2607" t="inlineStr">
        <is>
          <t>STRÖMSUND</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56422-2023</t>
        </is>
      </c>
      <c r="B2608" s="1" t="n">
        <v>45237</v>
      </c>
      <c r="C2608" s="1" t="n">
        <v>45795</v>
      </c>
      <c r="D2608" t="inlineStr">
        <is>
          <t>JÄMTLANDS LÄN</t>
        </is>
      </c>
      <c r="E2608" t="inlineStr">
        <is>
          <t>STRÖMSUND</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56437-2023</t>
        </is>
      </c>
      <c r="B2609" s="1" t="n">
        <v>45237</v>
      </c>
      <c r="C2609" s="1" t="n">
        <v>45795</v>
      </c>
      <c r="D2609" t="inlineStr">
        <is>
          <t>JÄMTLANDS LÄN</t>
        </is>
      </c>
      <c r="E2609" t="inlineStr">
        <is>
          <t>STRÖMSUND</t>
        </is>
      </c>
      <c r="G2609" t="n">
        <v>35.8</v>
      </c>
      <c r="H2609" t="n">
        <v>0</v>
      </c>
      <c r="I2609" t="n">
        <v>0</v>
      </c>
      <c r="J2609" t="n">
        <v>0</v>
      </c>
      <c r="K2609" t="n">
        <v>0</v>
      </c>
      <c r="L2609" t="n">
        <v>0</v>
      </c>
      <c r="M2609" t="n">
        <v>0</v>
      </c>
      <c r="N2609" t="n">
        <v>0</v>
      </c>
      <c r="O2609" t="n">
        <v>0</v>
      </c>
      <c r="P2609" t="n">
        <v>0</v>
      </c>
      <c r="Q2609" t="n">
        <v>0</v>
      </c>
      <c r="R2609" s="2" t="inlineStr"/>
    </row>
    <row r="2610" ht="15" customHeight="1">
      <c r="A2610" t="inlineStr">
        <is>
          <t>A 55323-2023</t>
        </is>
      </c>
      <c r="B2610" s="1" t="n">
        <v>45237</v>
      </c>
      <c r="C2610" s="1" t="n">
        <v>45795</v>
      </c>
      <c r="D2610" t="inlineStr">
        <is>
          <t>JÄMTLANDS LÄN</t>
        </is>
      </c>
      <c r="E2610" t="inlineStr">
        <is>
          <t>STRÖMSUND</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56484-2023</t>
        </is>
      </c>
      <c r="B2611" s="1" t="n">
        <v>45237</v>
      </c>
      <c r="C2611" s="1" t="n">
        <v>45795</v>
      </c>
      <c r="D2611" t="inlineStr">
        <is>
          <t>JÄMTLANDS LÄN</t>
        </is>
      </c>
      <c r="E2611" t="inlineStr">
        <is>
          <t>STRÖMSUND</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56480-2023</t>
        </is>
      </c>
      <c r="B2612" s="1" t="n">
        <v>45237</v>
      </c>
      <c r="C2612" s="1" t="n">
        <v>45795</v>
      </c>
      <c r="D2612" t="inlineStr">
        <is>
          <t>JÄMTLANDS LÄN</t>
        </is>
      </c>
      <c r="E2612" t="inlineStr">
        <is>
          <t>STRÖMSUND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56490-2023</t>
        </is>
      </c>
      <c r="B2613" s="1" t="n">
        <v>45237</v>
      </c>
      <c r="C2613" s="1" t="n">
        <v>45795</v>
      </c>
      <c r="D2613" t="inlineStr">
        <is>
          <t>JÄMTLANDS LÄN</t>
        </is>
      </c>
      <c r="E2613" t="inlineStr">
        <is>
          <t>STRÖMSUND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55657-2023</t>
        </is>
      </c>
      <c r="B2614" s="1" t="n">
        <v>45238</v>
      </c>
      <c r="C2614" s="1" t="n">
        <v>45795</v>
      </c>
      <c r="D2614" t="inlineStr">
        <is>
          <t>JÄMTLANDS LÄN</t>
        </is>
      </c>
      <c r="E2614" t="inlineStr">
        <is>
          <t>STRÖMSUND</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55656-2023</t>
        </is>
      </c>
      <c r="B2615" s="1" t="n">
        <v>45239</v>
      </c>
      <c r="C2615" s="1" t="n">
        <v>45795</v>
      </c>
      <c r="D2615" t="inlineStr">
        <is>
          <t>JÄMTLANDS LÄN</t>
        </is>
      </c>
      <c r="E2615" t="inlineStr">
        <is>
          <t>STRÖMSUND</t>
        </is>
      </c>
      <c r="F2615" t="inlineStr">
        <is>
          <t>SCA</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55655-2023</t>
        </is>
      </c>
      <c r="B2616" s="1" t="n">
        <v>45239</v>
      </c>
      <c r="C2616" s="1" t="n">
        <v>45795</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57476-2023</t>
        </is>
      </c>
      <c r="B2617" s="1" t="n">
        <v>45240</v>
      </c>
      <c r="C2617" s="1" t="n">
        <v>45795</v>
      </c>
      <c r="D2617" t="inlineStr">
        <is>
          <t>JÄMTLANDS LÄN</t>
        </is>
      </c>
      <c r="E2617" t="inlineStr">
        <is>
          <t>STRÖMSUND</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57348-2023</t>
        </is>
      </c>
      <c r="B2618" s="1" t="n">
        <v>45240</v>
      </c>
      <c r="C2618" s="1" t="n">
        <v>45795</v>
      </c>
      <c r="D2618" t="inlineStr">
        <is>
          <t>JÄMTLANDS LÄN</t>
        </is>
      </c>
      <c r="E2618" t="inlineStr">
        <is>
          <t>STRÖMSUND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57361-2023</t>
        </is>
      </c>
      <c r="B2619" s="1" t="n">
        <v>45240</v>
      </c>
      <c r="C2619" s="1" t="n">
        <v>45795</v>
      </c>
      <c r="D2619" t="inlineStr">
        <is>
          <t>JÄMTLANDS LÄN</t>
        </is>
      </c>
      <c r="E2619" t="inlineStr">
        <is>
          <t>STRÖMSUND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57431-2023</t>
        </is>
      </c>
      <c r="B2620" s="1" t="n">
        <v>45240</v>
      </c>
      <c r="C2620" s="1" t="n">
        <v>45795</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57429-2023</t>
        </is>
      </c>
      <c r="B2621" s="1" t="n">
        <v>45240</v>
      </c>
      <c r="C2621" s="1" t="n">
        <v>45795</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56312-2023</t>
        </is>
      </c>
      <c r="B2622" s="1" t="n">
        <v>45242</v>
      </c>
      <c r="C2622" s="1" t="n">
        <v>45795</v>
      </c>
      <c r="D2622" t="inlineStr">
        <is>
          <t>JÄMTLANDS LÄN</t>
        </is>
      </c>
      <c r="E2622" t="inlineStr">
        <is>
          <t>STRÖMSUND</t>
        </is>
      </c>
      <c r="F2622" t="inlineStr">
        <is>
          <t>SCA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56313-2023</t>
        </is>
      </c>
      <c r="B2623" s="1" t="n">
        <v>45243</v>
      </c>
      <c r="C2623" s="1" t="n">
        <v>45795</v>
      </c>
      <c r="D2623" t="inlineStr">
        <is>
          <t>JÄMTLANDS LÄN</t>
        </is>
      </c>
      <c r="E2623" t="inlineStr">
        <is>
          <t>STRÖMSUND</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56314-2023</t>
        </is>
      </c>
      <c r="B2624" s="1" t="n">
        <v>45243</v>
      </c>
      <c r="C2624" s="1" t="n">
        <v>45795</v>
      </c>
      <c r="D2624" t="inlineStr">
        <is>
          <t>JÄMTLANDS LÄN</t>
        </is>
      </c>
      <c r="E2624" t="inlineStr">
        <is>
          <t>STRÖMSUND</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56691-2023</t>
        </is>
      </c>
      <c r="B2625" s="1" t="n">
        <v>45244</v>
      </c>
      <c r="C2625" s="1" t="n">
        <v>45795</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57805-2023</t>
        </is>
      </c>
      <c r="B2626" s="1" t="n">
        <v>45243</v>
      </c>
      <c r="C2626" s="1" t="n">
        <v>45795</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57729-2023</t>
        </is>
      </c>
      <c r="B2627" s="1" t="n">
        <v>45243</v>
      </c>
      <c r="C2627" s="1" t="n">
        <v>45795</v>
      </c>
      <c r="D2627" t="inlineStr">
        <is>
          <t>JÄMTLANDS LÄN</t>
        </is>
      </c>
      <c r="E2627" t="inlineStr">
        <is>
          <t>STRÖMSUND</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57804-2023</t>
        </is>
      </c>
      <c r="B2628" s="1" t="n">
        <v>45243</v>
      </c>
      <c r="C2628" s="1" t="n">
        <v>45795</v>
      </c>
      <c r="D2628" t="inlineStr">
        <is>
          <t>JÄMTLANDS LÄN</t>
        </is>
      </c>
      <c r="E2628" t="inlineStr">
        <is>
          <t>STRÖMSUND</t>
        </is>
      </c>
      <c r="F2628" t="inlineStr">
        <is>
          <t>SCA</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57055-2023</t>
        </is>
      </c>
      <c r="B2629" s="1" t="n">
        <v>45244</v>
      </c>
      <c r="C2629" s="1" t="n">
        <v>45795</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57048-2023</t>
        </is>
      </c>
      <c r="B2630" s="1" t="n">
        <v>45244</v>
      </c>
      <c r="C2630" s="1" t="n">
        <v>45795</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57068-2023</t>
        </is>
      </c>
      <c r="B2631" s="1" t="n">
        <v>45244</v>
      </c>
      <c r="C2631" s="1" t="n">
        <v>45795</v>
      </c>
      <c r="D2631" t="inlineStr">
        <is>
          <t>JÄMTLANDS LÄN</t>
        </is>
      </c>
      <c r="E2631" t="inlineStr">
        <is>
          <t>STRÖMSUND</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57084-2023</t>
        </is>
      </c>
      <c r="B2632" s="1" t="n">
        <v>45245</v>
      </c>
      <c r="C2632" s="1" t="n">
        <v>45795</v>
      </c>
      <c r="D2632" t="inlineStr">
        <is>
          <t>JÄMTLANDS LÄN</t>
        </is>
      </c>
      <c r="E2632" t="inlineStr">
        <is>
          <t>STRÖMSUND</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57083-2023</t>
        </is>
      </c>
      <c r="B2633" s="1" t="n">
        <v>45244</v>
      </c>
      <c r="C2633" s="1" t="n">
        <v>45795</v>
      </c>
      <c r="D2633" t="inlineStr">
        <is>
          <t>JÄMTLANDS LÄN</t>
        </is>
      </c>
      <c r="E2633" t="inlineStr">
        <is>
          <t>STRÖMSUND</t>
        </is>
      </c>
      <c r="F2633" t="inlineStr">
        <is>
          <t>SCA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57082-2023</t>
        </is>
      </c>
      <c r="B2634" s="1" t="n">
        <v>45245</v>
      </c>
      <c r="C2634" s="1" t="n">
        <v>45795</v>
      </c>
      <c r="D2634" t="inlineStr">
        <is>
          <t>JÄMTLANDS LÄN</t>
        </is>
      </c>
      <c r="E2634" t="inlineStr">
        <is>
          <t>STRÖMSUND</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57049-2023</t>
        </is>
      </c>
      <c r="B2635" s="1" t="n">
        <v>45244</v>
      </c>
      <c r="C2635" s="1" t="n">
        <v>45795</v>
      </c>
      <c r="D2635" t="inlineStr">
        <is>
          <t>JÄMTLANDS LÄN</t>
        </is>
      </c>
      <c r="E2635" t="inlineStr">
        <is>
          <t>STRÖMSUND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57069-2023</t>
        </is>
      </c>
      <c r="B2636" s="1" t="n">
        <v>45244</v>
      </c>
      <c r="C2636" s="1" t="n">
        <v>45795</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57077-2023</t>
        </is>
      </c>
      <c r="B2637" s="1" t="n">
        <v>45245</v>
      </c>
      <c r="C2637" s="1" t="n">
        <v>45795</v>
      </c>
      <c r="D2637" t="inlineStr">
        <is>
          <t>JÄMTLANDS LÄN</t>
        </is>
      </c>
      <c r="E2637" t="inlineStr">
        <is>
          <t>STRÖMSUND</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57081-2023</t>
        </is>
      </c>
      <c r="B2638" s="1" t="n">
        <v>45244</v>
      </c>
      <c r="C2638" s="1" t="n">
        <v>45795</v>
      </c>
      <c r="D2638" t="inlineStr">
        <is>
          <t>JÄMTLANDS LÄN</t>
        </is>
      </c>
      <c r="E2638" t="inlineStr">
        <is>
          <t>STRÖMSUND</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57416-2023</t>
        </is>
      </c>
      <c r="B2639" s="1" t="n">
        <v>45245</v>
      </c>
      <c r="C2639" s="1" t="n">
        <v>45795</v>
      </c>
      <c r="D2639" t="inlineStr">
        <is>
          <t>JÄMTLANDS LÄN</t>
        </is>
      </c>
      <c r="E2639" t="inlineStr">
        <is>
          <t>STRÖMSUND</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57382-2023</t>
        </is>
      </c>
      <c r="B2640" s="1" t="n">
        <v>45245</v>
      </c>
      <c r="C2640" s="1" t="n">
        <v>45795</v>
      </c>
      <c r="D2640" t="inlineStr">
        <is>
          <t>JÄMTLANDS LÄN</t>
        </is>
      </c>
      <c r="E2640" t="inlineStr">
        <is>
          <t>STRÖMSUND</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57385-2023</t>
        </is>
      </c>
      <c r="B2641" s="1" t="n">
        <v>45245</v>
      </c>
      <c r="C2641" s="1" t="n">
        <v>45795</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57383-2023</t>
        </is>
      </c>
      <c r="B2642" s="1" t="n">
        <v>45245</v>
      </c>
      <c r="C2642" s="1" t="n">
        <v>45795</v>
      </c>
      <c r="D2642" t="inlineStr">
        <is>
          <t>JÄMTLANDS LÄN</t>
        </is>
      </c>
      <c r="E2642" t="inlineStr">
        <is>
          <t>STRÖMSUND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57387-2023</t>
        </is>
      </c>
      <c r="B2643" s="1" t="n">
        <v>45245</v>
      </c>
      <c r="C2643" s="1" t="n">
        <v>45795</v>
      </c>
      <c r="D2643" t="inlineStr">
        <is>
          <t>JÄMTLANDS LÄN</t>
        </is>
      </c>
      <c r="E2643" t="inlineStr">
        <is>
          <t>STRÖMSUND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57415-2023</t>
        </is>
      </c>
      <c r="B2644" s="1" t="n">
        <v>45246</v>
      </c>
      <c r="C2644" s="1" t="n">
        <v>45795</v>
      </c>
      <c r="D2644" t="inlineStr">
        <is>
          <t>JÄMTLANDS LÄN</t>
        </is>
      </c>
      <c r="E2644" t="inlineStr">
        <is>
          <t>STRÖMSUND</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57501-2023</t>
        </is>
      </c>
      <c r="B2645" s="1" t="n">
        <v>45246</v>
      </c>
      <c r="C2645" s="1" t="n">
        <v>45795</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57581-2023</t>
        </is>
      </c>
      <c r="B2646" s="1" t="n">
        <v>45246</v>
      </c>
      <c r="C2646" s="1" t="n">
        <v>45795</v>
      </c>
      <c r="D2646" t="inlineStr">
        <is>
          <t>JÄMTLANDS LÄN</t>
        </is>
      </c>
      <c r="E2646" t="inlineStr">
        <is>
          <t>STRÖMSUND</t>
        </is>
      </c>
      <c r="F2646" t="inlineStr">
        <is>
          <t>Holmen skog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57450-2023</t>
        </is>
      </c>
      <c r="B2647" s="1" t="n">
        <v>45246</v>
      </c>
      <c r="C2647" s="1" t="n">
        <v>45795</v>
      </c>
      <c r="D2647" t="inlineStr">
        <is>
          <t>JÄMTLANDS LÄN</t>
        </is>
      </c>
      <c r="E2647" t="inlineStr">
        <is>
          <t>STRÖMSUND</t>
        </is>
      </c>
      <c r="F2647" t="inlineStr">
        <is>
          <t>Holmen skog AB</t>
        </is>
      </c>
      <c r="G2647" t="n">
        <v>19.5</v>
      </c>
      <c r="H2647" t="n">
        <v>0</v>
      </c>
      <c r="I2647" t="n">
        <v>0</v>
      </c>
      <c r="J2647" t="n">
        <v>0</v>
      </c>
      <c r="K2647" t="n">
        <v>0</v>
      </c>
      <c r="L2647" t="n">
        <v>0</v>
      </c>
      <c r="M2647" t="n">
        <v>0</v>
      </c>
      <c r="N2647" t="n">
        <v>0</v>
      </c>
      <c r="O2647" t="n">
        <v>0</v>
      </c>
      <c r="P2647" t="n">
        <v>0</v>
      </c>
      <c r="Q2647" t="n">
        <v>0</v>
      </c>
      <c r="R2647" s="2" t="inlineStr"/>
    </row>
    <row r="2648" ht="15" customHeight="1">
      <c r="A2648" t="inlineStr">
        <is>
          <t>A 57454-2023</t>
        </is>
      </c>
      <c r="B2648" s="1" t="n">
        <v>45246</v>
      </c>
      <c r="C2648" s="1" t="n">
        <v>45795</v>
      </c>
      <c r="D2648" t="inlineStr">
        <is>
          <t>JÄMTLANDS LÄN</t>
        </is>
      </c>
      <c r="E2648" t="inlineStr">
        <is>
          <t>STRÖMSUND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57499-2023</t>
        </is>
      </c>
      <c r="B2649" s="1" t="n">
        <v>45246</v>
      </c>
      <c r="C2649" s="1" t="n">
        <v>45795</v>
      </c>
      <c r="D2649" t="inlineStr">
        <is>
          <t>JÄMTLANDS LÄN</t>
        </is>
      </c>
      <c r="E2649" t="inlineStr">
        <is>
          <t>STRÖMSUND</t>
        </is>
      </c>
      <c r="F2649" t="inlineStr">
        <is>
          <t>Holmen skog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57504-2023</t>
        </is>
      </c>
      <c r="B2650" s="1" t="n">
        <v>45246</v>
      </c>
      <c r="C2650" s="1" t="n">
        <v>45795</v>
      </c>
      <c r="D2650" t="inlineStr">
        <is>
          <t>JÄMTLANDS LÄN</t>
        </is>
      </c>
      <c r="E2650" t="inlineStr">
        <is>
          <t>STRÖMSUND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57507-2023</t>
        </is>
      </c>
      <c r="B2651" s="1" t="n">
        <v>45246</v>
      </c>
      <c r="C2651" s="1" t="n">
        <v>45795</v>
      </c>
      <c r="D2651" t="inlineStr">
        <is>
          <t>JÄMTLANDS LÄN</t>
        </is>
      </c>
      <c r="E2651" t="inlineStr">
        <is>
          <t>STRÖMSUND</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57540-2023</t>
        </is>
      </c>
      <c r="B2652" s="1" t="n">
        <v>45246</v>
      </c>
      <c r="C2652" s="1" t="n">
        <v>45795</v>
      </c>
      <c r="D2652" t="inlineStr">
        <is>
          <t>JÄMTLANDS LÄN</t>
        </is>
      </c>
      <c r="E2652" t="inlineStr">
        <is>
          <t>STRÖMSUND</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57549-2023</t>
        </is>
      </c>
      <c r="B2653" s="1" t="n">
        <v>45246</v>
      </c>
      <c r="C2653" s="1" t="n">
        <v>45795</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57445-2023</t>
        </is>
      </c>
      <c r="B2654" s="1" t="n">
        <v>45246</v>
      </c>
      <c r="C2654" s="1" t="n">
        <v>45795</v>
      </c>
      <c r="D2654" t="inlineStr">
        <is>
          <t>JÄMTLANDS LÄN</t>
        </is>
      </c>
      <c r="E2654" t="inlineStr">
        <is>
          <t>STRÖMSUND</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57537-2023</t>
        </is>
      </c>
      <c r="B2655" s="1" t="n">
        <v>45246</v>
      </c>
      <c r="C2655" s="1" t="n">
        <v>45795</v>
      </c>
      <c r="D2655" t="inlineStr">
        <is>
          <t>JÄMTLANDS LÄN</t>
        </is>
      </c>
      <c r="E2655" t="inlineStr">
        <is>
          <t>STRÖMSUND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57542-2023</t>
        </is>
      </c>
      <c r="B2656" s="1" t="n">
        <v>45246</v>
      </c>
      <c r="C2656" s="1" t="n">
        <v>45795</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57748-2023</t>
        </is>
      </c>
      <c r="B2657" s="1" t="n">
        <v>45246</v>
      </c>
      <c r="C2657" s="1" t="n">
        <v>45795</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57596-2023</t>
        </is>
      </c>
      <c r="B2658" s="1" t="n">
        <v>45246</v>
      </c>
      <c r="C2658" s="1" t="n">
        <v>45795</v>
      </c>
      <c r="D2658" t="inlineStr">
        <is>
          <t>JÄMTLANDS LÄN</t>
        </is>
      </c>
      <c r="E2658" t="inlineStr">
        <is>
          <t>STRÖMSUND</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57789-2023</t>
        </is>
      </c>
      <c r="B2659" s="1" t="n">
        <v>45247</v>
      </c>
      <c r="C2659" s="1" t="n">
        <v>45795</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58584-2023</t>
        </is>
      </c>
      <c r="B2660" s="1" t="n">
        <v>45246</v>
      </c>
      <c r="C2660" s="1" t="n">
        <v>45795</v>
      </c>
      <c r="D2660" t="inlineStr">
        <is>
          <t>JÄMTLANDS LÄN</t>
        </is>
      </c>
      <c r="E2660" t="inlineStr">
        <is>
          <t>STRÖMSUND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57907-2023</t>
        </is>
      </c>
      <c r="B2661" s="1" t="n">
        <v>45247</v>
      </c>
      <c r="C2661" s="1" t="n">
        <v>45795</v>
      </c>
      <c r="D2661" t="inlineStr">
        <is>
          <t>JÄMTLANDS LÄN</t>
        </is>
      </c>
      <c r="E2661" t="inlineStr">
        <is>
          <t>STRÖMSUND</t>
        </is>
      </c>
      <c r="F2661" t="inlineStr">
        <is>
          <t>Kyrkan</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57912-2023</t>
        </is>
      </c>
      <c r="B2662" s="1" t="n">
        <v>45247</v>
      </c>
      <c r="C2662" s="1" t="n">
        <v>45795</v>
      </c>
      <c r="D2662" t="inlineStr">
        <is>
          <t>JÄMTLANDS LÄN</t>
        </is>
      </c>
      <c r="E2662" t="inlineStr">
        <is>
          <t>STRÖMSUND</t>
        </is>
      </c>
      <c r="F2662" t="inlineStr">
        <is>
          <t>Kyrkan</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57894-2023</t>
        </is>
      </c>
      <c r="B2663" s="1" t="n">
        <v>45247</v>
      </c>
      <c r="C2663" s="1" t="n">
        <v>45795</v>
      </c>
      <c r="D2663" t="inlineStr">
        <is>
          <t>JÄMTLANDS LÄN</t>
        </is>
      </c>
      <c r="E2663" t="inlineStr">
        <is>
          <t>STRÖMSUND</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57905-2023</t>
        </is>
      </c>
      <c r="B2664" s="1" t="n">
        <v>45247</v>
      </c>
      <c r="C2664" s="1" t="n">
        <v>45795</v>
      </c>
      <c r="D2664" t="inlineStr">
        <is>
          <t>JÄMTLANDS LÄN</t>
        </is>
      </c>
      <c r="E2664" t="inlineStr">
        <is>
          <t>STRÖMSUND</t>
        </is>
      </c>
      <c r="F2664" t="inlineStr">
        <is>
          <t>Kyrkan</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58076-2023</t>
        </is>
      </c>
      <c r="B2665" s="1" t="n">
        <v>45247</v>
      </c>
      <c r="C2665" s="1" t="n">
        <v>45795</v>
      </c>
      <c r="D2665" t="inlineStr">
        <is>
          <t>JÄMTLANDS LÄN</t>
        </is>
      </c>
      <c r="E2665" t="inlineStr">
        <is>
          <t>STRÖMSUND</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58152-2023</t>
        </is>
      </c>
      <c r="B2666" s="1" t="n">
        <v>45250</v>
      </c>
      <c r="C2666" s="1" t="n">
        <v>45795</v>
      </c>
      <c r="D2666" t="inlineStr">
        <is>
          <t>JÄMTLANDS LÄN</t>
        </is>
      </c>
      <c r="E2666" t="inlineStr">
        <is>
          <t>STRÖMSUND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58446-2023</t>
        </is>
      </c>
      <c r="B2667" s="1" t="n">
        <v>45250</v>
      </c>
      <c r="C2667" s="1" t="n">
        <v>45795</v>
      </c>
      <c r="D2667" t="inlineStr">
        <is>
          <t>JÄMTLANDS LÄN</t>
        </is>
      </c>
      <c r="E2667" t="inlineStr">
        <is>
          <t>STRÖMSUND</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58445-2023</t>
        </is>
      </c>
      <c r="B2668" s="1" t="n">
        <v>45250</v>
      </c>
      <c r="C2668" s="1" t="n">
        <v>45795</v>
      </c>
      <c r="D2668" t="inlineStr">
        <is>
          <t>JÄMTLANDS LÄN</t>
        </is>
      </c>
      <c r="E2668" t="inlineStr">
        <is>
          <t>STRÖMSUND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58580-2023</t>
        </is>
      </c>
      <c r="B2669" s="1" t="n">
        <v>45251</v>
      </c>
      <c r="C2669" s="1" t="n">
        <v>45795</v>
      </c>
      <c r="D2669" t="inlineStr">
        <is>
          <t>JÄMTLANDS LÄN</t>
        </is>
      </c>
      <c r="E2669" t="inlineStr">
        <is>
          <t>STRÖMSUND</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58587-2023</t>
        </is>
      </c>
      <c r="B2670" s="1" t="n">
        <v>45251</v>
      </c>
      <c r="C2670" s="1" t="n">
        <v>45795</v>
      </c>
      <c r="D2670" t="inlineStr">
        <is>
          <t>JÄMTLANDS LÄN</t>
        </is>
      </c>
      <c r="E2670" t="inlineStr">
        <is>
          <t>STRÖMSUND</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59108-2023</t>
        </is>
      </c>
      <c r="B2671" s="1" t="n">
        <v>45251</v>
      </c>
      <c r="C2671" s="1" t="n">
        <v>45795</v>
      </c>
      <c r="D2671" t="inlineStr">
        <is>
          <t>JÄMTLANDS LÄN</t>
        </is>
      </c>
      <c r="E2671" t="inlineStr">
        <is>
          <t>STRÖMSUND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59149-2023</t>
        </is>
      </c>
      <c r="B2672" s="1" t="n">
        <v>45251</v>
      </c>
      <c r="C2672" s="1" t="n">
        <v>45795</v>
      </c>
      <c r="D2672" t="inlineStr">
        <is>
          <t>JÄMTLANDS LÄN</t>
        </is>
      </c>
      <c r="E2672" t="inlineStr">
        <is>
          <t>STRÖMSUND</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58871-2023</t>
        </is>
      </c>
      <c r="B2673" s="1" t="n">
        <v>45252</v>
      </c>
      <c r="C2673" s="1" t="n">
        <v>45795</v>
      </c>
      <c r="D2673" t="inlineStr">
        <is>
          <t>JÄMTLANDS LÄN</t>
        </is>
      </c>
      <c r="E2673" t="inlineStr">
        <is>
          <t>STRÖMSUND</t>
        </is>
      </c>
      <c r="F2673" t="inlineStr">
        <is>
          <t>Holmen skog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58881-2023</t>
        </is>
      </c>
      <c r="B2674" s="1" t="n">
        <v>45252</v>
      </c>
      <c r="C2674" s="1" t="n">
        <v>45795</v>
      </c>
      <c r="D2674" t="inlineStr">
        <is>
          <t>JÄMTLANDS LÄN</t>
        </is>
      </c>
      <c r="E2674" t="inlineStr">
        <is>
          <t>STRÖMSUND</t>
        </is>
      </c>
      <c r="F2674" t="inlineStr">
        <is>
          <t>Holmen skog AB</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59097-2023</t>
        </is>
      </c>
      <c r="B2675" s="1" t="n">
        <v>45253</v>
      </c>
      <c r="C2675" s="1" t="n">
        <v>45795</v>
      </c>
      <c r="D2675" t="inlineStr">
        <is>
          <t>JÄMTLANDS LÄN</t>
        </is>
      </c>
      <c r="E2675" t="inlineStr">
        <is>
          <t>STRÖMSUND</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59334-2023</t>
        </is>
      </c>
      <c r="B2676" s="1" t="n">
        <v>45252</v>
      </c>
      <c r="C2676" s="1" t="n">
        <v>45795</v>
      </c>
      <c r="D2676" t="inlineStr">
        <is>
          <t>JÄMTLANDS LÄN</t>
        </is>
      </c>
      <c r="E2676" t="inlineStr">
        <is>
          <t>STRÖMSUND</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59360-2023</t>
        </is>
      </c>
      <c r="B2677" s="1" t="n">
        <v>45253</v>
      </c>
      <c r="C2677" s="1" t="n">
        <v>45795</v>
      </c>
      <c r="D2677" t="inlineStr">
        <is>
          <t>JÄMTLANDS LÄN</t>
        </is>
      </c>
      <c r="E2677" t="inlineStr">
        <is>
          <t>STRÖMSUND</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59358-2023</t>
        </is>
      </c>
      <c r="B2678" s="1" t="n">
        <v>45253</v>
      </c>
      <c r="C2678" s="1" t="n">
        <v>45795</v>
      </c>
      <c r="D2678" t="inlineStr">
        <is>
          <t>JÄMTLANDS LÄN</t>
        </is>
      </c>
      <c r="E2678" t="inlineStr">
        <is>
          <t>STRÖMSUND</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59403-2023</t>
        </is>
      </c>
      <c r="B2679" s="1" t="n">
        <v>45253</v>
      </c>
      <c r="C2679" s="1" t="n">
        <v>45795</v>
      </c>
      <c r="D2679" t="inlineStr">
        <is>
          <t>JÄMTLANDS LÄN</t>
        </is>
      </c>
      <c r="E2679" t="inlineStr">
        <is>
          <t>STRÖMSUND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59436-2023</t>
        </is>
      </c>
      <c r="B2680" s="1" t="n">
        <v>45253</v>
      </c>
      <c r="C2680" s="1" t="n">
        <v>45795</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59506-2023</t>
        </is>
      </c>
      <c r="B2681" s="1" t="n">
        <v>45253</v>
      </c>
      <c r="C2681" s="1" t="n">
        <v>45795</v>
      </c>
      <c r="D2681" t="inlineStr">
        <is>
          <t>JÄMTLANDS LÄN</t>
        </is>
      </c>
      <c r="E2681" t="inlineStr">
        <is>
          <t>STRÖMSUND</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59476-2023</t>
        </is>
      </c>
      <c r="B2682" s="1" t="n">
        <v>45254</v>
      </c>
      <c r="C2682" s="1" t="n">
        <v>45795</v>
      </c>
      <c r="D2682" t="inlineStr">
        <is>
          <t>JÄMTLANDS LÄN</t>
        </is>
      </c>
      <c r="E2682" t="inlineStr">
        <is>
          <t>STRÖMSUND</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59469-2023</t>
        </is>
      </c>
      <c r="B2683" s="1" t="n">
        <v>45254</v>
      </c>
      <c r="C2683" s="1" t="n">
        <v>45795</v>
      </c>
      <c r="D2683" t="inlineStr">
        <is>
          <t>JÄMTLANDS LÄN</t>
        </is>
      </c>
      <c r="E2683" t="inlineStr">
        <is>
          <t>STRÖMSUND</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59478-2023</t>
        </is>
      </c>
      <c r="B2684" s="1" t="n">
        <v>45254</v>
      </c>
      <c r="C2684" s="1" t="n">
        <v>45795</v>
      </c>
      <c r="D2684" t="inlineStr">
        <is>
          <t>JÄMTLANDS LÄN</t>
        </is>
      </c>
      <c r="E2684" t="inlineStr">
        <is>
          <t>STRÖMSUND</t>
        </is>
      </c>
      <c r="F2684" t="inlineStr">
        <is>
          <t>Holmen skog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59969-2023</t>
        </is>
      </c>
      <c r="B2685" s="1" t="n">
        <v>45254</v>
      </c>
      <c r="C2685" s="1" t="n">
        <v>45795</v>
      </c>
      <c r="D2685" t="inlineStr">
        <is>
          <t>JÄMTLANDS LÄN</t>
        </is>
      </c>
      <c r="E2685" t="inlineStr">
        <is>
          <t>STRÖMSUND</t>
        </is>
      </c>
      <c r="G2685" t="n">
        <v>23.3</v>
      </c>
      <c r="H2685" t="n">
        <v>0</v>
      </c>
      <c r="I2685" t="n">
        <v>0</v>
      </c>
      <c r="J2685" t="n">
        <v>0</v>
      </c>
      <c r="K2685" t="n">
        <v>0</v>
      </c>
      <c r="L2685" t="n">
        <v>0</v>
      </c>
      <c r="M2685" t="n">
        <v>0</v>
      </c>
      <c r="N2685" t="n">
        <v>0</v>
      </c>
      <c r="O2685" t="n">
        <v>0</v>
      </c>
      <c r="P2685" t="n">
        <v>0</v>
      </c>
      <c r="Q2685" t="n">
        <v>0</v>
      </c>
      <c r="R2685" s="2" t="inlineStr"/>
    </row>
    <row r="2686" ht="15" customHeight="1">
      <c r="A2686" t="inlineStr">
        <is>
          <t>A 59967-2023</t>
        </is>
      </c>
      <c r="B2686" s="1" t="n">
        <v>45254</v>
      </c>
      <c r="C2686" s="1" t="n">
        <v>45795</v>
      </c>
      <c r="D2686" t="inlineStr">
        <is>
          <t>JÄMTLANDS LÄN</t>
        </is>
      </c>
      <c r="E2686" t="inlineStr">
        <is>
          <t>STRÖMSUND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59742-2023</t>
        </is>
      </c>
      <c r="B2687" s="1" t="n">
        <v>45257</v>
      </c>
      <c r="C2687" s="1" t="n">
        <v>45795</v>
      </c>
      <c r="D2687" t="inlineStr">
        <is>
          <t>JÄMTLANDS LÄN</t>
        </is>
      </c>
      <c r="E2687" t="inlineStr">
        <is>
          <t>STRÖMSUND</t>
        </is>
      </c>
      <c r="F2687" t="inlineStr">
        <is>
          <t>Sveaskog</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60175-2023</t>
        </is>
      </c>
      <c r="B2688" s="1" t="n">
        <v>45257</v>
      </c>
      <c r="C2688" s="1" t="n">
        <v>45795</v>
      </c>
      <c r="D2688" t="inlineStr">
        <is>
          <t>JÄMTLANDS LÄN</t>
        </is>
      </c>
      <c r="E2688" t="inlineStr">
        <is>
          <t>STRÖMSUND</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60009-2023</t>
        </is>
      </c>
      <c r="B2689" s="1" t="n">
        <v>45258</v>
      </c>
      <c r="C2689" s="1" t="n">
        <v>45795</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60014-2023</t>
        </is>
      </c>
      <c r="B2690" s="1" t="n">
        <v>45258</v>
      </c>
      <c r="C2690" s="1" t="n">
        <v>45795</v>
      </c>
      <c r="D2690" t="inlineStr">
        <is>
          <t>JÄMTLANDS LÄN</t>
        </is>
      </c>
      <c r="E2690" t="inlineStr">
        <is>
          <t>STRÖMSUND</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60166-2023</t>
        </is>
      </c>
      <c r="B2691" s="1" t="n">
        <v>45257</v>
      </c>
      <c r="C2691" s="1" t="n">
        <v>45795</v>
      </c>
      <c r="D2691" t="inlineStr">
        <is>
          <t>JÄMTLANDS LÄN</t>
        </is>
      </c>
      <c r="E2691" t="inlineStr">
        <is>
          <t>STRÖMSUND</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60010-2023</t>
        </is>
      </c>
      <c r="B2692" s="1" t="n">
        <v>45257</v>
      </c>
      <c r="C2692" s="1" t="n">
        <v>45795</v>
      </c>
      <c r="D2692" t="inlineStr">
        <is>
          <t>JÄMTLANDS LÄN</t>
        </is>
      </c>
      <c r="E2692" t="inlineStr">
        <is>
          <t>STRÖMSUND</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60517-2023</t>
        </is>
      </c>
      <c r="B2693" s="1" t="n">
        <v>45257</v>
      </c>
      <c r="C2693" s="1" t="n">
        <v>45795</v>
      </c>
      <c r="D2693" t="inlineStr">
        <is>
          <t>JÄMTLANDS LÄN</t>
        </is>
      </c>
      <c r="E2693" t="inlineStr">
        <is>
          <t>STRÖMSUND</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60078-2023</t>
        </is>
      </c>
      <c r="B2694" s="1" t="n">
        <v>45258</v>
      </c>
      <c r="C2694" s="1" t="n">
        <v>45795</v>
      </c>
      <c r="D2694" t="inlineStr">
        <is>
          <t>JÄMTLANDS LÄN</t>
        </is>
      </c>
      <c r="E2694" t="inlineStr">
        <is>
          <t>STRÖMSUND</t>
        </is>
      </c>
      <c r="F2694" t="inlineStr">
        <is>
          <t>Holmen skog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60334-2023</t>
        </is>
      </c>
      <c r="B2695" s="1" t="n">
        <v>45258</v>
      </c>
      <c r="C2695" s="1" t="n">
        <v>45795</v>
      </c>
      <c r="D2695" t="inlineStr">
        <is>
          <t>JÄMTLANDS LÄN</t>
        </is>
      </c>
      <c r="E2695" t="inlineStr">
        <is>
          <t>STRÖMSUND</t>
        </is>
      </c>
      <c r="F2695" t="inlineStr">
        <is>
          <t>SCA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60335-2023</t>
        </is>
      </c>
      <c r="B2696" s="1" t="n">
        <v>45258</v>
      </c>
      <c r="C2696" s="1" t="n">
        <v>45795</v>
      </c>
      <c r="D2696" t="inlineStr">
        <is>
          <t>JÄMTLANDS LÄN</t>
        </is>
      </c>
      <c r="E2696" t="inlineStr">
        <is>
          <t>STRÖMSUND</t>
        </is>
      </c>
      <c r="F2696" t="inlineStr">
        <is>
          <t>SCA</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60661-2023</t>
        </is>
      </c>
      <c r="B2697" s="1" t="n">
        <v>45259</v>
      </c>
      <c r="C2697" s="1" t="n">
        <v>45795</v>
      </c>
      <c r="D2697" t="inlineStr">
        <is>
          <t>JÄMTLANDS LÄN</t>
        </is>
      </c>
      <c r="E2697" t="inlineStr">
        <is>
          <t>STRÖMSUND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60684-2023</t>
        </is>
      </c>
      <c r="B2698" s="1" t="n">
        <v>45259</v>
      </c>
      <c r="C2698" s="1" t="n">
        <v>45795</v>
      </c>
      <c r="D2698" t="inlineStr">
        <is>
          <t>JÄMTLANDS LÄN</t>
        </is>
      </c>
      <c r="E2698" t="inlineStr">
        <is>
          <t>STRÖMSUND</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60726-2023</t>
        </is>
      </c>
      <c r="B2699" s="1" t="n">
        <v>45259</v>
      </c>
      <c r="C2699" s="1" t="n">
        <v>45795</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60848-2023</t>
        </is>
      </c>
      <c r="B2700" s="1" t="n">
        <v>45260</v>
      </c>
      <c r="C2700" s="1" t="n">
        <v>45795</v>
      </c>
      <c r="D2700" t="inlineStr">
        <is>
          <t>JÄMTLANDS LÄN</t>
        </is>
      </c>
      <c r="E2700" t="inlineStr">
        <is>
          <t>STRÖMSUND</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60850-2023</t>
        </is>
      </c>
      <c r="B2701" s="1" t="n">
        <v>45260</v>
      </c>
      <c r="C2701" s="1" t="n">
        <v>45795</v>
      </c>
      <c r="D2701" t="inlineStr">
        <is>
          <t>JÄMTLANDS LÄN</t>
        </is>
      </c>
      <c r="E2701" t="inlineStr">
        <is>
          <t>STRÖMSUND</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60849-2023</t>
        </is>
      </c>
      <c r="B2702" s="1" t="n">
        <v>45260</v>
      </c>
      <c r="C2702" s="1" t="n">
        <v>45795</v>
      </c>
      <c r="D2702" t="inlineStr">
        <is>
          <t>JÄMTLANDS LÄN</t>
        </is>
      </c>
      <c r="E2702" t="inlineStr">
        <is>
          <t>STRÖMSUND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60894-2023</t>
        </is>
      </c>
      <c r="B2703" s="1" t="n">
        <v>45261</v>
      </c>
      <c r="C2703" s="1" t="n">
        <v>45795</v>
      </c>
      <c r="D2703" t="inlineStr">
        <is>
          <t>JÄMTLANDS LÄN</t>
        </is>
      </c>
      <c r="E2703" t="inlineStr">
        <is>
          <t>STRÖMSUND</t>
        </is>
      </c>
      <c r="F2703" t="inlineStr">
        <is>
          <t>Holmen skog AB</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61131-2023</t>
        </is>
      </c>
      <c r="B2704" s="1" t="n">
        <v>45261</v>
      </c>
      <c r="C2704" s="1" t="n">
        <v>45795</v>
      </c>
      <c r="D2704" t="inlineStr">
        <is>
          <t>JÄMTLANDS LÄN</t>
        </is>
      </c>
      <c r="E2704" t="inlineStr">
        <is>
          <t>STRÖMSUND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61136-2023</t>
        </is>
      </c>
      <c r="B2705" s="1" t="n">
        <v>45261</v>
      </c>
      <c r="C2705" s="1" t="n">
        <v>45795</v>
      </c>
      <c r="D2705" t="inlineStr">
        <is>
          <t>JÄMTLANDS LÄN</t>
        </is>
      </c>
      <c r="E2705" t="inlineStr">
        <is>
          <t>STRÖMSUND</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61494-2023</t>
        </is>
      </c>
      <c r="B2706" s="1" t="n">
        <v>45264</v>
      </c>
      <c r="C2706" s="1" t="n">
        <v>45795</v>
      </c>
      <c r="D2706" t="inlineStr">
        <is>
          <t>JÄMTLANDS LÄN</t>
        </is>
      </c>
      <c r="E2706" t="inlineStr">
        <is>
          <t>STRÖMSUND</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61500-2023</t>
        </is>
      </c>
      <c r="B2707" s="1" t="n">
        <v>45264</v>
      </c>
      <c r="C2707" s="1" t="n">
        <v>45795</v>
      </c>
      <c r="D2707" t="inlineStr">
        <is>
          <t>JÄMTLANDS LÄN</t>
        </is>
      </c>
      <c r="E2707" t="inlineStr">
        <is>
          <t>STRÖMSUND</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61833-2023</t>
        </is>
      </c>
      <c r="B2708" s="1" t="n">
        <v>45264</v>
      </c>
      <c r="C2708" s="1" t="n">
        <v>45795</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62356-2023</t>
        </is>
      </c>
      <c r="B2709" s="1" t="n">
        <v>45267</v>
      </c>
      <c r="C2709" s="1" t="n">
        <v>45795</v>
      </c>
      <c r="D2709" t="inlineStr">
        <is>
          <t>JÄMTLANDS LÄN</t>
        </is>
      </c>
      <c r="E2709" t="inlineStr">
        <is>
          <t>STRÖMSUND</t>
        </is>
      </c>
      <c r="F2709" t="inlineStr">
        <is>
          <t>SCA</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62543-2023</t>
        </is>
      </c>
      <c r="B2710" s="1" t="n">
        <v>45267</v>
      </c>
      <c r="C2710" s="1" t="n">
        <v>45795</v>
      </c>
      <c r="D2710" t="inlineStr">
        <is>
          <t>JÄMTLANDS LÄN</t>
        </is>
      </c>
      <c r="E2710" t="inlineStr">
        <is>
          <t>STRÖMSUND</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62544-2023</t>
        </is>
      </c>
      <c r="B2711" s="1" t="n">
        <v>45267</v>
      </c>
      <c r="C2711" s="1" t="n">
        <v>45795</v>
      </c>
      <c r="D2711" t="inlineStr">
        <is>
          <t>JÄMTLANDS LÄN</t>
        </is>
      </c>
      <c r="E2711" t="inlineStr">
        <is>
          <t>STRÖMSUND</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62470-2023</t>
        </is>
      </c>
      <c r="B2712" s="1" t="n">
        <v>45267</v>
      </c>
      <c r="C2712" s="1" t="n">
        <v>45795</v>
      </c>
      <c r="D2712" t="inlineStr">
        <is>
          <t>JÄMTLANDS LÄN</t>
        </is>
      </c>
      <c r="E2712" t="inlineStr">
        <is>
          <t>STRÖMSUND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62493-2023</t>
        </is>
      </c>
      <c r="B2713" s="1" t="n">
        <v>45268</v>
      </c>
      <c r="C2713" s="1" t="n">
        <v>45795</v>
      </c>
      <c r="D2713" t="inlineStr">
        <is>
          <t>JÄMTLANDS LÄN</t>
        </is>
      </c>
      <c r="E2713" t="inlineStr">
        <is>
          <t>STRÖMSUND</t>
        </is>
      </c>
      <c r="F2713" t="inlineStr">
        <is>
          <t>Holmen skog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62760-2023</t>
        </is>
      </c>
      <c r="B2714" s="1" t="n">
        <v>45268</v>
      </c>
      <c r="C2714" s="1" t="n">
        <v>45795</v>
      </c>
      <c r="D2714" t="inlineStr">
        <is>
          <t>JÄMTLANDS LÄN</t>
        </is>
      </c>
      <c r="E2714" t="inlineStr">
        <is>
          <t>STRÖMSUND</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63054-2023</t>
        </is>
      </c>
      <c r="B2715" s="1" t="n">
        <v>45272</v>
      </c>
      <c r="C2715" s="1" t="n">
        <v>45795</v>
      </c>
      <c r="D2715" t="inlineStr">
        <is>
          <t>JÄMTLANDS LÄN</t>
        </is>
      </c>
      <c r="E2715" t="inlineStr">
        <is>
          <t>STRÖMSUND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63140-2023</t>
        </is>
      </c>
      <c r="B2716" s="1" t="n">
        <v>45273</v>
      </c>
      <c r="C2716" s="1" t="n">
        <v>45795</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63286-2023</t>
        </is>
      </c>
      <c r="B2717" s="1" t="n">
        <v>45273</v>
      </c>
      <c r="C2717" s="1" t="n">
        <v>45795</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63362-2023</t>
        </is>
      </c>
      <c r="B2718" s="1" t="n">
        <v>45273</v>
      </c>
      <c r="C2718" s="1" t="n">
        <v>45795</v>
      </c>
      <c r="D2718" t="inlineStr">
        <is>
          <t>JÄMTLANDS LÄN</t>
        </is>
      </c>
      <c r="E2718" t="inlineStr">
        <is>
          <t>STRÖMSUND</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63354-2023</t>
        </is>
      </c>
      <c r="B2719" s="1" t="n">
        <v>45273</v>
      </c>
      <c r="C2719" s="1" t="n">
        <v>45795</v>
      </c>
      <c r="D2719" t="inlineStr">
        <is>
          <t>JÄMTLANDS LÄN</t>
        </is>
      </c>
      <c r="E2719" t="inlineStr">
        <is>
          <t>STRÖMSUND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63287-2023</t>
        </is>
      </c>
      <c r="B2720" s="1" t="n">
        <v>45273</v>
      </c>
      <c r="C2720" s="1" t="n">
        <v>45795</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63291-2023</t>
        </is>
      </c>
      <c r="B2721" s="1" t="n">
        <v>45273</v>
      </c>
      <c r="C2721" s="1" t="n">
        <v>45795</v>
      </c>
      <c r="D2721" t="inlineStr">
        <is>
          <t>JÄMTLANDS LÄN</t>
        </is>
      </c>
      <c r="E2721" t="inlineStr">
        <is>
          <t>STRÖMSUND</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63403-2023</t>
        </is>
      </c>
      <c r="B2722" s="1" t="n">
        <v>45274</v>
      </c>
      <c r="C2722" s="1" t="n">
        <v>45795</v>
      </c>
      <c r="D2722" t="inlineStr">
        <is>
          <t>JÄMTLANDS LÄN</t>
        </is>
      </c>
      <c r="E2722" t="inlineStr">
        <is>
          <t>STRÖMSUND</t>
        </is>
      </c>
      <c r="G2722" t="n">
        <v>16.9</v>
      </c>
      <c r="H2722" t="n">
        <v>0</v>
      </c>
      <c r="I2722" t="n">
        <v>0</v>
      </c>
      <c r="J2722" t="n">
        <v>0</v>
      </c>
      <c r="K2722" t="n">
        <v>0</v>
      </c>
      <c r="L2722" t="n">
        <v>0</v>
      </c>
      <c r="M2722" t="n">
        <v>0</v>
      </c>
      <c r="N2722" t="n">
        <v>0</v>
      </c>
      <c r="O2722" t="n">
        <v>0</v>
      </c>
      <c r="P2722" t="n">
        <v>0</v>
      </c>
      <c r="Q2722" t="n">
        <v>0</v>
      </c>
      <c r="R2722" s="2" t="inlineStr"/>
    </row>
    <row r="2723" ht="15" customHeight="1">
      <c r="A2723" t="inlineStr">
        <is>
          <t>A 63425-2023</t>
        </is>
      </c>
      <c r="B2723" s="1" t="n">
        <v>45274</v>
      </c>
      <c r="C2723" s="1" t="n">
        <v>45795</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63497-2023</t>
        </is>
      </c>
      <c r="B2724" s="1" t="n">
        <v>45274</v>
      </c>
      <c r="C2724" s="1" t="n">
        <v>45795</v>
      </c>
      <c r="D2724" t="inlineStr">
        <is>
          <t>JÄMTLANDS LÄN</t>
        </is>
      </c>
      <c r="E2724" t="inlineStr">
        <is>
          <t>STRÖMSUND</t>
        </is>
      </c>
      <c r="G2724" t="n">
        <v>12.1</v>
      </c>
      <c r="H2724" t="n">
        <v>0</v>
      </c>
      <c r="I2724" t="n">
        <v>0</v>
      </c>
      <c r="J2724" t="n">
        <v>0</v>
      </c>
      <c r="K2724" t="n">
        <v>0</v>
      </c>
      <c r="L2724" t="n">
        <v>0</v>
      </c>
      <c r="M2724" t="n">
        <v>0</v>
      </c>
      <c r="N2724" t="n">
        <v>0</v>
      </c>
      <c r="O2724" t="n">
        <v>0</v>
      </c>
      <c r="P2724" t="n">
        <v>0</v>
      </c>
      <c r="Q2724" t="n">
        <v>0</v>
      </c>
      <c r="R2724" s="2" t="inlineStr"/>
    </row>
    <row r="2725" ht="15" customHeight="1">
      <c r="A2725" t="inlineStr">
        <is>
          <t>A 63756-2023</t>
        </is>
      </c>
      <c r="B2725" s="1" t="n">
        <v>45278</v>
      </c>
      <c r="C2725" s="1" t="n">
        <v>45795</v>
      </c>
      <c r="D2725" t="inlineStr">
        <is>
          <t>JÄMTLANDS LÄN</t>
        </is>
      </c>
      <c r="E2725" t="inlineStr">
        <is>
          <t>STRÖMSUND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63754-2023</t>
        </is>
      </c>
      <c r="B2726" s="1" t="n">
        <v>45278</v>
      </c>
      <c r="C2726" s="1" t="n">
        <v>45795</v>
      </c>
      <c r="D2726" t="inlineStr">
        <is>
          <t>JÄMTLANDS LÄN</t>
        </is>
      </c>
      <c r="E2726" t="inlineStr">
        <is>
          <t>STRÖMSUND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63753-2023</t>
        </is>
      </c>
      <c r="B2727" s="1" t="n">
        <v>45278</v>
      </c>
      <c r="C2727" s="1" t="n">
        <v>45795</v>
      </c>
      <c r="D2727" t="inlineStr">
        <is>
          <t>JÄMTLANDS LÄN</t>
        </is>
      </c>
      <c r="E2727" t="inlineStr">
        <is>
          <t>STRÖMSUND</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64007-2023</t>
        </is>
      </c>
      <c r="B2728" s="1" t="n">
        <v>45278</v>
      </c>
      <c r="C2728" s="1" t="n">
        <v>45795</v>
      </c>
      <c r="D2728" t="inlineStr">
        <is>
          <t>JÄMTLANDS LÄN</t>
        </is>
      </c>
      <c r="E2728" t="inlineStr">
        <is>
          <t>STRÖMSUND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64149-2023</t>
        </is>
      </c>
      <c r="B2729" s="1" t="n">
        <v>45279</v>
      </c>
      <c r="C2729" s="1" t="n">
        <v>45795</v>
      </c>
      <c r="D2729" t="inlineStr">
        <is>
          <t>JÄMTLANDS LÄN</t>
        </is>
      </c>
      <c r="E2729" t="inlineStr">
        <is>
          <t>STRÖMSUND</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64437-2023</t>
        </is>
      </c>
      <c r="B2730" s="1" t="n">
        <v>45280</v>
      </c>
      <c r="C2730" s="1" t="n">
        <v>45795</v>
      </c>
      <c r="D2730" t="inlineStr">
        <is>
          <t>JÄMTLANDS LÄN</t>
        </is>
      </c>
      <c r="E2730" t="inlineStr">
        <is>
          <t>STRÖMSUND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64505-2023</t>
        </is>
      </c>
      <c r="B2731" s="1" t="n">
        <v>45280</v>
      </c>
      <c r="C2731" s="1" t="n">
        <v>45795</v>
      </c>
      <c r="D2731" t="inlineStr">
        <is>
          <t>JÄMTLANDS LÄN</t>
        </is>
      </c>
      <c r="E2731" t="inlineStr">
        <is>
          <t>STRÖMSUND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64559-2023</t>
        </is>
      </c>
      <c r="B2732" s="1" t="n">
        <v>45281</v>
      </c>
      <c r="C2732" s="1" t="n">
        <v>45795</v>
      </c>
      <c r="D2732" t="inlineStr">
        <is>
          <t>JÄMTLANDS LÄN</t>
        </is>
      </c>
      <c r="E2732" t="inlineStr">
        <is>
          <t>STRÖMSUND</t>
        </is>
      </c>
      <c r="F2732" t="inlineStr">
        <is>
          <t>Kyrkan</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64599-2023</t>
        </is>
      </c>
      <c r="B2733" s="1" t="n">
        <v>45281</v>
      </c>
      <c r="C2733" s="1" t="n">
        <v>45795</v>
      </c>
      <c r="D2733" t="inlineStr">
        <is>
          <t>JÄMTLANDS LÄN</t>
        </is>
      </c>
      <c r="E2733" t="inlineStr">
        <is>
          <t>STRÖMSUND</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64759-2023</t>
        </is>
      </c>
      <c r="B2734" s="1" t="n">
        <v>45282</v>
      </c>
      <c r="C2734" s="1" t="n">
        <v>45795</v>
      </c>
      <c r="D2734" t="inlineStr">
        <is>
          <t>JÄMTLANDS LÄN</t>
        </is>
      </c>
      <c r="E2734" t="inlineStr">
        <is>
          <t>STRÖMSUND</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6-2024</t>
        </is>
      </c>
      <c r="B2735" s="1" t="n">
        <v>45293</v>
      </c>
      <c r="C2735" s="1" t="n">
        <v>45795</v>
      </c>
      <c r="D2735" t="inlineStr">
        <is>
          <t>JÄMTLANDS LÄN</t>
        </is>
      </c>
      <c r="E2735" t="inlineStr">
        <is>
          <t>STRÖMSUND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254-2024</t>
        </is>
      </c>
      <c r="B2736" s="1" t="n">
        <v>45294</v>
      </c>
      <c r="C2736" s="1" t="n">
        <v>45795</v>
      </c>
      <c r="D2736" t="inlineStr">
        <is>
          <t>JÄMTLANDS LÄN</t>
        </is>
      </c>
      <c r="E2736" t="inlineStr">
        <is>
          <t>STRÖMSUND</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247-2024</t>
        </is>
      </c>
      <c r="B2737" s="1" t="n">
        <v>45294</v>
      </c>
      <c r="C2737" s="1" t="n">
        <v>45795</v>
      </c>
      <c r="D2737" t="inlineStr">
        <is>
          <t>JÄMTLANDS LÄN</t>
        </is>
      </c>
      <c r="E2737" t="inlineStr">
        <is>
          <t>STRÖMSUND</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508-2024</t>
        </is>
      </c>
      <c r="B2738" s="1" t="n">
        <v>45299</v>
      </c>
      <c r="C2738" s="1" t="n">
        <v>45795</v>
      </c>
      <c r="D2738" t="inlineStr">
        <is>
          <t>JÄMTLANDS LÄN</t>
        </is>
      </c>
      <c r="E2738" t="inlineStr">
        <is>
          <t>STRÖMSUND</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655-2024</t>
        </is>
      </c>
      <c r="B2739" s="1" t="n">
        <v>45299</v>
      </c>
      <c r="C2739" s="1" t="n">
        <v>45795</v>
      </c>
      <c r="D2739" t="inlineStr">
        <is>
          <t>JÄMTLANDS LÄN</t>
        </is>
      </c>
      <c r="E2739" t="inlineStr">
        <is>
          <t>STRÖMSUND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872-2024</t>
        </is>
      </c>
      <c r="B2740" s="1" t="n">
        <v>45301</v>
      </c>
      <c r="C2740" s="1" t="n">
        <v>45795</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1053-2024</t>
        </is>
      </c>
      <c r="B2741" s="1" t="n">
        <v>45302</v>
      </c>
      <c r="C2741" s="1" t="n">
        <v>45795</v>
      </c>
      <c r="D2741" t="inlineStr">
        <is>
          <t>JÄMTLANDS LÄN</t>
        </is>
      </c>
      <c r="E2741" t="inlineStr">
        <is>
          <t>STRÖMSUND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1055-2024</t>
        </is>
      </c>
      <c r="B2742" s="1" t="n">
        <v>45302</v>
      </c>
      <c r="C2742" s="1" t="n">
        <v>45795</v>
      </c>
      <c r="D2742" t="inlineStr">
        <is>
          <t>JÄMTLANDS LÄN</t>
        </is>
      </c>
      <c r="E2742" t="inlineStr">
        <is>
          <t>STRÖMSUND</t>
        </is>
      </c>
      <c r="F2742" t="inlineStr">
        <is>
          <t>SCA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1226-2024</t>
        </is>
      </c>
      <c r="B2743" s="1" t="n">
        <v>45302</v>
      </c>
      <c r="C2743" s="1" t="n">
        <v>45795</v>
      </c>
      <c r="D2743" t="inlineStr">
        <is>
          <t>JÄMTLANDS LÄN</t>
        </is>
      </c>
      <c r="E2743" t="inlineStr">
        <is>
          <t>STRÖMSUND</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1271-2024</t>
        </is>
      </c>
      <c r="B2744" s="1" t="n">
        <v>45302</v>
      </c>
      <c r="C2744" s="1" t="n">
        <v>45795</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1113-2024</t>
        </is>
      </c>
      <c r="B2745" s="1" t="n">
        <v>45302</v>
      </c>
      <c r="C2745" s="1" t="n">
        <v>45795</v>
      </c>
      <c r="D2745" t="inlineStr">
        <is>
          <t>JÄMTLANDS LÄN</t>
        </is>
      </c>
      <c r="E2745" t="inlineStr">
        <is>
          <t>STRÖMSUND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1270-2024</t>
        </is>
      </c>
      <c r="B2746" s="1" t="n">
        <v>45302</v>
      </c>
      <c r="C2746" s="1" t="n">
        <v>45795</v>
      </c>
      <c r="D2746" t="inlineStr">
        <is>
          <t>JÄMTLANDS LÄN</t>
        </is>
      </c>
      <c r="E2746" t="inlineStr">
        <is>
          <t>STRÖMSUND</t>
        </is>
      </c>
      <c r="G2746" t="n">
        <v>13.6</v>
      </c>
      <c r="H2746" t="n">
        <v>0</v>
      </c>
      <c r="I2746" t="n">
        <v>0</v>
      </c>
      <c r="J2746" t="n">
        <v>0</v>
      </c>
      <c r="K2746" t="n">
        <v>0</v>
      </c>
      <c r="L2746" t="n">
        <v>0</v>
      </c>
      <c r="M2746" t="n">
        <v>0</v>
      </c>
      <c r="N2746" t="n">
        <v>0</v>
      </c>
      <c r="O2746" t="n">
        <v>0</v>
      </c>
      <c r="P2746" t="n">
        <v>0</v>
      </c>
      <c r="Q2746" t="n">
        <v>0</v>
      </c>
      <c r="R2746" s="2" t="inlineStr"/>
    </row>
    <row r="2747" ht="15" customHeight="1">
      <c r="A2747" t="inlineStr">
        <is>
          <t>A 1609-2024</t>
        </is>
      </c>
      <c r="B2747" s="1" t="n">
        <v>45306</v>
      </c>
      <c r="C2747" s="1" t="n">
        <v>45795</v>
      </c>
      <c r="D2747" t="inlineStr">
        <is>
          <t>JÄMTLANDS LÄN</t>
        </is>
      </c>
      <c r="E2747" t="inlineStr">
        <is>
          <t>STRÖMSUND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1676-2024</t>
        </is>
      </c>
      <c r="B2748" s="1" t="n">
        <v>45307</v>
      </c>
      <c r="C2748" s="1" t="n">
        <v>45795</v>
      </c>
      <c r="D2748" t="inlineStr">
        <is>
          <t>JÄMTLANDS LÄN</t>
        </is>
      </c>
      <c r="E2748" t="inlineStr">
        <is>
          <t>STRÖMSUND</t>
        </is>
      </c>
      <c r="F2748" t="inlineStr">
        <is>
          <t>SCA</t>
        </is>
      </c>
      <c r="G2748" t="n">
        <v>29.6</v>
      </c>
      <c r="H2748" t="n">
        <v>0</v>
      </c>
      <c r="I2748" t="n">
        <v>0</v>
      </c>
      <c r="J2748" t="n">
        <v>0</v>
      </c>
      <c r="K2748" t="n">
        <v>0</v>
      </c>
      <c r="L2748" t="n">
        <v>0</v>
      </c>
      <c r="M2748" t="n">
        <v>0</v>
      </c>
      <c r="N2748" t="n">
        <v>0</v>
      </c>
      <c r="O2748" t="n">
        <v>0</v>
      </c>
      <c r="P2748" t="n">
        <v>0</v>
      </c>
      <c r="Q2748" t="n">
        <v>0</v>
      </c>
      <c r="R2748" s="2" t="inlineStr"/>
    </row>
    <row r="2749" ht="15" customHeight="1">
      <c r="A2749" t="inlineStr">
        <is>
          <t>A 1677-2024</t>
        </is>
      </c>
      <c r="B2749" s="1" t="n">
        <v>45307</v>
      </c>
      <c r="C2749" s="1" t="n">
        <v>45795</v>
      </c>
      <c r="D2749" t="inlineStr">
        <is>
          <t>JÄMTLANDS LÄN</t>
        </is>
      </c>
      <c r="E2749" t="inlineStr">
        <is>
          <t>STRÖMSUND</t>
        </is>
      </c>
      <c r="F2749" t="inlineStr">
        <is>
          <t>SCA</t>
        </is>
      </c>
      <c r="G2749" t="n">
        <v>30.1</v>
      </c>
      <c r="H2749" t="n">
        <v>0</v>
      </c>
      <c r="I2749" t="n">
        <v>0</v>
      </c>
      <c r="J2749" t="n">
        <v>0</v>
      </c>
      <c r="K2749" t="n">
        <v>0</v>
      </c>
      <c r="L2749" t="n">
        <v>0</v>
      </c>
      <c r="M2749" t="n">
        <v>0</v>
      </c>
      <c r="N2749" t="n">
        <v>0</v>
      </c>
      <c r="O2749" t="n">
        <v>0</v>
      </c>
      <c r="P2749" t="n">
        <v>0</v>
      </c>
      <c r="Q2749" t="n">
        <v>0</v>
      </c>
      <c r="R2749" s="2" t="inlineStr"/>
    </row>
    <row r="2750" ht="15" customHeight="1">
      <c r="A2750" t="inlineStr">
        <is>
          <t>A 1798-2024</t>
        </is>
      </c>
      <c r="B2750" s="1" t="n">
        <v>45307</v>
      </c>
      <c r="C2750" s="1" t="n">
        <v>45795</v>
      </c>
      <c r="D2750" t="inlineStr">
        <is>
          <t>JÄMTLANDS LÄN</t>
        </is>
      </c>
      <c r="E2750" t="inlineStr">
        <is>
          <t>STRÖMSUND</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1801-2024</t>
        </is>
      </c>
      <c r="B2751" s="1" t="n">
        <v>45307</v>
      </c>
      <c r="C2751" s="1" t="n">
        <v>45795</v>
      </c>
      <c r="D2751" t="inlineStr">
        <is>
          <t>JÄMTLANDS LÄN</t>
        </is>
      </c>
      <c r="E2751" t="inlineStr">
        <is>
          <t>STRÖMSUND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1929-2024</t>
        </is>
      </c>
      <c r="B2752" s="1" t="n">
        <v>45308</v>
      </c>
      <c r="C2752" s="1" t="n">
        <v>45795</v>
      </c>
      <c r="D2752" t="inlineStr">
        <is>
          <t>JÄMTLANDS LÄN</t>
        </is>
      </c>
      <c r="E2752" t="inlineStr">
        <is>
          <t>STRÖMSUND</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2109-2024</t>
        </is>
      </c>
      <c r="B2753" s="1" t="n">
        <v>45309</v>
      </c>
      <c r="C2753" s="1" t="n">
        <v>45795</v>
      </c>
      <c r="D2753" t="inlineStr">
        <is>
          <t>JÄMTLANDS LÄN</t>
        </is>
      </c>
      <c r="E2753" t="inlineStr">
        <is>
          <t>STRÖMSUND</t>
        </is>
      </c>
      <c r="G2753" t="n">
        <v>23.5</v>
      </c>
      <c r="H2753" t="n">
        <v>0</v>
      </c>
      <c r="I2753" t="n">
        <v>0</v>
      </c>
      <c r="J2753" t="n">
        <v>0</v>
      </c>
      <c r="K2753" t="n">
        <v>0</v>
      </c>
      <c r="L2753" t="n">
        <v>0</v>
      </c>
      <c r="M2753" t="n">
        <v>0</v>
      </c>
      <c r="N2753" t="n">
        <v>0</v>
      </c>
      <c r="O2753" t="n">
        <v>0</v>
      </c>
      <c r="P2753" t="n">
        <v>0</v>
      </c>
      <c r="Q2753" t="n">
        <v>0</v>
      </c>
      <c r="R2753" s="2" t="inlineStr"/>
    </row>
    <row r="2754" ht="15" customHeight="1">
      <c r="A2754" t="inlineStr">
        <is>
          <t>A 2625-2024</t>
        </is>
      </c>
      <c r="B2754" s="1" t="n">
        <v>45313</v>
      </c>
      <c r="C2754" s="1" t="n">
        <v>45795</v>
      </c>
      <c r="D2754" t="inlineStr">
        <is>
          <t>JÄMTLANDS LÄN</t>
        </is>
      </c>
      <c r="E2754" t="inlineStr">
        <is>
          <t>STRÖMSUND</t>
        </is>
      </c>
      <c r="F2754" t="inlineStr">
        <is>
          <t>SCA</t>
        </is>
      </c>
      <c r="G2754" t="n">
        <v>32.2</v>
      </c>
      <c r="H2754" t="n">
        <v>0</v>
      </c>
      <c r="I2754" t="n">
        <v>0</v>
      </c>
      <c r="J2754" t="n">
        <v>0</v>
      </c>
      <c r="K2754" t="n">
        <v>0</v>
      </c>
      <c r="L2754" t="n">
        <v>0</v>
      </c>
      <c r="M2754" t="n">
        <v>0</v>
      </c>
      <c r="N2754" t="n">
        <v>0</v>
      </c>
      <c r="O2754" t="n">
        <v>0</v>
      </c>
      <c r="P2754" t="n">
        <v>0</v>
      </c>
      <c r="Q2754" t="n">
        <v>0</v>
      </c>
      <c r="R2754" s="2" t="inlineStr"/>
    </row>
    <row r="2755" ht="15" customHeight="1">
      <c r="A2755" t="inlineStr">
        <is>
          <t>A 2619-2024</t>
        </is>
      </c>
      <c r="B2755" s="1" t="n">
        <v>45313</v>
      </c>
      <c r="C2755" s="1" t="n">
        <v>45795</v>
      </c>
      <c r="D2755" t="inlineStr">
        <is>
          <t>JÄMTLANDS LÄN</t>
        </is>
      </c>
      <c r="E2755" t="inlineStr">
        <is>
          <t>STRÖMSUND</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2623-2024</t>
        </is>
      </c>
      <c r="B2756" s="1" t="n">
        <v>45313</v>
      </c>
      <c r="C2756" s="1" t="n">
        <v>45795</v>
      </c>
      <c r="D2756" t="inlineStr">
        <is>
          <t>JÄMTLANDS LÄN</t>
        </is>
      </c>
      <c r="E2756" t="inlineStr">
        <is>
          <t>STRÖMSUND</t>
        </is>
      </c>
      <c r="F2756" t="inlineStr">
        <is>
          <t>SCA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2626-2024</t>
        </is>
      </c>
      <c r="B2757" s="1" t="n">
        <v>45313</v>
      </c>
      <c r="C2757" s="1" t="n">
        <v>45795</v>
      </c>
      <c r="D2757" t="inlineStr">
        <is>
          <t>JÄMTLANDS LÄN</t>
        </is>
      </c>
      <c r="E2757" t="inlineStr">
        <is>
          <t>STRÖMSUND</t>
        </is>
      </c>
      <c r="F2757" t="inlineStr">
        <is>
          <t>SCA</t>
        </is>
      </c>
      <c r="G2757" t="n">
        <v>22.4</v>
      </c>
      <c r="H2757" t="n">
        <v>0</v>
      </c>
      <c r="I2757" t="n">
        <v>0</v>
      </c>
      <c r="J2757" t="n">
        <v>0</v>
      </c>
      <c r="K2757" t="n">
        <v>0</v>
      </c>
      <c r="L2757" t="n">
        <v>0</v>
      </c>
      <c r="M2757" t="n">
        <v>0</v>
      </c>
      <c r="N2757" t="n">
        <v>0</v>
      </c>
      <c r="O2757" t="n">
        <v>0</v>
      </c>
      <c r="P2757" t="n">
        <v>0</v>
      </c>
      <c r="Q2757" t="n">
        <v>0</v>
      </c>
      <c r="R2757" s="2" t="inlineStr"/>
    </row>
    <row r="2758" ht="15" customHeight="1">
      <c r="A2758" t="inlineStr">
        <is>
          <t>A 2624-2024</t>
        </is>
      </c>
      <c r="B2758" s="1" t="n">
        <v>45313</v>
      </c>
      <c r="C2758" s="1" t="n">
        <v>45795</v>
      </c>
      <c r="D2758" t="inlineStr">
        <is>
          <t>JÄMTLANDS LÄN</t>
        </is>
      </c>
      <c r="E2758" t="inlineStr">
        <is>
          <t>STRÖMSUND</t>
        </is>
      </c>
      <c r="F2758" t="inlineStr">
        <is>
          <t>SCA</t>
        </is>
      </c>
      <c r="G2758" t="n">
        <v>41.4</v>
      </c>
      <c r="H2758" t="n">
        <v>0</v>
      </c>
      <c r="I2758" t="n">
        <v>0</v>
      </c>
      <c r="J2758" t="n">
        <v>0</v>
      </c>
      <c r="K2758" t="n">
        <v>0</v>
      </c>
      <c r="L2758" t="n">
        <v>0</v>
      </c>
      <c r="M2758" t="n">
        <v>0</v>
      </c>
      <c r="N2758" t="n">
        <v>0</v>
      </c>
      <c r="O2758" t="n">
        <v>0</v>
      </c>
      <c r="P2758" t="n">
        <v>0</v>
      </c>
      <c r="Q2758" t="n">
        <v>0</v>
      </c>
      <c r="R2758" s="2" t="inlineStr"/>
    </row>
    <row r="2759" ht="15" customHeight="1">
      <c r="A2759" t="inlineStr">
        <is>
          <t>A 2663-2024</t>
        </is>
      </c>
      <c r="B2759" s="1" t="n">
        <v>45314</v>
      </c>
      <c r="C2759" s="1" t="n">
        <v>45795</v>
      </c>
      <c r="D2759" t="inlineStr">
        <is>
          <t>JÄMTLANDS LÄN</t>
        </is>
      </c>
      <c r="E2759" t="inlineStr">
        <is>
          <t>STRÖMSUND</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2643-2024</t>
        </is>
      </c>
      <c r="B2760" s="1" t="n">
        <v>45314</v>
      </c>
      <c r="C2760" s="1" t="n">
        <v>45795</v>
      </c>
      <c r="D2760" t="inlineStr">
        <is>
          <t>JÄMTLANDS LÄN</t>
        </is>
      </c>
      <c r="E2760" t="inlineStr">
        <is>
          <t>STRÖMSUND</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3239-2024</t>
        </is>
      </c>
      <c r="B2761" s="1" t="n">
        <v>45316</v>
      </c>
      <c r="C2761" s="1" t="n">
        <v>45795</v>
      </c>
      <c r="D2761" t="inlineStr">
        <is>
          <t>JÄMTLANDS LÄN</t>
        </is>
      </c>
      <c r="E2761" t="inlineStr">
        <is>
          <t>STRÖMSUND</t>
        </is>
      </c>
      <c r="F2761" t="inlineStr">
        <is>
          <t>SCA</t>
        </is>
      </c>
      <c r="G2761" t="n">
        <v>26.1</v>
      </c>
      <c r="H2761" t="n">
        <v>0</v>
      </c>
      <c r="I2761" t="n">
        <v>0</v>
      </c>
      <c r="J2761" t="n">
        <v>0</v>
      </c>
      <c r="K2761" t="n">
        <v>0</v>
      </c>
      <c r="L2761" t="n">
        <v>0</v>
      </c>
      <c r="M2761" t="n">
        <v>0</v>
      </c>
      <c r="N2761" t="n">
        <v>0</v>
      </c>
      <c r="O2761" t="n">
        <v>0</v>
      </c>
      <c r="P2761" t="n">
        <v>0</v>
      </c>
      <c r="Q2761" t="n">
        <v>0</v>
      </c>
      <c r="R2761" s="2" t="inlineStr"/>
    </row>
    <row r="2762" ht="15" customHeight="1">
      <c r="A2762" t="inlineStr">
        <is>
          <t>A 3519-2024</t>
        </is>
      </c>
      <c r="B2762" s="1" t="n">
        <v>45320</v>
      </c>
      <c r="C2762" s="1" t="n">
        <v>45795</v>
      </c>
      <c r="D2762" t="inlineStr">
        <is>
          <t>JÄMTLANDS LÄN</t>
        </is>
      </c>
      <c r="E2762" t="inlineStr">
        <is>
          <t>STRÖMSUND</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3623-2024</t>
        </is>
      </c>
      <c r="B2763" s="1" t="n">
        <v>45320</v>
      </c>
      <c r="C2763" s="1" t="n">
        <v>45795</v>
      </c>
      <c r="D2763" t="inlineStr">
        <is>
          <t>JÄMTLANDS LÄN</t>
        </is>
      </c>
      <c r="E2763" t="inlineStr">
        <is>
          <t>STRÖMSUND</t>
        </is>
      </c>
      <c r="F2763" t="inlineStr">
        <is>
          <t>SCA</t>
        </is>
      </c>
      <c r="G2763" t="n">
        <v>22.9</v>
      </c>
      <c r="H2763" t="n">
        <v>0</v>
      </c>
      <c r="I2763" t="n">
        <v>0</v>
      </c>
      <c r="J2763" t="n">
        <v>0</v>
      </c>
      <c r="K2763" t="n">
        <v>0</v>
      </c>
      <c r="L2763" t="n">
        <v>0</v>
      </c>
      <c r="M2763" t="n">
        <v>0</v>
      </c>
      <c r="N2763" t="n">
        <v>0</v>
      </c>
      <c r="O2763" t="n">
        <v>0</v>
      </c>
      <c r="P2763" t="n">
        <v>0</v>
      </c>
      <c r="Q2763" t="n">
        <v>0</v>
      </c>
      <c r="R2763" s="2" t="inlineStr"/>
    </row>
    <row r="2764" ht="15" customHeight="1">
      <c r="A2764" t="inlineStr">
        <is>
          <t>A 3629-2024</t>
        </is>
      </c>
      <c r="B2764" s="1" t="n">
        <v>45320</v>
      </c>
      <c r="C2764" s="1" t="n">
        <v>45795</v>
      </c>
      <c r="D2764" t="inlineStr">
        <is>
          <t>JÄMTLANDS LÄN</t>
        </is>
      </c>
      <c r="E2764" t="inlineStr">
        <is>
          <t>STRÖMSUND</t>
        </is>
      </c>
      <c r="F2764" t="inlineStr">
        <is>
          <t>SCA</t>
        </is>
      </c>
      <c r="G2764" t="n">
        <v>29.9</v>
      </c>
      <c r="H2764" t="n">
        <v>0</v>
      </c>
      <c r="I2764" t="n">
        <v>0</v>
      </c>
      <c r="J2764" t="n">
        <v>0</v>
      </c>
      <c r="K2764" t="n">
        <v>0</v>
      </c>
      <c r="L2764" t="n">
        <v>0</v>
      </c>
      <c r="M2764" t="n">
        <v>0</v>
      </c>
      <c r="N2764" t="n">
        <v>0</v>
      </c>
      <c r="O2764" t="n">
        <v>0</v>
      </c>
      <c r="P2764" t="n">
        <v>0</v>
      </c>
      <c r="Q2764" t="n">
        <v>0</v>
      </c>
      <c r="R2764" s="2" t="inlineStr"/>
    </row>
    <row r="2765" ht="15" customHeight="1">
      <c r="A2765" t="inlineStr">
        <is>
          <t>A 3622-2024</t>
        </is>
      </c>
      <c r="B2765" s="1" t="n">
        <v>45320</v>
      </c>
      <c r="C2765" s="1" t="n">
        <v>45795</v>
      </c>
      <c r="D2765" t="inlineStr">
        <is>
          <t>JÄMTLANDS LÄN</t>
        </is>
      </c>
      <c r="E2765" t="inlineStr">
        <is>
          <t>STRÖMSUND</t>
        </is>
      </c>
      <c r="F2765" t="inlineStr">
        <is>
          <t>SCA</t>
        </is>
      </c>
      <c r="G2765" t="n">
        <v>14.5</v>
      </c>
      <c r="H2765" t="n">
        <v>0</v>
      </c>
      <c r="I2765" t="n">
        <v>0</v>
      </c>
      <c r="J2765" t="n">
        <v>0</v>
      </c>
      <c r="K2765" t="n">
        <v>0</v>
      </c>
      <c r="L2765" t="n">
        <v>0</v>
      </c>
      <c r="M2765" t="n">
        <v>0</v>
      </c>
      <c r="N2765" t="n">
        <v>0</v>
      </c>
      <c r="O2765" t="n">
        <v>0</v>
      </c>
      <c r="P2765" t="n">
        <v>0</v>
      </c>
      <c r="Q2765" t="n">
        <v>0</v>
      </c>
      <c r="R2765" s="2" t="inlineStr"/>
    </row>
    <row r="2766" ht="15" customHeight="1">
      <c r="A2766" t="inlineStr">
        <is>
          <t>A 3628-2024</t>
        </is>
      </c>
      <c r="B2766" s="1" t="n">
        <v>45320</v>
      </c>
      <c r="C2766" s="1" t="n">
        <v>45795</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3743-2024</t>
        </is>
      </c>
      <c r="B2767" s="1" t="n">
        <v>45321</v>
      </c>
      <c r="C2767" s="1" t="n">
        <v>45795</v>
      </c>
      <c r="D2767" t="inlineStr">
        <is>
          <t>JÄMTLANDS LÄN</t>
        </is>
      </c>
      <c r="E2767" t="inlineStr">
        <is>
          <t>STRÖMSUND</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3835-2024</t>
        </is>
      </c>
      <c r="B2768" s="1" t="n">
        <v>45321</v>
      </c>
      <c r="C2768" s="1" t="n">
        <v>45795</v>
      </c>
      <c r="D2768" t="inlineStr">
        <is>
          <t>JÄMTLANDS LÄN</t>
        </is>
      </c>
      <c r="E2768" t="inlineStr">
        <is>
          <t>STRÖMSUND</t>
        </is>
      </c>
      <c r="F2768" t="inlineStr">
        <is>
          <t>SCA</t>
        </is>
      </c>
      <c r="G2768" t="n">
        <v>28.5</v>
      </c>
      <c r="H2768" t="n">
        <v>0</v>
      </c>
      <c r="I2768" t="n">
        <v>0</v>
      </c>
      <c r="J2768" t="n">
        <v>0</v>
      </c>
      <c r="K2768" t="n">
        <v>0</v>
      </c>
      <c r="L2768" t="n">
        <v>0</v>
      </c>
      <c r="M2768" t="n">
        <v>0</v>
      </c>
      <c r="N2768" t="n">
        <v>0</v>
      </c>
      <c r="O2768" t="n">
        <v>0</v>
      </c>
      <c r="P2768" t="n">
        <v>0</v>
      </c>
      <c r="Q2768" t="n">
        <v>0</v>
      </c>
      <c r="R2768" s="2" t="inlineStr"/>
    </row>
    <row r="2769" ht="15" customHeight="1">
      <c r="A2769" t="inlineStr">
        <is>
          <t>A 3834-2024</t>
        </is>
      </c>
      <c r="B2769" s="1" t="n">
        <v>45321</v>
      </c>
      <c r="C2769" s="1" t="n">
        <v>45795</v>
      </c>
      <c r="D2769" t="inlineStr">
        <is>
          <t>JÄMTLANDS LÄN</t>
        </is>
      </c>
      <c r="E2769" t="inlineStr">
        <is>
          <t>STRÖMSUND</t>
        </is>
      </c>
      <c r="F2769" t="inlineStr">
        <is>
          <t>SCA</t>
        </is>
      </c>
      <c r="G2769" t="n">
        <v>30.9</v>
      </c>
      <c r="H2769" t="n">
        <v>0</v>
      </c>
      <c r="I2769" t="n">
        <v>0</v>
      </c>
      <c r="J2769" t="n">
        <v>0</v>
      </c>
      <c r="K2769" t="n">
        <v>0</v>
      </c>
      <c r="L2769" t="n">
        <v>0</v>
      </c>
      <c r="M2769" t="n">
        <v>0</v>
      </c>
      <c r="N2769" t="n">
        <v>0</v>
      </c>
      <c r="O2769" t="n">
        <v>0</v>
      </c>
      <c r="P2769" t="n">
        <v>0</v>
      </c>
      <c r="Q2769" t="n">
        <v>0</v>
      </c>
      <c r="R2769" s="2" t="inlineStr"/>
    </row>
    <row r="2770" ht="15" customHeight="1">
      <c r="A2770" t="inlineStr">
        <is>
          <t>A 3841-2024</t>
        </is>
      </c>
      <c r="B2770" s="1" t="n">
        <v>45321</v>
      </c>
      <c r="C2770" s="1" t="n">
        <v>45795</v>
      </c>
      <c r="D2770" t="inlineStr">
        <is>
          <t>JÄMTLANDS LÄN</t>
        </is>
      </c>
      <c r="E2770" t="inlineStr">
        <is>
          <t>STRÖMSUND</t>
        </is>
      </c>
      <c r="F2770" t="inlineStr">
        <is>
          <t>SCA</t>
        </is>
      </c>
      <c r="G2770" t="n">
        <v>19.4</v>
      </c>
      <c r="H2770" t="n">
        <v>0</v>
      </c>
      <c r="I2770" t="n">
        <v>0</v>
      </c>
      <c r="J2770" t="n">
        <v>0</v>
      </c>
      <c r="K2770" t="n">
        <v>0</v>
      </c>
      <c r="L2770" t="n">
        <v>0</v>
      </c>
      <c r="M2770" t="n">
        <v>0</v>
      </c>
      <c r="N2770" t="n">
        <v>0</v>
      </c>
      <c r="O2770" t="n">
        <v>0</v>
      </c>
      <c r="P2770" t="n">
        <v>0</v>
      </c>
      <c r="Q2770" t="n">
        <v>0</v>
      </c>
      <c r="R2770" s="2" t="inlineStr"/>
    </row>
    <row r="2771" ht="15" customHeight="1">
      <c r="A2771" t="inlineStr">
        <is>
          <t>A 3994-2024</t>
        </is>
      </c>
      <c r="B2771" s="1" t="n">
        <v>45322</v>
      </c>
      <c r="C2771" s="1" t="n">
        <v>45795</v>
      </c>
      <c r="D2771" t="inlineStr">
        <is>
          <t>JÄMTLANDS LÄN</t>
        </is>
      </c>
      <c r="E2771" t="inlineStr">
        <is>
          <t>STRÖMSUND</t>
        </is>
      </c>
      <c r="F2771" t="inlineStr">
        <is>
          <t>SCA</t>
        </is>
      </c>
      <c r="G2771" t="n">
        <v>40.8</v>
      </c>
      <c r="H2771" t="n">
        <v>0</v>
      </c>
      <c r="I2771" t="n">
        <v>0</v>
      </c>
      <c r="J2771" t="n">
        <v>0</v>
      </c>
      <c r="K2771" t="n">
        <v>0</v>
      </c>
      <c r="L2771" t="n">
        <v>0</v>
      </c>
      <c r="M2771" t="n">
        <v>0</v>
      </c>
      <c r="N2771" t="n">
        <v>0</v>
      </c>
      <c r="O2771" t="n">
        <v>0</v>
      </c>
      <c r="P2771" t="n">
        <v>0</v>
      </c>
      <c r="Q2771" t="n">
        <v>0</v>
      </c>
      <c r="R2771" s="2" t="inlineStr"/>
    </row>
    <row r="2772" ht="15" customHeight="1">
      <c r="A2772" t="inlineStr">
        <is>
          <t>A 3997-2024</t>
        </is>
      </c>
      <c r="B2772" s="1" t="n">
        <v>45322</v>
      </c>
      <c r="C2772" s="1" t="n">
        <v>45795</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4178-2024</t>
        </is>
      </c>
      <c r="B2773" s="1" t="n">
        <v>45323</v>
      </c>
      <c r="C2773" s="1" t="n">
        <v>45795</v>
      </c>
      <c r="D2773" t="inlineStr">
        <is>
          <t>JÄMTLANDS LÄN</t>
        </is>
      </c>
      <c r="E2773" t="inlineStr">
        <is>
          <t>STRÖMSUND</t>
        </is>
      </c>
      <c r="F2773" t="inlineStr">
        <is>
          <t>SCA</t>
        </is>
      </c>
      <c r="G2773" t="n">
        <v>36.4</v>
      </c>
      <c r="H2773" t="n">
        <v>0</v>
      </c>
      <c r="I2773" t="n">
        <v>0</v>
      </c>
      <c r="J2773" t="n">
        <v>0</v>
      </c>
      <c r="K2773" t="n">
        <v>0</v>
      </c>
      <c r="L2773" t="n">
        <v>0</v>
      </c>
      <c r="M2773" t="n">
        <v>0</v>
      </c>
      <c r="N2773" t="n">
        <v>0</v>
      </c>
      <c r="O2773" t="n">
        <v>0</v>
      </c>
      <c r="P2773" t="n">
        <v>0</v>
      </c>
      <c r="Q2773" t="n">
        <v>0</v>
      </c>
      <c r="R2773" s="2" t="inlineStr"/>
    </row>
    <row r="2774" ht="15" customHeight="1">
      <c r="A2774" t="inlineStr">
        <is>
          <t>A 4177-2024</t>
        </is>
      </c>
      <c r="B2774" s="1" t="n">
        <v>45323</v>
      </c>
      <c r="C2774" s="1" t="n">
        <v>45795</v>
      </c>
      <c r="D2774" t="inlineStr">
        <is>
          <t>JÄMTLANDS LÄN</t>
        </is>
      </c>
      <c r="E2774" t="inlineStr">
        <is>
          <t>STRÖMSUND</t>
        </is>
      </c>
      <c r="F2774" t="inlineStr">
        <is>
          <t>SCA</t>
        </is>
      </c>
      <c r="G2774" t="n">
        <v>37.5</v>
      </c>
      <c r="H2774" t="n">
        <v>0</v>
      </c>
      <c r="I2774" t="n">
        <v>0</v>
      </c>
      <c r="J2774" t="n">
        <v>0</v>
      </c>
      <c r="K2774" t="n">
        <v>0</v>
      </c>
      <c r="L2774" t="n">
        <v>0</v>
      </c>
      <c r="M2774" t="n">
        <v>0</v>
      </c>
      <c r="N2774" t="n">
        <v>0</v>
      </c>
      <c r="O2774" t="n">
        <v>0</v>
      </c>
      <c r="P2774" t="n">
        <v>0</v>
      </c>
      <c r="Q2774" t="n">
        <v>0</v>
      </c>
      <c r="R2774" s="2" t="inlineStr"/>
    </row>
    <row r="2775" ht="15" customHeight="1">
      <c r="A2775" t="inlineStr">
        <is>
          <t>A 4179-2024</t>
        </is>
      </c>
      <c r="B2775" s="1" t="n">
        <v>45323</v>
      </c>
      <c r="C2775" s="1" t="n">
        <v>45795</v>
      </c>
      <c r="D2775" t="inlineStr">
        <is>
          <t>JÄMTLANDS LÄN</t>
        </is>
      </c>
      <c r="E2775" t="inlineStr">
        <is>
          <t>STRÖMSUND</t>
        </is>
      </c>
      <c r="F2775" t="inlineStr">
        <is>
          <t>SCA</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4449-2024</t>
        </is>
      </c>
      <c r="B2776" s="1" t="n">
        <v>45324</v>
      </c>
      <c r="C2776" s="1" t="n">
        <v>45795</v>
      </c>
      <c r="D2776" t="inlineStr">
        <is>
          <t>JÄMTLANDS LÄN</t>
        </is>
      </c>
      <c r="E2776" t="inlineStr">
        <is>
          <t>STRÖMSUND</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4378-2024</t>
        </is>
      </c>
      <c r="B2777" s="1" t="n">
        <v>45326</v>
      </c>
      <c r="C2777" s="1" t="n">
        <v>45795</v>
      </c>
      <c r="D2777" t="inlineStr">
        <is>
          <t>JÄMTLANDS LÄN</t>
        </is>
      </c>
      <c r="E2777" t="inlineStr">
        <is>
          <t>STRÖMSUND</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4436-2024</t>
        </is>
      </c>
      <c r="B2778" s="1" t="n">
        <v>45327</v>
      </c>
      <c r="C2778" s="1" t="n">
        <v>45795</v>
      </c>
      <c r="D2778" t="inlineStr">
        <is>
          <t>JÄMTLANDS LÄN</t>
        </is>
      </c>
      <c r="E2778" t="inlineStr">
        <is>
          <t>STRÖMSUND</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4507-2024</t>
        </is>
      </c>
      <c r="B2779" s="1" t="n">
        <v>45327</v>
      </c>
      <c r="C2779" s="1" t="n">
        <v>45795</v>
      </c>
      <c r="D2779" t="inlineStr">
        <is>
          <t>JÄMTLANDS LÄN</t>
        </is>
      </c>
      <c r="E2779" t="inlineStr">
        <is>
          <t>STRÖMSUND</t>
        </is>
      </c>
      <c r="F2779" t="inlineStr">
        <is>
          <t>Kyrkan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4514-2024</t>
        </is>
      </c>
      <c r="B2780" s="1" t="n">
        <v>45327</v>
      </c>
      <c r="C2780" s="1" t="n">
        <v>45795</v>
      </c>
      <c r="D2780" t="inlineStr">
        <is>
          <t>JÄMTLANDS LÄN</t>
        </is>
      </c>
      <c r="E2780" t="inlineStr">
        <is>
          <t>STRÖMSUND</t>
        </is>
      </c>
      <c r="F2780" t="inlineStr">
        <is>
          <t>Kyrkan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4586-2024</t>
        </is>
      </c>
      <c r="B2781" s="1" t="n">
        <v>45327</v>
      </c>
      <c r="C2781" s="1" t="n">
        <v>45795</v>
      </c>
      <c r="D2781" t="inlineStr">
        <is>
          <t>JÄMTLANDS LÄN</t>
        </is>
      </c>
      <c r="E2781" t="inlineStr">
        <is>
          <t>STRÖMSUND</t>
        </is>
      </c>
      <c r="F2781" t="inlineStr">
        <is>
          <t>SCA</t>
        </is>
      </c>
      <c r="G2781" t="n">
        <v>28.8</v>
      </c>
      <c r="H2781" t="n">
        <v>0</v>
      </c>
      <c r="I2781" t="n">
        <v>0</v>
      </c>
      <c r="J2781" t="n">
        <v>0</v>
      </c>
      <c r="K2781" t="n">
        <v>0</v>
      </c>
      <c r="L2781" t="n">
        <v>0</v>
      </c>
      <c r="M2781" t="n">
        <v>0</v>
      </c>
      <c r="N2781" t="n">
        <v>0</v>
      </c>
      <c r="O2781" t="n">
        <v>0</v>
      </c>
      <c r="P2781" t="n">
        <v>0</v>
      </c>
      <c r="Q2781" t="n">
        <v>0</v>
      </c>
      <c r="R2781" s="2" t="inlineStr"/>
    </row>
    <row r="2782" ht="15" customHeight="1">
      <c r="A2782" t="inlineStr">
        <is>
          <t>A 4579-2024</t>
        </is>
      </c>
      <c r="B2782" s="1" t="n">
        <v>45327</v>
      </c>
      <c r="C2782" s="1" t="n">
        <v>45795</v>
      </c>
      <c r="D2782" t="inlineStr">
        <is>
          <t>JÄMTLANDS LÄN</t>
        </is>
      </c>
      <c r="E2782" t="inlineStr">
        <is>
          <t>STRÖMSUND</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4588-2024</t>
        </is>
      </c>
      <c r="B2783" s="1" t="n">
        <v>45327</v>
      </c>
      <c r="C2783" s="1" t="n">
        <v>45795</v>
      </c>
      <c r="D2783" t="inlineStr">
        <is>
          <t>JÄMTLANDS LÄN</t>
        </is>
      </c>
      <c r="E2783" t="inlineStr">
        <is>
          <t>STRÖMSUND</t>
        </is>
      </c>
      <c r="F2783" t="inlineStr">
        <is>
          <t>SCA</t>
        </is>
      </c>
      <c r="G2783" t="n">
        <v>23.9</v>
      </c>
      <c r="H2783" t="n">
        <v>0</v>
      </c>
      <c r="I2783" t="n">
        <v>0</v>
      </c>
      <c r="J2783" t="n">
        <v>0</v>
      </c>
      <c r="K2783" t="n">
        <v>0</v>
      </c>
      <c r="L2783" t="n">
        <v>0</v>
      </c>
      <c r="M2783" t="n">
        <v>0</v>
      </c>
      <c r="N2783" t="n">
        <v>0</v>
      </c>
      <c r="O2783" t="n">
        <v>0</v>
      </c>
      <c r="P2783" t="n">
        <v>0</v>
      </c>
      <c r="Q2783" t="n">
        <v>0</v>
      </c>
      <c r="R2783" s="2" t="inlineStr"/>
    </row>
    <row r="2784" ht="15" customHeight="1">
      <c r="A2784" t="inlineStr">
        <is>
          <t>A 4663-2024</t>
        </is>
      </c>
      <c r="B2784" s="1" t="n">
        <v>45328</v>
      </c>
      <c r="C2784" s="1" t="n">
        <v>45795</v>
      </c>
      <c r="D2784" t="inlineStr">
        <is>
          <t>JÄMTLANDS LÄN</t>
        </is>
      </c>
      <c r="E2784" t="inlineStr">
        <is>
          <t>STRÖMSUND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4825-2024</t>
        </is>
      </c>
      <c r="B2785" s="1" t="n">
        <v>45328</v>
      </c>
      <c r="C2785" s="1" t="n">
        <v>45795</v>
      </c>
      <c r="D2785" t="inlineStr">
        <is>
          <t>JÄMTLANDS LÄN</t>
        </is>
      </c>
      <c r="E2785" t="inlineStr">
        <is>
          <t>STRÖMSUND</t>
        </is>
      </c>
      <c r="F2785" t="inlineStr">
        <is>
          <t>SCA</t>
        </is>
      </c>
      <c r="G2785" t="n">
        <v>33.1</v>
      </c>
      <c r="H2785" t="n">
        <v>0</v>
      </c>
      <c r="I2785" t="n">
        <v>0</v>
      </c>
      <c r="J2785" t="n">
        <v>0</v>
      </c>
      <c r="K2785" t="n">
        <v>0</v>
      </c>
      <c r="L2785" t="n">
        <v>0</v>
      </c>
      <c r="M2785" t="n">
        <v>0</v>
      </c>
      <c r="N2785" t="n">
        <v>0</v>
      </c>
      <c r="O2785" t="n">
        <v>0</v>
      </c>
      <c r="P2785" t="n">
        <v>0</v>
      </c>
      <c r="Q2785" t="n">
        <v>0</v>
      </c>
      <c r="R2785" s="2" t="inlineStr"/>
    </row>
    <row r="2786" ht="15" customHeight="1">
      <c r="A2786" t="inlineStr">
        <is>
          <t>A 4823-2024</t>
        </is>
      </c>
      <c r="B2786" s="1" t="n">
        <v>45328</v>
      </c>
      <c r="C2786" s="1" t="n">
        <v>45795</v>
      </c>
      <c r="D2786" t="inlineStr">
        <is>
          <t>JÄMTLANDS LÄN</t>
        </is>
      </c>
      <c r="E2786" t="inlineStr">
        <is>
          <t>STRÖMSUND</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5068-2024</t>
        </is>
      </c>
      <c r="B2787" s="1" t="n">
        <v>45329</v>
      </c>
      <c r="C2787" s="1" t="n">
        <v>45795</v>
      </c>
      <c r="D2787" t="inlineStr">
        <is>
          <t>JÄMTLANDS LÄN</t>
        </is>
      </c>
      <c r="E2787" t="inlineStr">
        <is>
          <t>STRÖMSUND</t>
        </is>
      </c>
      <c r="F2787" t="inlineStr">
        <is>
          <t>SCA</t>
        </is>
      </c>
      <c r="G2787" t="n">
        <v>28.3</v>
      </c>
      <c r="H2787" t="n">
        <v>0</v>
      </c>
      <c r="I2787" t="n">
        <v>0</v>
      </c>
      <c r="J2787" t="n">
        <v>0</v>
      </c>
      <c r="K2787" t="n">
        <v>0</v>
      </c>
      <c r="L2787" t="n">
        <v>0</v>
      </c>
      <c r="M2787" t="n">
        <v>0</v>
      </c>
      <c r="N2787" t="n">
        <v>0</v>
      </c>
      <c r="O2787" t="n">
        <v>0</v>
      </c>
      <c r="P2787" t="n">
        <v>0</v>
      </c>
      <c r="Q2787" t="n">
        <v>0</v>
      </c>
      <c r="R2787" s="2" t="inlineStr"/>
    </row>
    <row r="2788" ht="15" customHeight="1">
      <c r="A2788" t="inlineStr">
        <is>
          <t>A 5105-2024</t>
        </is>
      </c>
      <c r="B2788" s="1" t="n">
        <v>45330</v>
      </c>
      <c r="C2788" s="1" t="n">
        <v>45795</v>
      </c>
      <c r="D2788" t="inlineStr">
        <is>
          <t>JÄMTLANDS LÄN</t>
        </is>
      </c>
      <c r="E2788" t="inlineStr">
        <is>
          <t>STRÖMSUND</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5260-2024</t>
        </is>
      </c>
      <c r="B2789" s="1" t="n">
        <v>45331</v>
      </c>
      <c r="C2789" s="1" t="n">
        <v>45795</v>
      </c>
      <c r="D2789" t="inlineStr">
        <is>
          <t>JÄMTLANDS LÄN</t>
        </is>
      </c>
      <c r="E2789" t="inlineStr">
        <is>
          <t>STRÖMSUND</t>
        </is>
      </c>
      <c r="F2789" t="inlineStr">
        <is>
          <t>SCA</t>
        </is>
      </c>
      <c r="G2789" t="n">
        <v>22.6</v>
      </c>
      <c r="H2789" t="n">
        <v>0</v>
      </c>
      <c r="I2789" t="n">
        <v>0</v>
      </c>
      <c r="J2789" t="n">
        <v>0</v>
      </c>
      <c r="K2789" t="n">
        <v>0</v>
      </c>
      <c r="L2789" t="n">
        <v>0</v>
      </c>
      <c r="M2789" t="n">
        <v>0</v>
      </c>
      <c r="N2789" t="n">
        <v>0</v>
      </c>
      <c r="O2789" t="n">
        <v>0</v>
      </c>
      <c r="P2789" t="n">
        <v>0</v>
      </c>
      <c r="Q2789" t="n">
        <v>0</v>
      </c>
      <c r="R2789" s="2" t="inlineStr"/>
    </row>
    <row r="2790" ht="15" customHeight="1">
      <c r="A2790" t="inlineStr">
        <is>
          <t>A 5259-2024</t>
        </is>
      </c>
      <c r="B2790" s="1" t="n">
        <v>45330</v>
      </c>
      <c r="C2790" s="1" t="n">
        <v>45795</v>
      </c>
      <c r="D2790" t="inlineStr">
        <is>
          <t>JÄMTLANDS LÄN</t>
        </is>
      </c>
      <c r="E2790" t="inlineStr">
        <is>
          <t>STRÖMSUND</t>
        </is>
      </c>
      <c r="F2790" t="inlineStr">
        <is>
          <t>SCA</t>
        </is>
      </c>
      <c r="G2790" t="n">
        <v>25.8</v>
      </c>
      <c r="H2790" t="n">
        <v>0</v>
      </c>
      <c r="I2790" t="n">
        <v>0</v>
      </c>
      <c r="J2790" t="n">
        <v>0</v>
      </c>
      <c r="K2790" t="n">
        <v>0</v>
      </c>
      <c r="L2790" t="n">
        <v>0</v>
      </c>
      <c r="M2790" t="n">
        <v>0</v>
      </c>
      <c r="N2790" t="n">
        <v>0</v>
      </c>
      <c r="O2790" t="n">
        <v>0</v>
      </c>
      <c r="P2790" t="n">
        <v>0</v>
      </c>
      <c r="Q2790" t="n">
        <v>0</v>
      </c>
      <c r="R2790" s="2" t="inlineStr"/>
    </row>
    <row r="2791" ht="15" customHeight="1">
      <c r="A2791" t="inlineStr">
        <is>
          <t>A 5262-2024</t>
        </is>
      </c>
      <c r="B2791" s="1" t="n">
        <v>45330</v>
      </c>
      <c r="C2791" s="1" t="n">
        <v>45795</v>
      </c>
      <c r="D2791" t="inlineStr">
        <is>
          <t>JÄMTLANDS LÄN</t>
        </is>
      </c>
      <c r="E2791" t="inlineStr">
        <is>
          <t>STRÖMSUND</t>
        </is>
      </c>
      <c r="F2791" t="inlineStr">
        <is>
          <t>SCA</t>
        </is>
      </c>
      <c r="G2791" t="n">
        <v>19.7</v>
      </c>
      <c r="H2791" t="n">
        <v>0</v>
      </c>
      <c r="I2791" t="n">
        <v>0</v>
      </c>
      <c r="J2791" t="n">
        <v>0</v>
      </c>
      <c r="K2791" t="n">
        <v>0</v>
      </c>
      <c r="L2791" t="n">
        <v>0</v>
      </c>
      <c r="M2791" t="n">
        <v>0</v>
      </c>
      <c r="N2791" t="n">
        <v>0</v>
      </c>
      <c r="O2791" t="n">
        <v>0</v>
      </c>
      <c r="P2791" t="n">
        <v>0</v>
      </c>
      <c r="Q2791" t="n">
        <v>0</v>
      </c>
      <c r="R2791" s="2" t="inlineStr"/>
    </row>
    <row r="2792" ht="15" customHeight="1">
      <c r="A2792" t="inlineStr">
        <is>
          <t>A 5267-2024</t>
        </is>
      </c>
      <c r="B2792" s="1" t="n">
        <v>45331</v>
      </c>
      <c r="C2792" s="1" t="n">
        <v>45795</v>
      </c>
      <c r="D2792" t="inlineStr">
        <is>
          <t>JÄMTLANDS LÄN</t>
        </is>
      </c>
      <c r="E2792" t="inlineStr">
        <is>
          <t>STRÖMSUND</t>
        </is>
      </c>
      <c r="F2792" t="inlineStr">
        <is>
          <t>SCA</t>
        </is>
      </c>
      <c r="G2792" t="n">
        <v>29.1</v>
      </c>
      <c r="H2792" t="n">
        <v>0</v>
      </c>
      <c r="I2792" t="n">
        <v>0</v>
      </c>
      <c r="J2792" t="n">
        <v>0</v>
      </c>
      <c r="K2792" t="n">
        <v>0</v>
      </c>
      <c r="L2792" t="n">
        <v>0</v>
      </c>
      <c r="M2792" t="n">
        <v>0</v>
      </c>
      <c r="N2792" t="n">
        <v>0</v>
      </c>
      <c r="O2792" t="n">
        <v>0</v>
      </c>
      <c r="P2792" t="n">
        <v>0</v>
      </c>
      <c r="Q2792" t="n">
        <v>0</v>
      </c>
      <c r="R2792" s="2" t="inlineStr"/>
    </row>
    <row r="2793" ht="15" customHeight="1">
      <c r="A2793" t="inlineStr">
        <is>
          <t>A 5261-2024</t>
        </is>
      </c>
      <c r="B2793" s="1" t="n">
        <v>45331</v>
      </c>
      <c r="C2793" s="1" t="n">
        <v>45795</v>
      </c>
      <c r="D2793" t="inlineStr">
        <is>
          <t>JÄMTLANDS LÄN</t>
        </is>
      </c>
      <c r="E2793" t="inlineStr">
        <is>
          <t>STRÖMSUND</t>
        </is>
      </c>
      <c r="F2793" t="inlineStr">
        <is>
          <t>SCA</t>
        </is>
      </c>
      <c r="G2793" t="n">
        <v>29.7</v>
      </c>
      <c r="H2793" t="n">
        <v>0</v>
      </c>
      <c r="I2793" t="n">
        <v>0</v>
      </c>
      <c r="J2793" t="n">
        <v>0</v>
      </c>
      <c r="K2793" t="n">
        <v>0</v>
      </c>
      <c r="L2793" t="n">
        <v>0</v>
      </c>
      <c r="M2793" t="n">
        <v>0</v>
      </c>
      <c r="N2793" t="n">
        <v>0</v>
      </c>
      <c r="O2793" t="n">
        <v>0</v>
      </c>
      <c r="P2793" t="n">
        <v>0</v>
      </c>
      <c r="Q2793" t="n">
        <v>0</v>
      </c>
      <c r="R2793" s="2" t="inlineStr"/>
    </row>
    <row r="2794" ht="15" customHeight="1">
      <c r="A2794" t="inlineStr">
        <is>
          <t>A 5333-2024</t>
        </is>
      </c>
      <c r="B2794" s="1" t="n">
        <v>45331</v>
      </c>
      <c r="C2794" s="1" t="n">
        <v>45795</v>
      </c>
      <c r="D2794" t="inlineStr">
        <is>
          <t>JÄMTLANDS LÄN</t>
        </is>
      </c>
      <c r="E2794" t="inlineStr">
        <is>
          <t>STRÖMSUND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5350-2024</t>
        </is>
      </c>
      <c r="B2795" s="1" t="n">
        <v>45331</v>
      </c>
      <c r="C2795" s="1" t="n">
        <v>45795</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5327-2024</t>
        </is>
      </c>
      <c r="B2796" s="1" t="n">
        <v>45331</v>
      </c>
      <c r="C2796" s="1" t="n">
        <v>45795</v>
      </c>
      <c r="D2796" t="inlineStr">
        <is>
          <t>JÄMTLANDS LÄN</t>
        </is>
      </c>
      <c r="E2796" t="inlineStr">
        <is>
          <t>STRÖMSUND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5443-2024</t>
        </is>
      </c>
      <c r="B2797" s="1" t="n">
        <v>45331</v>
      </c>
      <c r="C2797" s="1" t="n">
        <v>45795</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5449-2024</t>
        </is>
      </c>
      <c r="B2798" s="1" t="n">
        <v>45331</v>
      </c>
      <c r="C2798" s="1" t="n">
        <v>45795</v>
      </c>
      <c r="D2798" t="inlineStr">
        <is>
          <t>JÄMTLANDS LÄN</t>
        </is>
      </c>
      <c r="E2798" t="inlineStr">
        <is>
          <t>STRÖMSUND</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5453-2024</t>
        </is>
      </c>
      <c r="B2799" s="1" t="n">
        <v>45331</v>
      </c>
      <c r="C2799" s="1" t="n">
        <v>45795</v>
      </c>
      <c r="D2799" t="inlineStr">
        <is>
          <t>JÄMTLANDS LÄN</t>
        </is>
      </c>
      <c r="E2799" t="inlineStr">
        <is>
          <t>STRÖMSUND</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5451-2024</t>
        </is>
      </c>
      <c r="B2800" s="1" t="n">
        <v>45331</v>
      </c>
      <c r="C2800" s="1" t="n">
        <v>45795</v>
      </c>
      <c r="D2800" t="inlineStr">
        <is>
          <t>JÄMTLANDS LÄN</t>
        </is>
      </c>
      <c r="E2800" t="inlineStr">
        <is>
          <t>STRÖMSUND</t>
        </is>
      </c>
      <c r="F2800" t="inlineStr">
        <is>
          <t>SCA</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5444-2024</t>
        </is>
      </c>
      <c r="B2801" s="1" t="n">
        <v>45331</v>
      </c>
      <c r="C2801" s="1" t="n">
        <v>45795</v>
      </c>
      <c r="D2801" t="inlineStr">
        <is>
          <t>JÄMTLANDS LÄN</t>
        </is>
      </c>
      <c r="E2801" t="inlineStr">
        <is>
          <t>STRÖMSUND</t>
        </is>
      </c>
      <c r="F2801" t="inlineStr">
        <is>
          <t>SCA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5450-2024</t>
        </is>
      </c>
      <c r="B2802" s="1" t="n">
        <v>45331</v>
      </c>
      <c r="C2802" s="1" t="n">
        <v>45795</v>
      </c>
      <c r="D2802" t="inlineStr">
        <is>
          <t>JÄMTLANDS LÄN</t>
        </is>
      </c>
      <c r="E2802" t="inlineStr">
        <is>
          <t>STRÖMSUND</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5454-2024</t>
        </is>
      </c>
      <c r="B2803" s="1" t="n">
        <v>45331</v>
      </c>
      <c r="C2803" s="1" t="n">
        <v>45795</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5736-2024</t>
        </is>
      </c>
      <c r="B2804" s="1" t="n">
        <v>45334</v>
      </c>
      <c r="C2804" s="1" t="n">
        <v>45795</v>
      </c>
      <c r="D2804" t="inlineStr">
        <is>
          <t>JÄMTLANDS LÄN</t>
        </is>
      </c>
      <c r="E2804" t="inlineStr">
        <is>
          <t>STRÖMSUND</t>
        </is>
      </c>
      <c r="F2804" t="inlineStr">
        <is>
          <t>SCA</t>
        </is>
      </c>
      <c r="G2804" t="n">
        <v>30.3</v>
      </c>
      <c r="H2804" t="n">
        <v>0</v>
      </c>
      <c r="I2804" t="n">
        <v>0</v>
      </c>
      <c r="J2804" t="n">
        <v>0</v>
      </c>
      <c r="K2804" t="n">
        <v>0</v>
      </c>
      <c r="L2804" t="n">
        <v>0</v>
      </c>
      <c r="M2804" t="n">
        <v>0</v>
      </c>
      <c r="N2804" t="n">
        <v>0</v>
      </c>
      <c r="O2804" t="n">
        <v>0</v>
      </c>
      <c r="P2804" t="n">
        <v>0</v>
      </c>
      <c r="Q2804" t="n">
        <v>0</v>
      </c>
      <c r="R2804" s="2" t="inlineStr"/>
    </row>
    <row r="2805" ht="15" customHeight="1">
      <c r="A2805" t="inlineStr">
        <is>
          <t>A 6083-2024</t>
        </is>
      </c>
      <c r="B2805" s="1" t="n">
        <v>45337</v>
      </c>
      <c r="C2805" s="1" t="n">
        <v>45795</v>
      </c>
      <c r="D2805" t="inlineStr">
        <is>
          <t>JÄMTLANDS LÄN</t>
        </is>
      </c>
      <c r="E2805" t="inlineStr">
        <is>
          <t>STRÖMSUND</t>
        </is>
      </c>
      <c r="F2805" t="inlineStr">
        <is>
          <t>SCA</t>
        </is>
      </c>
      <c r="G2805" t="n">
        <v>45.8</v>
      </c>
      <c r="H2805" t="n">
        <v>0</v>
      </c>
      <c r="I2805" t="n">
        <v>0</v>
      </c>
      <c r="J2805" t="n">
        <v>0</v>
      </c>
      <c r="K2805" t="n">
        <v>0</v>
      </c>
      <c r="L2805" t="n">
        <v>0</v>
      </c>
      <c r="M2805" t="n">
        <v>0</v>
      </c>
      <c r="N2805" t="n">
        <v>0</v>
      </c>
      <c r="O2805" t="n">
        <v>0</v>
      </c>
      <c r="P2805" t="n">
        <v>0</v>
      </c>
      <c r="Q2805" t="n">
        <v>0</v>
      </c>
      <c r="R2805" s="2" t="inlineStr"/>
    </row>
    <row r="2806" ht="15" customHeight="1">
      <c r="A2806" t="inlineStr">
        <is>
          <t>A 5930-2024</t>
        </is>
      </c>
      <c r="B2806" s="1" t="n">
        <v>45336</v>
      </c>
      <c r="C2806" s="1" t="n">
        <v>45795</v>
      </c>
      <c r="D2806" t="inlineStr">
        <is>
          <t>JÄMTLANDS LÄN</t>
        </is>
      </c>
      <c r="E2806" t="inlineStr">
        <is>
          <t>STRÖMSUND</t>
        </is>
      </c>
      <c r="F2806" t="inlineStr">
        <is>
          <t>Holmen skog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6085-2024</t>
        </is>
      </c>
      <c r="B2807" s="1" t="n">
        <v>45336</v>
      </c>
      <c r="C2807" s="1" t="n">
        <v>45795</v>
      </c>
      <c r="D2807" t="inlineStr">
        <is>
          <t>JÄMTLANDS LÄN</t>
        </is>
      </c>
      <c r="E2807" t="inlineStr">
        <is>
          <t>STRÖMSUND</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6174-2024</t>
        </is>
      </c>
      <c r="B2808" s="1" t="n">
        <v>45337</v>
      </c>
      <c r="C2808" s="1" t="n">
        <v>45795</v>
      </c>
      <c r="D2808" t="inlineStr">
        <is>
          <t>JÄMTLANDS LÄN</t>
        </is>
      </c>
      <c r="E2808" t="inlineStr">
        <is>
          <t>STRÖMSUND</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6112-2024</t>
        </is>
      </c>
      <c r="B2809" s="1" t="n">
        <v>45337</v>
      </c>
      <c r="C2809" s="1" t="n">
        <v>45795</v>
      </c>
      <c r="D2809" t="inlineStr">
        <is>
          <t>JÄMTLANDS LÄN</t>
        </is>
      </c>
      <c r="E2809" t="inlineStr">
        <is>
          <t>STRÖMSUND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6287-2024</t>
        </is>
      </c>
      <c r="B2810" s="1" t="n">
        <v>45337</v>
      </c>
      <c r="C2810" s="1" t="n">
        <v>45795</v>
      </c>
      <c r="D2810" t="inlineStr">
        <is>
          <t>JÄMTLANDS LÄN</t>
        </is>
      </c>
      <c r="E2810" t="inlineStr">
        <is>
          <t>STRÖMSUND</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6476-2024</t>
        </is>
      </c>
      <c r="B2811" s="1" t="n">
        <v>45338</v>
      </c>
      <c r="C2811" s="1" t="n">
        <v>45795</v>
      </c>
      <c r="D2811" t="inlineStr">
        <is>
          <t>JÄMTLANDS LÄN</t>
        </is>
      </c>
      <c r="E2811" t="inlineStr">
        <is>
          <t>STRÖMSUND</t>
        </is>
      </c>
      <c r="F2811" t="inlineStr">
        <is>
          <t>SCA</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6478-2024</t>
        </is>
      </c>
      <c r="B2812" s="1" t="n">
        <v>45338</v>
      </c>
      <c r="C2812" s="1" t="n">
        <v>45795</v>
      </c>
      <c r="D2812" t="inlineStr">
        <is>
          <t>JÄMTLANDS LÄN</t>
        </is>
      </c>
      <c r="E2812" t="inlineStr">
        <is>
          <t>STRÖMSUND</t>
        </is>
      </c>
      <c r="F2812" t="inlineStr">
        <is>
          <t>SCA</t>
        </is>
      </c>
      <c r="G2812" t="n">
        <v>17.6</v>
      </c>
      <c r="H2812" t="n">
        <v>0</v>
      </c>
      <c r="I2812" t="n">
        <v>0</v>
      </c>
      <c r="J2812" t="n">
        <v>0</v>
      </c>
      <c r="K2812" t="n">
        <v>0</v>
      </c>
      <c r="L2812" t="n">
        <v>0</v>
      </c>
      <c r="M2812" t="n">
        <v>0</v>
      </c>
      <c r="N2812" t="n">
        <v>0</v>
      </c>
      <c r="O2812" t="n">
        <v>0</v>
      </c>
      <c r="P2812" t="n">
        <v>0</v>
      </c>
      <c r="Q2812" t="n">
        <v>0</v>
      </c>
      <c r="R2812" s="2" t="inlineStr"/>
    </row>
    <row r="2813" ht="15" customHeight="1">
      <c r="A2813" t="inlineStr">
        <is>
          <t>A 6475-2024</t>
        </is>
      </c>
      <c r="B2813" s="1" t="n">
        <v>45338</v>
      </c>
      <c r="C2813" s="1" t="n">
        <v>45795</v>
      </c>
      <c r="D2813" t="inlineStr">
        <is>
          <t>JÄMTLANDS LÄN</t>
        </is>
      </c>
      <c r="E2813" t="inlineStr">
        <is>
          <t>STRÖMSUND</t>
        </is>
      </c>
      <c r="F2813" t="inlineStr">
        <is>
          <t>SCA</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6479-2024</t>
        </is>
      </c>
      <c r="B2814" s="1" t="n">
        <v>45338</v>
      </c>
      <c r="C2814" s="1" t="n">
        <v>45795</v>
      </c>
      <c r="D2814" t="inlineStr">
        <is>
          <t>JÄMTLANDS LÄN</t>
        </is>
      </c>
      <c r="E2814" t="inlineStr">
        <is>
          <t>STRÖMSUND</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6512-2024</t>
        </is>
      </c>
      <c r="B2815" s="1" t="n">
        <v>45340</v>
      </c>
      <c r="C2815" s="1" t="n">
        <v>45795</v>
      </c>
      <c r="D2815" t="inlineStr">
        <is>
          <t>JÄMTLANDS LÄN</t>
        </is>
      </c>
      <c r="E2815" t="inlineStr">
        <is>
          <t>STRÖMSUND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6566-2024</t>
        </is>
      </c>
      <c r="B2816" s="1" t="n">
        <v>45341</v>
      </c>
      <c r="C2816" s="1" t="n">
        <v>45795</v>
      </c>
      <c r="D2816" t="inlineStr">
        <is>
          <t>JÄMTLANDS LÄN</t>
        </is>
      </c>
      <c r="E2816" t="inlineStr">
        <is>
          <t>STRÖMSUND</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6693-2024</t>
        </is>
      </c>
      <c r="B2817" s="1" t="n">
        <v>45341</v>
      </c>
      <c r="C2817" s="1" t="n">
        <v>45795</v>
      </c>
      <c r="D2817" t="inlineStr">
        <is>
          <t>JÄMTLANDS LÄN</t>
        </is>
      </c>
      <c r="E2817" t="inlineStr">
        <is>
          <t>STRÖMSUND</t>
        </is>
      </c>
      <c r="F2817" t="inlineStr">
        <is>
          <t>SCA</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6696-2024</t>
        </is>
      </c>
      <c r="B2818" s="1" t="n">
        <v>45341</v>
      </c>
      <c r="C2818" s="1" t="n">
        <v>45795</v>
      </c>
      <c r="D2818" t="inlineStr">
        <is>
          <t>JÄMTLANDS LÄN</t>
        </is>
      </c>
      <c r="E2818" t="inlineStr">
        <is>
          <t>STRÖMSUND</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6695-2024</t>
        </is>
      </c>
      <c r="B2819" s="1" t="n">
        <v>45341</v>
      </c>
      <c r="C2819" s="1" t="n">
        <v>45795</v>
      </c>
      <c r="D2819" t="inlineStr">
        <is>
          <t>JÄMTLANDS LÄN</t>
        </is>
      </c>
      <c r="E2819" t="inlineStr">
        <is>
          <t>STRÖMSUND</t>
        </is>
      </c>
      <c r="F2819" t="inlineStr">
        <is>
          <t>SCA</t>
        </is>
      </c>
      <c r="G2819" t="n">
        <v>19.5</v>
      </c>
      <c r="H2819" t="n">
        <v>0</v>
      </c>
      <c r="I2819" t="n">
        <v>0</v>
      </c>
      <c r="J2819" t="n">
        <v>0</v>
      </c>
      <c r="K2819" t="n">
        <v>0</v>
      </c>
      <c r="L2819" t="n">
        <v>0</v>
      </c>
      <c r="M2819" t="n">
        <v>0</v>
      </c>
      <c r="N2819" t="n">
        <v>0</v>
      </c>
      <c r="O2819" t="n">
        <v>0</v>
      </c>
      <c r="P2819" t="n">
        <v>0</v>
      </c>
      <c r="Q2819" t="n">
        <v>0</v>
      </c>
      <c r="R2819" s="2" t="inlineStr"/>
    </row>
    <row r="2820" ht="15" customHeight="1">
      <c r="A2820" t="inlineStr">
        <is>
          <t>A 6894-2024</t>
        </is>
      </c>
      <c r="B2820" s="1" t="n">
        <v>45342</v>
      </c>
      <c r="C2820" s="1" t="n">
        <v>45795</v>
      </c>
      <c r="D2820" t="inlineStr">
        <is>
          <t>JÄMTLANDS LÄN</t>
        </is>
      </c>
      <c r="E2820" t="inlineStr">
        <is>
          <t>STRÖMSUND</t>
        </is>
      </c>
      <c r="G2820" t="n">
        <v>16.3</v>
      </c>
      <c r="H2820" t="n">
        <v>0</v>
      </c>
      <c r="I2820" t="n">
        <v>0</v>
      </c>
      <c r="J2820" t="n">
        <v>0</v>
      </c>
      <c r="K2820" t="n">
        <v>0</v>
      </c>
      <c r="L2820" t="n">
        <v>0</v>
      </c>
      <c r="M2820" t="n">
        <v>0</v>
      </c>
      <c r="N2820" t="n">
        <v>0</v>
      </c>
      <c r="O2820" t="n">
        <v>0</v>
      </c>
      <c r="P2820" t="n">
        <v>0</v>
      </c>
      <c r="Q2820" t="n">
        <v>0</v>
      </c>
      <c r="R2820" s="2" t="inlineStr"/>
    </row>
    <row r="2821" ht="15" customHeight="1">
      <c r="A2821" t="inlineStr">
        <is>
          <t>A 6961-2024</t>
        </is>
      </c>
      <c r="B2821" s="1" t="n">
        <v>45343</v>
      </c>
      <c r="C2821" s="1" t="n">
        <v>45795</v>
      </c>
      <c r="D2821" t="inlineStr">
        <is>
          <t>JÄMTLANDS LÄN</t>
        </is>
      </c>
      <c r="E2821" t="inlineStr">
        <is>
          <t>STRÖMSUND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7112-2024</t>
        </is>
      </c>
      <c r="B2822" s="1" t="n">
        <v>45343</v>
      </c>
      <c r="C2822" s="1" t="n">
        <v>45795</v>
      </c>
      <c r="D2822" t="inlineStr">
        <is>
          <t>JÄMTLANDS LÄN</t>
        </is>
      </c>
      <c r="E2822" t="inlineStr">
        <is>
          <t>STRÖMSUND</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7293-2024</t>
        </is>
      </c>
      <c r="B2823" s="1" t="n">
        <v>45344</v>
      </c>
      <c r="C2823" s="1" t="n">
        <v>45795</v>
      </c>
      <c r="D2823" t="inlineStr">
        <is>
          <t>JÄMTLANDS LÄN</t>
        </is>
      </c>
      <c r="E2823" t="inlineStr">
        <is>
          <t>STRÖMSUND</t>
        </is>
      </c>
      <c r="F2823" t="inlineStr">
        <is>
          <t>SCA</t>
        </is>
      </c>
      <c r="G2823" t="n">
        <v>14.8</v>
      </c>
      <c r="H2823" t="n">
        <v>0</v>
      </c>
      <c r="I2823" t="n">
        <v>0</v>
      </c>
      <c r="J2823" t="n">
        <v>0</v>
      </c>
      <c r="K2823" t="n">
        <v>0</v>
      </c>
      <c r="L2823" t="n">
        <v>0</v>
      </c>
      <c r="M2823" t="n">
        <v>0</v>
      </c>
      <c r="N2823" t="n">
        <v>0</v>
      </c>
      <c r="O2823" t="n">
        <v>0</v>
      </c>
      <c r="P2823" t="n">
        <v>0</v>
      </c>
      <c r="Q2823" t="n">
        <v>0</v>
      </c>
      <c r="R2823" s="2" t="inlineStr"/>
    </row>
    <row r="2824" ht="15" customHeight="1">
      <c r="A2824" t="inlineStr">
        <is>
          <t>A 7302-2024</t>
        </is>
      </c>
      <c r="B2824" s="1" t="n">
        <v>45344</v>
      </c>
      <c r="C2824" s="1" t="n">
        <v>45795</v>
      </c>
      <c r="D2824" t="inlineStr">
        <is>
          <t>JÄMTLANDS LÄN</t>
        </is>
      </c>
      <c r="E2824" t="inlineStr">
        <is>
          <t>STRÖMSUND</t>
        </is>
      </c>
      <c r="F2824" t="inlineStr">
        <is>
          <t>SCA</t>
        </is>
      </c>
      <c r="G2824" t="n">
        <v>30.8</v>
      </c>
      <c r="H2824" t="n">
        <v>0</v>
      </c>
      <c r="I2824" t="n">
        <v>0</v>
      </c>
      <c r="J2824" t="n">
        <v>0</v>
      </c>
      <c r="K2824" t="n">
        <v>0</v>
      </c>
      <c r="L2824" t="n">
        <v>0</v>
      </c>
      <c r="M2824" t="n">
        <v>0</v>
      </c>
      <c r="N2824" t="n">
        <v>0</v>
      </c>
      <c r="O2824" t="n">
        <v>0</v>
      </c>
      <c r="P2824" t="n">
        <v>0</v>
      </c>
      <c r="Q2824" t="n">
        <v>0</v>
      </c>
      <c r="R2824" s="2" t="inlineStr"/>
    </row>
    <row r="2825" ht="15" customHeight="1">
      <c r="A2825" t="inlineStr">
        <is>
          <t>A 7301-2024</t>
        </is>
      </c>
      <c r="B2825" s="1" t="n">
        <v>45344</v>
      </c>
      <c r="C2825" s="1" t="n">
        <v>45795</v>
      </c>
      <c r="D2825" t="inlineStr">
        <is>
          <t>JÄMTLANDS LÄN</t>
        </is>
      </c>
      <c r="E2825" t="inlineStr">
        <is>
          <t>STRÖMSUND</t>
        </is>
      </c>
      <c r="F2825" t="inlineStr">
        <is>
          <t>SCA</t>
        </is>
      </c>
      <c r="G2825" t="n">
        <v>28.2</v>
      </c>
      <c r="H2825" t="n">
        <v>0</v>
      </c>
      <c r="I2825" t="n">
        <v>0</v>
      </c>
      <c r="J2825" t="n">
        <v>0</v>
      </c>
      <c r="K2825" t="n">
        <v>0</v>
      </c>
      <c r="L2825" t="n">
        <v>0</v>
      </c>
      <c r="M2825" t="n">
        <v>0</v>
      </c>
      <c r="N2825" t="n">
        <v>0</v>
      </c>
      <c r="O2825" t="n">
        <v>0</v>
      </c>
      <c r="P2825" t="n">
        <v>0</v>
      </c>
      <c r="Q2825" t="n">
        <v>0</v>
      </c>
      <c r="R2825" s="2" t="inlineStr"/>
    </row>
    <row r="2826" ht="15" customHeight="1">
      <c r="A2826" t="inlineStr">
        <is>
          <t>A 7572-2024</t>
        </is>
      </c>
      <c r="B2826" s="1" t="n">
        <v>45348</v>
      </c>
      <c r="C2826" s="1" t="n">
        <v>45795</v>
      </c>
      <c r="D2826" t="inlineStr">
        <is>
          <t>JÄMTLANDS LÄN</t>
        </is>
      </c>
      <c r="E2826" t="inlineStr">
        <is>
          <t>STRÖMSUND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7803-2024</t>
        </is>
      </c>
      <c r="B2827" s="1" t="n">
        <v>45348</v>
      </c>
      <c r="C2827" s="1" t="n">
        <v>45795</v>
      </c>
      <c r="D2827" t="inlineStr">
        <is>
          <t>JÄMTLANDS LÄN</t>
        </is>
      </c>
      <c r="E2827" t="inlineStr">
        <is>
          <t>STRÖMSUND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7690-2024</t>
        </is>
      </c>
      <c r="B2828" s="1" t="n">
        <v>45349</v>
      </c>
      <c r="C2828" s="1" t="n">
        <v>45795</v>
      </c>
      <c r="D2828" t="inlineStr">
        <is>
          <t>JÄMTLANDS LÄN</t>
        </is>
      </c>
      <c r="E2828" t="inlineStr">
        <is>
          <t>STRÖMSUND</t>
        </is>
      </c>
      <c r="F2828" t="inlineStr">
        <is>
          <t>SCA</t>
        </is>
      </c>
      <c r="G2828" t="n">
        <v>19.1</v>
      </c>
      <c r="H2828" t="n">
        <v>0</v>
      </c>
      <c r="I2828" t="n">
        <v>0</v>
      </c>
      <c r="J2828" t="n">
        <v>0</v>
      </c>
      <c r="K2828" t="n">
        <v>0</v>
      </c>
      <c r="L2828" t="n">
        <v>0</v>
      </c>
      <c r="M2828" t="n">
        <v>0</v>
      </c>
      <c r="N2828" t="n">
        <v>0</v>
      </c>
      <c r="O2828" t="n">
        <v>0</v>
      </c>
      <c r="P2828" t="n">
        <v>0</v>
      </c>
      <c r="Q2828" t="n">
        <v>0</v>
      </c>
      <c r="R2828" s="2" t="inlineStr"/>
    </row>
    <row r="2829" ht="15" customHeight="1">
      <c r="A2829" t="inlineStr">
        <is>
          <t>A 8134-2024</t>
        </is>
      </c>
      <c r="B2829" s="1" t="n">
        <v>45349</v>
      </c>
      <c r="C2829" s="1" t="n">
        <v>45795</v>
      </c>
      <c r="D2829" t="inlineStr">
        <is>
          <t>JÄMTLANDS LÄN</t>
        </is>
      </c>
      <c r="E2829" t="inlineStr">
        <is>
          <t>STRÖMSUND</t>
        </is>
      </c>
      <c r="G2829" t="n">
        <v>22.9</v>
      </c>
      <c r="H2829" t="n">
        <v>0</v>
      </c>
      <c r="I2829" t="n">
        <v>0</v>
      </c>
      <c r="J2829" t="n">
        <v>0</v>
      </c>
      <c r="K2829" t="n">
        <v>0</v>
      </c>
      <c r="L2829" t="n">
        <v>0</v>
      </c>
      <c r="M2829" t="n">
        <v>0</v>
      </c>
      <c r="N2829" t="n">
        <v>0</v>
      </c>
      <c r="O2829" t="n">
        <v>0</v>
      </c>
      <c r="P2829" t="n">
        <v>0</v>
      </c>
      <c r="Q2829" t="n">
        <v>0</v>
      </c>
      <c r="R2829" s="2" t="inlineStr"/>
    </row>
    <row r="2830" ht="15" customHeight="1">
      <c r="A2830" t="inlineStr">
        <is>
          <t>A 8133-2024</t>
        </is>
      </c>
      <c r="B2830" s="1" t="n">
        <v>45349</v>
      </c>
      <c r="C2830" s="1" t="n">
        <v>45795</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7854-2024</t>
        </is>
      </c>
      <c r="B2831" s="1" t="n">
        <v>45350</v>
      </c>
      <c r="C2831" s="1" t="n">
        <v>45795</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8297-2024</t>
        </is>
      </c>
      <c r="B2832" s="1" t="n">
        <v>45350</v>
      </c>
      <c r="C2832" s="1" t="n">
        <v>45795</v>
      </c>
      <c r="D2832" t="inlineStr">
        <is>
          <t>JÄMTLANDS LÄN</t>
        </is>
      </c>
      <c r="E2832" t="inlineStr">
        <is>
          <t>STRÖMSUND</t>
        </is>
      </c>
      <c r="F2832" t="inlineStr">
        <is>
          <t>Kyrkan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8419-2024</t>
        </is>
      </c>
      <c r="B2833" s="1" t="n">
        <v>45352</v>
      </c>
      <c r="C2833" s="1" t="n">
        <v>45795</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8420-2024</t>
        </is>
      </c>
      <c r="B2834" s="1" t="n">
        <v>45352</v>
      </c>
      <c r="C2834" s="1" t="n">
        <v>45795</v>
      </c>
      <c r="D2834" t="inlineStr">
        <is>
          <t>JÄMTLANDS LÄN</t>
        </is>
      </c>
      <c r="E2834" t="inlineStr">
        <is>
          <t>STRÖMSUND</t>
        </is>
      </c>
      <c r="F2834" t="inlineStr">
        <is>
          <t>SCA</t>
        </is>
      </c>
      <c r="G2834" t="n">
        <v>9.800000000000001</v>
      </c>
      <c r="H2834" t="n">
        <v>0</v>
      </c>
      <c r="I2834" t="n">
        <v>0</v>
      </c>
      <c r="J2834" t="n">
        <v>0</v>
      </c>
      <c r="K2834" t="n">
        <v>0</v>
      </c>
      <c r="L2834" t="n">
        <v>0</v>
      </c>
      <c r="M2834" t="n">
        <v>0</v>
      </c>
      <c r="N2834" t="n">
        <v>0</v>
      </c>
      <c r="O2834" t="n">
        <v>0</v>
      </c>
      <c r="P2834" t="n">
        <v>0</v>
      </c>
      <c r="Q2834" t="n">
        <v>0</v>
      </c>
      <c r="R2834" s="2" t="inlineStr"/>
      <c r="U2834">
        <f>HYPERLINK("https://klasma.github.io/Logging_2313/knärot/A 8420-2024 karta knärot.png", "A 8420-2024")</f>
        <v/>
      </c>
      <c r="V2834">
        <f>HYPERLINK("https://klasma.github.io/Logging_2313/klagomål/A 8420-2024 FSC-klagomål.docx", "A 8420-2024")</f>
        <v/>
      </c>
      <c r="W2834">
        <f>HYPERLINK("https://klasma.github.io/Logging_2313/klagomålsmail/A 8420-2024 FSC-klagomål mail.docx", "A 8420-2024")</f>
        <v/>
      </c>
      <c r="X2834">
        <f>HYPERLINK("https://klasma.github.io/Logging_2313/tillsyn/A 8420-2024 tillsynsbegäran.docx", "A 8420-2024")</f>
        <v/>
      </c>
      <c r="Y2834">
        <f>HYPERLINK("https://klasma.github.io/Logging_2313/tillsynsmail/A 8420-2024 tillsynsbegäran mail.docx", "A 8420-2024")</f>
        <v/>
      </c>
    </row>
    <row r="2835" ht="15" customHeight="1">
      <c r="A2835" t="inlineStr">
        <is>
          <t>A 8421-2024</t>
        </is>
      </c>
      <c r="B2835" s="1" t="n">
        <v>45353</v>
      </c>
      <c r="C2835" s="1" t="n">
        <v>45795</v>
      </c>
      <c r="D2835" t="inlineStr">
        <is>
          <t>JÄMTLANDS LÄN</t>
        </is>
      </c>
      <c r="E2835" t="inlineStr">
        <is>
          <t>STRÖMSUND</t>
        </is>
      </c>
      <c r="F2835" t="inlineStr">
        <is>
          <t>SCA</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8663-2024</t>
        </is>
      </c>
      <c r="B2836" s="1" t="n">
        <v>45356</v>
      </c>
      <c r="C2836" s="1" t="n">
        <v>45795</v>
      </c>
      <c r="D2836" t="inlineStr">
        <is>
          <t>JÄMTLANDS LÄN</t>
        </is>
      </c>
      <c r="E2836" t="inlineStr">
        <is>
          <t>STRÖMSUND</t>
        </is>
      </c>
      <c r="F2836" t="inlineStr">
        <is>
          <t>SCA</t>
        </is>
      </c>
      <c r="G2836" t="n">
        <v>24.8</v>
      </c>
      <c r="H2836" t="n">
        <v>0</v>
      </c>
      <c r="I2836" t="n">
        <v>0</v>
      </c>
      <c r="J2836" t="n">
        <v>0</v>
      </c>
      <c r="K2836" t="n">
        <v>0</v>
      </c>
      <c r="L2836" t="n">
        <v>0</v>
      </c>
      <c r="M2836" t="n">
        <v>0</v>
      </c>
      <c r="N2836" t="n">
        <v>0</v>
      </c>
      <c r="O2836" t="n">
        <v>0</v>
      </c>
      <c r="P2836" t="n">
        <v>0</v>
      </c>
      <c r="Q2836" t="n">
        <v>0</v>
      </c>
      <c r="R2836" s="2" t="inlineStr"/>
    </row>
    <row r="2837" ht="15" customHeight="1">
      <c r="A2837" t="inlineStr">
        <is>
          <t>A 8637-2024</t>
        </is>
      </c>
      <c r="B2837" s="1" t="n">
        <v>45356</v>
      </c>
      <c r="C2837" s="1" t="n">
        <v>45795</v>
      </c>
      <c r="D2837" t="inlineStr">
        <is>
          <t>JÄMTLANDS LÄN</t>
        </is>
      </c>
      <c r="E2837" t="inlineStr">
        <is>
          <t>STRÖMSUND</t>
        </is>
      </c>
      <c r="F2837" t="inlineStr">
        <is>
          <t>SCA</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8661-2024</t>
        </is>
      </c>
      <c r="B2838" s="1" t="n">
        <v>45356</v>
      </c>
      <c r="C2838" s="1" t="n">
        <v>45795</v>
      </c>
      <c r="D2838" t="inlineStr">
        <is>
          <t>JÄMTLANDS LÄN</t>
        </is>
      </c>
      <c r="E2838" t="inlineStr">
        <is>
          <t>STRÖMSUND</t>
        </is>
      </c>
      <c r="F2838" t="inlineStr">
        <is>
          <t>SCA</t>
        </is>
      </c>
      <c r="G2838" t="n">
        <v>28.8</v>
      </c>
      <c r="H2838" t="n">
        <v>0</v>
      </c>
      <c r="I2838" t="n">
        <v>0</v>
      </c>
      <c r="J2838" t="n">
        <v>0</v>
      </c>
      <c r="K2838" t="n">
        <v>0</v>
      </c>
      <c r="L2838" t="n">
        <v>0</v>
      </c>
      <c r="M2838" t="n">
        <v>0</v>
      </c>
      <c r="N2838" t="n">
        <v>0</v>
      </c>
      <c r="O2838" t="n">
        <v>0</v>
      </c>
      <c r="P2838" t="n">
        <v>0</v>
      </c>
      <c r="Q2838" t="n">
        <v>0</v>
      </c>
      <c r="R2838" s="2" t="inlineStr"/>
    </row>
    <row r="2839" ht="15" customHeight="1">
      <c r="A2839" t="inlineStr">
        <is>
          <t>A 8743-2024</t>
        </is>
      </c>
      <c r="B2839" s="1" t="n">
        <v>45356</v>
      </c>
      <c r="C2839" s="1" t="n">
        <v>45795</v>
      </c>
      <c r="D2839" t="inlineStr">
        <is>
          <t>JÄMTLANDS LÄN</t>
        </is>
      </c>
      <c r="E2839" t="inlineStr">
        <is>
          <t>STRÖMSUND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8662-2024</t>
        </is>
      </c>
      <c r="B2840" s="1" t="n">
        <v>45356</v>
      </c>
      <c r="C2840" s="1" t="n">
        <v>45795</v>
      </c>
      <c r="D2840" t="inlineStr">
        <is>
          <t>JÄMTLANDS LÄN</t>
        </is>
      </c>
      <c r="E2840" t="inlineStr">
        <is>
          <t>STRÖMSUND</t>
        </is>
      </c>
      <c r="F2840" t="inlineStr">
        <is>
          <t>SCA</t>
        </is>
      </c>
      <c r="G2840" t="n">
        <v>24.6</v>
      </c>
      <c r="H2840" t="n">
        <v>0</v>
      </c>
      <c r="I2840" t="n">
        <v>0</v>
      </c>
      <c r="J2840" t="n">
        <v>0</v>
      </c>
      <c r="K2840" t="n">
        <v>0</v>
      </c>
      <c r="L2840" t="n">
        <v>0</v>
      </c>
      <c r="M2840" t="n">
        <v>0</v>
      </c>
      <c r="N2840" t="n">
        <v>0</v>
      </c>
      <c r="O2840" t="n">
        <v>0</v>
      </c>
      <c r="P2840" t="n">
        <v>0</v>
      </c>
      <c r="Q2840" t="n">
        <v>0</v>
      </c>
      <c r="R2840" s="2" t="inlineStr"/>
    </row>
    <row r="2841" ht="15" customHeight="1">
      <c r="A2841" t="inlineStr">
        <is>
          <t>A 8745-2024</t>
        </is>
      </c>
      <c r="B2841" s="1" t="n">
        <v>45356</v>
      </c>
      <c r="C2841" s="1" t="n">
        <v>45795</v>
      </c>
      <c r="D2841" t="inlineStr">
        <is>
          <t>JÄMTLANDS LÄN</t>
        </is>
      </c>
      <c r="E2841" t="inlineStr">
        <is>
          <t>STRÖMSUND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9035-2024</t>
        </is>
      </c>
      <c r="B2842" s="1" t="n">
        <v>45356</v>
      </c>
      <c r="C2842" s="1" t="n">
        <v>45795</v>
      </c>
      <c r="D2842" t="inlineStr">
        <is>
          <t>JÄMTLANDS LÄN</t>
        </is>
      </c>
      <c r="E2842" t="inlineStr">
        <is>
          <t>STRÖMSUND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8895-2024</t>
        </is>
      </c>
      <c r="B2843" s="1" t="n">
        <v>45357</v>
      </c>
      <c r="C2843" s="1" t="n">
        <v>45795</v>
      </c>
      <c r="D2843" t="inlineStr">
        <is>
          <t>JÄMTLANDS LÄN</t>
        </is>
      </c>
      <c r="E2843" t="inlineStr">
        <is>
          <t>STRÖMSUND</t>
        </is>
      </c>
      <c r="F2843" t="inlineStr">
        <is>
          <t>Holmen skog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9329-2024</t>
        </is>
      </c>
      <c r="B2844" s="1" t="n">
        <v>45359</v>
      </c>
      <c r="C2844" s="1" t="n">
        <v>45795</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9514-2024</t>
        </is>
      </c>
      <c r="B2845" s="1" t="n">
        <v>45359</v>
      </c>
      <c r="C2845" s="1" t="n">
        <v>45795</v>
      </c>
      <c r="D2845" t="inlineStr">
        <is>
          <t>JÄMTLANDS LÄN</t>
        </is>
      </c>
      <c r="E2845" t="inlineStr">
        <is>
          <t>STRÖMSUND</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9559-2024</t>
        </is>
      </c>
      <c r="B2846" s="1" t="n">
        <v>45360</v>
      </c>
      <c r="C2846" s="1" t="n">
        <v>45795</v>
      </c>
      <c r="D2846" t="inlineStr">
        <is>
          <t>JÄMTLANDS LÄN</t>
        </is>
      </c>
      <c r="E2846" t="inlineStr">
        <is>
          <t>STRÖMSUND</t>
        </is>
      </c>
      <c r="F2846" t="inlineStr">
        <is>
          <t>SCA</t>
        </is>
      </c>
      <c r="G2846" t="n">
        <v>28.3</v>
      </c>
      <c r="H2846" t="n">
        <v>0</v>
      </c>
      <c r="I2846" t="n">
        <v>0</v>
      </c>
      <c r="J2846" t="n">
        <v>0</v>
      </c>
      <c r="K2846" t="n">
        <v>0</v>
      </c>
      <c r="L2846" t="n">
        <v>0</v>
      </c>
      <c r="M2846" t="n">
        <v>0</v>
      </c>
      <c r="N2846" t="n">
        <v>0</v>
      </c>
      <c r="O2846" t="n">
        <v>0</v>
      </c>
      <c r="P2846" t="n">
        <v>0</v>
      </c>
      <c r="Q2846" t="n">
        <v>0</v>
      </c>
      <c r="R2846" s="2" t="inlineStr"/>
    </row>
    <row r="2847" ht="15" customHeight="1">
      <c r="A2847" t="inlineStr">
        <is>
          <t>A 9706-2024</t>
        </is>
      </c>
      <c r="B2847" s="1" t="n">
        <v>45362</v>
      </c>
      <c r="C2847" s="1" t="n">
        <v>45795</v>
      </c>
      <c r="D2847" t="inlineStr">
        <is>
          <t>JÄMTLANDS LÄN</t>
        </is>
      </c>
      <c r="E2847" t="inlineStr">
        <is>
          <t>STRÖMSUND</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9707-2024</t>
        </is>
      </c>
      <c r="B2848" s="1" t="n">
        <v>45362</v>
      </c>
      <c r="C2848" s="1" t="n">
        <v>45795</v>
      </c>
      <c r="D2848" t="inlineStr">
        <is>
          <t>JÄMTLANDS LÄN</t>
        </is>
      </c>
      <c r="E2848" t="inlineStr">
        <is>
          <t>STRÖMSUND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9824-2024</t>
        </is>
      </c>
      <c r="B2849" s="1" t="n">
        <v>45363</v>
      </c>
      <c r="C2849" s="1" t="n">
        <v>45795</v>
      </c>
      <c r="D2849" t="inlineStr">
        <is>
          <t>JÄMTLANDS LÄN</t>
        </is>
      </c>
      <c r="E2849" t="inlineStr">
        <is>
          <t>STRÖMSUND</t>
        </is>
      </c>
      <c r="F2849" t="inlineStr">
        <is>
          <t>SCA</t>
        </is>
      </c>
      <c r="G2849" t="n">
        <v>21.5</v>
      </c>
      <c r="H2849" t="n">
        <v>0</v>
      </c>
      <c r="I2849" t="n">
        <v>0</v>
      </c>
      <c r="J2849" t="n">
        <v>0</v>
      </c>
      <c r="K2849" t="n">
        <v>0</v>
      </c>
      <c r="L2849" t="n">
        <v>0</v>
      </c>
      <c r="M2849" t="n">
        <v>0</v>
      </c>
      <c r="N2849" t="n">
        <v>0</v>
      </c>
      <c r="O2849" t="n">
        <v>0</v>
      </c>
      <c r="P2849" t="n">
        <v>0</v>
      </c>
      <c r="Q2849" t="n">
        <v>0</v>
      </c>
      <c r="R2849" s="2" t="inlineStr"/>
    </row>
    <row r="2850" ht="15" customHeight="1">
      <c r="A2850" t="inlineStr">
        <is>
          <t>A 9940-2024</t>
        </is>
      </c>
      <c r="B2850" s="1" t="n">
        <v>45363</v>
      </c>
      <c r="C2850" s="1" t="n">
        <v>45795</v>
      </c>
      <c r="D2850" t="inlineStr">
        <is>
          <t>JÄMTLANDS LÄN</t>
        </is>
      </c>
      <c r="E2850" t="inlineStr">
        <is>
          <t>STRÖMSUND</t>
        </is>
      </c>
      <c r="F2850" t="inlineStr">
        <is>
          <t>Holmen skog AB</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10033-2024</t>
        </is>
      </c>
      <c r="B2851" s="1" t="n">
        <v>45364</v>
      </c>
      <c r="C2851" s="1" t="n">
        <v>45795</v>
      </c>
      <c r="D2851" t="inlineStr">
        <is>
          <t>JÄMTLANDS LÄN</t>
        </is>
      </c>
      <c r="E2851" t="inlineStr">
        <is>
          <t>STRÖMSUND</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10041-2024</t>
        </is>
      </c>
      <c r="B2852" s="1" t="n">
        <v>45364</v>
      </c>
      <c r="C2852" s="1" t="n">
        <v>45795</v>
      </c>
      <c r="D2852" t="inlineStr">
        <is>
          <t>JÄMTLANDS LÄN</t>
        </is>
      </c>
      <c r="E2852" t="inlineStr">
        <is>
          <t>STRÖMSUND</t>
        </is>
      </c>
      <c r="F2852" t="inlineStr">
        <is>
          <t>SCA</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10031-2024</t>
        </is>
      </c>
      <c r="B2853" s="1" t="n">
        <v>45364</v>
      </c>
      <c r="C2853" s="1" t="n">
        <v>45795</v>
      </c>
      <c r="D2853" t="inlineStr">
        <is>
          <t>JÄMTLANDS LÄN</t>
        </is>
      </c>
      <c r="E2853" t="inlineStr">
        <is>
          <t>STRÖMSUND</t>
        </is>
      </c>
      <c r="F2853" t="inlineStr">
        <is>
          <t>SCA</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10043-2024</t>
        </is>
      </c>
      <c r="B2854" s="1" t="n">
        <v>45364</v>
      </c>
      <c r="C2854" s="1" t="n">
        <v>45795</v>
      </c>
      <c r="D2854" t="inlineStr">
        <is>
          <t>JÄMTLANDS LÄN</t>
        </is>
      </c>
      <c r="E2854" t="inlineStr">
        <is>
          <t>STRÖMSUND</t>
        </is>
      </c>
      <c r="F2854" t="inlineStr">
        <is>
          <t>SCA</t>
        </is>
      </c>
      <c r="G2854" t="n">
        <v>18.7</v>
      </c>
      <c r="H2854" t="n">
        <v>0</v>
      </c>
      <c r="I2854" t="n">
        <v>0</v>
      </c>
      <c r="J2854" t="n">
        <v>0</v>
      </c>
      <c r="K2854" t="n">
        <v>0</v>
      </c>
      <c r="L2854" t="n">
        <v>0</v>
      </c>
      <c r="M2854" t="n">
        <v>0</v>
      </c>
      <c r="N2854" t="n">
        <v>0</v>
      </c>
      <c r="O2854" t="n">
        <v>0</v>
      </c>
      <c r="P2854" t="n">
        <v>0</v>
      </c>
      <c r="Q2854" t="n">
        <v>0</v>
      </c>
      <c r="R2854" s="2" t="inlineStr"/>
    </row>
    <row r="2855" ht="15" customHeight="1">
      <c r="A2855" t="inlineStr">
        <is>
          <t>A 10030-2024</t>
        </is>
      </c>
      <c r="B2855" s="1" t="n">
        <v>45364</v>
      </c>
      <c r="C2855" s="1" t="n">
        <v>45795</v>
      </c>
      <c r="D2855" t="inlineStr">
        <is>
          <t>JÄMTLANDS LÄN</t>
        </is>
      </c>
      <c r="E2855" t="inlineStr">
        <is>
          <t>STRÖMSUND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10034-2024</t>
        </is>
      </c>
      <c r="B2856" s="1" t="n">
        <v>45364</v>
      </c>
      <c r="C2856" s="1" t="n">
        <v>45795</v>
      </c>
      <c r="D2856" t="inlineStr">
        <is>
          <t>JÄMTLANDS LÄN</t>
        </is>
      </c>
      <c r="E2856" t="inlineStr">
        <is>
          <t>STRÖMSUND</t>
        </is>
      </c>
      <c r="F2856" t="inlineStr">
        <is>
          <t>SCA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10042-2024</t>
        </is>
      </c>
      <c r="B2857" s="1" t="n">
        <v>45364</v>
      </c>
      <c r="C2857" s="1" t="n">
        <v>45795</v>
      </c>
      <c r="D2857" t="inlineStr">
        <is>
          <t>JÄMTLANDS LÄN</t>
        </is>
      </c>
      <c r="E2857" t="inlineStr">
        <is>
          <t>STRÖMSUND</t>
        </is>
      </c>
      <c r="F2857" t="inlineStr">
        <is>
          <t>SCA</t>
        </is>
      </c>
      <c r="G2857" t="n">
        <v>13.4</v>
      </c>
      <c r="H2857" t="n">
        <v>0</v>
      </c>
      <c r="I2857" t="n">
        <v>0</v>
      </c>
      <c r="J2857" t="n">
        <v>0</v>
      </c>
      <c r="K2857" t="n">
        <v>0</v>
      </c>
      <c r="L2857" t="n">
        <v>0</v>
      </c>
      <c r="M2857" t="n">
        <v>0</v>
      </c>
      <c r="N2857" t="n">
        <v>0</v>
      </c>
      <c r="O2857" t="n">
        <v>0</v>
      </c>
      <c r="P2857" t="n">
        <v>0</v>
      </c>
      <c r="Q2857" t="n">
        <v>0</v>
      </c>
      <c r="R2857" s="2" t="inlineStr"/>
    </row>
    <row r="2858" ht="15" customHeight="1">
      <c r="A2858" t="inlineStr">
        <is>
          <t>A 10032-2024</t>
        </is>
      </c>
      <c r="B2858" s="1" t="n">
        <v>45364</v>
      </c>
      <c r="C2858" s="1" t="n">
        <v>45795</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10212-2024</t>
        </is>
      </c>
      <c r="B2859" s="1" t="n">
        <v>45364</v>
      </c>
      <c r="C2859" s="1" t="n">
        <v>45795</v>
      </c>
      <c r="D2859" t="inlineStr">
        <is>
          <t>JÄMTLANDS LÄN</t>
        </is>
      </c>
      <c r="E2859" t="inlineStr">
        <is>
          <t>STRÖMSUND</t>
        </is>
      </c>
      <c r="F2859" t="inlineStr">
        <is>
          <t>SCA</t>
        </is>
      </c>
      <c r="G2859" t="n">
        <v>36.5</v>
      </c>
      <c r="H2859" t="n">
        <v>0</v>
      </c>
      <c r="I2859" t="n">
        <v>0</v>
      </c>
      <c r="J2859" t="n">
        <v>0</v>
      </c>
      <c r="K2859" t="n">
        <v>0</v>
      </c>
      <c r="L2859" t="n">
        <v>0</v>
      </c>
      <c r="M2859" t="n">
        <v>0</v>
      </c>
      <c r="N2859" t="n">
        <v>0</v>
      </c>
      <c r="O2859" t="n">
        <v>0</v>
      </c>
      <c r="P2859" t="n">
        <v>0</v>
      </c>
      <c r="Q2859" t="n">
        <v>0</v>
      </c>
      <c r="R2859" s="2" t="inlineStr"/>
    </row>
    <row r="2860" ht="15" customHeight="1">
      <c r="A2860" t="inlineStr">
        <is>
          <t>A 10216-2024</t>
        </is>
      </c>
      <c r="B2860" s="1" t="n">
        <v>45364</v>
      </c>
      <c r="C2860" s="1" t="n">
        <v>45795</v>
      </c>
      <c r="D2860" t="inlineStr">
        <is>
          <t>JÄMTLANDS LÄN</t>
        </is>
      </c>
      <c r="E2860" t="inlineStr">
        <is>
          <t>STRÖMSUND</t>
        </is>
      </c>
      <c r="F2860" t="inlineStr">
        <is>
          <t>SCA</t>
        </is>
      </c>
      <c r="G2860" t="n">
        <v>31.2</v>
      </c>
      <c r="H2860" t="n">
        <v>0</v>
      </c>
      <c r="I2860" t="n">
        <v>0</v>
      </c>
      <c r="J2860" t="n">
        <v>0</v>
      </c>
      <c r="K2860" t="n">
        <v>0</v>
      </c>
      <c r="L2860" t="n">
        <v>0</v>
      </c>
      <c r="M2860" t="n">
        <v>0</v>
      </c>
      <c r="N2860" t="n">
        <v>0</v>
      </c>
      <c r="O2860" t="n">
        <v>0</v>
      </c>
      <c r="P2860" t="n">
        <v>0</v>
      </c>
      <c r="Q2860" t="n">
        <v>0</v>
      </c>
      <c r="R2860" s="2" t="inlineStr"/>
    </row>
    <row r="2861" ht="15" customHeight="1">
      <c r="A2861" t="inlineStr">
        <is>
          <t>A 10422-2024</t>
        </is>
      </c>
      <c r="B2861" s="1" t="n">
        <v>45365</v>
      </c>
      <c r="C2861" s="1" t="n">
        <v>45795</v>
      </c>
      <c r="D2861" t="inlineStr">
        <is>
          <t>JÄMTLANDS LÄN</t>
        </is>
      </c>
      <c r="E2861" t="inlineStr">
        <is>
          <t>STRÖMSUND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10611-2024</t>
        </is>
      </c>
      <c r="B2862" s="1" t="n">
        <v>45367</v>
      </c>
      <c r="C2862" s="1" t="n">
        <v>45795</v>
      </c>
      <c r="D2862" t="inlineStr">
        <is>
          <t>JÄMTLANDS LÄN</t>
        </is>
      </c>
      <c r="E2862" t="inlineStr">
        <is>
          <t>STRÖMSUND</t>
        </is>
      </c>
      <c r="F2862" t="inlineStr">
        <is>
          <t>SCA</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10622-2024</t>
        </is>
      </c>
      <c r="B2863" s="1" t="n">
        <v>45367</v>
      </c>
      <c r="C2863" s="1" t="n">
        <v>45795</v>
      </c>
      <c r="D2863" t="inlineStr">
        <is>
          <t>JÄMTLANDS LÄN</t>
        </is>
      </c>
      <c r="E2863" t="inlineStr">
        <is>
          <t>STRÖMSUND</t>
        </is>
      </c>
      <c r="F2863" t="inlineStr">
        <is>
          <t>SCA</t>
        </is>
      </c>
      <c r="G2863" t="n">
        <v>30.8</v>
      </c>
      <c r="H2863" t="n">
        <v>0</v>
      </c>
      <c r="I2863" t="n">
        <v>0</v>
      </c>
      <c r="J2863" t="n">
        <v>0</v>
      </c>
      <c r="K2863" t="n">
        <v>0</v>
      </c>
      <c r="L2863" t="n">
        <v>0</v>
      </c>
      <c r="M2863" t="n">
        <v>0</v>
      </c>
      <c r="N2863" t="n">
        <v>0</v>
      </c>
      <c r="O2863" t="n">
        <v>0</v>
      </c>
      <c r="P2863" t="n">
        <v>0</v>
      </c>
      <c r="Q2863" t="n">
        <v>0</v>
      </c>
      <c r="R2863" s="2" t="inlineStr"/>
    </row>
    <row r="2864" ht="15" customHeight="1">
      <c r="A2864" t="inlineStr">
        <is>
          <t>A 10865-2024</t>
        </is>
      </c>
      <c r="B2864" s="1" t="n">
        <v>45370</v>
      </c>
      <c r="C2864" s="1" t="n">
        <v>45795</v>
      </c>
      <c r="D2864" t="inlineStr">
        <is>
          <t>JÄMTLANDS LÄN</t>
        </is>
      </c>
      <c r="E2864" t="inlineStr">
        <is>
          <t>STRÖMSUND</t>
        </is>
      </c>
      <c r="F2864" t="inlineStr">
        <is>
          <t>SCA</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10864-2024</t>
        </is>
      </c>
      <c r="B2865" s="1" t="n">
        <v>45370</v>
      </c>
      <c r="C2865" s="1" t="n">
        <v>45795</v>
      </c>
      <c r="D2865" t="inlineStr">
        <is>
          <t>JÄMTLANDS LÄN</t>
        </is>
      </c>
      <c r="E2865" t="inlineStr">
        <is>
          <t>STRÖMSUND</t>
        </is>
      </c>
      <c r="F2865" t="inlineStr">
        <is>
          <t>SCA</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11340-2024</t>
        </is>
      </c>
      <c r="B2866" s="1" t="n">
        <v>45372</v>
      </c>
      <c r="C2866" s="1" t="n">
        <v>45795</v>
      </c>
      <c r="D2866" t="inlineStr">
        <is>
          <t>JÄMTLANDS LÄN</t>
        </is>
      </c>
      <c r="E2866" t="inlineStr">
        <is>
          <t>STRÖMSUND</t>
        </is>
      </c>
      <c r="F2866" t="inlineStr">
        <is>
          <t>SCA</t>
        </is>
      </c>
      <c r="G2866" t="n">
        <v>13.7</v>
      </c>
      <c r="H2866" t="n">
        <v>0</v>
      </c>
      <c r="I2866" t="n">
        <v>0</v>
      </c>
      <c r="J2866" t="n">
        <v>0</v>
      </c>
      <c r="K2866" t="n">
        <v>0</v>
      </c>
      <c r="L2866" t="n">
        <v>0</v>
      </c>
      <c r="M2866" t="n">
        <v>0</v>
      </c>
      <c r="N2866" t="n">
        <v>0</v>
      </c>
      <c r="O2866" t="n">
        <v>0</v>
      </c>
      <c r="P2866" t="n">
        <v>0</v>
      </c>
      <c r="Q2866" t="n">
        <v>0</v>
      </c>
      <c r="R2866" s="2" t="inlineStr"/>
      <c r="U2866">
        <f>HYPERLINK("https://klasma.github.io/Logging_2313/knärot/A 11340-2024 karta knärot.png", "A 11340-2024")</f>
        <v/>
      </c>
      <c r="V2866">
        <f>HYPERLINK("https://klasma.github.io/Logging_2313/klagomål/A 11340-2024 FSC-klagomål.docx", "A 11340-2024")</f>
        <v/>
      </c>
      <c r="W2866">
        <f>HYPERLINK("https://klasma.github.io/Logging_2313/klagomålsmail/A 11340-2024 FSC-klagomål mail.docx", "A 11340-2024")</f>
        <v/>
      </c>
      <c r="X2866">
        <f>HYPERLINK("https://klasma.github.io/Logging_2313/tillsyn/A 11340-2024 tillsynsbegäran.docx", "A 11340-2024")</f>
        <v/>
      </c>
      <c r="Y2866">
        <f>HYPERLINK("https://klasma.github.io/Logging_2313/tillsynsmail/A 11340-2024 tillsynsbegäran mail.docx", "A 11340-2024")</f>
        <v/>
      </c>
    </row>
    <row r="2867" ht="15" customHeight="1">
      <c r="A2867" t="inlineStr">
        <is>
          <t>A 11341-2024</t>
        </is>
      </c>
      <c r="B2867" s="1" t="n">
        <v>45372</v>
      </c>
      <c r="C2867" s="1" t="n">
        <v>45795</v>
      </c>
      <c r="D2867" t="inlineStr">
        <is>
          <t>JÄMTLANDS LÄN</t>
        </is>
      </c>
      <c r="E2867" t="inlineStr">
        <is>
          <t>STRÖMSUND</t>
        </is>
      </c>
      <c r="F2867" t="inlineStr">
        <is>
          <t>SCA</t>
        </is>
      </c>
      <c r="G2867" t="n">
        <v>19.4</v>
      </c>
      <c r="H2867" t="n">
        <v>0</v>
      </c>
      <c r="I2867" t="n">
        <v>0</v>
      </c>
      <c r="J2867" t="n">
        <v>0</v>
      </c>
      <c r="K2867" t="n">
        <v>0</v>
      </c>
      <c r="L2867" t="n">
        <v>0</v>
      </c>
      <c r="M2867" t="n">
        <v>0</v>
      </c>
      <c r="N2867" t="n">
        <v>0</v>
      </c>
      <c r="O2867" t="n">
        <v>0</v>
      </c>
      <c r="P2867" t="n">
        <v>0</v>
      </c>
      <c r="Q2867" t="n">
        <v>0</v>
      </c>
      <c r="R2867" s="2" t="inlineStr"/>
    </row>
    <row r="2868" ht="15" customHeight="1">
      <c r="A2868" t="inlineStr">
        <is>
          <t>A 11753-2024</t>
        </is>
      </c>
      <c r="B2868" s="1" t="n">
        <v>45373</v>
      </c>
      <c r="C2868" s="1" t="n">
        <v>45795</v>
      </c>
      <c r="D2868" t="inlineStr">
        <is>
          <t>JÄMTLANDS LÄN</t>
        </is>
      </c>
      <c r="E2868" t="inlineStr">
        <is>
          <t>STRÖMSUND</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11763-2024</t>
        </is>
      </c>
      <c r="B2869" s="1" t="n">
        <v>45373</v>
      </c>
      <c r="C2869" s="1" t="n">
        <v>45795</v>
      </c>
      <c r="D2869" t="inlineStr">
        <is>
          <t>JÄMTLANDS LÄN</t>
        </is>
      </c>
      <c r="E2869" t="inlineStr">
        <is>
          <t>STRÖMSUND</t>
        </is>
      </c>
      <c r="F2869" t="inlineStr">
        <is>
          <t>SCA</t>
        </is>
      </c>
      <c r="G2869" t="n">
        <v>31.6</v>
      </c>
      <c r="H2869" t="n">
        <v>0</v>
      </c>
      <c r="I2869" t="n">
        <v>0</v>
      </c>
      <c r="J2869" t="n">
        <v>0</v>
      </c>
      <c r="K2869" t="n">
        <v>0</v>
      </c>
      <c r="L2869" t="n">
        <v>0</v>
      </c>
      <c r="M2869" t="n">
        <v>0</v>
      </c>
      <c r="N2869" t="n">
        <v>0</v>
      </c>
      <c r="O2869" t="n">
        <v>0</v>
      </c>
      <c r="P2869" t="n">
        <v>0</v>
      </c>
      <c r="Q2869" t="n">
        <v>0</v>
      </c>
      <c r="R2869" s="2" t="inlineStr"/>
    </row>
    <row r="2870" ht="15" customHeight="1">
      <c r="A2870" t="inlineStr">
        <is>
          <t>A 11755-2024</t>
        </is>
      </c>
      <c r="B2870" s="1" t="n">
        <v>45373</v>
      </c>
      <c r="C2870" s="1" t="n">
        <v>45795</v>
      </c>
      <c r="D2870" t="inlineStr">
        <is>
          <t>JÄMTLANDS LÄN</t>
        </is>
      </c>
      <c r="E2870" t="inlineStr">
        <is>
          <t>STRÖMSUND</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11762-2024</t>
        </is>
      </c>
      <c r="B2871" s="1" t="n">
        <v>45373</v>
      </c>
      <c r="C2871" s="1" t="n">
        <v>45795</v>
      </c>
      <c r="D2871" t="inlineStr">
        <is>
          <t>JÄMTLANDS LÄN</t>
        </is>
      </c>
      <c r="E2871" t="inlineStr">
        <is>
          <t>STRÖMSUND</t>
        </is>
      </c>
      <c r="F2871" t="inlineStr">
        <is>
          <t>SCA</t>
        </is>
      </c>
      <c r="G2871" t="n">
        <v>26.7</v>
      </c>
      <c r="H2871" t="n">
        <v>0</v>
      </c>
      <c r="I2871" t="n">
        <v>0</v>
      </c>
      <c r="J2871" t="n">
        <v>0</v>
      </c>
      <c r="K2871" t="n">
        <v>0</v>
      </c>
      <c r="L2871" t="n">
        <v>0</v>
      </c>
      <c r="M2871" t="n">
        <v>0</v>
      </c>
      <c r="N2871" t="n">
        <v>0</v>
      </c>
      <c r="O2871" t="n">
        <v>0</v>
      </c>
      <c r="P2871" t="n">
        <v>0</v>
      </c>
      <c r="Q2871" t="n">
        <v>0</v>
      </c>
      <c r="R2871" s="2" t="inlineStr"/>
    </row>
    <row r="2872" ht="15" customHeight="1">
      <c r="A2872" t="inlineStr">
        <is>
          <t>A 11811-2024</t>
        </is>
      </c>
      <c r="B2872" s="1" t="n">
        <v>45376</v>
      </c>
      <c r="C2872" s="1" t="n">
        <v>45795</v>
      </c>
      <c r="D2872" t="inlineStr">
        <is>
          <t>JÄMTLANDS LÄN</t>
        </is>
      </c>
      <c r="E2872" t="inlineStr">
        <is>
          <t>STRÖMSUND</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11978-2024</t>
        </is>
      </c>
      <c r="B2873" s="1" t="n">
        <v>45376</v>
      </c>
      <c r="C2873" s="1" t="n">
        <v>45795</v>
      </c>
      <c r="D2873" t="inlineStr">
        <is>
          <t>JÄMTLANDS LÄN</t>
        </is>
      </c>
      <c r="E2873" t="inlineStr">
        <is>
          <t>STRÖMSUND</t>
        </is>
      </c>
      <c r="F2873" t="inlineStr">
        <is>
          <t>SCA</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12078-2024</t>
        </is>
      </c>
      <c r="B2874" s="1" t="n">
        <v>45377</v>
      </c>
      <c r="C2874" s="1" t="n">
        <v>45795</v>
      </c>
      <c r="D2874" t="inlineStr">
        <is>
          <t>JÄMTLANDS LÄN</t>
        </is>
      </c>
      <c r="E2874" t="inlineStr">
        <is>
          <t>STRÖMSUND</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12869-2024</t>
        </is>
      </c>
      <c r="B2875" s="1" t="n">
        <v>45385</v>
      </c>
      <c r="C2875" s="1" t="n">
        <v>45795</v>
      </c>
      <c r="D2875" t="inlineStr">
        <is>
          <t>JÄMTLANDS LÄN</t>
        </is>
      </c>
      <c r="E2875" t="inlineStr">
        <is>
          <t>STRÖMSUND</t>
        </is>
      </c>
      <c r="F2875" t="inlineStr">
        <is>
          <t>SCA</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12866-2024</t>
        </is>
      </c>
      <c r="B2876" s="1" t="n">
        <v>45385</v>
      </c>
      <c r="C2876" s="1" t="n">
        <v>45795</v>
      </c>
      <c r="D2876" t="inlineStr">
        <is>
          <t>JÄMTLANDS LÄN</t>
        </is>
      </c>
      <c r="E2876" t="inlineStr">
        <is>
          <t>STRÖMSUND</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12956-2024</t>
        </is>
      </c>
      <c r="B2877" s="1" t="n">
        <v>45385</v>
      </c>
      <c r="C2877" s="1" t="n">
        <v>45795</v>
      </c>
      <c r="D2877" t="inlineStr">
        <is>
          <t>JÄMTLANDS LÄN</t>
        </is>
      </c>
      <c r="E2877" t="inlineStr">
        <is>
          <t>STRÖMSUND</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13129-2024</t>
        </is>
      </c>
      <c r="B2878" s="1" t="n">
        <v>45386</v>
      </c>
      <c r="C2878" s="1" t="n">
        <v>45795</v>
      </c>
      <c r="D2878" t="inlineStr">
        <is>
          <t>JÄMTLANDS LÄN</t>
        </is>
      </c>
      <c r="E2878" t="inlineStr">
        <is>
          <t>STRÖMSUND</t>
        </is>
      </c>
      <c r="F2878" t="inlineStr">
        <is>
          <t>SCA</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13236-2024</t>
        </is>
      </c>
      <c r="B2879" s="1" t="n">
        <v>45386</v>
      </c>
      <c r="C2879" s="1" t="n">
        <v>45795</v>
      </c>
      <c r="D2879" t="inlineStr">
        <is>
          <t>JÄMTLANDS LÄN</t>
        </is>
      </c>
      <c r="E2879" t="inlineStr">
        <is>
          <t>STRÖMSUND</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13339-2024</t>
        </is>
      </c>
      <c r="B2880" s="1" t="n">
        <v>45387</v>
      </c>
      <c r="C2880" s="1" t="n">
        <v>45795</v>
      </c>
      <c r="D2880" t="inlineStr">
        <is>
          <t>JÄMTLANDS LÄN</t>
        </is>
      </c>
      <c r="E2880" t="inlineStr">
        <is>
          <t>STRÖMSUND</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13499-2024</t>
        </is>
      </c>
      <c r="B2881" s="1" t="n">
        <v>45387</v>
      </c>
      <c r="C2881" s="1" t="n">
        <v>45795</v>
      </c>
      <c r="D2881" t="inlineStr">
        <is>
          <t>JÄMTLANDS LÄN</t>
        </is>
      </c>
      <c r="E2881" t="inlineStr">
        <is>
          <t>STRÖMSUND</t>
        </is>
      </c>
      <c r="F2881" t="inlineStr">
        <is>
          <t>Kommuner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13494-2024</t>
        </is>
      </c>
      <c r="B2882" s="1" t="n">
        <v>45387</v>
      </c>
      <c r="C2882" s="1" t="n">
        <v>45795</v>
      </c>
      <c r="D2882" t="inlineStr">
        <is>
          <t>JÄMTLANDS LÄN</t>
        </is>
      </c>
      <c r="E2882" t="inlineStr">
        <is>
          <t>STRÖMSUND</t>
        </is>
      </c>
      <c r="F2882" t="inlineStr">
        <is>
          <t>Kommuner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13590-2024</t>
        </is>
      </c>
      <c r="B2883" s="1" t="n">
        <v>45389</v>
      </c>
      <c r="C2883" s="1" t="n">
        <v>45795</v>
      </c>
      <c r="D2883" t="inlineStr">
        <is>
          <t>JÄMTLANDS LÄN</t>
        </is>
      </c>
      <c r="E2883" t="inlineStr">
        <is>
          <t>STRÖMSUND</t>
        </is>
      </c>
      <c r="F2883" t="inlineStr">
        <is>
          <t>SCA</t>
        </is>
      </c>
      <c r="G2883" t="n">
        <v>11.3</v>
      </c>
      <c r="H2883" t="n">
        <v>0</v>
      </c>
      <c r="I2883" t="n">
        <v>0</v>
      </c>
      <c r="J2883" t="n">
        <v>0</v>
      </c>
      <c r="K2883" t="n">
        <v>0</v>
      </c>
      <c r="L2883" t="n">
        <v>0</v>
      </c>
      <c r="M2883" t="n">
        <v>0</v>
      </c>
      <c r="N2883" t="n">
        <v>0</v>
      </c>
      <c r="O2883" t="n">
        <v>0</v>
      </c>
      <c r="P2883" t="n">
        <v>0</v>
      </c>
      <c r="Q2883" t="n">
        <v>0</v>
      </c>
      <c r="R2883" s="2" t="inlineStr"/>
    </row>
    <row r="2884" ht="15" customHeight="1">
      <c r="A2884" t="inlineStr">
        <is>
          <t>A 13584-2024</t>
        </is>
      </c>
      <c r="B2884" s="1" t="n">
        <v>45389</v>
      </c>
      <c r="C2884" s="1" t="n">
        <v>45795</v>
      </c>
      <c r="D2884" t="inlineStr">
        <is>
          <t>JÄMTLANDS LÄN</t>
        </is>
      </c>
      <c r="E2884" t="inlineStr">
        <is>
          <t>STRÖMSUND</t>
        </is>
      </c>
      <c r="G2884" t="n">
        <v>47.8</v>
      </c>
      <c r="H2884" t="n">
        <v>0</v>
      </c>
      <c r="I2884" t="n">
        <v>0</v>
      </c>
      <c r="J2884" t="n">
        <v>0</v>
      </c>
      <c r="K2884" t="n">
        <v>0</v>
      </c>
      <c r="L2884" t="n">
        <v>0</v>
      </c>
      <c r="M2884" t="n">
        <v>0</v>
      </c>
      <c r="N2884" t="n">
        <v>0</v>
      </c>
      <c r="O2884" t="n">
        <v>0</v>
      </c>
      <c r="P2884" t="n">
        <v>0</v>
      </c>
      <c r="Q2884" t="n">
        <v>0</v>
      </c>
      <c r="R2884" s="2" t="inlineStr"/>
    </row>
    <row r="2885" ht="15" customHeight="1">
      <c r="A2885" t="inlineStr">
        <is>
          <t>A 13894-2024</t>
        </is>
      </c>
      <c r="B2885" s="1" t="n">
        <v>45391</v>
      </c>
      <c r="C2885" s="1" t="n">
        <v>45795</v>
      </c>
      <c r="D2885" t="inlineStr">
        <is>
          <t>JÄMTLANDS LÄN</t>
        </is>
      </c>
      <c r="E2885" t="inlineStr">
        <is>
          <t>STRÖMSUND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13924-2024</t>
        </is>
      </c>
      <c r="B2886" s="1" t="n">
        <v>45392</v>
      </c>
      <c r="C2886" s="1" t="n">
        <v>45795</v>
      </c>
      <c r="D2886" t="inlineStr">
        <is>
          <t>JÄMTLANDS LÄN</t>
        </is>
      </c>
      <c r="E2886" t="inlineStr">
        <is>
          <t>STRÖMSUND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14570-2024</t>
        </is>
      </c>
      <c r="B2887" s="1" t="n">
        <v>45395</v>
      </c>
      <c r="C2887" s="1" t="n">
        <v>45795</v>
      </c>
      <c r="D2887" t="inlineStr">
        <is>
          <t>JÄMTLANDS LÄN</t>
        </is>
      </c>
      <c r="E2887" t="inlineStr">
        <is>
          <t>STRÖMSUND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14568-2024</t>
        </is>
      </c>
      <c r="B2888" s="1" t="n">
        <v>45394</v>
      </c>
      <c r="C2888" s="1" t="n">
        <v>45795</v>
      </c>
      <c r="D2888" t="inlineStr">
        <is>
          <t>JÄMTLANDS LÄN</t>
        </is>
      </c>
      <c r="E2888" t="inlineStr">
        <is>
          <t>STRÖMSUND</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14583-2024</t>
        </is>
      </c>
      <c r="B2889" s="1" t="n">
        <v>45395</v>
      </c>
      <c r="C2889" s="1" t="n">
        <v>45795</v>
      </c>
      <c r="D2889" t="inlineStr">
        <is>
          <t>JÄMTLANDS LÄN</t>
        </is>
      </c>
      <c r="E2889" t="inlineStr">
        <is>
          <t>STRÖMSUND</t>
        </is>
      </c>
      <c r="F2889" t="inlineStr">
        <is>
          <t>SCA</t>
        </is>
      </c>
      <c r="G2889" t="n">
        <v>14.4</v>
      </c>
      <c r="H2889" t="n">
        <v>0</v>
      </c>
      <c r="I2889" t="n">
        <v>0</v>
      </c>
      <c r="J2889" t="n">
        <v>0</v>
      </c>
      <c r="K2889" t="n">
        <v>0</v>
      </c>
      <c r="L2889" t="n">
        <v>0</v>
      </c>
      <c r="M2889" t="n">
        <v>0</v>
      </c>
      <c r="N2889" t="n">
        <v>0</v>
      </c>
      <c r="O2889" t="n">
        <v>0</v>
      </c>
      <c r="P2889" t="n">
        <v>0</v>
      </c>
      <c r="Q2889" t="n">
        <v>0</v>
      </c>
      <c r="R2889" s="2" t="inlineStr"/>
    </row>
    <row r="2890" ht="15" customHeight="1">
      <c r="A2890" t="inlineStr">
        <is>
          <t>A 14569-2024</t>
        </is>
      </c>
      <c r="B2890" s="1" t="n">
        <v>45394</v>
      </c>
      <c r="C2890" s="1" t="n">
        <v>45795</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14812-2024</t>
        </is>
      </c>
      <c r="B2891" s="1" t="n">
        <v>45397</v>
      </c>
      <c r="C2891" s="1" t="n">
        <v>45795</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14966-2024</t>
        </is>
      </c>
      <c r="B2892" s="1" t="n">
        <v>45399</v>
      </c>
      <c r="C2892" s="1" t="n">
        <v>45795</v>
      </c>
      <c r="D2892" t="inlineStr">
        <is>
          <t>JÄMTLANDS LÄN</t>
        </is>
      </c>
      <c r="E2892" t="inlineStr">
        <is>
          <t>STRÖMSUND</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14978-2024</t>
        </is>
      </c>
      <c r="B2893" s="1" t="n">
        <v>45399</v>
      </c>
      <c r="C2893" s="1" t="n">
        <v>45795</v>
      </c>
      <c r="D2893" t="inlineStr">
        <is>
          <t>JÄMTLANDS LÄN</t>
        </is>
      </c>
      <c r="E2893" t="inlineStr">
        <is>
          <t>STRÖMSUND</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14967-2024</t>
        </is>
      </c>
      <c r="B2894" s="1" t="n">
        <v>45399</v>
      </c>
      <c r="C2894" s="1" t="n">
        <v>45795</v>
      </c>
      <c r="D2894" t="inlineStr">
        <is>
          <t>JÄMTLANDS LÄN</t>
        </is>
      </c>
      <c r="E2894" t="inlineStr">
        <is>
          <t>STRÖMSUND</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15364-2024</t>
        </is>
      </c>
      <c r="B2895" s="1" t="n">
        <v>45400</v>
      </c>
      <c r="C2895" s="1" t="n">
        <v>45795</v>
      </c>
      <c r="D2895" t="inlineStr">
        <is>
          <t>JÄMTLANDS LÄN</t>
        </is>
      </c>
      <c r="E2895" t="inlineStr">
        <is>
          <t>STRÖMSUND</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15375-2024</t>
        </is>
      </c>
      <c r="B2896" s="1" t="n">
        <v>45400</v>
      </c>
      <c r="C2896" s="1" t="n">
        <v>45795</v>
      </c>
      <c r="D2896" t="inlineStr">
        <is>
          <t>JÄMTLANDS LÄN</t>
        </is>
      </c>
      <c r="E2896" t="inlineStr">
        <is>
          <t>STRÖMSUND</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15858-2024</t>
        </is>
      </c>
      <c r="B2897" s="1" t="n">
        <v>45405</v>
      </c>
      <c r="C2897" s="1" t="n">
        <v>45795</v>
      </c>
      <c r="D2897" t="inlineStr">
        <is>
          <t>JÄMTLANDS LÄN</t>
        </is>
      </c>
      <c r="E2897" t="inlineStr">
        <is>
          <t>STRÖMSUND</t>
        </is>
      </c>
      <c r="F2897" t="inlineStr">
        <is>
          <t>SCA</t>
        </is>
      </c>
      <c r="G2897" t="n">
        <v>33.8</v>
      </c>
      <c r="H2897" t="n">
        <v>0</v>
      </c>
      <c r="I2897" t="n">
        <v>0</v>
      </c>
      <c r="J2897" t="n">
        <v>0</v>
      </c>
      <c r="K2897" t="n">
        <v>0</v>
      </c>
      <c r="L2897" t="n">
        <v>0</v>
      </c>
      <c r="M2897" t="n">
        <v>0</v>
      </c>
      <c r="N2897" t="n">
        <v>0</v>
      </c>
      <c r="O2897" t="n">
        <v>0</v>
      </c>
      <c r="P2897" t="n">
        <v>0</v>
      </c>
      <c r="Q2897" t="n">
        <v>0</v>
      </c>
      <c r="R2897" s="2" t="inlineStr"/>
    </row>
    <row r="2898" ht="15" customHeight="1">
      <c r="A2898" t="inlineStr">
        <is>
          <t>A 16053-2024</t>
        </is>
      </c>
      <c r="B2898" s="1" t="n">
        <v>45406</v>
      </c>
      <c r="C2898" s="1" t="n">
        <v>45795</v>
      </c>
      <c r="D2898" t="inlineStr">
        <is>
          <t>JÄMTLANDS LÄN</t>
        </is>
      </c>
      <c r="E2898" t="inlineStr">
        <is>
          <t>STRÖMSUND</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16242-2024</t>
        </is>
      </c>
      <c r="B2899" s="1" t="n">
        <v>45407</v>
      </c>
      <c r="C2899" s="1" t="n">
        <v>45795</v>
      </c>
      <c r="D2899" t="inlineStr">
        <is>
          <t>JÄMTLANDS LÄN</t>
        </is>
      </c>
      <c r="E2899" t="inlineStr">
        <is>
          <t>STRÖMSUND</t>
        </is>
      </c>
      <c r="F2899" t="inlineStr">
        <is>
          <t>SCA</t>
        </is>
      </c>
      <c r="G2899" t="n">
        <v>31.2</v>
      </c>
      <c r="H2899" t="n">
        <v>0</v>
      </c>
      <c r="I2899" t="n">
        <v>0</v>
      </c>
      <c r="J2899" t="n">
        <v>0</v>
      </c>
      <c r="K2899" t="n">
        <v>0</v>
      </c>
      <c r="L2899" t="n">
        <v>0</v>
      </c>
      <c r="M2899" t="n">
        <v>0</v>
      </c>
      <c r="N2899" t="n">
        <v>0</v>
      </c>
      <c r="O2899" t="n">
        <v>0</v>
      </c>
      <c r="P2899" t="n">
        <v>0</v>
      </c>
      <c r="Q2899" t="n">
        <v>0</v>
      </c>
      <c r="R2899" s="2" t="inlineStr"/>
    </row>
    <row r="2900" ht="15" customHeight="1">
      <c r="A2900" t="inlineStr">
        <is>
          <t>A 16236-2024</t>
        </is>
      </c>
      <c r="B2900" s="1" t="n">
        <v>45407</v>
      </c>
      <c r="C2900" s="1" t="n">
        <v>45795</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16458-2024</t>
        </is>
      </c>
      <c r="B2901" s="1" t="n">
        <v>45408</v>
      </c>
      <c r="C2901" s="1" t="n">
        <v>45795</v>
      </c>
      <c r="D2901" t="inlineStr">
        <is>
          <t>JÄMTLANDS LÄN</t>
        </is>
      </c>
      <c r="E2901" t="inlineStr">
        <is>
          <t>STRÖMSUND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16464-2024</t>
        </is>
      </c>
      <c r="B2902" s="1" t="n">
        <v>45408</v>
      </c>
      <c r="C2902" s="1" t="n">
        <v>45795</v>
      </c>
      <c r="D2902" t="inlineStr">
        <is>
          <t>JÄMTLANDS LÄN</t>
        </is>
      </c>
      <c r="E2902" t="inlineStr">
        <is>
          <t>STRÖMSUND</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16490-2024</t>
        </is>
      </c>
      <c r="B2903" s="1" t="n">
        <v>45408</v>
      </c>
      <c r="C2903" s="1" t="n">
        <v>45795</v>
      </c>
      <c r="D2903" t="inlineStr">
        <is>
          <t>JÄMTLANDS LÄN</t>
        </is>
      </c>
      <c r="E2903" t="inlineStr">
        <is>
          <t>STRÖMSUND</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17098-2024</t>
        </is>
      </c>
      <c r="B2904" s="1" t="n">
        <v>45412</v>
      </c>
      <c r="C2904" s="1" t="n">
        <v>45795</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17105-2024</t>
        </is>
      </c>
      <c r="B2905" s="1" t="n">
        <v>45412</v>
      </c>
      <c r="C2905" s="1" t="n">
        <v>45795</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17435-2024</t>
        </is>
      </c>
      <c r="B2906" s="1" t="n">
        <v>45415</v>
      </c>
      <c r="C2906" s="1" t="n">
        <v>45795</v>
      </c>
      <c r="D2906" t="inlineStr">
        <is>
          <t>JÄMTLANDS LÄN</t>
        </is>
      </c>
      <c r="E2906" t="inlineStr">
        <is>
          <t>STRÖMSUND</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17442-2024</t>
        </is>
      </c>
      <c r="B2907" s="1" t="n">
        <v>45415</v>
      </c>
      <c r="C2907" s="1" t="n">
        <v>45795</v>
      </c>
      <c r="D2907" t="inlineStr">
        <is>
          <t>JÄMTLANDS LÄN</t>
        </is>
      </c>
      <c r="E2907" t="inlineStr">
        <is>
          <t>STRÖMSUND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17728-2024</t>
        </is>
      </c>
      <c r="B2908" s="1" t="n">
        <v>45418</v>
      </c>
      <c r="C2908" s="1" t="n">
        <v>45795</v>
      </c>
      <c r="D2908" t="inlineStr">
        <is>
          <t>JÄMTLANDS LÄN</t>
        </is>
      </c>
      <c r="E2908" t="inlineStr">
        <is>
          <t>STRÖMSUND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18234-2024</t>
        </is>
      </c>
      <c r="B2909" s="1" t="n">
        <v>45421</v>
      </c>
      <c r="C2909" s="1" t="n">
        <v>45795</v>
      </c>
      <c r="D2909" t="inlineStr">
        <is>
          <t>JÄMTLANDS LÄN</t>
        </is>
      </c>
      <c r="E2909" t="inlineStr">
        <is>
          <t>STRÖMSUND</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18233-2024</t>
        </is>
      </c>
      <c r="B2910" s="1" t="n">
        <v>45421</v>
      </c>
      <c r="C2910" s="1" t="n">
        <v>45795</v>
      </c>
      <c r="D2910" t="inlineStr">
        <is>
          <t>JÄMTLANDS LÄN</t>
        </is>
      </c>
      <c r="E2910" t="inlineStr">
        <is>
          <t>STRÖMSUND</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18237-2024</t>
        </is>
      </c>
      <c r="B2911" s="1" t="n">
        <v>45421</v>
      </c>
      <c r="C2911" s="1" t="n">
        <v>45795</v>
      </c>
      <c r="D2911" t="inlineStr">
        <is>
          <t>JÄMTLANDS LÄN</t>
        </is>
      </c>
      <c r="E2911" t="inlineStr">
        <is>
          <t>STRÖMSUND</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18236-2024</t>
        </is>
      </c>
      <c r="B2912" s="1" t="n">
        <v>45421</v>
      </c>
      <c r="C2912" s="1" t="n">
        <v>45795</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18240-2024</t>
        </is>
      </c>
      <c r="B2913" s="1" t="n">
        <v>45421</v>
      </c>
      <c r="C2913" s="1" t="n">
        <v>45795</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18235-2024</t>
        </is>
      </c>
      <c r="B2914" s="1" t="n">
        <v>45421</v>
      </c>
      <c r="C2914" s="1" t="n">
        <v>45795</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18298-2024</t>
        </is>
      </c>
      <c r="B2915" s="1" t="n">
        <v>45421</v>
      </c>
      <c r="C2915" s="1" t="n">
        <v>45795</v>
      </c>
      <c r="D2915" t="inlineStr">
        <is>
          <t>JÄMTLANDS LÄN</t>
        </is>
      </c>
      <c r="E2915" t="inlineStr">
        <is>
          <t>STRÖMSUND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18325-2024</t>
        </is>
      </c>
      <c r="B2916" s="1" t="n">
        <v>45422</v>
      </c>
      <c r="C2916" s="1" t="n">
        <v>45795</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18770-2024</t>
        </is>
      </c>
      <c r="B2917" s="1" t="n">
        <v>45426</v>
      </c>
      <c r="C2917" s="1" t="n">
        <v>45795</v>
      </c>
      <c r="D2917" t="inlineStr">
        <is>
          <t>JÄMTLANDS LÄN</t>
        </is>
      </c>
      <c r="E2917" t="inlineStr">
        <is>
          <t>STRÖMSUND</t>
        </is>
      </c>
      <c r="F2917" t="inlineStr">
        <is>
          <t>Kyrkan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18912-2024</t>
        </is>
      </c>
      <c r="B2918" s="1" t="n">
        <v>45426</v>
      </c>
      <c r="C2918" s="1" t="n">
        <v>45795</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18915-2024</t>
        </is>
      </c>
      <c r="B2919" s="1" t="n">
        <v>45426</v>
      </c>
      <c r="C2919" s="1" t="n">
        <v>45795</v>
      </c>
      <c r="D2919" t="inlineStr">
        <is>
          <t>JÄMTLANDS LÄN</t>
        </is>
      </c>
      <c r="E2919" t="inlineStr">
        <is>
          <t>STRÖMSUND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19006-2024</t>
        </is>
      </c>
      <c r="B2920" s="1" t="n">
        <v>45427</v>
      </c>
      <c r="C2920" s="1" t="n">
        <v>45795</v>
      </c>
      <c r="D2920" t="inlineStr">
        <is>
          <t>JÄMTLANDS LÄN</t>
        </is>
      </c>
      <c r="E2920" t="inlineStr">
        <is>
          <t>STRÖMSUND</t>
        </is>
      </c>
      <c r="F2920" t="inlineStr">
        <is>
          <t>Holmen skog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19340-2024</t>
        </is>
      </c>
      <c r="B2921" s="1" t="n">
        <v>45429</v>
      </c>
      <c r="C2921" s="1" t="n">
        <v>45795</v>
      </c>
      <c r="D2921" t="inlineStr">
        <is>
          <t>JÄMTLANDS LÄN</t>
        </is>
      </c>
      <c r="E2921" t="inlineStr">
        <is>
          <t>STRÖMSUND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19346-2024</t>
        </is>
      </c>
      <c r="B2922" s="1" t="n">
        <v>45429</v>
      </c>
      <c r="C2922" s="1" t="n">
        <v>45795</v>
      </c>
      <c r="D2922" t="inlineStr">
        <is>
          <t>JÄMTLANDS LÄN</t>
        </is>
      </c>
      <c r="E2922" t="inlineStr">
        <is>
          <t>STRÖMSUND</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19483-2024</t>
        </is>
      </c>
      <c r="B2923" s="1" t="n">
        <v>45429</v>
      </c>
      <c r="C2923" s="1" t="n">
        <v>45795</v>
      </c>
      <c r="D2923" t="inlineStr">
        <is>
          <t>JÄMTLANDS LÄN</t>
        </is>
      </c>
      <c r="E2923" t="inlineStr">
        <is>
          <t>STRÖMSUND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19794-2024</t>
        </is>
      </c>
      <c r="B2924" s="1" t="n">
        <v>45433</v>
      </c>
      <c r="C2924" s="1" t="n">
        <v>45795</v>
      </c>
      <c r="D2924" t="inlineStr">
        <is>
          <t>JÄMTLANDS LÄN</t>
        </is>
      </c>
      <c r="E2924" t="inlineStr">
        <is>
          <t>STRÖMSUND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19995-2024</t>
        </is>
      </c>
      <c r="B2925" s="1" t="n">
        <v>45434</v>
      </c>
      <c r="C2925" s="1" t="n">
        <v>45795</v>
      </c>
      <c r="D2925" t="inlineStr">
        <is>
          <t>JÄMTLANDS LÄN</t>
        </is>
      </c>
      <c r="E2925" t="inlineStr">
        <is>
          <t>STRÖMSUND</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20274-2024</t>
        </is>
      </c>
      <c r="B2926" s="1" t="n">
        <v>45435</v>
      </c>
      <c r="C2926" s="1" t="n">
        <v>45795</v>
      </c>
      <c r="D2926" t="inlineStr">
        <is>
          <t>JÄMTLANDS LÄN</t>
        </is>
      </c>
      <c r="E2926" t="inlineStr">
        <is>
          <t>STRÖMSUND</t>
        </is>
      </c>
      <c r="F2926" t="inlineStr">
        <is>
          <t>SCA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20271-2024</t>
        </is>
      </c>
      <c r="B2927" s="1" t="n">
        <v>45435</v>
      </c>
      <c r="C2927" s="1" t="n">
        <v>45795</v>
      </c>
      <c r="D2927" t="inlineStr">
        <is>
          <t>JÄMTLANDS LÄN</t>
        </is>
      </c>
      <c r="E2927" t="inlineStr">
        <is>
          <t>STRÖMSUND</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20275-2024</t>
        </is>
      </c>
      <c r="B2928" s="1" t="n">
        <v>45435</v>
      </c>
      <c r="C2928" s="1" t="n">
        <v>45795</v>
      </c>
      <c r="D2928" t="inlineStr">
        <is>
          <t>JÄMTLANDS LÄN</t>
        </is>
      </c>
      <c r="E2928" t="inlineStr">
        <is>
          <t>STRÖMSUND</t>
        </is>
      </c>
      <c r="F2928" t="inlineStr">
        <is>
          <t>SCA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20273-2024</t>
        </is>
      </c>
      <c r="B2929" s="1" t="n">
        <v>45434</v>
      </c>
      <c r="C2929" s="1" t="n">
        <v>45795</v>
      </c>
      <c r="D2929" t="inlineStr">
        <is>
          <t>JÄMTLANDS LÄN</t>
        </is>
      </c>
      <c r="E2929" t="inlineStr">
        <is>
          <t>STRÖMSUND</t>
        </is>
      </c>
      <c r="F2929" t="inlineStr">
        <is>
          <t>SCA</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20180-2024</t>
        </is>
      </c>
      <c r="B2930" s="1" t="n">
        <v>45434</v>
      </c>
      <c r="C2930" s="1" t="n">
        <v>45795</v>
      </c>
      <c r="D2930" t="inlineStr">
        <is>
          <t>JÄMTLANDS LÄN</t>
        </is>
      </c>
      <c r="E2930" t="inlineStr">
        <is>
          <t>STRÖMSUND</t>
        </is>
      </c>
      <c r="F2930" t="inlineStr">
        <is>
          <t>Holmen skog AB</t>
        </is>
      </c>
      <c r="G2930" t="n">
        <v>21.5</v>
      </c>
      <c r="H2930" t="n">
        <v>0</v>
      </c>
      <c r="I2930" t="n">
        <v>0</v>
      </c>
      <c r="J2930" t="n">
        <v>0</v>
      </c>
      <c r="K2930" t="n">
        <v>0</v>
      </c>
      <c r="L2930" t="n">
        <v>0</v>
      </c>
      <c r="M2930" t="n">
        <v>0</v>
      </c>
      <c r="N2930" t="n">
        <v>0</v>
      </c>
      <c r="O2930" t="n">
        <v>0</v>
      </c>
      <c r="P2930" t="n">
        <v>0</v>
      </c>
      <c r="Q2930" t="n">
        <v>0</v>
      </c>
      <c r="R2930" s="2" t="inlineStr"/>
    </row>
    <row r="2931" ht="15" customHeight="1">
      <c r="A2931" t="inlineStr">
        <is>
          <t>A 20272-2024</t>
        </is>
      </c>
      <c r="B2931" s="1" t="n">
        <v>45435</v>
      </c>
      <c r="C2931" s="1" t="n">
        <v>45795</v>
      </c>
      <c r="D2931" t="inlineStr">
        <is>
          <t>JÄMTLANDS LÄN</t>
        </is>
      </c>
      <c r="E2931" t="inlineStr">
        <is>
          <t>STRÖMSUND</t>
        </is>
      </c>
      <c r="F2931" t="inlineStr">
        <is>
          <t>SCA</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20505-2024</t>
        </is>
      </c>
      <c r="B2932" s="1" t="n">
        <v>45436</v>
      </c>
      <c r="C2932" s="1" t="n">
        <v>45795</v>
      </c>
      <c r="D2932" t="inlineStr">
        <is>
          <t>JÄMTLANDS LÄN</t>
        </is>
      </c>
      <c r="E2932" t="inlineStr">
        <is>
          <t>STRÖMSUND</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20508-2024</t>
        </is>
      </c>
      <c r="B2933" s="1" t="n">
        <v>45436</v>
      </c>
      <c r="C2933" s="1" t="n">
        <v>45795</v>
      </c>
      <c r="D2933" t="inlineStr">
        <is>
          <t>JÄMTLANDS LÄN</t>
        </is>
      </c>
      <c r="E2933" t="inlineStr">
        <is>
          <t>STRÖMSUND</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20693-2024</t>
        </is>
      </c>
      <c r="B2934" s="1" t="n">
        <v>45436</v>
      </c>
      <c r="C2934" s="1" t="n">
        <v>45795</v>
      </c>
      <c r="D2934" t="inlineStr">
        <is>
          <t>JÄMTLANDS LÄN</t>
        </is>
      </c>
      <c r="E2934" t="inlineStr">
        <is>
          <t>STRÖMSUND</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20767-2024</t>
        </is>
      </c>
      <c r="B2935" s="1" t="n">
        <v>45436</v>
      </c>
      <c r="C2935" s="1" t="n">
        <v>45795</v>
      </c>
      <c r="D2935" t="inlineStr">
        <is>
          <t>JÄMTLANDS LÄN</t>
        </is>
      </c>
      <c r="E2935" t="inlineStr">
        <is>
          <t>STRÖMSUND</t>
        </is>
      </c>
      <c r="F2935" t="inlineStr">
        <is>
          <t>SCA</t>
        </is>
      </c>
      <c r="G2935" t="n">
        <v>22.2</v>
      </c>
      <c r="H2935" t="n">
        <v>0</v>
      </c>
      <c r="I2935" t="n">
        <v>0</v>
      </c>
      <c r="J2935" t="n">
        <v>0</v>
      </c>
      <c r="K2935" t="n">
        <v>0</v>
      </c>
      <c r="L2935" t="n">
        <v>0</v>
      </c>
      <c r="M2935" t="n">
        <v>0</v>
      </c>
      <c r="N2935" t="n">
        <v>0</v>
      </c>
      <c r="O2935" t="n">
        <v>0</v>
      </c>
      <c r="P2935" t="n">
        <v>0</v>
      </c>
      <c r="Q2935" t="n">
        <v>0</v>
      </c>
      <c r="R2935" s="2" t="inlineStr"/>
    </row>
    <row r="2936" ht="15" customHeight="1">
      <c r="A2936" t="inlineStr">
        <is>
          <t>A 21209-2024</t>
        </is>
      </c>
      <c r="B2936" s="1" t="n">
        <v>45440</v>
      </c>
      <c r="C2936" s="1" t="n">
        <v>45795</v>
      </c>
      <c r="D2936" t="inlineStr">
        <is>
          <t>JÄMTLANDS LÄN</t>
        </is>
      </c>
      <c r="E2936" t="inlineStr">
        <is>
          <t>STRÖMSUND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21212-2024</t>
        </is>
      </c>
      <c r="B2937" s="1" t="n">
        <v>45440</v>
      </c>
      <c r="C2937" s="1" t="n">
        <v>45795</v>
      </c>
      <c r="D2937" t="inlineStr">
        <is>
          <t>JÄMTLANDS LÄN</t>
        </is>
      </c>
      <c r="E2937" t="inlineStr">
        <is>
          <t>STRÖMSUND</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21377-2024</t>
        </is>
      </c>
      <c r="B2938" s="1" t="n">
        <v>45440</v>
      </c>
      <c r="C2938" s="1" t="n">
        <v>45795</v>
      </c>
      <c r="D2938" t="inlineStr">
        <is>
          <t>JÄMTLANDS LÄN</t>
        </is>
      </c>
      <c r="E2938" t="inlineStr">
        <is>
          <t>STRÖMSUND</t>
        </is>
      </c>
      <c r="F2938" t="inlineStr">
        <is>
          <t>SCA</t>
        </is>
      </c>
      <c r="G2938" t="n">
        <v>20.4</v>
      </c>
      <c r="H2938" t="n">
        <v>0</v>
      </c>
      <c r="I2938" t="n">
        <v>0</v>
      </c>
      <c r="J2938" t="n">
        <v>0</v>
      </c>
      <c r="K2938" t="n">
        <v>0</v>
      </c>
      <c r="L2938" t="n">
        <v>0</v>
      </c>
      <c r="M2938" t="n">
        <v>0</v>
      </c>
      <c r="N2938" t="n">
        <v>0</v>
      </c>
      <c r="O2938" t="n">
        <v>0</v>
      </c>
      <c r="P2938" t="n">
        <v>0</v>
      </c>
      <c r="Q2938" t="n">
        <v>0</v>
      </c>
      <c r="R2938" s="2" t="inlineStr"/>
    </row>
    <row r="2939" ht="15" customHeight="1">
      <c r="A2939" t="inlineStr">
        <is>
          <t>A 21546-2024</t>
        </is>
      </c>
      <c r="B2939" s="1" t="n">
        <v>45441</v>
      </c>
      <c r="C2939" s="1" t="n">
        <v>45795</v>
      </c>
      <c r="D2939" t="inlineStr">
        <is>
          <t>JÄMTLANDS LÄN</t>
        </is>
      </c>
      <c r="E2939" t="inlineStr">
        <is>
          <t>STRÖMSUND</t>
        </is>
      </c>
      <c r="F2939" t="inlineStr">
        <is>
          <t>Holmen skog AB</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21603-2024</t>
        </is>
      </c>
      <c r="B2940" s="1" t="n">
        <v>45442</v>
      </c>
      <c r="C2940" s="1" t="n">
        <v>45795</v>
      </c>
      <c r="D2940" t="inlineStr">
        <is>
          <t>JÄMTLANDS LÄN</t>
        </is>
      </c>
      <c r="E2940" t="inlineStr">
        <is>
          <t>STRÖMSUND</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21605-2024</t>
        </is>
      </c>
      <c r="B2941" s="1" t="n">
        <v>45442</v>
      </c>
      <c r="C2941" s="1" t="n">
        <v>45795</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21616-2024</t>
        </is>
      </c>
      <c r="B2942" s="1" t="n">
        <v>45442</v>
      </c>
      <c r="C2942" s="1" t="n">
        <v>45795</v>
      </c>
      <c r="D2942" t="inlineStr">
        <is>
          <t>JÄMTLANDS LÄN</t>
        </is>
      </c>
      <c r="E2942" t="inlineStr">
        <is>
          <t>STRÖMSUND</t>
        </is>
      </c>
      <c r="F2942" t="inlineStr">
        <is>
          <t>SCA</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21551-2024</t>
        </is>
      </c>
      <c r="B2943" s="1" t="n">
        <v>45441</v>
      </c>
      <c r="C2943" s="1" t="n">
        <v>45795</v>
      </c>
      <c r="D2943" t="inlineStr">
        <is>
          <t>JÄMTLANDS LÄN</t>
        </is>
      </c>
      <c r="E2943" t="inlineStr">
        <is>
          <t>STRÖMSUND</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21553-2024</t>
        </is>
      </c>
      <c r="B2944" s="1" t="n">
        <v>45441</v>
      </c>
      <c r="C2944" s="1" t="n">
        <v>45795</v>
      </c>
      <c r="D2944" t="inlineStr">
        <is>
          <t>JÄMTLANDS LÄN</t>
        </is>
      </c>
      <c r="E2944" t="inlineStr">
        <is>
          <t>STRÖMSUND</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21549-2024</t>
        </is>
      </c>
      <c r="B2945" s="1" t="n">
        <v>45441</v>
      </c>
      <c r="C2945" s="1" t="n">
        <v>45795</v>
      </c>
      <c r="D2945" t="inlineStr">
        <is>
          <t>JÄMTLANDS LÄN</t>
        </is>
      </c>
      <c r="E2945" t="inlineStr">
        <is>
          <t>STRÖMSUND</t>
        </is>
      </c>
      <c r="F2945" t="inlineStr">
        <is>
          <t>Holmen skog AB</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21554-2024</t>
        </is>
      </c>
      <c r="B2946" s="1" t="n">
        <v>45441</v>
      </c>
      <c r="C2946" s="1" t="n">
        <v>45795</v>
      </c>
      <c r="D2946" t="inlineStr">
        <is>
          <t>JÄMTLANDS LÄN</t>
        </is>
      </c>
      <c r="E2946" t="inlineStr">
        <is>
          <t>STRÖMSUND</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21550-2024</t>
        </is>
      </c>
      <c r="B2947" s="1" t="n">
        <v>45441</v>
      </c>
      <c r="C2947" s="1" t="n">
        <v>45795</v>
      </c>
      <c r="D2947" t="inlineStr">
        <is>
          <t>JÄMTLANDS LÄN</t>
        </is>
      </c>
      <c r="E2947" t="inlineStr">
        <is>
          <t>STRÖMSUND</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21713-2024</t>
        </is>
      </c>
      <c r="B2948" s="1" t="n">
        <v>45442</v>
      </c>
      <c r="C2948" s="1" t="n">
        <v>45795</v>
      </c>
      <c r="D2948" t="inlineStr">
        <is>
          <t>JÄMTLANDS LÄN</t>
        </is>
      </c>
      <c r="E2948" t="inlineStr">
        <is>
          <t>STRÖMSUND</t>
        </is>
      </c>
      <c r="F2948" t="inlineStr">
        <is>
          <t>Holmen skog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21840-2024</t>
        </is>
      </c>
      <c r="B2949" s="1" t="n">
        <v>45443</v>
      </c>
      <c r="C2949" s="1" t="n">
        <v>45795</v>
      </c>
      <c r="D2949" t="inlineStr">
        <is>
          <t>JÄMTLANDS LÄN</t>
        </is>
      </c>
      <c r="E2949" t="inlineStr">
        <is>
          <t>STRÖMSUND</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21735-2024</t>
        </is>
      </c>
      <c r="B2950" s="1" t="n">
        <v>45442</v>
      </c>
      <c r="C2950" s="1" t="n">
        <v>45795</v>
      </c>
      <c r="D2950" t="inlineStr">
        <is>
          <t>JÄMTLANDS LÄN</t>
        </is>
      </c>
      <c r="E2950" t="inlineStr">
        <is>
          <t>STRÖMSUND</t>
        </is>
      </c>
      <c r="G2950" t="n">
        <v>15.1</v>
      </c>
      <c r="H2950" t="n">
        <v>0</v>
      </c>
      <c r="I2950" t="n">
        <v>0</v>
      </c>
      <c r="J2950" t="n">
        <v>0</v>
      </c>
      <c r="K2950" t="n">
        <v>0</v>
      </c>
      <c r="L2950" t="n">
        <v>0</v>
      </c>
      <c r="M2950" t="n">
        <v>0</v>
      </c>
      <c r="N2950" t="n">
        <v>0</v>
      </c>
      <c r="O2950" t="n">
        <v>0</v>
      </c>
      <c r="P2950" t="n">
        <v>0</v>
      </c>
      <c r="Q2950" t="n">
        <v>0</v>
      </c>
      <c r="R2950" s="2" t="inlineStr"/>
    </row>
    <row r="2951" ht="15" customHeight="1">
      <c r="A2951" t="inlineStr">
        <is>
          <t>A 21861-2024</t>
        </is>
      </c>
      <c r="B2951" s="1" t="n">
        <v>45443</v>
      </c>
      <c r="C2951" s="1" t="n">
        <v>45795</v>
      </c>
      <c r="D2951" t="inlineStr">
        <is>
          <t>JÄMTLANDS LÄN</t>
        </is>
      </c>
      <c r="E2951" t="inlineStr">
        <is>
          <t>STRÖMSUND</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22115-2024</t>
        </is>
      </c>
      <c r="B2952" s="1" t="n">
        <v>45443</v>
      </c>
      <c r="C2952" s="1" t="n">
        <v>45795</v>
      </c>
      <c r="D2952" t="inlineStr">
        <is>
          <t>JÄMTLANDS LÄN</t>
        </is>
      </c>
      <c r="E2952" t="inlineStr">
        <is>
          <t>STRÖMSUND</t>
        </is>
      </c>
      <c r="F2952" t="inlineStr">
        <is>
          <t>SCA</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22139-2024</t>
        </is>
      </c>
      <c r="B2953" s="1" t="n">
        <v>45445</v>
      </c>
      <c r="C2953" s="1" t="n">
        <v>45795</v>
      </c>
      <c r="D2953" t="inlineStr">
        <is>
          <t>JÄMTLANDS LÄN</t>
        </is>
      </c>
      <c r="E2953" t="inlineStr">
        <is>
          <t>STRÖMSUND</t>
        </is>
      </c>
      <c r="F2953" t="inlineStr">
        <is>
          <t>SCA</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22138-2024</t>
        </is>
      </c>
      <c r="B2954" s="1" t="n">
        <v>45445</v>
      </c>
      <c r="C2954" s="1" t="n">
        <v>45795</v>
      </c>
      <c r="D2954" t="inlineStr">
        <is>
          <t>JÄMTLANDS LÄN</t>
        </is>
      </c>
      <c r="E2954" t="inlineStr">
        <is>
          <t>STRÖMSUND</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22141-2024</t>
        </is>
      </c>
      <c r="B2955" s="1" t="n">
        <v>45445</v>
      </c>
      <c r="C2955" s="1" t="n">
        <v>45795</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22140-2024</t>
        </is>
      </c>
      <c r="B2956" s="1" t="n">
        <v>45445</v>
      </c>
      <c r="C2956" s="1" t="n">
        <v>45795</v>
      </c>
      <c r="D2956" t="inlineStr">
        <is>
          <t>JÄMTLANDS LÄN</t>
        </is>
      </c>
      <c r="E2956" t="inlineStr">
        <is>
          <t>STRÖMSUND</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22451-2024</t>
        </is>
      </c>
      <c r="B2957" s="1" t="n">
        <v>45447</v>
      </c>
      <c r="C2957" s="1" t="n">
        <v>45795</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22445-2024</t>
        </is>
      </c>
      <c r="B2958" s="1" t="n">
        <v>45447</v>
      </c>
      <c r="C2958" s="1" t="n">
        <v>45795</v>
      </c>
      <c r="D2958" t="inlineStr">
        <is>
          <t>JÄMTLANDS LÄN</t>
        </is>
      </c>
      <c r="E2958" t="inlineStr">
        <is>
          <t>STRÖMSUND</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22481-2024</t>
        </is>
      </c>
      <c r="B2959" s="1" t="n">
        <v>45447</v>
      </c>
      <c r="C2959" s="1" t="n">
        <v>45795</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22477-2024</t>
        </is>
      </c>
      <c r="B2960" s="1" t="n">
        <v>45447</v>
      </c>
      <c r="C2960" s="1" t="n">
        <v>45795</v>
      </c>
      <c r="D2960" t="inlineStr">
        <is>
          <t>JÄMTLANDS LÄN</t>
        </is>
      </c>
      <c r="E2960" t="inlineStr">
        <is>
          <t>STRÖMSUND</t>
        </is>
      </c>
      <c r="F2960" t="inlineStr">
        <is>
          <t>SCA</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22453-2024</t>
        </is>
      </c>
      <c r="B2961" s="1" t="n">
        <v>45447</v>
      </c>
      <c r="C2961" s="1" t="n">
        <v>45795</v>
      </c>
      <c r="D2961" t="inlineStr">
        <is>
          <t>JÄMTLANDS LÄN</t>
        </is>
      </c>
      <c r="E2961" t="inlineStr">
        <is>
          <t>STRÖMSUND</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22444-2024</t>
        </is>
      </c>
      <c r="B2962" s="1" t="n">
        <v>45447</v>
      </c>
      <c r="C2962" s="1" t="n">
        <v>45795</v>
      </c>
      <c r="D2962" t="inlineStr">
        <is>
          <t>JÄMTLANDS LÄN</t>
        </is>
      </c>
      <c r="E2962" t="inlineStr">
        <is>
          <t>STRÖMSUND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22452-2024</t>
        </is>
      </c>
      <c r="B2963" s="1" t="n">
        <v>45447</v>
      </c>
      <c r="C2963" s="1" t="n">
        <v>45795</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22676-2024</t>
        </is>
      </c>
      <c r="B2964" s="1" t="n">
        <v>45448</v>
      </c>
      <c r="C2964" s="1" t="n">
        <v>45795</v>
      </c>
      <c r="D2964" t="inlineStr">
        <is>
          <t>JÄMTLANDS LÄN</t>
        </is>
      </c>
      <c r="E2964" t="inlineStr">
        <is>
          <t>STRÖMSUND</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22643-2024</t>
        </is>
      </c>
      <c r="B2965" s="1" t="n">
        <v>45447</v>
      </c>
      <c r="C2965" s="1" t="n">
        <v>45795</v>
      </c>
      <c r="D2965" t="inlineStr">
        <is>
          <t>JÄMTLANDS LÄN</t>
        </is>
      </c>
      <c r="E2965" t="inlineStr">
        <is>
          <t>STRÖMSUND</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22651-2024</t>
        </is>
      </c>
      <c r="B2966" s="1" t="n">
        <v>45447</v>
      </c>
      <c r="C2966" s="1" t="n">
        <v>45795</v>
      </c>
      <c r="D2966" t="inlineStr">
        <is>
          <t>JÄMTLANDS LÄN</t>
        </is>
      </c>
      <c r="E2966" t="inlineStr">
        <is>
          <t>STRÖMSUND</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23531-2024</t>
        </is>
      </c>
      <c r="B2967" s="1" t="n">
        <v>45454</v>
      </c>
      <c r="C2967" s="1" t="n">
        <v>45795</v>
      </c>
      <c r="D2967" t="inlineStr">
        <is>
          <t>JÄMTLANDS LÄN</t>
        </is>
      </c>
      <c r="E2967" t="inlineStr">
        <is>
          <t>STRÖMSUND</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23675-2024</t>
        </is>
      </c>
      <c r="B2968" s="1" t="n">
        <v>45454</v>
      </c>
      <c r="C2968" s="1" t="n">
        <v>45795</v>
      </c>
      <c r="D2968" t="inlineStr">
        <is>
          <t>JÄMTLANDS LÄN</t>
        </is>
      </c>
      <c r="E2968" t="inlineStr">
        <is>
          <t>STRÖMSUND</t>
        </is>
      </c>
      <c r="F2968" t="inlineStr">
        <is>
          <t>Holmen skog AB</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23735-2024</t>
        </is>
      </c>
      <c r="B2969" s="1" t="n">
        <v>45455</v>
      </c>
      <c r="C2969" s="1" t="n">
        <v>45795</v>
      </c>
      <c r="D2969" t="inlineStr">
        <is>
          <t>JÄMTLANDS LÄN</t>
        </is>
      </c>
      <c r="E2969" t="inlineStr">
        <is>
          <t>STRÖMSUND</t>
        </is>
      </c>
      <c r="F2969" t="inlineStr">
        <is>
          <t>SCA</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23728-2024</t>
        </is>
      </c>
      <c r="B2970" s="1" t="n">
        <v>45455</v>
      </c>
      <c r="C2970" s="1" t="n">
        <v>45795</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23941-2024</t>
        </is>
      </c>
      <c r="B2971" s="1" t="n">
        <v>45456</v>
      </c>
      <c r="C2971" s="1" t="n">
        <v>45795</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23922-2024</t>
        </is>
      </c>
      <c r="B2972" s="1" t="n">
        <v>45456</v>
      </c>
      <c r="C2972" s="1" t="n">
        <v>45795</v>
      </c>
      <c r="D2972" t="inlineStr">
        <is>
          <t>JÄMTLANDS LÄN</t>
        </is>
      </c>
      <c r="E2972" t="inlineStr">
        <is>
          <t>STRÖMSUND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23934-2024</t>
        </is>
      </c>
      <c r="B2973" s="1" t="n">
        <v>45456</v>
      </c>
      <c r="C2973" s="1" t="n">
        <v>45795</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23942-2024</t>
        </is>
      </c>
      <c r="B2974" s="1" t="n">
        <v>45456</v>
      </c>
      <c r="C2974" s="1" t="n">
        <v>45795</v>
      </c>
      <c r="D2974" t="inlineStr">
        <is>
          <t>JÄMTLANDS LÄN</t>
        </is>
      </c>
      <c r="E2974" t="inlineStr">
        <is>
          <t>STRÖMSUND</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24060-2024</t>
        </is>
      </c>
      <c r="B2975" s="1" t="n">
        <v>45456</v>
      </c>
      <c r="C2975" s="1" t="n">
        <v>45795</v>
      </c>
      <c r="D2975" t="inlineStr">
        <is>
          <t>JÄMTLANDS LÄN</t>
        </is>
      </c>
      <c r="E2975" t="inlineStr">
        <is>
          <t>STRÖMSUND</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24042-2024</t>
        </is>
      </c>
      <c r="B2976" s="1" t="n">
        <v>45456</v>
      </c>
      <c r="C2976" s="1" t="n">
        <v>45795</v>
      </c>
      <c r="D2976" t="inlineStr">
        <is>
          <t>JÄMTLANDS LÄN</t>
        </is>
      </c>
      <c r="E2976" t="inlineStr">
        <is>
          <t>STRÖMSUND</t>
        </is>
      </c>
      <c r="F2976" t="inlineStr">
        <is>
          <t>Holmen skog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24059-2024</t>
        </is>
      </c>
      <c r="B2977" s="1" t="n">
        <v>45456</v>
      </c>
      <c r="C2977" s="1" t="n">
        <v>45795</v>
      </c>
      <c r="D2977" t="inlineStr">
        <is>
          <t>JÄMTLANDS LÄN</t>
        </is>
      </c>
      <c r="E2977" t="inlineStr">
        <is>
          <t>STRÖMSUND</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24206-2024</t>
        </is>
      </c>
      <c r="B2978" s="1" t="n">
        <v>45456</v>
      </c>
      <c r="C2978" s="1" t="n">
        <v>45795</v>
      </c>
      <c r="D2978" t="inlineStr">
        <is>
          <t>JÄMTLANDS LÄN</t>
        </is>
      </c>
      <c r="E2978" t="inlineStr">
        <is>
          <t>STRÖMSUND</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24214-2024</t>
        </is>
      </c>
      <c r="B2979" s="1" t="n">
        <v>45457</v>
      </c>
      <c r="C2979" s="1" t="n">
        <v>45795</v>
      </c>
      <c r="D2979" t="inlineStr">
        <is>
          <t>JÄMTLANDS LÄN</t>
        </is>
      </c>
      <c r="E2979" t="inlineStr">
        <is>
          <t>STRÖMSUND</t>
        </is>
      </c>
      <c r="F2979" t="inlineStr">
        <is>
          <t>Holmen skog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24430-2024</t>
        </is>
      </c>
      <c r="B2980" s="1" t="n">
        <v>45458</v>
      </c>
      <c r="C2980" s="1" t="n">
        <v>45795</v>
      </c>
      <c r="D2980" t="inlineStr">
        <is>
          <t>JÄMTLANDS LÄN</t>
        </is>
      </c>
      <c r="E2980" t="inlineStr">
        <is>
          <t>STRÖMSUND</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24438-2024</t>
        </is>
      </c>
      <c r="B2981" s="1" t="n">
        <v>45458</v>
      </c>
      <c r="C2981" s="1" t="n">
        <v>45795</v>
      </c>
      <c r="D2981" t="inlineStr">
        <is>
          <t>JÄMTLANDS LÄN</t>
        </is>
      </c>
      <c r="E2981" t="inlineStr">
        <is>
          <t>STRÖMSUND</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24311-2024</t>
        </is>
      </c>
      <c r="B2982" s="1" t="n">
        <v>45457</v>
      </c>
      <c r="C2982" s="1" t="n">
        <v>45795</v>
      </c>
      <c r="D2982" t="inlineStr">
        <is>
          <t>JÄMTLANDS LÄN</t>
        </is>
      </c>
      <c r="E2982" t="inlineStr">
        <is>
          <t>STRÖMSUND</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24429-2024</t>
        </is>
      </c>
      <c r="B2983" s="1" t="n">
        <v>45458</v>
      </c>
      <c r="C2983" s="1" t="n">
        <v>45795</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24804-2024</t>
        </is>
      </c>
      <c r="B2984" s="1" t="n">
        <v>45461</v>
      </c>
      <c r="C2984" s="1" t="n">
        <v>45795</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24800-2024</t>
        </is>
      </c>
      <c r="B2985" s="1" t="n">
        <v>45461</v>
      </c>
      <c r="C2985" s="1" t="n">
        <v>45795</v>
      </c>
      <c r="D2985" t="inlineStr">
        <is>
          <t>JÄMTLANDS LÄN</t>
        </is>
      </c>
      <c r="E2985" t="inlineStr">
        <is>
          <t>STRÖMSUND</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24802-2024</t>
        </is>
      </c>
      <c r="B2986" s="1" t="n">
        <v>45461</v>
      </c>
      <c r="C2986" s="1" t="n">
        <v>45795</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24801-2024</t>
        </is>
      </c>
      <c r="B2987" s="1" t="n">
        <v>45461</v>
      </c>
      <c r="C2987" s="1" t="n">
        <v>45795</v>
      </c>
      <c r="D2987" t="inlineStr">
        <is>
          <t>JÄMTLANDS LÄN</t>
        </is>
      </c>
      <c r="E2987" t="inlineStr">
        <is>
          <t>STRÖMSUND</t>
        </is>
      </c>
      <c r="F2987" t="inlineStr">
        <is>
          <t>SCA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24805-2024</t>
        </is>
      </c>
      <c r="B2988" s="1" t="n">
        <v>45461</v>
      </c>
      <c r="C2988" s="1" t="n">
        <v>45795</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25359-2024</t>
        </is>
      </c>
      <c r="B2989" s="1" t="n">
        <v>45463</v>
      </c>
      <c r="C2989" s="1" t="n">
        <v>45795</v>
      </c>
      <c r="D2989" t="inlineStr">
        <is>
          <t>JÄMTLANDS LÄN</t>
        </is>
      </c>
      <c r="E2989" t="inlineStr">
        <is>
          <t>STRÖMSUND</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25371-2024</t>
        </is>
      </c>
      <c r="B2990" s="1" t="n">
        <v>45463</v>
      </c>
      <c r="C2990" s="1" t="n">
        <v>45795</v>
      </c>
      <c r="D2990" t="inlineStr">
        <is>
          <t>JÄMTLANDS LÄN</t>
        </is>
      </c>
      <c r="E2990" t="inlineStr">
        <is>
          <t>STRÖMSUND</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25370-2024</t>
        </is>
      </c>
      <c r="B2991" s="1" t="n">
        <v>45463</v>
      </c>
      <c r="C2991" s="1" t="n">
        <v>45795</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25378-2024</t>
        </is>
      </c>
      <c r="B2992" s="1" t="n">
        <v>45463</v>
      </c>
      <c r="C2992" s="1" t="n">
        <v>45795</v>
      </c>
      <c r="D2992" t="inlineStr">
        <is>
          <t>JÄMTLANDS LÄN</t>
        </is>
      </c>
      <c r="E2992" t="inlineStr">
        <is>
          <t>STRÖMSUND</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25365-2024</t>
        </is>
      </c>
      <c r="B2993" s="1" t="n">
        <v>45463</v>
      </c>
      <c r="C2993" s="1" t="n">
        <v>45795</v>
      </c>
      <c r="D2993" t="inlineStr">
        <is>
          <t>JÄMTLANDS LÄN</t>
        </is>
      </c>
      <c r="E2993" t="inlineStr">
        <is>
          <t>STRÖMSUND</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25361-2024</t>
        </is>
      </c>
      <c r="B2994" s="1" t="n">
        <v>45463</v>
      </c>
      <c r="C2994" s="1" t="n">
        <v>45795</v>
      </c>
      <c r="D2994" t="inlineStr">
        <is>
          <t>JÄMTLANDS LÄN</t>
        </is>
      </c>
      <c r="E2994" t="inlineStr">
        <is>
          <t>STRÖMSUND</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25587-2024</t>
        </is>
      </c>
      <c r="B2995" s="1" t="n">
        <v>45463</v>
      </c>
      <c r="C2995" s="1" t="n">
        <v>45795</v>
      </c>
      <c r="D2995" t="inlineStr">
        <is>
          <t>JÄMTLANDS LÄN</t>
        </is>
      </c>
      <c r="E2995" t="inlineStr">
        <is>
          <t>STRÖMSUND</t>
        </is>
      </c>
      <c r="F2995" t="inlineStr">
        <is>
          <t>Holmen skog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25479-2024</t>
        </is>
      </c>
      <c r="B2996" s="1" t="n">
        <v>45463</v>
      </c>
      <c r="C2996" s="1" t="n">
        <v>45795</v>
      </c>
      <c r="D2996" t="inlineStr">
        <is>
          <t>JÄMTLANDS LÄN</t>
        </is>
      </c>
      <c r="E2996" t="inlineStr">
        <is>
          <t>STRÖMSUND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25445-2024</t>
        </is>
      </c>
      <c r="B2997" s="1" t="n">
        <v>45463</v>
      </c>
      <c r="C2997" s="1" t="n">
        <v>45795</v>
      </c>
      <c r="D2997" t="inlineStr">
        <is>
          <t>JÄMTLANDS LÄN</t>
        </is>
      </c>
      <c r="E2997" t="inlineStr">
        <is>
          <t>STRÖMSUND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25999-2024</t>
        </is>
      </c>
      <c r="B2998" s="1" t="n">
        <v>45468</v>
      </c>
      <c r="C2998" s="1" t="n">
        <v>45795</v>
      </c>
      <c r="D2998" t="inlineStr">
        <is>
          <t>JÄMTLANDS LÄN</t>
        </is>
      </c>
      <c r="E2998" t="inlineStr">
        <is>
          <t>STRÖMSUND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26035-2024</t>
        </is>
      </c>
      <c r="B2999" s="1" t="n">
        <v>45468</v>
      </c>
      <c r="C2999" s="1" t="n">
        <v>45795</v>
      </c>
      <c r="D2999" t="inlineStr">
        <is>
          <t>JÄMTLANDS LÄN</t>
        </is>
      </c>
      <c r="E2999" t="inlineStr">
        <is>
          <t>STRÖMSUND</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26036-2024</t>
        </is>
      </c>
      <c r="B3000" s="1" t="n">
        <v>45468</v>
      </c>
      <c r="C3000" s="1" t="n">
        <v>45795</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26033-2024</t>
        </is>
      </c>
      <c r="B3001" s="1" t="n">
        <v>45468</v>
      </c>
      <c r="C3001" s="1" t="n">
        <v>45795</v>
      </c>
      <c r="D3001" t="inlineStr">
        <is>
          <t>JÄMTLANDS LÄN</t>
        </is>
      </c>
      <c r="E3001" t="inlineStr">
        <is>
          <t>STRÖMSUND</t>
        </is>
      </c>
      <c r="F3001" t="inlineStr">
        <is>
          <t>SCA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26037-2024</t>
        </is>
      </c>
      <c r="B3002" s="1" t="n">
        <v>45468</v>
      </c>
      <c r="C3002" s="1" t="n">
        <v>45795</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26301-2024</t>
        </is>
      </c>
      <c r="B3003" s="1" t="n">
        <v>45469</v>
      </c>
      <c r="C3003" s="1" t="n">
        <v>45795</v>
      </c>
      <c r="D3003" t="inlineStr">
        <is>
          <t>JÄMTLANDS LÄN</t>
        </is>
      </c>
      <c r="E3003" t="inlineStr">
        <is>
          <t>STRÖMSUND</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26048-2024</t>
        </is>
      </c>
      <c r="B3004" s="1" t="n">
        <v>45468</v>
      </c>
      <c r="C3004" s="1" t="n">
        <v>45795</v>
      </c>
      <c r="D3004" t="inlineStr">
        <is>
          <t>JÄMTLANDS LÄN</t>
        </is>
      </c>
      <c r="E3004" t="inlineStr">
        <is>
          <t>STRÖMSUND</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26638-2024</t>
        </is>
      </c>
      <c r="B3005" s="1" t="n">
        <v>45470</v>
      </c>
      <c r="C3005" s="1" t="n">
        <v>45795</v>
      </c>
      <c r="D3005" t="inlineStr">
        <is>
          <t>JÄMTLANDS LÄN</t>
        </is>
      </c>
      <c r="E3005" t="inlineStr">
        <is>
          <t>STRÖMSUND</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26635-2024</t>
        </is>
      </c>
      <c r="B3006" s="1" t="n">
        <v>45470</v>
      </c>
      <c r="C3006" s="1" t="n">
        <v>45795</v>
      </c>
      <c r="D3006" t="inlineStr">
        <is>
          <t>JÄMTLANDS LÄN</t>
        </is>
      </c>
      <c r="E3006" t="inlineStr">
        <is>
          <t>STRÖMSUND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26667-2024</t>
        </is>
      </c>
      <c r="B3007" s="1" t="n">
        <v>45470</v>
      </c>
      <c r="C3007" s="1" t="n">
        <v>45795</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26665-2024</t>
        </is>
      </c>
      <c r="B3008" s="1" t="n">
        <v>45470</v>
      </c>
      <c r="C3008" s="1" t="n">
        <v>45795</v>
      </c>
      <c r="D3008" t="inlineStr">
        <is>
          <t>JÄMTLANDS LÄN</t>
        </is>
      </c>
      <c r="E3008" t="inlineStr">
        <is>
          <t>STRÖMSUND</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26663-2024</t>
        </is>
      </c>
      <c r="B3009" s="1" t="n">
        <v>45470</v>
      </c>
      <c r="C3009" s="1" t="n">
        <v>45795</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26650-2024</t>
        </is>
      </c>
      <c r="B3010" s="1" t="n">
        <v>45470</v>
      </c>
      <c r="C3010" s="1" t="n">
        <v>45795</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26666-2024</t>
        </is>
      </c>
      <c r="B3011" s="1" t="n">
        <v>45470</v>
      </c>
      <c r="C3011" s="1" t="n">
        <v>45795</v>
      </c>
      <c r="D3011" t="inlineStr">
        <is>
          <t>JÄMTLANDS LÄN</t>
        </is>
      </c>
      <c r="E3011" t="inlineStr">
        <is>
          <t>STRÖMSUND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26636-2024</t>
        </is>
      </c>
      <c r="B3012" s="1" t="n">
        <v>45470</v>
      </c>
      <c r="C3012" s="1" t="n">
        <v>45795</v>
      </c>
      <c r="D3012" t="inlineStr">
        <is>
          <t>JÄMTLANDS LÄN</t>
        </is>
      </c>
      <c r="E3012" t="inlineStr">
        <is>
          <t>STRÖMSUND</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26664-2024</t>
        </is>
      </c>
      <c r="B3013" s="1" t="n">
        <v>45470</v>
      </c>
      <c r="C3013" s="1" t="n">
        <v>45795</v>
      </c>
      <c r="D3013" t="inlineStr">
        <is>
          <t>JÄMTLANDS LÄN</t>
        </is>
      </c>
      <c r="E3013" t="inlineStr">
        <is>
          <t>STRÖMSUND</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26934-2024</t>
        </is>
      </c>
      <c r="B3014" s="1" t="n">
        <v>45471</v>
      </c>
      <c r="C3014" s="1" t="n">
        <v>45795</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26960-2024</t>
        </is>
      </c>
      <c r="B3015" s="1" t="n">
        <v>45471</v>
      </c>
      <c r="C3015" s="1" t="n">
        <v>45795</v>
      </c>
      <c r="D3015" t="inlineStr">
        <is>
          <t>JÄMTLANDS LÄN</t>
        </is>
      </c>
      <c r="E3015" t="inlineStr">
        <is>
          <t>STRÖMSUND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27121-2024</t>
        </is>
      </c>
      <c r="B3016" s="1" t="n">
        <v>45471</v>
      </c>
      <c r="C3016" s="1" t="n">
        <v>45795</v>
      </c>
      <c r="D3016" t="inlineStr">
        <is>
          <t>JÄMTLANDS LÄN</t>
        </is>
      </c>
      <c r="E3016" t="inlineStr">
        <is>
          <t>STRÖMSUND</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27276-2024</t>
        </is>
      </c>
      <c r="B3017" s="1" t="n">
        <v>45472</v>
      </c>
      <c r="C3017" s="1" t="n">
        <v>45795</v>
      </c>
      <c r="D3017" t="inlineStr">
        <is>
          <t>JÄMTLANDS LÄN</t>
        </is>
      </c>
      <c r="E3017" t="inlineStr">
        <is>
          <t>STRÖMSUND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45472</v>
      </c>
      <c r="C3018" s="1" t="n">
        <v>45795</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27279-2024</t>
        </is>
      </c>
      <c r="B3019" s="1" t="n">
        <v>45472</v>
      </c>
      <c r="C3019" s="1" t="n">
        <v>45795</v>
      </c>
      <c r="D3019" t="inlineStr">
        <is>
          <t>JÄMTLANDS LÄN</t>
        </is>
      </c>
      <c r="E3019" t="inlineStr">
        <is>
          <t>STRÖMSUND</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27323-2024</t>
        </is>
      </c>
      <c r="B3020" s="1" t="n">
        <v>45471</v>
      </c>
      <c r="C3020" s="1" t="n">
        <v>45795</v>
      </c>
      <c r="D3020" t="inlineStr">
        <is>
          <t>JÄMTLANDS LÄN</t>
        </is>
      </c>
      <c r="E3020" t="inlineStr">
        <is>
          <t>STRÖMSUND</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27587-2024</t>
        </is>
      </c>
      <c r="B3021" s="1" t="n">
        <v>45474</v>
      </c>
      <c r="C3021" s="1" t="n">
        <v>45795</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27643-2024</t>
        </is>
      </c>
      <c r="B3022" s="1" t="n">
        <v>45475</v>
      </c>
      <c r="C3022" s="1" t="n">
        <v>45795</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27640-2024</t>
        </is>
      </c>
      <c r="B3023" s="1" t="n">
        <v>45475</v>
      </c>
      <c r="C3023" s="1" t="n">
        <v>45795</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27648-2024</t>
        </is>
      </c>
      <c r="B3024" s="1" t="n">
        <v>45475</v>
      </c>
      <c r="C3024" s="1" t="n">
        <v>45795</v>
      </c>
      <c r="D3024" t="inlineStr">
        <is>
          <t>JÄMTLANDS LÄN</t>
        </is>
      </c>
      <c r="E3024" t="inlineStr">
        <is>
          <t>STRÖMSUND</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27664-2024</t>
        </is>
      </c>
      <c r="B3025" s="1" t="n">
        <v>45475</v>
      </c>
      <c r="C3025" s="1" t="n">
        <v>45795</v>
      </c>
      <c r="D3025" t="inlineStr">
        <is>
          <t>JÄMTLANDS LÄN</t>
        </is>
      </c>
      <c r="E3025" t="inlineStr">
        <is>
          <t>STRÖMSUND</t>
        </is>
      </c>
      <c r="F3025" t="inlineStr">
        <is>
          <t>SCA</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27638-2024</t>
        </is>
      </c>
      <c r="B3026" s="1" t="n">
        <v>45475</v>
      </c>
      <c r="C3026" s="1" t="n">
        <v>45795</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27642-2024</t>
        </is>
      </c>
      <c r="B3027" s="1" t="n">
        <v>45475</v>
      </c>
      <c r="C3027" s="1" t="n">
        <v>45795</v>
      </c>
      <c r="D3027" t="inlineStr">
        <is>
          <t>JÄMTLANDS LÄN</t>
        </is>
      </c>
      <c r="E3027" t="inlineStr">
        <is>
          <t>STRÖMSUND</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27659-2024</t>
        </is>
      </c>
      <c r="B3028" s="1" t="n">
        <v>45475</v>
      </c>
      <c r="C3028" s="1" t="n">
        <v>45795</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27663-2024</t>
        </is>
      </c>
      <c r="B3029" s="1" t="n">
        <v>45475</v>
      </c>
      <c r="C3029" s="1" t="n">
        <v>45795</v>
      </c>
      <c r="D3029" t="inlineStr">
        <is>
          <t>JÄMTLANDS LÄN</t>
        </is>
      </c>
      <c r="E3029" t="inlineStr">
        <is>
          <t>STRÖMSUND</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27637-2024</t>
        </is>
      </c>
      <c r="B3030" s="1" t="n">
        <v>45475</v>
      </c>
      <c r="C3030" s="1" t="n">
        <v>45795</v>
      </c>
      <c r="D3030" t="inlineStr">
        <is>
          <t>JÄMTLANDS LÄN</t>
        </is>
      </c>
      <c r="E3030" t="inlineStr">
        <is>
          <t>STRÖMSUND</t>
        </is>
      </c>
      <c r="F3030" t="inlineStr">
        <is>
          <t>SCA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27649-2024</t>
        </is>
      </c>
      <c r="B3031" s="1" t="n">
        <v>45475</v>
      </c>
      <c r="C3031" s="1" t="n">
        <v>45795</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27665-2024</t>
        </is>
      </c>
      <c r="B3032" s="1" t="n">
        <v>45475</v>
      </c>
      <c r="C3032" s="1" t="n">
        <v>45795</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27898-2024</t>
        </is>
      </c>
      <c r="B3033" s="1" t="n">
        <v>45476</v>
      </c>
      <c r="C3033" s="1" t="n">
        <v>45795</v>
      </c>
      <c r="D3033" t="inlineStr">
        <is>
          <t>JÄMTLANDS LÄN</t>
        </is>
      </c>
      <c r="E3033" t="inlineStr">
        <is>
          <t>STRÖMSUND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27923-2024</t>
        </is>
      </c>
      <c r="B3034" s="1" t="n">
        <v>45476</v>
      </c>
      <c r="C3034" s="1" t="n">
        <v>45795</v>
      </c>
      <c r="D3034" t="inlineStr">
        <is>
          <t>JÄMTLANDS LÄN</t>
        </is>
      </c>
      <c r="E3034" t="inlineStr">
        <is>
          <t>STRÖMSUND</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28174-2024</t>
        </is>
      </c>
      <c r="B3035" s="1" t="n">
        <v>45477</v>
      </c>
      <c r="C3035" s="1" t="n">
        <v>45795</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28510-2024</t>
        </is>
      </c>
      <c r="B3036" s="1" t="n">
        <v>45478</v>
      </c>
      <c r="C3036" s="1" t="n">
        <v>45795</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28443-2024</t>
        </is>
      </c>
      <c r="B3037" s="1" t="n">
        <v>45477</v>
      </c>
      <c r="C3037" s="1" t="n">
        <v>45795</v>
      </c>
      <c r="D3037" t="inlineStr">
        <is>
          <t>JÄMTLANDS LÄN</t>
        </is>
      </c>
      <c r="E3037" t="inlineStr">
        <is>
          <t>STRÖMSUND</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28511-2024</t>
        </is>
      </c>
      <c r="B3038" s="1" t="n">
        <v>45478</v>
      </c>
      <c r="C3038" s="1" t="n">
        <v>45795</v>
      </c>
      <c r="D3038" t="inlineStr">
        <is>
          <t>JÄMTLANDS LÄN</t>
        </is>
      </c>
      <c r="E3038" t="inlineStr">
        <is>
          <t>STRÖMSUND</t>
        </is>
      </c>
      <c r="F3038" t="inlineStr">
        <is>
          <t>SCA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28602-2024</t>
        </is>
      </c>
      <c r="B3039" s="1" t="n">
        <v>45478</v>
      </c>
      <c r="C3039" s="1" t="n">
        <v>45795</v>
      </c>
      <c r="D3039" t="inlineStr">
        <is>
          <t>JÄMTLANDS LÄN</t>
        </is>
      </c>
      <c r="E3039" t="inlineStr">
        <is>
          <t>STRÖMSUND</t>
        </is>
      </c>
      <c r="G3039" t="n">
        <v>18.6</v>
      </c>
      <c r="H3039" t="n">
        <v>0</v>
      </c>
      <c r="I3039" t="n">
        <v>0</v>
      </c>
      <c r="J3039" t="n">
        <v>0</v>
      </c>
      <c r="K3039" t="n">
        <v>0</v>
      </c>
      <c r="L3039" t="n">
        <v>0</v>
      </c>
      <c r="M3039" t="n">
        <v>0</v>
      </c>
      <c r="N3039" t="n">
        <v>0</v>
      </c>
      <c r="O3039" t="n">
        <v>0</v>
      </c>
      <c r="P3039" t="n">
        <v>0</v>
      </c>
      <c r="Q3039" t="n">
        <v>0</v>
      </c>
      <c r="R3039" s="2" t="inlineStr"/>
    </row>
    <row r="3040" ht="15" customHeight="1">
      <c r="A3040" t="inlineStr">
        <is>
          <t>A 28865-2024</t>
        </is>
      </c>
      <c r="B3040" s="1" t="n">
        <v>45479</v>
      </c>
      <c r="C3040" s="1" t="n">
        <v>45795</v>
      </c>
      <c r="D3040" t="inlineStr">
        <is>
          <t>JÄMTLANDS LÄN</t>
        </is>
      </c>
      <c r="E3040" t="inlineStr">
        <is>
          <t>STRÖMSUND</t>
        </is>
      </c>
      <c r="F3040" t="inlineStr">
        <is>
          <t>SCA</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28874-2024</t>
        </is>
      </c>
      <c r="B3041" s="1" t="n">
        <v>45479</v>
      </c>
      <c r="C3041" s="1" t="n">
        <v>45795</v>
      </c>
      <c r="D3041" t="inlineStr">
        <is>
          <t>JÄMTLANDS LÄN</t>
        </is>
      </c>
      <c r="E3041" t="inlineStr">
        <is>
          <t>STRÖMSUND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28878-2024</t>
        </is>
      </c>
      <c r="B3042" s="1" t="n">
        <v>45479</v>
      </c>
      <c r="C3042" s="1" t="n">
        <v>45795</v>
      </c>
      <c r="D3042" t="inlineStr">
        <is>
          <t>JÄMTLANDS LÄN</t>
        </is>
      </c>
      <c r="E3042" t="inlineStr">
        <is>
          <t>STRÖMSUND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28864-2024</t>
        </is>
      </c>
      <c r="B3043" s="1" t="n">
        <v>45479</v>
      </c>
      <c r="C3043" s="1" t="n">
        <v>45795</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29113-2024</t>
        </is>
      </c>
      <c r="B3044" s="1" t="n">
        <v>45482</v>
      </c>
      <c r="C3044" s="1" t="n">
        <v>45795</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29096-2024</t>
        </is>
      </c>
      <c r="B3045" s="1" t="n">
        <v>45482</v>
      </c>
      <c r="C3045" s="1" t="n">
        <v>45795</v>
      </c>
      <c r="D3045" t="inlineStr">
        <is>
          <t>JÄMTLANDS LÄN</t>
        </is>
      </c>
      <c r="E3045" t="inlineStr">
        <is>
          <t>STRÖMSUND</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29091-2024</t>
        </is>
      </c>
      <c r="B3046" s="1" t="n">
        <v>45482</v>
      </c>
      <c r="C3046" s="1" t="n">
        <v>45795</v>
      </c>
      <c r="D3046" t="inlineStr">
        <is>
          <t>JÄMTLANDS LÄN</t>
        </is>
      </c>
      <c r="E3046" t="inlineStr">
        <is>
          <t>STRÖMSUND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29107-2024</t>
        </is>
      </c>
      <c r="B3047" s="1" t="n">
        <v>45482</v>
      </c>
      <c r="C3047" s="1" t="n">
        <v>45795</v>
      </c>
      <c r="D3047" t="inlineStr">
        <is>
          <t>JÄMTLANDS LÄN</t>
        </is>
      </c>
      <c r="E3047" t="inlineStr">
        <is>
          <t>STRÖMSUND</t>
        </is>
      </c>
      <c r="F3047" t="inlineStr">
        <is>
          <t>SCA</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29098-2024</t>
        </is>
      </c>
      <c r="B3048" s="1" t="n">
        <v>45482</v>
      </c>
      <c r="C3048" s="1" t="n">
        <v>45795</v>
      </c>
      <c r="D3048" t="inlineStr">
        <is>
          <t>JÄMTLANDS LÄN</t>
        </is>
      </c>
      <c r="E3048" t="inlineStr">
        <is>
          <t>STRÖMSUND</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29097-2024</t>
        </is>
      </c>
      <c r="B3049" s="1" t="n">
        <v>45482</v>
      </c>
      <c r="C3049" s="1" t="n">
        <v>45795</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29221-2024</t>
        </is>
      </c>
      <c r="B3050" s="1" t="n">
        <v>45482</v>
      </c>
      <c r="C3050" s="1" t="n">
        <v>45795</v>
      </c>
      <c r="D3050" t="inlineStr">
        <is>
          <t>JÄMTLANDS LÄN</t>
        </is>
      </c>
      <c r="E3050" t="inlineStr">
        <is>
          <t>STRÖMSUND</t>
        </is>
      </c>
      <c r="G3050" t="n">
        <v>39.4</v>
      </c>
      <c r="H3050" t="n">
        <v>0</v>
      </c>
      <c r="I3050" t="n">
        <v>0</v>
      </c>
      <c r="J3050" t="n">
        <v>0</v>
      </c>
      <c r="K3050" t="n">
        <v>0</v>
      </c>
      <c r="L3050" t="n">
        <v>0</v>
      </c>
      <c r="M3050" t="n">
        <v>0</v>
      </c>
      <c r="N3050" t="n">
        <v>0</v>
      </c>
      <c r="O3050" t="n">
        <v>0</v>
      </c>
      <c r="P3050" t="n">
        <v>0</v>
      </c>
      <c r="Q3050" t="n">
        <v>0</v>
      </c>
      <c r="R3050" s="2" t="inlineStr"/>
    </row>
    <row r="3051" ht="15" customHeight="1">
      <c r="A3051" t="inlineStr">
        <is>
          <t>A 29274-2024</t>
        </is>
      </c>
      <c r="B3051" s="1" t="n">
        <v>45483</v>
      </c>
      <c r="C3051" s="1" t="n">
        <v>45795</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29242-2024</t>
        </is>
      </c>
      <c r="B3052" s="1" t="n">
        <v>45483</v>
      </c>
      <c r="C3052" s="1" t="n">
        <v>45795</v>
      </c>
      <c r="D3052" t="inlineStr">
        <is>
          <t>JÄMTLANDS LÄN</t>
        </is>
      </c>
      <c r="E3052" t="inlineStr">
        <is>
          <t>STRÖMSUND</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29171-2024</t>
        </is>
      </c>
      <c r="B3053" s="1" t="n">
        <v>45482</v>
      </c>
      <c r="C3053" s="1" t="n">
        <v>45795</v>
      </c>
      <c r="D3053" t="inlineStr">
        <is>
          <t>JÄMTLANDS LÄN</t>
        </is>
      </c>
      <c r="E3053" t="inlineStr">
        <is>
          <t>STRÖMSUND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29266-2024</t>
        </is>
      </c>
      <c r="B3054" s="1" t="n">
        <v>45483</v>
      </c>
      <c r="C3054" s="1" t="n">
        <v>45795</v>
      </c>
      <c r="D3054" t="inlineStr">
        <is>
          <t>JÄMTLANDS LÄN</t>
        </is>
      </c>
      <c r="E3054" t="inlineStr">
        <is>
          <t>STRÖMSUND</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29243-2024</t>
        </is>
      </c>
      <c r="B3055" s="1" t="n">
        <v>45483</v>
      </c>
      <c r="C3055" s="1" t="n">
        <v>45795</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29273-2024</t>
        </is>
      </c>
      <c r="B3056" s="1" t="n">
        <v>45483</v>
      </c>
      <c r="C3056" s="1" t="n">
        <v>45795</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29413-2024</t>
        </is>
      </c>
      <c r="B3057" s="1" t="n">
        <v>45483</v>
      </c>
      <c r="C3057" s="1" t="n">
        <v>45795</v>
      </c>
      <c r="D3057" t="inlineStr">
        <is>
          <t>JÄMTLANDS LÄN</t>
        </is>
      </c>
      <c r="E3057" t="inlineStr">
        <is>
          <t>STRÖMSUND</t>
        </is>
      </c>
      <c r="G3057" t="n">
        <v>18.1</v>
      </c>
      <c r="H3057" t="n">
        <v>0</v>
      </c>
      <c r="I3057" t="n">
        <v>0</v>
      </c>
      <c r="J3057" t="n">
        <v>0</v>
      </c>
      <c r="K3057" t="n">
        <v>0</v>
      </c>
      <c r="L3057" t="n">
        <v>0</v>
      </c>
      <c r="M3057" t="n">
        <v>0</v>
      </c>
      <c r="N3057" t="n">
        <v>0</v>
      </c>
      <c r="O3057" t="n">
        <v>0</v>
      </c>
      <c r="P3057" t="n">
        <v>0</v>
      </c>
      <c r="Q3057" t="n">
        <v>0</v>
      </c>
      <c r="R3057" s="2" t="inlineStr"/>
    </row>
    <row r="3058" ht="15" customHeight="1">
      <c r="A3058" t="inlineStr">
        <is>
          <t>A 29669-2024</t>
        </is>
      </c>
      <c r="B3058" s="1" t="n">
        <v>45485</v>
      </c>
      <c r="C3058" s="1" t="n">
        <v>45795</v>
      </c>
      <c r="D3058" t="inlineStr">
        <is>
          <t>JÄMTLANDS LÄN</t>
        </is>
      </c>
      <c r="E3058" t="inlineStr">
        <is>
          <t>STRÖMSUND</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29671-2024</t>
        </is>
      </c>
      <c r="B3059" s="1" t="n">
        <v>45485</v>
      </c>
      <c r="C3059" s="1" t="n">
        <v>45795</v>
      </c>
      <c r="D3059" t="inlineStr">
        <is>
          <t>JÄMTLANDS LÄN</t>
        </is>
      </c>
      <c r="E3059" t="inlineStr">
        <is>
          <t>STRÖMSUND</t>
        </is>
      </c>
      <c r="F3059" t="inlineStr">
        <is>
          <t>SCA</t>
        </is>
      </c>
      <c r="G3059" t="n">
        <v>42.3</v>
      </c>
      <c r="H3059" t="n">
        <v>0</v>
      </c>
      <c r="I3059" t="n">
        <v>0</v>
      </c>
      <c r="J3059" t="n">
        <v>0</v>
      </c>
      <c r="K3059" t="n">
        <v>0</v>
      </c>
      <c r="L3059" t="n">
        <v>0</v>
      </c>
      <c r="M3059" t="n">
        <v>0</v>
      </c>
      <c r="N3059" t="n">
        <v>0</v>
      </c>
      <c r="O3059" t="n">
        <v>0</v>
      </c>
      <c r="P3059" t="n">
        <v>0</v>
      </c>
      <c r="Q3059" t="n">
        <v>0</v>
      </c>
      <c r="R3059" s="2" t="inlineStr"/>
    </row>
    <row r="3060" ht="15" customHeight="1">
      <c r="A3060" t="inlineStr">
        <is>
          <t>A 29670-2024</t>
        </is>
      </c>
      <c r="B3060" s="1" t="n">
        <v>45485</v>
      </c>
      <c r="C3060" s="1" t="n">
        <v>45795</v>
      </c>
      <c r="D3060" t="inlineStr">
        <is>
          <t>JÄMTLANDS LÄN</t>
        </is>
      </c>
      <c r="E3060" t="inlineStr">
        <is>
          <t>STRÖMSUND</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29668-2024</t>
        </is>
      </c>
      <c r="B3061" s="1" t="n">
        <v>45485</v>
      </c>
      <c r="C3061" s="1" t="n">
        <v>45795</v>
      </c>
      <c r="D3061" t="inlineStr">
        <is>
          <t>JÄMTLANDS LÄN</t>
        </is>
      </c>
      <c r="E3061" t="inlineStr">
        <is>
          <t>STRÖMSUND</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29487-2024</t>
        </is>
      </c>
      <c r="B3062" s="1" t="n">
        <v>45484</v>
      </c>
      <c r="C3062" s="1" t="n">
        <v>45795</v>
      </c>
      <c r="D3062" t="inlineStr">
        <is>
          <t>JÄMTLANDS LÄN</t>
        </is>
      </c>
      <c r="E3062" t="inlineStr">
        <is>
          <t>STRÖMSUND</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29586-2024</t>
        </is>
      </c>
      <c r="B3063" s="1" t="n">
        <v>45484</v>
      </c>
      <c r="C3063" s="1" t="n">
        <v>45795</v>
      </c>
      <c r="D3063" t="inlineStr">
        <is>
          <t>JÄMTLANDS LÄN</t>
        </is>
      </c>
      <c r="E3063" t="inlineStr">
        <is>
          <t>STRÖMSUND</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29875-2024</t>
        </is>
      </c>
      <c r="B3064" s="1" t="n">
        <v>45486</v>
      </c>
      <c r="C3064" s="1" t="n">
        <v>45795</v>
      </c>
      <c r="D3064" t="inlineStr">
        <is>
          <t>JÄMTLANDS LÄN</t>
        </is>
      </c>
      <c r="E3064" t="inlineStr">
        <is>
          <t>STRÖMSUND</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30062-2024</t>
        </is>
      </c>
      <c r="B3065" s="1" t="n">
        <v>45489</v>
      </c>
      <c r="C3065" s="1" t="n">
        <v>45795</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30064-2024</t>
        </is>
      </c>
      <c r="B3066" s="1" t="n">
        <v>45489</v>
      </c>
      <c r="C3066" s="1" t="n">
        <v>45795</v>
      </c>
      <c r="D3066" t="inlineStr">
        <is>
          <t>JÄMTLANDS LÄN</t>
        </is>
      </c>
      <c r="E3066" t="inlineStr">
        <is>
          <t>STRÖMSUND</t>
        </is>
      </c>
      <c r="F3066" t="inlineStr">
        <is>
          <t>SCA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30354-2024</t>
        </is>
      </c>
      <c r="B3067" s="1" t="n">
        <v>45491</v>
      </c>
      <c r="C3067" s="1" t="n">
        <v>45795</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30330-2024</t>
        </is>
      </c>
      <c r="B3068" s="1" t="n">
        <v>45491</v>
      </c>
      <c r="C3068" s="1" t="n">
        <v>45795</v>
      </c>
      <c r="D3068" t="inlineStr">
        <is>
          <t>JÄMTLANDS LÄN</t>
        </is>
      </c>
      <c r="E3068" t="inlineStr">
        <is>
          <t>STRÖMSUND</t>
        </is>
      </c>
      <c r="F3068" t="inlineStr">
        <is>
          <t>SCA</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30352-2024</t>
        </is>
      </c>
      <c r="B3069" s="1" t="n">
        <v>45491</v>
      </c>
      <c r="C3069" s="1" t="n">
        <v>45795</v>
      </c>
      <c r="D3069" t="inlineStr">
        <is>
          <t>JÄMTLANDS LÄN</t>
        </is>
      </c>
      <c r="E3069" t="inlineStr">
        <is>
          <t>STRÖMSUND</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30376-2024</t>
        </is>
      </c>
      <c r="B3070" s="1" t="n">
        <v>45491</v>
      </c>
      <c r="C3070" s="1" t="n">
        <v>45795</v>
      </c>
      <c r="D3070" t="inlineStr">
        <is>
          <t>JÄMTLANDS LÄN</t>
        </is>
      </c>
      <c r="E3070" t="inlineStr">
        <is>
          <t>STRÖMSUND</t>
        </is>
      </c>
      <c r="F3070" t="inlineStr">
        <is>
          <t>Sveaskog</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30375-2024</t>
        </is>
      </c>
      <c r="B3071" s="1" t="n">
        <v>45491</v>
      </c>
      <c r="C3071" s="1" t="n">
        <v>45795</v>
      </c>
      <c r="D3071" t="inlineStr">
        <is>
          <t>JÄMTLANDS LÄN</t>
        </is>
      </c>
      <c r="E3071" t="inlineStr">
        <is>
          <t>STRÖMSUND</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30374-2024</t>
        </is>
      </c>
      <c r="B3072" s="1" t="n">
        <v>45491</v>
      </c>
      <c r="C3072" s="1" t="n">
        <v>45795</v>
      </c>
      <c r="D3072" t="inlineStr">
        <is>
          <t>JÄMTLANDS LÄN</t>
        </is>
      </c>
      <c r="E3072" t="inlineStr">
        <is>
          <t>STRÖMSUND</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30371-2024</t>
        </is>
      </c>
      <c r="B3073" s="1" t="n">
        <v>45491</v>
      </c>
      <c r="C3073" s="1" t="n">
        <v>45795</v>
      </c>
      <c r="D3073" t="inlineStr">
        <is>
          <t>JÄMTLANDS LÄN</t>
        </is>
      </c>
      <c r="E3073" t="inlineStr">
        <is>
          <t>STRÖMSUND</t>
        </is>
      </c>
      <c r="F3073" t="inlineStr">
        <is>
          <t>Sveaskog</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30585-2024</t>
        </is>
      </c>
      <c r="B3074" s="1" t="n">
        <v>45493</v>
      </c>
      <c r="C3074" s="1" t="n">
        <v>45795</v>
      </c>
      <c r="D3074" t="inlineStr">
        <is>
          <t>JÄMTLANDS LÄN</t>
        </is>
      </c>
      <c r="E3074" t="inlineStr">
        <is>
          <t>STRÖMSUND</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30586-2024</t>
        </is>
      </c>
      <c r="B3075" s="1" t="n">
        <v>45493</v>
      </c>
      <c r="C3075" s="1" t="n">
        <v>45795</v>
      </c>
      <c r="D3075" t="inlineStr">
        <is>
          <t>JÄMTLANDS LÄN</t>
        </is>
      </c>
      <c r="E3075" t="inlineStr">
        <is>
          <t>STRÖMSUND</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30809-2024</t>
        </is>
      </c>
      <c r="B3076" s="1" t="n">
        <v>45497</v>
      </c>
      <c r="C3076" s="1" t="n">
        <v>45795</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31489-2024</t>
        </is>
      </c>
      <c r="B3077" s="1" t="n">
        <v>45506</v>
      </c>
      <c r="C3077" s="1" t="n">
        <v>45795</v>
      </c>
      <c r="D3077" t="inlineStr">
        <is>
          <t>JÄMTLANDS LÄN</t>
        </is>
      </c>
      <c r="E3077" t="inlineStr">
        <is>
          <t>STRÖMSUND</t>
        </is>
      </c>
      <c r="F3077" t="inlineStr">
        <is>
          <t>SCA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31538-2024</t>
        </is>
      </c>
      <c r="B3078" s="1" t="n">
        <v>45506</v>
      </c>
      <c r="C3078" s="1" t="n">
        <v>45795</v>
      </c>
      <c r="D3078" t="inlineStr">
        <is>
          <t>JÄMTLANDS LÄN</t>
        </is>
      </c>
      <c r="E3078" t="inlineStr">
        <is>
          <t>STRÖMSUND</t>
        </is>
      </c>
      <c r="F3078" t="inlineStr">
        <is>
          <t>SCA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31565-2024</t>
        </is>
      </c>
      <c r="B3079" s="1" t="n">
        <v>45506</v>
      </c>
      <c r="C3079" s="1" t="n">
        <v>45795</v>
      </c>
      <c r="D3079" t="inlineStr">
        <is>
          <t>JÄMTLANDS LÄN</t>
        </is>
      </c>
      <c r="E3079" t="inlineStr">
        <is>
          <t>STRÖMSUND</t>
        </is>
      </c>
      <c r="F3079" t="inlineStr">
        <is>
          <t>SCA</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31514-2024</t>
        </is>
      </c>
      <c r="B3080" s="1" t="n">
        <v>45506</v>
      </c>
      <c r="C3080" s="1" t="n">
        <v>45795</v>
      </c>
      <c r="D3080" t="inlineStr">
        <is>
          <t>JÄMTLANDS LÄN</t>
        </is>
      </c>
      <c r="E3080" t="inlineStr">
        <is>
          <t>STRÖMSUND</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31675-2024</t>
        </is>
      </c>
      <c r="B3081" s="1" t="n">
        <v>45507</v>
      </c>
      <c r="C3081" s="1" t="n">
        <v>45795</v>
      </c>
      <c r="D3081" t="inlineStr">
        <is>
          <t>JÄMTLANDS LÄN</t>
        </is>
      </c>
      <c r="E3081" t="inlineStr">
        <is>
          <t>STRÖMSUND</t>
        </is>
      </c>
      <c r="F3081" t="inlineStr">
        <is>
          <t>SCA</t>
        </is>
      </c>
      <c r="G3081" t="n">
        <v>12.4</v>
      </c>
      <c r="H3081" t="n">
        <v>0</v>
      </c>
      <c r="I3081" t="n">
        <v>0</v>
      </c>
      <c r="J3081" t="n">
        <v>0</v>
      </c>
      <c r="K3081" t="n">
        <v>0</v>
      </c>
      <c r="L3081" t="n">
        <v>0</v>
      </c>
      <c r="M3081" t="n">
        <v>0</v>
      </c>
      <c r="N3081" t="n">
        <v>0</v>
      </c>
      <c r="O3081" t="n">
        <v>0</v>
      </c>
      <c r="P3081" t="n">
        <v>0</v>
      </c>
      <c r="Q3081" t="n">
        <v>0</v>
      </c>
      <c r="R3081" s="2" t="inlineStr"/>
    </row>
    <row r="3082" ht="15" customHeight="1">
      <c r="A3082" t="inlineStr">
        <is>
          <t>A 31606-2024</t>
        </is>
      </c>
      <c r="B3082" s="1" t="n">
        <v>45506</v>
      </c>
      <c r="C3082" s="1" t="n">
        <v>45795</v>
      </c>
      <c r="D3082" t="inlineStr">
        <is>
          <t>JÄMTLANDS LÄN</t>
        </is>
      </c>
      <c r="E3082" t="inlineStr">
        <is>
          <t>STRÖMSUND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31685-2024</t>
        </is>
      </c>
      <c r="B3083" s="1" t="n">
        <v>45507</v>
      </c>
      <c r="C3083" s="1" t="n">
        <v>45795</v>
      </c>
      <c r="D3083" t="inlineStr">
        <is>
          <t>JÄMTLANDS LÄN</t>
        </is>
      </c>
      <c r="E3083" t="inlineStr">
        <is>
          <t>STRÖMSUND</t>
        </is>
      </c>
      <c r="F3083" t="inlineStr">
        <is>
          <t>SCA</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31710-2024</t>
        </is>
      </c>
      <c r="B3084" s="1" t="n">
        <v>45509</v>
      </c>
      <c r="C3084" s="1" t="n">
        <v>45795</v>
      </c>
      <c r="D3084" t="inlineStr">
        <is>
          <t>JÄMTLANDS LÄN</t>
        </is>
      </c>
      <c r="E3084" t="inlineStr">
        <is>
          <t>STRÖMSUND</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31741-2024</t>
        </is>
      </c>
      <c r="B3085" s="1" t="n">
        <v>45509</v>
      </c>
      <c r="C3085" s="1" t="n">
        <v>45795</v>
      </c>
      <c r="D3085" t="inlineStr">
        <is>
          <t>JÄMTLANDS LÄN</t>
        </is>
      </c>
      <c r="E3085" t="inlineStr">
        <is>
          <t>STRÖMSUND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31898-2024</t>
        </is>
      </c>
      <c r="B3086" s="1" t="n">
        <v>45510</v>
      </c>
      <c r="C3086" s="1" t="n">
        <v>45795</v>
      </c>
      <c r="D3086" t="inlineStr">
        <is>
          <t>JÄMTLANDS LÄN</t>
        </is>
      </c>
      <c r="E3086" t="inlineStr">
        <is>
          <t>STRÖMSUND</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32066-2024</t>
        </is>
      </c>
      <c r="B3087" s="1" t="n">
        <v>45511</v>
      </c>
      <c r="C3087" s="1" t="n">
        <v>45795</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32107-2024</t>
        </is>
      </c>
      <c r="B3088" s="1" t="n">
        <v>45511</v>
      </c>
      <c r="C3088" s="1" t="n">
        <v>45795</v>
      </c>
      <c r="D3088" t="inlineStr">
        <is>
          <t>JÄMTLANDS LÄN</t>
        </is>
      </c>
      <c r="E3088" t="inlineStr">
        <is>
          <t>STRÖMSUND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32254-2024</t>
        </is>
      </c>
      <c r="B3089" s="1" t="n">
        <v>45512</v>
      </c>
      <c r="C3089" s="1" t="n">
        <v>45795</v>
      </c>
      <c r="D3089" t="inlineStr">
        <is>
          <t>JÄMTLANDS LÄN</t>
        </is>
      </c>
      <c r="E3089" t="inlineStr">
        <is>
          <t>STRÖMSUND</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32261-2024</t>
        </is>
      </c>
      <c r="B3090" s="1" t="n">
        <v>45512</v>
      </c>
      <c r="C3090" s="1" t="n">
        <v>45795</v>
      </c>
      <c r="D3090" t="inlineStr">
        <is>
          <t>JÄMTLANDS LÄN</t>
        </is>
      </c>
      <c r="E3090" t="inlineStr">
        <is>
          <t>STRÖMSUND</t>
        </is>
      </c>
      <c r="F3090" t="inlineStr">
        <is>
          <t>SCA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32358-2024</t>
        </is>
      </c>
      <c r="B3091" s="1" t="n">
        <v>45512</v>
      </c>
      <c r="C3091" s="1" t="n">
        <v>45795</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32443-2024</t>
        </is>
      </c>
      <c r="B3092" s="1" t="n">
        <v>45513</v>
      </c>
      <c r="C3092" s="1" t="n">
        <v>45795</v>
      </c>
      <c r="D3092" t="inlineStr">
        <is>
          <t>JÄMTLANDS LÄN</t>
        </is>
      </c>
      <c r="E3092" t="inlineStr">
        <is>
          <t>STRÖMSUND</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32451-2024</t>
        </is>
      </c>
      <c r="B3093" s="1" t="n">
        <v>45513</v>
      </c>
      <c r="C3093" s="1" t="n">
        <v>45795</v>
      </c>
      <c r="D3093" t="inlineStr">
        <is>
          <t>JÄMTLANDS LÄN</t>
        </is>
      </c>
      <c r="E3093" t="inlineStr">
        <is>
          <t>STRÖMSUND</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32444-2024</t>
        </is>
      </c>
      <c r="B3094" s="1" t="n">
        <v>45513</v>
      </c>
      <c r="C3094" s="1" t="n">
        <v>45795</v>
      </c>
      <c r="D3094" t="inlineStr">
        <is>
          <t>JÄMTLANDS LÄN</t>
        </is>
      </c>
      <c r="E3094" t="inlineStr">
        <is>
          <t>STRÖMSUND</t>
        </is>
      </c>
      <c r="F3094" t="inlineStr">
        <is>
          <t>SCA</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32452-2024</t>
        </is>
      </c>
      <c r="B3095" s="1" t="n">
        <v>45513</v>
      </c>
      <c r="C3095" s="1" t="n">
        <v>45795</v>
      </c>
      <c r="D3095" t="inlineStr">
        <is>
          <t>JÄMTLANDS LÄN</t>
        </is>
      </c>
      <c r="E3095" t="inlineStr">
        <is>
          <t>STRÖMSUND</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32396-2024</t>
        </is>
      </c>
      <c r="B3096" s="1" t="n">
        <v>45512</v>
      </c>
      <c r="C3096" s="1" t="n">
        <v>45795</v>
      </c>
      <c r="D3096" t="inlineStr">
        <is>
          <t>JÄMTLANDS LÄN</t>
        </is>
      </c>
      <c r="E3096" t="inlineStr">
        <is>
          <t>STRÖMSUND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32324-2024</t>
        </is>
      </c>
      <c r="B3097" s="1" t="n">
        <v>45512</v>
      </c>
      <c r="C3097" s="1" t="n">
        <v>45795</v>
      </c>
      <c r="D3097" t="inlineStr">
        <is>
          <t>JÄMTLANDS LÄN</t>
        </is>
      </c>
      <c r="E3097" t="inlineStr">
        <is>
          <t>STRÖMSUND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32453-2024</t>
        </is>
      </c>
      <c r="B3098" s="1" t="n">
        <v>45512</v>
      </c>
      <c r="C3098" s="1" t="n">
        <v>45795</v>
      </c>
      <c r="D3098" t="inlineStr">
        <is>
          <t>JÄMTLANDS LÄN</t>
        </is>
      </c>
      <c r="E3098" t="inlineStr">
        <is>
          <t>STRÖMSUND</t>
        </is>
      </c>
      <c r="F3098" t="inlineStr">
        <is>
          <t>SCA</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32650-2024</t>
        </is>
      </c>
      <c r="B3099" s="1" t="n">
        <v>45514</v>
      </c>
      <c r="C3099" s="1" t="n">
        <v>45795</v>
      </c>
      <c r="D3099" t="inlineStr">
        <is>
          <t>JÄMTLANDS LÄN</t>
        </is>
      </c>
      <c r="E3099" t="inlineStr">
        <is>
          <t>STRÖMSUND</t>
        </is>
      </c>
      <c r="F3099" t="inlineStr">
        <is>
          <t>SCA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32673-2024</t>
        </is>
      </c>
      <c r="B3100" s="1" t="n">
        <v>45514</v>
      </c>
      <c r="C3100" s="1" t="n">
        <v>45795</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32674-2024</t>
        </is>
      </c>
      <c r="B3101" s="1" t="n">
        <v>45514</v>
      </c>
      <c r="C3101" s="1" t="n">
        <v>45795</v>
      </c>
      <c r="D3101" t="inlineStr">
        <is>
          <t>JÄMTLANDS LÄN</t>
        </is>
      </c>
      <c r="E3101" t="inlineStr">
        <is>
          <t>STRÖMSUND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32672-2024</t>
        </is>
      </c>
      <c r="B3102" s="1" t="n">
        <v>45514</v>
      </c>
      <c r="C3102" s="1" t="n">
        <v>45795</v>
      </c>
      <c r="D3102" t="inlineStr">
        <is>
          <t>JÄMTLANDS LÄN</t>
        </is>
      </c>
      <c r="E3102" t="inlineStr">
        <is>
          <t>STRÖMSUND</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32803-2024</t>
        </is>
      </c>
      <c r="B3103" s="1" t="n">
        <v>45516</v>
      </c>
      <c r="C3103" s="1" t="n">
        <v>45795</v>
      </c>
      <c r="D3103" t="inlineStr">
        <is>
          <t>JÄMTLANDS LÄN</t>
        </is>
      </c>
      <c r="E3103" t="inlineStr">
        <is>
          <t>STRÖMSUND</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32900-2024</t>
        </is>
      </c>
      <c r="B3104" s="1" t="n">
        <v>45517</v>
      </c>
      <c r="C3104" s="1" t="n">
        <v>45795</v>
      </c>
      <c r="D3104" t="inlineStr">
        <is>
          <t>JÄMTLANDS LÄN</t>
        </is>
      </c>
      <c r="E3104" t="inlineStr">
        <is>
          <t>STRÖMSUND</t>
        </is>
      </c>
      <c r="F3104" t="inlineStr">
        <is>
          <t>SCA</t>
        </is>
      </c>
      <c r="G3104" t="n">
        <v>16.6</v>
      </c>
      <c r="H3104" t="n">
        <v>0</v>
      </c>
      <c r="I3104" t="n">
        <v>0</v>
      </c>
      <c r="J3104" t="n">
        <v>0</v>
      </c>
      <c r="K3104" t="n">
        <v>0</v>
      </c>
      <c r="L3104" t="n">
        <v>0</v>
      </c>
      <c r="M3104" t="n">
        <v>0</v>
      </c>
      <c r="N3104" t="n">
        <v>0</v>
      </c>
      <c r="O3104" t="n">
        <v>0</v>
      </c>
      <c r="P3104" t="n">
        <v>0</v>
      </c>
      <c r="Q3104" t="n">
        <v>0</v>
      </c>
      <c r="R3104" s="2" t="inlineStr"/>
    </row>
    <row r="3105" ht="15" customHeight="1">
      <c r="A3105" t="inlineStr">
        <is>
          <t>A 32907-2024</t>
        </is>
      </c>
      <c r="B3105" s="1" t="n">
        <v>45517</v>
      </c>
      <c r="C3105" s="1" t="n">
        <v>45795</v>
      </c>
      <c r="D3105" t="inlineStr">
        <is>
          <t>JÄMTLANDS LÄN</t>
        </is>
      </c>
      <c r="E3105" t="inlineStr">
        <is>
          <t>STRÖMSUND</t>
        </is>
      </c>
      <c r="F3105" t="inlineStr">
        <is>
          <t>SCA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32983-2024</t>
        </is>
      </c>
      <c r="B3106" s="1" t="n">
        <v>45517</v>
      </c>
      <c r="C3106" s="1" t="n">
        <v>45795</v>
      </c>
      <c r="D3106" t="inlineStr">
        <is>
          <t>JÄMTLANDS LÄN</t>
        </is>
      </c>
      <c r="E3106" t="inlineStr">
        <is>
          <t>STRÖMSUND</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33122-2024</t>
        </is>
      </c>
      <c r="B3107" s="1" t="n">
        <v>45518</v>
      </c>
      <c r="C3107" s="1" t="n">
        <v>45795</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33127-2024</t>
        </is>
      </c>
      <c r="B3108" s="1" t="n">
        <v>45518</v>
      </c>
      <c r="C3108" s="1" t="n">
        <v>45795</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33311-2024</t>
        </is>
      </c>
      <c r="B3109" s="1" t="n">
        <v>45518</v>
      </c>
      <c r="C3109" s="1" t="n">
        <v>45795</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33299-2024</t>
        </is>
      </c>
      <c r="B3110" s="1" t="n">
        <v>45519</v>
      </c>
      <c r="C3110" s="1" t="n">
        <v>45795</v>
      </c>
      <c r="D3110" t="inlineStr">
        <is>
          <t>JÄMTLANDS LÄN</t>
        </is>
      </c>
      <c r="E3110" t="inlineStr">
        <is>
          <t>STRÖMSUND</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33238-2024</t>
        </is>
      </c>
      <c r="B3111" s="1" t="n">
        <v>45518</v>
      </c>
      <c r="C3111" s="1" t="n">
        <v>45795</v>
      </c>
      <c r="D3111" t="inlineStr">
        <is>
          <t>JÄMTLANDS LÄN</t>
        </is>
      </c>
      <c r="E3111" t="inlineStr">
        <is>
          <t>STRÖMSUND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33584-2024</t>
        </is>
      </c>
      <c r="B3112" s="1" t="n">
        <v>45520</v>
      </c>
      <c r="C3112" s="1" t="n">
        <v>45795</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34179-2024</t>
        </is>
      </c>
      <c r="B3113" s="1" t="n">
        <v>45524</v>
      </c>
      <c r="C3113" s="1" t="n">
        <v>45795</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34290-2024</t>
        </is>
      </c>
      <c r="B3114" s="1" t="n">
        <v>45524</v>
      </c>
      <c r="C3114" s="1" t="n">
        <v>45795</v>
      </c>
      <c r="D3114" t="inlineStr">
        <is>
          <t>JÄMTLANDS LÄN</t>
        </is>
      </c>
      <c r="E3114" t="inlineStr">
        <is>
          <t>STRÖMSUND</t>
        </is>
      </c>
      <c r="F3114" t="inlineStr">
        <is>
          <t>Sveaskog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34227-2024</t>
        </is>
      </c>
      <c r="B3115" s="1" t="n">
        <v>45524</v>
      </c>
      <c r="C3115" s="1" t="n">
        <v>45795</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34343-2024</t>
        </is>
      </c>
      <c r="B3116" s="1" t="n">
        <v>45525</v>
      </c>
      <c r="C3116" s="1" t="n">
        <v>45795</v>
      </c>
      <c r="D3116" t="inlineStr">
        <is>
          <t>JÄMTLANDS LÄN</t>
        </is>
      </c>
      <c r="E3116" t="inlineStr">
        <is>
          <t>STRÖMSUND</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34344-2024</t>
        </is>
      </c>
      <c r="B3117" s="1" t="n">
        <v>45525</v>
      </c>
      <c r="C3117" s="1" t="n">
        <v>45795</v>
      </c>
      <c r="D3117" t="inlineStr">
        <is>
          <t>JÄMTLANDS LÄN</t>
        </is>
      </c>
      <c r="E3117" t="inlineStr">
        <is>
          <t>STRÖMSUND</t>
        </is>
      </c>
      <c r="F3117" t="inlineStr">
        <is>
          <t>Holmen skog AB</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34716-2024</t>
        </is>
      </c>
      <c r="B3118" s="1" t="n">
        <v>45526</v>
      </c>
      <c r="C3118" s="1" t="n">
        <v>45795</v>
      </c>
      <c r="D3118" t="inlineStr">
        <is>
          <t>JÄMTLANDS LÄN</t>
        </is>
      </c>
      <c r="E3118" t="inlineStr">
        <is>
          <t>STRÖMSUND</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34817-2024</t>
        </is>
      </c>
      <c r="B3119" s="1" t="n">
        <v>45526</v>
      </c>
      <c r="C3119" s="1" t="n">
        <v>45795</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34818-2024</t>
        </is>
      </c>
      <c r="B3120" s="1" t="n">
        <v>45526</v>
      </c>
      <c r="C3120" s="1" t="n">
        <v>45795</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34723-2024</t>
        </is>
      </c>
      <c r="B3121" s="1" t="n">
        <v>45526</v>
      </c>
      <c r="C3121" s="1" t="n">
        <v>45795</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35244-2024</t>
        </is>
      </c>
      <c r="B3122" s="1" t="n">
        <v>45530</v>
      </c>
      <c r="C3122" s="1" t="n">
        <v>45795</v>
      </c>
      <c r="D3122" t="inlineStr">
        <is>
          <t>JÄMTLANDS LÄN</t>
        </is>
      </c>
      <c r="E3122" t="inlineStr">
        <is>
          <t>STRÖMSUND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35178-2024</t>
        </is>
      </c>
      <c r="B3123" s="1" t="n">
        <v>45530</v>
      </c>
      <c r="C3123" s="1" t="n">
        <v>45795</v>
      </c>
      <c r="D3123" t="inlineStr">
        <is>
          <t>JÄMTLANDS LÄN</t>
        </is>
      </c>
      <c r="E3123" t="inlineStr">
        <is>
          <t>STRÖMSUND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35185-2024</t>
        </is>
      </c>
      <c r="B3124" s="1" t="n">
        <v>45530</v>
      </c>
      <c r="C3124" s="1" t="n">
        <v>45795</v>
      </c>
      <c r="D3124" t="inlineStr">
        <is>
          <t>JÄMTLANDS LÄN</t>
        </is>
      </c>
      <c r="E3124" t="inlineStr">
        <is>
          <t>STRÖMSUND</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35410-2024</t>
        </is>
      </c>
      <c r="B3125" s="1" t="n">
        <v>45531</v>
      </c>
      <c r="C3125" s="1" t="n">
        <v>45795</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35418-2024</t>
        </is>
      </c>
      <c r="B3126" s="1" t="n">
        <v>45531</v>
      </c>
      <c r="C3126" s="1" t="n">
        <v>45795</v>
      </c>
      <c r="D3126" t="inlineStr">
        <is>
          <t>JÄMTLANDS LÄN</t>
        </is>
      </c>
      <c r="E3126" t="inlineStr">
        <is>
          <t>STRÖMSUND</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35578-2024</t>
        </is>
      </c>
      <c r="B3127" s="1" t="n">
        <v>45531</v>
      </c>
      <c r="C3127" s="1" t="n">
        <v>45795</v>
      </c>
      <c r="D3127" t="inlineStr">
        <is>
          <t>JÄMTLANDS LÄN</t>
        </is>
      </c>
      <c r="E3127" t="inlineStr">
        <is>
          <t>STRÖMSUND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35407-2024</t>
        </is>
      </c>
      <c r="B3128" s="1" t="n">
        <v>45531</v>
      </c>
      <c r="C3128" s="1" t="n">
        <v>45795</v>
      </c>
      <c r="D3128" t="inlineStr">
        <is>
          <t>JÄMTLANDS LÄN</t>
        </is>
      </c>
      <c r="E3128" t="inlineStr">
        <is>
          <t>STRÖMSUND</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35397-2024</t>
        </is>
      </c>
      <c r="B3129" s="1" t="n">
        <v>45531</v>
      </c>
      <c r="C3129" s="1" t="n">
        <v>45795</v>
      </c>
      <c r="D3129" t="inlineStr">
        <is>
          <t>JÄMTLANDS LÄN</t>
        </is>
      </c>
      <c r="E3129" t="inlineStr">
        <is>
          <t>STRÖMSUND</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35423-2024</t>
        </is>
      </c>
      <c r="B3130" s="1" t="n">
        <v>45531</v>
      </c>
      <c r="C3130" s="1" t="n">
        <v>45795</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35416-2024</t>
        </is>
      </c>
      <c r="B3131" s="1" t="n">
        <v>45531</v>
      </c>
      <c r="C3131" s="1" t="n">
        <v>45795</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35585-2024</t>
        </is>
      </c>
      <c r="B3132" s="1" t="n">
        <v>45531</v>
      </c>
      <c r="C3132" s="1" t="n">
        <v>45795</v>
      </c>
      <c r="D3132" t="inlineStr">
        <is>
          <t>JÄMTLANDS LÄN</t>
        </is>
      </c>
      <c r="E3132" t="inlineStr">
        <is>
          <t>STRÖMSUND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35583-2024</t>
        </is>
      </c>
      <c r="B3133" s="1" t="n">
        <v>45531</v>
      </c>
      <c r="C3133" s="1" t="n">
        <v>45795</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35584-2024</t>
        </is>
      </c>
      <c r="B3134" s="1" t="n">
        <v>45531</v>
      </c>
      <c r="C3134" s="1" t="n">
        <v>45795</v>
      </c>
      <c r="D3134" t="inlineStr">
        <is>
          <t>JÄMTLANDS LÄN</t>
        </is>
      </c>
      <c r="E3134" t="inlineStr">
        <is>
          <t>STRÖMSUND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35686-2024</t>
        </is>
      </c>
      <c r="B3135" s="1" t="n">
        <v>45532</v>
      </c>
      <c r="C3135" s="1" t="n">
        <v>45795</v>
      </c>
      <c r="D3135" t="inlineStr">
        <is>
          <t>JÄMTLANDS LÄN</t>
        </is>
      </c>
      <c r="E3135" t="inlineStr">
        <is>
          <t>STRÖMSUND</t>
        </is>
      </c>
      <c r="G3135" t="n">
        <v>15.7</v>
      </c>
      <c r="H3135" t="n">
        <v>0</v>
      </c>
      <c r="I3135" t="n">
        <v>0</v>
      </c>
      <c r="J3135" t="n">
        <v>0</v>
      </c>
      <c r="K3135" t="n">
        <v>0</v>
      </c>
      <c r="L3135" t="n">
        <v>0</v>
      </c>
      <c r="M3135" t="n">
        <v>0</v>
      </c>
      <c r="N3135" t="n">
        <v>0</v>
      </c>
      <c r="O3135" t="n">
        <v>0</v>
      </c>
      <c r="P3135" t="n">
        <v>0</v>
      </c>
      <c r="Q3135" t="n">
        <v>0</v>
      </c>
      <c r="R3135" s="2" t="inlineStr"/>
    </row>
    <row r="3136" ht="15" customHeight="1">
      <c r="A3136" t="inlineStr">
        <is>
          <t>A 35687-2024</t>
        </is>
      </c>
      <c r="B3136" s="1" t="n">
        <v>45532</v>
      </c>
      <c r="C3136" s="1" t="n">
        <v>45795</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35747-2024</t>
        </is>
      </c>
      <c r="B3137" s="1" t="n">
        <v>45532</v>
      </c>
      <c r="C3137" s="1" t="n">
        <v>45795</v>
      </c>
      <c r="D3137" t="inlineStr">
        <is>
          <t>JÄMTLANDS LÄN</t>
        </is>
      </c>
      <c r="E3137" t="inlineStr">
        <is>
          <t>STRÖMSUND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35746-2024</t>
        </is>
      </c>
      <c r="B3138" s="1" t="n">
        <v>45532</v>
      </c>
      <c r="C3138" s="1" t="n">
        <v>45795</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35748-2024</t>
        </is>
      </c>
      <c r="B3139" s="1" t="n">
        <v>45532</v>
      </c>
      <c r="C3139" s="1" t="n">
        <v>45795</v>
      </c>
      <c r="D3139" t="inlineStr">
        <is>
          <t>JÄMTLANDS LÄN</t>
        </is>
      </c>
      <c r="E3139" t="inlineStr">
        <is>
          <t>STRÖMSUND</t>
        </is>
      </c>
      <c r="F3139" t="inlineStr">
        <is>
          <t>SCA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35904-2024</t>
        </is>
      </c>
      <c r="B3140" s="1" t="n">
        <v>45533</v>
      </c>
      <c r="C3140" s="1" t="n">
        <v>45795</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36328-2024</t>
        </is>
      </c>
      <c r="B3141" s="1" t="n">
        <v>45534</v>
      </c>
      <c r="C3141" s="1" t="n">
        <v>45795</v>
      </c>
      <c r="D3141" t="inlineStr">
        <is>
          <t>JÄMTLANDS LÄN</t>
        </is>
      </c>
      <c r="E3141" t="inlineStr">
        <is>
          <t>STRÖMSUND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36176-2024</t>
        </is>
      </c>
      <c r="B3142" s="1" t="n">
        <v>45534</v>
      </c>
      <c r="C3142" s="1" t="n">
        <v>45795</v>
      </c>
      <c r="D3142" t="inlineStr">
        <is>
          <t>JÄMTLANDS LÄN</t>
        </is>
      </c>
      <c r="E3142" t="inlineStr">
        <is>
          <t>STRÖMSUND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36311-2024</t>
        </is>
      </c>
      <c r="B3143" s="1" t="n">
        <v>45534</v>
      </c>
      <c r="C3143" s="1" t="n">
        <v>45795</v>
      </c>
      <c r="D3143" t="inlineStr">
        <is>
          <t>JÄMTLANDS LÄN</t>
        </is>
      </c>
      <c r="E3143" t="inlineStr">
        <is>
          <t>STRÖMSUND</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36347-2024</t>
        </is>
      </c>
      <c r="B3144" s="1" t="n">
        <v>45534</v>
      </c>
      <c r="C3144" s="1" t="n">
        <v>45795</v>
      </c>
      <c r="D3144" t="inlineStr">
        <is>
          <t>JÄMTLANDS LÄN</t>
        </is>
      </c>
      <c r="E3144" t="inlineStr">
        <is>
          <t>STRÖMSUND</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36344-2024</t>
        </is>
      </c>
      <c r="B3145" s="1" t="n">
        <v>45534</v>
      </c>
      <c r="C3145" s="1" t="n">
        <v>45795</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36327-2024</t>
        </is>
      </c>
      <c r="B3146" s="1" t="n">
        <v>45534</v>
      </c>
      <c r="C3146" s="1" t="n">
        <v>45795</v>
      </c>
      <c r="D3146" t="inlineStr">
        <is>
          <t>JÄMTLANDS LÄN</t>
        </is>
      </c>
      <c r="E3146" t="inlineStr">
        <is>
          <t>STRÖMSUND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36343-2024</t>
        </is>
      </c>
      <c r="B3147" s="1" t="n">
        <v>45534</v>
      </c>
      <c r="C3147" s="1" t="n">
        <v>45795</v>
      </c>
      <c r="D3147" t="inlineStr">
        <is>
          <t>JÄMTLANDS LÄN</t>
        </is>
      </c>
      <c r="E3147" t="inlineStr">
        <is>
          <t>STRÖMSUND</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36346-2024</t>
        </is>
      </c>
      <c r="B3148" s="1" t="n">
        <v>45534</v>
      </c>
      <c r="C3148" s="1" t="n">
        <v>45795</v>
      </c>
      <c r="D3148" t="inlineStr">
        <is>
          <t>JÄMTLANDS LÄN</t>
        </is>
      </c>
      <c r="E3148" t="inlineStr">
        <is>
          <t>STRÖMSUND</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36500-2024</t>
        </is>
      </c>
      <c r="B3149" s="1" t="n">
        <v>45537</v>
      </c>
      <c r="C3149" s="1" t="n">
        <v>45795</v>
      </c>
      <c r="D3149" t="inlineStr">
        <is>
          <t>JÄMTLANDS LÄN</t>
        </is>
      </c>
      <c r="E3149" t="inlineStr">
        <is>
          <t>STRÖMSUND</t>
        </is>
      </c>
      <c r="F3149" t="inlineStr">
        <is>
          <t>SCA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36836-2024</t>
        </is>
      </c>
      <c r="B3150" s="1" t="n">
        <v>45538</v>
      </c>
      <c r="C3150" s="1" t="n">
        <v>45795</v>
      </c>
      <c r="D3150" t="inlineStr">
        <is>
          <t>JÄMTLANDS LÄN</t>
        </is>
      </c>
      <c r="E3150" t="inlineStr">
        <is>
          <t>STRÖMSUND</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36914-2024</t>
        </is>
      </c>
      <c r="B3151" s="1" t="n">
        <v>45538</v>
      </c>
      <c r="C3151" s="1" t="n">
        <v>45795</v>
      </c>
      <c r="D3151" t="inlineStr">
        <is>
          <t>JÄMTLANDS LÄN</t>
        </is>
      </c>
      <c r="E3151" t="inlineStr">
        <is>
          <t>STRÖMSUND</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36913-2024</t>
        </is>
      </c>
      <c r="B3152" s="1" t="n">
        <v>45538</v>
      </c>
      <c r="C3152" s="1" t="n">
        <v>45795</v>
      </c>
      <c r="D3152" t="inlineStr">
        <is>
          <t>JÄMTLANDS LÄN</t>
        </is>
      </c>
      <c r="E3152" t="inlineStr">
        <is>
          <t>STRÖMSUND</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37150-2024</t>
        </is>
      </c>
      <c r="B3153" s="1" t="n">
        <v>45539</v>
      </c>
      <c r="C3153" s="1" t="n">
        <v>45795</v>
      </c>
      <c r="D3153" t="inlineStr">
        <is>
          <t>JÄMTLANDS LÄN</t>
        </is>
      </c>
      <c r="E3153" t="inlineStr">
        <is>
          <t>STRÖMSUND</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37207-2024</t>
        </is>
      </c>
      <c r="B3154" s="1" t="n">
        <v>45539</v>
      </c>
      <c r="C3154" s="1" t="n">
        <v>45795</v>
      </c>
      <c r="D3154" t="inlineStr">
        <is>
          <t>JÄMTLANDS LÄN</t>
        </is>
      </c>
      <c r="E3154" t="inlineStr">
        <is>
          <t>STRÖMSUND</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37205-2024</t>
        </is>
      </c>
      <c r="B3155" s="1" t="n">
        <v>45539</v>
      </c>
      <c r="C3155" s="1" t="n">
        <v>45795</v>
      </c>
      <c r="D3155" t="inlineStr">
        <is>
          <t>JÄMTLANDS LÄN</t>
        </is>
      </c>
      <c r="E3155" t="inlineStr">
        <is>
          <t>STRÖMSUND</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37147-2024</t>
        </is>
      </c>
      <c r="B3156" s="1" t="n">
        <v>45539</v>
      </c>
      <c r="C3156" s="1" t="n">
        <v>45795</v>
      </c>
      <c r="D3156" t="inlineStr">
        <is>
          <t>JÄMTLANDS LÄN</t>
        </is>
      </c>
      <c r="E3156" t="inlineStr">
        <is>
          <t>STRÖMSUND</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37208-2024</t>
        </is>
      </c>
      <c r="B3157" s="1" t="n">
        <v>45539</v>
      </c>
      <c r="C3157" s="1" t="n">
        <v>45795</v>
      </c>
      <c r="D3157" t="inlineStr">
        <is>
          <t>JÄMTLANDS LÄN</t>
        </is>
      </c>
      <c r="E3157" t="inlineStr">
        <is>
          <t>STRÖMSUND</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37302-2024</t>
        </is>
      </c>
      <c r="B3158" s="1" t="n">
        <v>45540</v>
      </c>
      <c r="C3158" s="1" t="n">
        <v>45795</v>
      </c>
      <c r="D3158" t="inlineStr">
        <is>
          <t>JÄMTLANDS LÄN</t>
        </is>
      </c>
      <c r="E3158" t="inlineStr">
        <is>
          <t>STRÖMSUND</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37567-2024</t>
        </is>
      </c>
      <c r="B3159" s="1" t="n">
        <v>45541</v>
      </c>
      <c r="C3159" s="1" t="n">
        <v>45795</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37632-2024</t>
        </is>
      </c>
      <c r="B3160" s="1" t="n">
        <v>45541</v>
      </c>
      <c r="C3160" s="1" t="n">
        <v>45795</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37566-2024</t>
        </is>
      </c>
      <c r="B3161" s="1" t="n">
        <v>45541</v>
      </c>
      <c r="C3161" s="1" t="n">
        <v>45795</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37787-2024</t>
        </is>
      </c>
      <c r="B3162" s="1" t="n">
        <v>45542</v>
      </c>
      <c r="C3162" s="1" t="n">
        <v>45795</v>
      </c>
      <c r="D3162" t="inlineStr">
        <is>
          <t>JÄMTLANDS LÄN</t>
        </is>
      </c>
      <c r="E3162" t="inlineStr">
        <is>
          <t>STRÖMSUND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38104-2024</t>
        </is>
      </c>
      <c r="B3163" s="1" t="n">
        <v>45545</v>
      </c>
      <c r="C3163" s="1" t="n">
        <v>45795</v>
      </c>
      <c r="D3163" t="inlineStr">
        <is>
          <t>JÄMTLANDS LÄN</t>
        </is>
      </c>
      <c r="E3163" t="inlineStr">
        <is>
          <t>STRÖMSUND</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38093-2024</t>
        </is>
      </c>
      <c r="B3164" s="1" t="n">
        <v>45545</v>
      </c>
      <c r="C3164" s="1" t="n">
        <v>45795</v>
      </c>
      <c r="D3164" t="inlineStr">
        <is>
          <t>JÄMTLANDS LÄN</t>
        </is>
      </c>
      <c r="E3164" t="inlineStr">
        <is>
          <t>STRÖMSUND</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38301-2024</t>
        </is>
      </c>
      <c r="B3165" s="1" t="n">
        <v>45545</v>
      </c>
      <c r="C3165" s="1" t="n">
        <v>45795</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38279-2024</t>
        </is>
      </c>
      <c r="B3166" s="1" t="n">
        <v>45545</v>
      </c>
      <c r="C3166" s="1" t="n">
        <v>45795</v>
      </c>
      <c r="D3166" t="inlineStr">
        <is>
          <t>JÄMTLANDS LÄN</t>
        </is>
      </c>
      <c r="E3166" t="inlineStr">
        <is>
          <t>STRÖMSUND</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38283-2024</t>
        </is>
      </c>
      <c r="B3167" s="1" t="n">
        <v>45545</v>
      </c>
      <c r="C3167" s="1" t="n">
        <v>45795</v>
      </c>
      <c r="D3167" t="inlineStr">
        <is>
          <t>JÄMTLANDS LÄN</t>
        </is>
      </c>
      <c r="E3167" t="inlineStr">
        <is>
          <t>STRÖMSUND</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38280-2024</t>
        </is>
      </c>
      <c r="B3168" s="1" t="n">
        <v>45545</v>
      </c>
      <c r="C3168" s="1" t="n">
        <v>45795</v>
      </c>
      <c r="D3168" t="inlineStr">
        <is>
          <t>JÄMTLANDS LÄN</t>
        </is>
      </c>
      <c r="E3168" t="inlineStr">
        <is>
          <t>STRÖMSUND</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38284-2024</t>
        </is>
      </c>
      <c r="B3169" s="1" t="n">
        <v>45545</v>
      </c>
      <c r="C3169" s="1" t="n">
        <v>45795</v>
      </c>
      <c r="D3169" t="inlineStr">
        <is>
          <t>JÄMTLANDS LÄN</t>
        </is>
      </c>
      <c r="E3169" t="inlineStr">
        <is>
          <t>STRÖMSUND</t>
        </is>
      </c>
      <c r="F3169" t="inlineStr">
        <is>
          <t>SCA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38300-2024</t>
        </is>
      </c>
      <c r="B3170" s="1" t="n">
        <v>45545</v>
      </c>
      <c r="C3170" s="1" t="n">
        <v>45795</v>
      </c>
      <c r="D3170" t="inlineStr">
        <is>
          <t>JÄMTLANDS LÄN</t>
        </is>
      </c>
      <c r="E3170" t="inlineStr">
        <is>
          <t>STRÖMSUND</t>
        </is>
      </c>
      <c r="F3170" t="inlineStr">
        <is>
          <t>SCA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38816-2024</t>
        </is>
      </c>
      <c r="B3171" s="1" t="n">
        <v>45547</v>
      </c>
      <c r="C3171" s="1" t="n">
        <v>45795</v>
      </c>
      <c r="D3171" t="inlineStr">
        <is>
          <t>JÄMTLANDS LÄN</t>
        </is>
      </c>
      <c r="E3171" t="inlineStr">
        <is>
          <t>STRÖMSUND</t>
        </is>
      </c>
      <c r="G3171" t="n">
        <v>9</v>
      </c>
      <c r="H3171" t="n">
        <v>0</v>
      </c>
      <c r="I3171" t="n">
        <v>0</v>
      </c>
      <c r="J3171" t="n">
        <v>0</v>
      </c>
      <c r="K3171" t="n">
        <v>0</v>
      </c>
      <c r="L3171" t="n">
        <v>0</v>
      </c>
      <c r="M3171" t="n">
        <v>0</v>
      </c>
      <c r="N3171" t="n">
        <v>0</v>
      </c>
      <c r="O3171" t="n">
        <v>0</v>
      </c>
      <c r="P3171" t="n">
        <v>0</v>
      </c>
      <c r="Q3171" t="n">
        <v>0</v>
      </c>
      <c r="R3171" s="2" t="inlineStr"/>
    </row>
    <row r="3172" ht="15" customHeight="1">
      <c r="A3172" t="inlineStr">
        <is>
          <t>A 39286-2024</t>
        </is>
      </c>
      <c r="B3172" s="1" t="n">
        <v>45551</v>
      </c>
      <c r="C3172" s="1" t="n">
        <v>45795</v>
      </c>
      <c r="D3172" t="inlineStr">
        <is>
          <t>JÄMTLANDS LÄN</t>
        </is>
      </c>
      <c r="E3172" t="inlineStr">
        <is>
          <t>STRÖMSUND</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39516-2024</t>
        </is>
      </c>
      <c r="B3173" s="1" t="n">
        <v>45551</v>
      </c>
      <c r="C3173" s="1" t="n">
        <v>45795</v>
      </c>
      <c r="D3173" t="inlineStr">
        <is>
          <t>JÄMTLANDS LÄN</t>
        </is>
      </c>
      <c r="E3173" t="inlineStr">
        <is>
          <t>STRÖMSUND</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39517-2024</t>
        </is>
      </c>
      <c r="B3174" s="1" t="n">
        <v>45551</v>
      </c>
      <c r="C3174" s="1" t="n">
        <v>45795</v>
      </c>
      <c r="D3174" t="inlineStr">
        <is>
          <t>JÄMTLANDS LÄN</t>
        </is>
      </c>
      <c r="E3174" t="inlineStr">
        <is>
          <t>STRÖMSUND</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39599-2024</t>
        </is>
      </c>
      <c r="B3175" s="1" t="n">
        <v>45552</v>
      </c>
      <c r="C3175" s="1" t="n">
        <v>45795</v>
      </c>
      <c r="D3175" t="inlineStr">
        <is>
          <t>JÄMTLANDS LÄN</t>
        </is>
      </c>
      <c r="E3175" t="inlineStr">
        <is>
          <t>STRÖMSUND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39698-2024</t>
        </is>
      </c>
      <c r="B3176" s="1" t="n">
        <v>45552</v>
      </c>
      <c r="C3176" s="1" t="n">
        <v>45795</v>
      </c>
      <c r="D3176" t="inlineStr">
        <is>
          <t>JÄMTLANDS LÄN</t>
        </is>
      </c>
      <c r="E3176" t="inlineStr">
        <is>
          <t>STRÖMSUND</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39864-2024</t>
        </is>
      </c>
      <c r="B3177" s="1" t="n">
        <v>45553</v>
      </c>
      <c r="C3177" s="1" t="n">
        <v>45795</v>
      </c>
      <c r="D3177" t="inlineStr">
        <is>
          <t>JÄMTLANDS LÄN</t>
        </is>
      </c>
      <c r="E3177" t="inlineStr">
        <is>
          <t>STRÖMSUND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39949-2024</t>
        </is>
      </c>
      <c r="B3178" s="1" t="n">
        <v>45553</v>
      </c>
      <c r="C3178" s="1" t="n">
        <v>45795</v>
      </c>
      <c r="D3178" t="inlineStr">
        <is>
          <t>JÄMTLANDS LÄN</t>
        </is>
      </c>
      <c r="E3178" t="inlineStr">
        <is>
          <t>STRÖMSUND</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39939-2024</t>
        </is>
      </c>
      <c r="B3179" s="1" t="n">
        <v>45553</v>
      </c>
      <c r="C3179" s="1" t="n">
        <v>45795</v>
      </c>
      <c r="D3179" t="inlineStr">
        <is>
          <t>JÄMTLANDS LÄN</t>
        </is>
      </c>
      <c r="E3179" t="inlineStr">
        <is>
          <t>STRÖMSUND</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39979-2024</t>
        </is>
      </c>
      <c r="B3180" s="1" t="n">
        <v>45553</v>
      </c>
      <c r="C3180" s="1" t="n">
        <v>45795</v>
      </c>
      <c r="D3180" t="inlineStr">
        <is>
          <t>JÄMTLANDS LÄN</t>
        </is>
      </c>
      <c r="E3180" t="inlineStr">
        <is>
          <t>STRÖMSUND</t>
        </is>
      </c>
      <c r="F3180" t="inlineStr">
        <is>
          <t>Kyrkan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40140-2024</t>
        </is>
      </c>
      <c r="B3181" s="1" t="n">
        <v>45554</v>
      </c>
      <c r="C3181" s="1" t="n">
        <v>45795</v>
      </c>
      <c r="D3181" t="inlineStr">
        <is>
          <t>JÄMTLANDS LÄN</t>
        </is>
      </c>
      <c r="E3181" t="inlineStr">
        <is>
          <t>STRÖMSUND</t>
        </is>
      </c>
      <c r="F3181" t="inlineStr">
        <is>
          <t>Kyrkan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40090-2024</t>
        </is>
      </c>
      <c r="B3182" s="1" t="n">
        <v>45554</v>
      </c>
      <c r="C3182" s="1" t="n">
        <v>45795</v>
      </c>
      <c r="D3182" t="inlineStr">
        <is>
          <t>JÄMTLANDS LÄN</t>
        </is>
      </c>
      <c r="E3182" t="inlineStr">
        <is>
          <t>STRÖMSUND</t>
        </is>
      </c>
      <c r="F3182" t="inlineStr">
        <is>
          <t>Kyrkan</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40351-2024</t>
        </is>
      </c>
      <c r="B3183" s="1" t="n">
        <v>45555</v>
      </c>
      <c r="C3183" s="1" t="n">
        <v>45795</v>
      </c>
      <c r="D3183" t="inlineStr">
        <is>
          <t>JÄMTLANDS LÄN</t>
        </is>
      </c>
      <c r="E3183" t="inlineStr">
        <is>
          <t>STRÖMSUND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40344-2024</t>
        </is>
      </c>
      <c r="B3184" s="1" t="n">
        <v>45555</v>
      </c>
      <c r="C3184" s="1" t="n">
        <v>45795</v>
      </c>
      <c r="D3184" t="inlineStr">
        <is>
          <t>JÄMTLANDS LÄN</t>
        </is>
      </c>
      <c r="E3184" t="inlineStr">
        <is>
          <t>STRÖMSUND</t>
        </is>
      </c>
      <c r="F3184" t="inlineStr">
        <is>
          <t>SCA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40492-2024</t>
        </is>
      </c>
      <c r="B3185" s="1" t="n">
        <v>45555</v>
      </c>
      <c r="C3185" s="1" t="n">
        <v>45795</v>
      </c>
      <c r="D3185" t="inlineStr">
        <is>
          <t>JÄMTLANDS LÄN</t>
        </is>
      </c>
      <c r="E3185" t="inlineStr">
        <is>
          <t>STRÖMSUND</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40500-2024</t>
        </is>
      </c>
      <c r="B3186" s="1" t="n">
        <v>45555</v>
      </c>
      <c r="C3186" s="1" t="n">
        <v>45795</v>
      </c>
      <c r="D3186" t="inlineStr">
        <is>
          <t>JÄMTLANDS LÄN</t>
        </is>
      </c>
      <c r="E3186" t="inlineStr">
        <is>
          <t>STRÖMSUND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40426-2024</t>
        </is>
      </c>
      <c r="B3187" s="1" t="n">
        <v>45555</v>
      </c>
      <c r="C3187" s="1" t="n">
        <v>45795</v>
      </c>
      <c r="D3187" t="inlineStr">
        <is>
          <t>JÄMTLANDS LÄN</t>
        </is>
      </c>
      <c r="E3187" t="inlineStr">
        <is>
          <t>STRÖMSUND</t>
        </is>
      </c>
      <c r="F3187" t="inlineStr">
        <is>
          <t>SCA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40450-2024</t>
        </is>
      </c>
      <c r="B3188" s="1" t="n">
        <v>45555</v>
      </c>
      <c r="C3188" s="1" t="n">
        <v>45795</v>
      </c>
      <c r="D3188" t="inlineStr">
        <is>
          <t>JÄMTLANDS LÄN</t>
        </is>
      </c>
      <c r="E3188" t="inlineStr">
        <is>
          <t>STRÖMSUND</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40574-2024</t>
        </is>
      </c>
      <c r="B3189" s="1" t="n">
        <v>45555</v>
      </c>
      <c r="C3189" s="1" t="n">
        <v>45795</v>
      </c>
      <c r="D3189" t="inlineStr">
        <is>
          <t>JÄMTLANDS LÄN</t>
        </is>
      </c>
      <c r="E3189" t="inlineStr">
        <is>
          <t>STRÖMSUND</t>
        </is>
      </c>
      <c r="F3189" t="inlineStr">
        <is>
          <t>SCA</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40447-2024</t>
        </is>
      </c>
      <c r="B3190" s="1" t="n">
        <v>45555</v>
      </c>
      <c r="C3190" s="1" t="n">
        <v>45795</v>
      </c>
      <c r="D3190" t="inlineStr">
        <is>
          <t>JÄMTLANDS LÄN</t>
        </is>
      </c>
      <c r="E3190" t="inlineStr">
        <is>
          <t>STRÖMSUND</t>
        </is>
      </c>
      <c r="F3190" t="inlineStr">
        <is>
          <t>SCA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40451-2024</t>
        </is>
      </c>
      <c r="B3191" s="1" t="n">
        <v>45555</v>
      </c>
      <c r="C3191" s="1" t="n">
        <v>45795</v>
      </c>
      <c r="D3191" t="inlineStr">
        <is>
          <t>JÄMTLANDS LÄN</t>
        </is>
      </c>
      <c r="E3191" t="inlineStr">
        <is>
          <t>STRÖMSUND</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40758-2024</t>
        </is>
      </c>
      <c r="B3192" s="1" t="n">
        <v>45558</v>
      </c>
      <c r="C3192" s="1" t="n">
        <v>45795</v>
      </c>
      <c r="D3192" t="inlineStr">
        <is>
          <t>JÄMTLANDS LÄN</t>
        </is>
      </c>
      <c r="E3192" t="inlineStr">
        <is>
          <t>STRÖMSUND</t>
        </is>
      </c>
      <c r="G3192" t="n">
        <v>10.2</v>
      </c>
      <c r="H3192" t="n">
        <v>0</v>
      </c>
      <c r="I3192" t="n">
        <v>0</v>
      </c>
      <c r="J3192" t="n">
        <v>0</v>
      </c>
      <c r="K3192" t="n">
        <v>0</v>
      </c>
      <c r="L3192" t="n">
        <v>0</v>
      </c>
      <c r="M3192" t="n">
        <v>0</v>
      </c>
      <c r="N3192" t="n">
        <v>0</v>
      </c>
      <c r="O3192" t="n">
        <v>0</v>
      </c>
      <c r="P3192" t="n">
        <v>0</v>
      </c>
      <c r="Q3192" t="n">
        <v>0</v>
      </c>
      <c r="R3192" s="2" t="inlineStr"/>
    </row>
    <row r="3193" ht="15" customHeight="1">
      <c r="A3193" t="inlineStr">
        <is>
          <t>A 40813-2024</t>
        </is>
      </c>
      <c r="B3193" s="1" t="n">
        <v>45558</v>
      </c>
      <c r="C3193" s="1" t="n">
        <v>45795</v>
      </c>
      <c r="D3193" t="inlineStr">
        <is>
          <t>JÄMTLANDS LÄN</t>
        </is>
      </c>
      <c r="E3193" t="inlineStr">
        <is>
          <t>STRÖMSUND</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40970-2024</t>
        </is>
      </c>
      <c r="B3194" s="1" t="n">
        <v>45558</v>
      </c>
      <c r="C3194" s="1" t="n">
        <v>45795</v>
      </c>
      <c r="D3194" t="inlineStr">
        <is>
          <t>JÄMTLANDS LÄN</t>
        </is>
      </c>
      <c r="E3194" t="inlineStr">
        <is>
          <t>STRÖMSUND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40827-2024</t>
        </is>
      </c>
      <c r="B3195" s="1" t="n">
        <v>45558</v>
      </c>
      <c r="C3195" s="1" t="n">
        <v>45795</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40891-2024</t>
        </is>
      </c>
      <c r="B3196" s="1" t="n">
        <v>45558</v>
      </c>
      <c r="C3196" s="1" t="n">
        <v>45795</v>
      </c>
      <c r="D3196" t="inlineStr">
        <is>
          <t>JÄMTLANDS LÄN</t>
        </is>
      </c>
      <c r="E3196" t="inlineStr">
        <is>
          <t>STRÖMSUND</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40976-2024</t>
        </is>
      </c>
      <c r="B3197" s="1" t="n">
        <v>45558</v>
      </c>
      <c r="C3197" s="1" t="n">
        <v>45795</v>
      </c>
      <c r="D3197" t="inlineStr">
        <is>
          <t>JÄMTLANDS LÄN</t>
        </is>
      </c>
      <c r="E3197" t="inlineStr">
        <is>
          <t>STRÖMSUND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41070-2024</t>
        </is>
      </c>
      <c r="B3198" s="1" t="n">
        <v>45559</v>
      </c>
      <c r="C3198" s="1" t="n">
        <v>45795</v>
      </c>
      <c r="D3198" t="inlineStr">
        <is>
          <t>JÄMTLANDS LÄN</t>
        </is>
      </c>
      <c r="E3198" t="inlineStr">
        <is>
          <t>STRÖMSUND</t>
        </is>
      </c>
      <c r="F3198" t="inlineStr">
        <is>
          <t>Holmen skog AB</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41116-2024</t>
        </is>
      </c>
      <c r="B3199" s="1" t="n">
        <v>45559</v>
      </c>
      <c r="C3199" s="1" t="n">
        <v>45795</v>
      </c>
      <c r="D3199" t="inlineStr">
        <is>
          <t>JÄMTLANDS LÄN</t>
        </is>
      </c>
      <c r="E3199" t="inlineStr">
        <is>
          <t>STRÖMSUND</t>
        </is>
      </c>
      <c r="G3199" t="n">
        <v>13.2</v>
      </c>
      <c r="H3199" t="n">
        <v>0</v>
      </c>
      <c r="I3199" t="n">
        <v>0</v>
      </c>
      <c r="J3199" t="n">
        <v>0</v>
      </c>
      <c r="K3199" t="n">
        <v>0</v>
      </c>
      <c r="L3199" t="n">
        <v>0</v>
      </c>
      <c r="M3199" t="n">
        <v>0</v>
      </c>
      <c r="N3199" t="n">
        <v>0</v>
      </c>
      <c r="O3199" t="n">
        <v>0</v>
      </c>
      <c r="P3199" t="n">
        <v>0</v>
      </c>
      <c r="Q3199" t="n">
        <v>0</v>
      </c>
      <c r="R3199" s="2" t="inlineStr"/>
    </row>
    <row r="3200" ht="15" customHeight="1">
      <c r="A3200" t="inlineStr">
        <is>
          <t>A 41141-2024</t>
        </is>
      </c>
      <c r="B3200" s="1" t="n">
        <v>45559</v>
      </c>
      <c r="C3200" s="1" t="n">
        <v>45795</v>
      </c>
      <c r="D3200" t="inlineStr">
        <is>
          <t>JÄMTLANDS LÄN</t>
        </is>
      </c>
      <c r="E3200" t="inlineStr">
        <is>
          <t>STRÖMSUND</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41140-2024</t>
        </is>
      </c>
      <c r="B3201" s="1" t="n">
        <v>45559</v>
      </c>
      <c r="C3201" s="1" t="n">
        <v>45795</v>
      </c>
      <c r="D3201" t="inlineStr">
        <is>
          <t>JÄMTLANDS LÄN</t>
        </is>
      </c>
      <c r="E3201" t="inlineStr">
        <is>
          <t>STRÖMSUND</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41292-2024</t>
        </is>
      </c>
      <c r="B3202" s="1" t="n">
        <v>45559</v>
      </c>
      <c r="C3202" s="1" t="n">
        <v>45795</v>
      </c>
      <c r="D3202" t="inlineStr">
        <is>
          <t>JÄMTLANDS LÄN</t>
        </is>
      </c>
      <c r="E3202" t="inlineStr">
        <is>
          <t>STRÖMSUND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41317-2024</t>
        </is>
      </c>
      <c r="B3203" s="1" t="n">
        <v>45559</v>
      </c>
      <c r="C3203" s="1" t="n">
        <v>45795</v>
      </c>
      <c r="D3203" t="inlineStr">
        <is>
          <t>JÄMTLANDS LÄN</t>
        </is>
      </c>
      <c r="E3203" t="inlineStr">
        <is>
          <t>STRÖMSUND</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41283-2024</t>
        </is>
      </c>
      <c r="B3204" s="1" t="n">
        <v>45559</v>
      </c>
      <c r="C3204" s="1" t="n">
        <v>45795</v>
      </c>
      <c r="D3204" t="inlineStr">
        <is>
          <t>JÄMTLANDS LÄN</t>
        </is>
      </c>
      <c r="E3204" t="inlineStr">
        <is>
          <t>STRÖMSUND</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41605-2024</t>
        </is>
      </c>
      <c r="B3205" s="1" t="n">
        <v>45560</v>
      </c>
      <c r="C3205" s="1" t="n">
        <v>45795</v>
      </c>
      <c r="D3205" t="inlineStr">
        <is>
          <t>JÄMTLANDS LÄN</t>
        </is>
      </c>
      <c r="E3205" t="inlineStr">
        <is>
          <t>STRÖMSUND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41633-2024</t>
        </is>
      </c>
      <c r="B3206" s="1" t="n">
        <v>45560</v>
      </c>
      <c r="C3206" s="1" t="n">
        <v>45795</v>
      </c>
      <c r="D3206" t="inlineStr">
        <is>
          <t>JÄMTLANDS LÄN</t>
        </is>
      </c>
      <c r="E3206" t="inlineStr">
        <is>
          <t>STRÖMSUND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41579-2024</t>
        </is>
      </c>
      <c r="B3207" s="1" t="n">
        <v>45560</v>
      </c>
      <c r="C3207" s="1" t="n">
        <v>45795</v>
      </c>
      <c r="D3207" t="inlineStr">
        <is>
          <t>JÄMTLANDS LÄN</t>
        </is>
      </c>
      <c r="E3207" t="inlineStr">
        <is>
          <t>STRÖMSUND</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41783-2024</t>
        </is>
      </c>
      <c r="B3208" s="1" t="n">
        <v>45561</v>
      </c>
      <c r="C3208" s="1" t="n">
        <v>45795</v>
      </c>
      <c r="D3208" t="inlineStr">
        <is>
          <t>JÄMTLANDS LÄN</t>
        </is>
      </c>
      <c r="E3208" t="inlineStr">
        <is>
          <t>STRÖMSUND</t>
        </is>
      </c>
      <c r="F3208" t="inlineStr">
        <is>
          <t>SCA</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41905-2024</t>
        </is>
      </c>
      <c r="B3209" s="1" t="n">
        <v>45561</v>
      </c>
      <c r="C3209" s="1" t="n">
        <v>45795</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41942-2024</t>
        </is>
      </c>
      <c r="B3210" s="1" t="n">
        <v>45561</v>
      </c>
      <c r="C3210" s="1" t="n">
        <v>45795</v>
      </c>
      <c r="D3210" t="inlineStr">
        <is>
          <t>JÄMTLANDS LÄN</t>
        </is>
      </c>
      <c r="E3210" t="inlineStr">
        <is>
          <t>STRÖMSUND</t>
        </is>
      </c>
      <c r="F3210" t="inlineStr">
        <is>
          <t>SCA</t>
        </is>
      </c>
      <c r="G3210" t="n">
        <v>10.7</v>
      </c>
      <c r="H3210" t="n">
        <v>0</v>
      </c>
      <c r="I3210" t="n">
        <v>0</v>
      </c>
      <c r="J3210" t="n">
        <v>0</v>
      </c>
      <c r="K3210" t="n">
        <v>0</v>
      </c>
      <c r="L3210" t="n">
        <v>0</v>
      </c>
      <c r="M3210" t="n">
        <v>0</v>
      </c>
      <c r="N3210" t="n">
        <v>0</v>
      </c>
      <c r="O3210" t="n">
        <v>0</v>
      </c>
      <c r="P3210" t="n">
        <v>0</v>
      </c>
      <c r="Q3210" t="n">
        <v>0</v>
      </c>
      <c r="R3210" s="2" t="inlineStr"/>
    </row>
    <row r="3211" ht="15" customHeight="1">
      <c r="A3211" t="inlineStr">
        <is>
          <t>A 41986-2024</t>
        </is>
      </c>
      <c r="B3211" s="1" t="n">
        <v>45561</v>
      </c>
      <c r="C3211" s="1" t="n">
        <v>45795</v>
      </c>
      <c r="D3211" t="inlineStr">
        <is>
          <t>JÄMTLANDS LÄN</t>
        </is>
      </c>
      <c r="E3211" t="inlineStr">
        <is>
          <t>STRÖMSUND</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42006-2024</t>
        </is>
      </c>
      <c r="B3212" s="1" t="n">
        <v>45561</v>
      </c>
      <c r="C3212" s="1" t="n">
        <v>45795</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41902-2024</t>
        </is>
      </c>
      <c r="B3213" s="1" t="n">
        <v>45561</v>
      </c>
      <c r="C3213" s="1" t="n">
        <v>45795</v>
      </c>
      <c r="D3213" t="inlineStr">
        <is>
          <t>JÄMTLANDS LÄN</t>
        </is>
      </c>
      <c r="E3213" t="inlineStr">
        <is>
          <t>STRÖMSUND</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41939-2024</t>
        </is>
      </c>
      <c r="B3214" s="1" t="n">
        <v>45561</v>
      </c>
      <c r="C3214" s="1" t="n">
        <v>45795</v>
      </c>
      <c r="D3214" t="inlineStr">
        <is>
          <t>JÄMTLANDS LÄN</t>
        </is>
      </c>
      <c r="E3214" t="inlineStr">
        <is>
          <t>STRÖMSUND</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42005-2024</t>
        </is>
      </c>
      <c r="B3215" s="1" t="n">
        <v>45561</v>
      </c>
      <c r="C3215" s="1" t="n">
        <v>45795</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41987-2024</t>
        </is>
      </c>
      <c r="B3216" s="1" t="n">
        <v>45561</v>
      </c>
      <c r="C3216" s="1" t="n">
        <v>45795</v>
      </c>
      <c r="D3216" t="inlineStr">
        <is>
          <t>JÄMTLANDS LÄN</t>
        </is>
      </c>
      <c r="E3216" t="inlineStr">
        <is>
          <t>STRÖMSUND</t>
        </is>
      </c>
      <c r="F3216" t="inlineStr">
        <is>
          <t>SCA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41940-2024</t>
        </is>
      </c>
      <c r="B3217" s="1" t="n">
        <v>45561</v>
      </c>
      <c r="C3217" s="1" t="n">
        <v>45795</v>
      </c>
      <c r="D3217" t="inlineStr">
        <is>
          <t>JÄMTLANDS LÄN</t>
        </is>
      </c>
      <c r="E3217" t="inlineStr">
        <is>
          <t>STRÖMSUND</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41988-2024</t>
        </is>
      </c>
      <c r="B3218" s="1" t="n">
        <v>45561</v>
      </c>
      <c r="C3218" s="1" t="n">
        <v>45795</v>
      </c>
      <c r="D3218" t="inlineStr">
        <is>
          <t>JÄMTLANDS LÄN</t>
        </is>
      </c>
      <c r="E3218" t="inlineStr">
        <is>
          <t>STRÖMSUND</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42208-2024</t>
        </is>
      </c>
      <c r="B3219" s="1" t="n">
        <v>45562</v>
      </c>
      <c r="C3219" s="1" t="n">
        <v>45795</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42479-2024</t>
        </is>
      </c>
      <c r="B3220" s="1" t="n">
        <v>45565</v>
      </c>
      <c r="C3220" s="1" t="n">
        <v>45795</v>
      </c>
      <c r="D3220" t="inlineStr">
        <is>
          <t>JÄMTLANDS LÄN</t>
        </is>
      </c>
      <c r="E3220" t="inlineStr">
        <is>
          <t>STRÖMSUND</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42681-2024</t>
        </is>
      </c>
      <c r="B3221" s="1" t="n">
        <v>45566</v>
      </c>
      <c r="C3221" s="1" t="n">
        <v>45795</v>
      </c>
      <c r="D3221" t="inlineStr">
        <is>
          <t>JÄMTLANDS LÄN</t>
        </is>
      </c>
      <c r="E3221" t="inlineStr">
        <is>
          <t>STRÖMSUND</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43090-2024</t>
        </is>
      </c>
      <c r="B3222" s="1" t="n">
        <v>45567</v>
      </c>
      <c r="C3222" s="1" t="n">
        <v>45795</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42992-2024</t>
        </is>
      </c>
      <c r="B3223" s="1" t="n">
        <v>45567</v>
      </c>
      <c r="C3223" s="1" t="n">
        <v>45795</v>
      </c>
      <c r="D3223" t="inlineStr">
        <is>
          <t>JÄMTLANDS LÄN</t>
        </is>
      </c>
      <c r="E3223" t="inlineStr">
        <is>
          <t>STRÖMSUND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42980-2024</t>
        </is>
      </c>
      <c r="B3224" s="1" t="n">
        <v>45567</v>
      </c>
      <c r="C3224" s="1" t="n">
        <v>45795</v>
      </c>
      <c r="D3224" t="inlineStr">
        <is>
          <t>JÄMTLANDS LÄN</t>
        </is>
      </c>
      <c r="E3224" t="inlineStr">
        <is>
          <t>STRÖMSUND</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42960-2024</t>
        </is>
      </c>
      <c r="B3225" s="1" t="n">
        <v>45567</v>
      </c>
      <c r="C3225" s="1" t="n">
        <v>45795</v>
      </c>
      <c r="D3225" t="inlineStr">
        <is>
          <t>JÄMTLANDS LÄN</t>
        </is>
      </c>
      <c r="E3225" t="inlineStr">
        <is>
          <t>STRÖMSUND</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42957-2024</t>
        </is>
      </c>
      <c r="B3226" s="1" t="n">
        <v>45567</v>
      </c>
      <c r="C3226" s="1" t="n">
        <v>45795</v>
      </c>
      <c r="D3226" t="inlineStr">
        <is>
          <t>JÄMTLANDS LÄN</t>
        </is>
      </c>
      <c r="E3226" t="inlineStr">
        <is>
          <t>STRÖMSUND</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42949-2024</t>
        </is>
      </c>
      <c r="B3227" s="1" t="n">
        <v>45567</v>
      </c>
      <c r="C3227" s="1" t="n">
        <v>45795</v>
      </c>
      <c r="D3227" t="inlineStr">
        <is>
          <t>JÄMTLANDS LÄN</t>
        </is>
      </c>
      <c r="E3227" t="inlineStr">
        <is>
          <t>STRÖMSUND</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42974-2024</t>
        </is>
      </c>
      <c r="B3228" s="1" t="n">
        <v>45567</v>
      </c>
      <c r="C3228" s="1" t="n">
        <v>45795</v>
      </c>
      <c r="D3228" t="inlineStr">
        <is>
          <t>JÄMTLANDS LÄN</t>
        </is>
      </c>
      <c r="E3228" t="inlineStr">
        <is>
          <t>STRÖMSUND</t>
        </is>
      </c>
      <c r="F3228" t="inlineStr">
        <is>
          <t>SCA</t>
        </is>
      </c>
      <c r="G3228" t="n">
        <v>20.5</v>
      </c>
      <c r="H3228" t="n">
        <v>0</v>
      </c>
      <c r="I3228" t="n">
        <v>0</v>
      </c>
      <c r="J3228" t="n">
        <v>0</v>
      </c>
      <c r="K3228" t="n">
        <v>0</v>
      </c>
      <c r="L3228" t="n">
        <v>0</v>
      </c>
      <c r="M3228" t="n">
        <v>0</v>
      </c>
      <c r="N3228" t="n">
        <v>0</v>
      </c>
      <c r="O3228" t="n">
        <v>0</v>
      </c>
      <c r="P3228" t="n">
        <v>0</v>
      </c>
      <c r="Q3228" t="n">
        <v>0</v>
      </c>
      <c r="R3228" s="2" t="inlineStr"/>
    </row>
    <row r="3229" ht="15" customHeight="1">
      <c r="A3229" t="inlineStr">
        <is>
          <t>A 42966-2024</t>
        </is>
      </c>
      <c r="B3229" s="1" t="n">
        <v>45567</v>
      </c>
      <c r="C3229" s="1" t="n">
        <v>45795</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42954-2024</t>
        </is>
      </c>
      <c r="B3230" s="1" t="n">
        <v>45567</v>
      </c>
      <c r="C3230" s="1" t="n">
        <v>45795</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43425-2024</t>
        </is>
      </c>
      <c r="B3231" s="1" t="n">
        <v>45568</v>
      </c>
      <c r="C3231" s="1" t="n">
        <v>45795</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43326-2024</t>
        </is>
      </c>
      <c r="B3232" s="1" t="n">
        <v>45568</v>
      </c>
      <c r="C3232" s="1" t="n">
        <v>45795</v>
      </c>
      <c r="D3232" t="inlineStr">
        <is>
          <t>JÄMTLANDS LÄN</t>
        </is>
      </c>
      <c r="E3232" t="inlineStr">
        <is>
          <t>STRÖMSUND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43605-2024</t>
        </is>
      </c>
      <c r="B3233" s="1" t="n">
        <v>45569</v>
      </c>
      <c r="C3233" s="1" t="n">
        <v>45795</v>
      </c>
      <c r="D3233" t="inlineStr">
        <is>
          <t>JÄMTLANDS LÄN</t>
        </is>
      </c>
      <c r="E3233" t="inlineStr">
        <is>
          <t>STRÖMSUND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43889-2024</t>
        </is>
      </c>
      <c r="B3234" s="1" t="n">
        <v>45572</v>
      </c>
      <c r="C3234" s="1" t="n">
        <v>45795</v>
      </c>
      <c r="D3234" t="inlineStr">
        <is>
          <t>JÄMTLANDS LÄN</t>
        </is>
      </c>
      <c r="E3234" t="inlineStr">
        <is>
          <t>STRÖMSUND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44113-2024</t>
        </is>
      </c>
      <c r="B3235" s="1" t="n">
        <v>45572</v>
      </c>
      <c r="C3235" s="1" t="n">
        <v>45795</v>
      </c>
      <c r="D3235" t="inlineStr">
        <is>
          <t>JÄMTLANDS LÄN</t>
        </is>
      </c>
      <c r="E3235" t="inlineStr">
        <is>
          <t>STRÖMSUND</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43890-2024</t>
        </is>
      </c>
      <c r="B3236" s="1" t="n">
        <v>45572</v>
      </c>
      <c r="C3236" s="1" t="n">
        <v>45795</v>
      </c>
      <c r="D3236" t="inlineStr">
        <is>
          <t>JÄMTLANDS LÄN</t>
        </is>
      </c>
      <c r="E3236" t="inlineStr">
        <is>
          <t>STRÖMSUND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44009-2024</t>
        </is>
      </c>
      <c r="B3237" s="1" t="n">
        <v>45572</v>
      </c>
      <c r="C3237" s="1" t="n">
        <v>45795</v>
      </c>
      <c r="D3237" t="inlineStr">
        <is>
          <t>JÄMTLANDS LÄN</t>
        </is>
      </c>
      <c r="E3237" t="inlineStr">
        <is>
          <t>STRÖMSUND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44010-2024</t>
        </is>
      </c>
      <c r="B3238" s="1" t="n">
        <v>45572</v>
      </c>
      <c r="C3238" s="1" t="n">
        <v>45795</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44112-2024</t>
        </is>
      </c>
      <c r="B3239" s="1" t="n">
        <v>45572</v>
      </c>
      <c r="C3239" s="1" t="n">
        <v>45795</v>
      </c>
      <c r="D3239" t="inlineStr">
        <is>
          <t>JÄMTLANDS LÄN</t>
        </is>
      </c>
      <c r="E3239" t="inlineStr">
        <is>
          <t>STRÖMSUND</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44599-2024</t>
        </is>
      </c>
      <c r="B3240" s="1" t="n">
        <v>45574</v>
      </c>
      <c r="C3240" s="1" t="n">
        <v>45795</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44615-2024</t>
        </is>
      </c>
      <c r="B3241" s="1" t="n">
        <v>45574</v>
      </c>
      <c r="C3241" s="1" t="n">
        <v>45795</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c r="U3241">
        <f>HYPERLINK("https://klasma.github.io/Logging_2313/knärot/A 44615-2024 karta knärot.png", "A 44615-2024")</f>
        <v/>
      </c>
      <c r="V3241">
        <f>HYPERLINK("https://klasma.github.io/Logging_2313/klagomål/A 44615-2024 FSC-klagomål.docx", "A 44615-2024")</f>
        <v/>
      </c>
      <c r="W3241">
        <f>HYPERLINK("https://klasma.github.io/Logging_2313/klagomålsmail/A 44615-2024 FSC-klagomål mail.docx", "A 44615-2024")</f>
        <v/>
      </c>
      <c r="X3241">
        <f>HYPERLINK("https://klasma.github.io/Logging_2313/tillsyn/A 44615-2024 tillsynsbegäran.docx", "A 44615-2024")</f>
        <v/>
      </c>
      <c r="Y3241">
        <f>HYPERLINK("https://klasma.github.io/Logging_2313/tillsynsmail/A 44615-2024 tillsynsbegäran mail.docx", "A 44615-2024")</f>
        <v/>
      </c>
    </row>
    <row r="3242" ht="15" customHeight="1">
      <c r="A3242" t="inlineStr">
        <is>
          <t>A 44623-2024</t>
        </is>
      </c>
      <c r="B3242" s="1" t="n">
        <v>45574</v>
      </c>
      <c r="C3242" s="1" t="n">
        <v>45795</v>
      </c>
      <c r="D3242" t="inlineStr">
        <is>
          <t>JÄMTLANDS LÄN</t>
        </is>
      </c>
      <c r="E3242" t="inlineStr">
        <is>
          <t>STRÖMSUND</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44618-2024</t>
        </is>
      </c>
      <c r="B3243" s="1" t="n">
        <v>45574</v>
      </c>
      <c r="C3243" s="1" t="n">
        <v>45795</v>
      </c>
      <c r="D3243" t="inlineStr">
        <is>
          <t>JÄMTLANDS LÄN</t>
        </is>
      </c>
      <c r="E3243" t="inlineStr">
        <is>
          <t>STRÖMSUND</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44811-2024</t>
        </is>
      </c>
      <c r="B3244" s="1" t="n">
        <v>45574</v>
      </c>
      <c r="C3244" s="1" t="n">
        <v>45795</v>
      </c>
      <c r="D3244" t="inlineStr">
        <is>
          <t>JÄMTLANDS LÄN</t>
        </is>
      </c>
      <c r="E3244" t="inlineStr">
        <is>
          <t>STRÖMSUND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44601-2024</t>
        </is>
      </c>
      <c r="B3245" s="1" t="n">
        <v>45574</v>
      </c>
      <c r="C3245" s="1" t="n">
        <v>45795</v>
      </c>
      <c r="D3245" t="inlineStr">
        <is>
          <t>JÄMTLANDS LÄN</t>
        </is>
      </c>
      <c r="E3245" t="inlineStr">
        <is>
          <t>STRÖMSUND</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44638-2024</t>
        </is>
      </c>
      <c r="B3246" s="1" t="n">
        <v>45574</v>
      </c>
      <c r="C3246" s="1" t="n">
        <v>45795</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44642-2024</t>
        </is>
      </c>
      <c r="B3247" s="1" t="n">
        <v>45574</v>
      </c>
      <c r="C3247" s="1" t="n">
        <v>45795</v>
      </c>
      <c r="D3247" t="inlineStr">
        <is>
          <t>JÄMTLANDS LÄN</t>
        </is>
      </c>
      <c r="E3247" t="inlineStr">
        <is>
          <t>STRÖMSUND</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44584-2024</t>
        </is>
      </c>
      <c r="B3248" s="1" t="n">
        <v>45574</v>
      </c>
      <c r="C3248" s="1" t="n">
        <v>45795</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44596-2024</t>
        </is>
      </c>
      <c r="B3249" s="1" t="n">
        <v>45574</v>
      </c>
      <c r="C3249" s="1" t="n">
        <v>45795</v>
      </c>
      <c r="D3249" t="inlineStr">
        <is>
          <t>JÄMTLANDS LÄN</t>
        </is>
      </c>
      <c r="E3249" t="inlineStr">
        <is>
          <t>STRÖMSUND</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45005-2024</t>
        </is>
      </c>
      <c r="B3250" s="1" t="n">
        <v>45575</v>
      </c>
      <c r="C3250" s="1" t="n">
        <v>45795</v>
      </c>
      <c r="D3250" t="inlineStr">
        <is>
          <t>JÄMTLANDS LÄN</t>
        </is>
      </c>
      <c r="E3250" t="inlineStr">
        <is>
          <t>STRÖMSUND</t>
        </is>
      </c>
      <c r="F3250" t="inlineStr">
        <is>
          <t>SCA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45411-2024</t>
        </is>
      </c>
      <c r="B3251" s="1" t="n">
        <v>45576</v>
      </c>
      <c r="C3251" s="1" t="n">
        <v>45795</v>
      </c>
      <c r="D3251" t="inlineStr">
        <is>
          <t>JÄMTLANDS LÄN</t>
        </is>
      </c>
      <c r="E3251" t="inlineStr">
        <is>
          <t>STRÖMSUND</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45251-2024</t>
        </is>
      </c>
      <c r="B3252" s="1" t="n">
        <v>45576</v>
      </c>
      <c r="C3252" s="1" t="n">
        <v>45795</v>
      </c>
      <c r="D3252" t="inlineStr">
        <is>
          <t>JÄMTLANDS LÄN</t>
        </is>
      </c>
      <c r="E3252" t="inlineStr">
        <is>
          <t>STRÖMSUND</t>
        </is>
      </c>
      <c r="F3252" t="inlineStr">
        <is>
          <t>Sveaskog</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45249-2024</t>
        </is>
      </c>
      <c r="B3253" s="1" t="n">
        <v>45576</v>
      </c>
      <c r="C3253" s="1" t="n">
        <v>45795</v>
      </c>
      <c r="D3253" t="inlineStr">
        <is>
          <t>JÄMTLANDS LÄN</t>
        </is>
      </c>
      <c r="E3253" t="inlineStr">
        <is>
          <t>STRÖMSUND</t>
        </is>
      </c>
      <c r="F3253" t="inlineStr">
        <is>
          <t>Sveaskog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45762-2024</t>
        </is>
      </c>
      <c r="B3254" s="1" t="n">
        <v>45579</v>
      </c>
      <c r="C3254" s="1" t="n">
        <v>45795</v>
      </c>
      <c r="D3254" t="inlineStr">
        <is>
          <t>JÄMTLANDS LÄN</t>
        </is>
      </c>
      <c r="E3254" t="inlineStr">
        <is>
          <t>STRÖMSUND</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45759-2024</t>
        </is>
      </c>
      <c r="B3255" s="1" t="n">
        <v>45579</v>
      </c>
      <c r="C3255" s="1" t="n">
        <v>45795</v>
      </c>
      <c r="D3255" t="inlineStr">
        <is>
          <t>JÄMTLANDS LÄN</t>
        </is>
      </c>
      <c r="E3255" t="inlineStr">
        <is>
          <t>STRÖMSUND</t>
        </is>
      </c>
      <c r="F3255" t="inlineStr">
        <is>
          <t>SCA</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46199-2024</t>
        </is>
      </c>
      <c r="B3256" s="1" t="n">
        <v>45581</v>
      </c>
      <c r="C3256" s="1" t="n">
        <v>45795</v>
      </c>
      <c r="D3256" t="inlineStr">
        <is>
          <t>JÄMTLANDS LÄN</t>
        </is>
      </c>
      <c r="E3256" t="inlineStr">
        <is>
          <t>STRÖMSUND</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46394-2024</t>
        </is>
      </c>
      <c r="B3257" s="1" t="n">
        <v>45582</v>
      </c>
      <c r="C3257" s="1" t="n">
        <v>45795</v>
      </c>
      <c r="D3257" t="inlineStr">
        <is>
          <t>JÄMTLANDS LÄN</t>
        </is>
      </c>
      <c r="E3257" t="inlineStr">
        <is>
          <t>STRÖMSUND</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46816-2024</t>
        </is>
      </c>
      <c r="B3258" s="1" t="n">
        <v>45583</v>
      </c>
      <c r="C3258" s="1" t="n">
        <v>45795</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46677-2024</t>
        </is>
      </c>
      <c r="B3259" s="1" t="n">
        <v>45583</v>
      </c>
      <c r="C3259" s="1" t="n">
        <v>45795</v>
      </c>
      <c r="D3259" t="inlineStr">
        <is>
          <t>JÄMTLANDS LÄN</t>
        </is>
      </c>
      <c r="E3259" t="inlineStr">
        <is>
          <t>STRÖMSUND</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46905-2024</t>
        </is>
      </c>
      <c r="B3260" s="1" t="n">
        <v>45583</v>
      </c>
      <c r="C3260" s="1" t="n">
        <v>45795</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47241-2024</t>
        </is>
      </c>
      <c r="B3261" s="1" t="n">
        <v>45586</v>
      </c>
      <c r="C3261" s="1" t="n">
        <v>45795</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47114-2024</t>
        </is>
      </c>
      <c r="B3262" s="1" t="n">
        <v>45586</v>
      </c>
      <c r="C3262" s="1" t="n">
        <v>45795</v>
      </c>
      <c r="D3262" t="inlineStr">
        <is>
          <t>JÄMTLANDS LÄN</t>
        </is>
      </c>
      <c r="E3262" t="inlineStr">
        <is>
          <t>STRÖMSUND</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46980-2024</t>
        </is>
      </c>
      <c r="B3263" s="1" t="n">
        <v>45586</v>
      </c>
      <c r="C3263" s="1" t="n">
        <v>45795</v>
      </c>
      <c r="D3263" t="inlineStr">
        <is>
          <t>JÄMTLANDS LÄN</t>
        </is>
      </c>
      <c r="E3263" t="inlineStr">
        <is>
          <t>STRÖMSUND</t>
        </is>
      </c>
      <c r="F3263" t="inlineStr">
        <is>
          <t>Holmen skog AB</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47331-2024</t>
        </is>
      </c>
      <c r="B3264" s="1" t="n">
        <v>45587</v>
      </c>
      <c r="C3264" s="1" t="n">
        <v>45795</v>
      </c>
      <c r="D3264" t="inlineStr">
        <is>
          <t>JÄMTLANDS LÄN</t>
        </is>
      </c>
      <c r="E3264" t="inlineStr">
        <is>
          <t>STRÖMSUND</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47356-2024</t>
        </is>
      </c>
      <c r="B3265" s="1" t="n">
        <v>45587</v>
      </c>
      <c r="C3265" s="1" t="n">
        <v>45795</v>
      </c>
      <c r="D3265" t="inlineStr">
        <is>
          <t>JÄMTLANDS LÄN</t>
        </is>
      </c>
      <c r="E3265" t="inlineStr">
        <is>
          <t>STRÖMSUND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47633-2024</t>
        </is>
      </c>
      <c r="B3266" s="1" t="n">
        <v>45588</v>
      </c>
      <c r="C3266" s="1" t="n">
        <v>45795</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47632-2024</t>
        </is>
      </c>
      <c r="B3267" s="1" t="n">
        <v>45588</v>
      </c>
      <c r="C3267" s="1" t="n">
        <v>45795</v>
      </c>
      <c r="D3267" t="inlineStr">
        <is>
          <t>JÄMTLANDS LÄN</t>
        </is>
      </c>
      <c r="E3267" t="inlineStr">
        <is>
          <t>STRÖMSUND</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47806-2024</t>
        </is>
      </c>
      <c r="B3268" s="1" t="n">
        <v>45588</v>
      </c>
      <c r="C3268" s="1" t="n">
        <v>45795</v>
      </c>
      <c r="D3268" t="inlineStr">
        <is>
          <t>JÄMTLANDS LÄN</t>
        </is>
      </c>
      <c r="E3268" t="inlineStr">
        <is>
          <t>STRÖMSUND</t>
        </is>
      </c>
      <c r="F3268" t="inlineStr">
        <is>
          <t>SCA</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47657-2024</t>
        </is>
      </c>
      <c r="B3269" s="1" t="n">
        <v>45588</v>
      </c>
      <c r="C3269" s="1" t="n">
        <v>45795</v>
      </c>
      <c r="D3269" t="inlineStr">
        <is>
          <t>JÄMTLANDS LÄN</t>
        </is>
      </c>
      <c r="E3269" t="inlineStr">
        <is>
          <t>STRÖMSUND</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47655-2024</t>
        </is>
      </c>
      <c r="B3270" s="1" t="n">
        <v>45588</v>
      </c>
      <c r="C3270" s="1" t="n">
        <v>45795</v>
      </c>
      <c r="D3270" t="inlineStr">
        <is>
          <t>JÄMTLANDS LÄN</t>
        </is>
      </c>
      <c r="E3270" t="inlineStr">
        <is>
          <t>STRÖMSUND</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48134-2024</t>
        </is>
      </c>
      <c r="B3271" s="1" t="n">
        <v>45589</v>
      </c>
      <c r="C3271" s="1" t="n">
        <v>45795</v>
      </c>
      <c r="D3271" t="inlineStr">
        <is>
          <t>JÄMTLANDS LÄN</t>
        </is>
      </c>
      <c r="E3271" t="inlineStr">
        <is>
          <t>STRÖMSUND</t>
        </is>
      </c>
      <c r="G3271" t="n">
        <v>27.3</v>
      </c>
      <c r="H3271" t="n">
        <v>0</v>
      </c>
      <c r="I3271" t="n">
        <v>0</v>
      </c>
      <c r="J3271" t="n">
        <v>0</v>
      </c>
      <c r="K3271" t="n">
        <v>0</v>
      </c>
      <c r="L3271" t="n">
        <v>0</v>
      </c>
      <c r="M3271" t="n">
        <v>0</v>
      </c>
      <c r="N3271" t="n">
        <v>0</v>
      </c>
      <c r="O3271" t="n">
        <v>0</v>
      </c>
      <c r="P3271" t="n">
        <v>0</v>
      </c>
      <c r="Q3271" t="n">
        <v>0</v>
      </c>
      <c r="R3271" s="2" t="inlineStr"/>
    </row>
    <row r="3272" ht="15" customHeight="1">
      <c r="A3272" t="inlineStr">
        <is>
          <t>A 48194-2024</t>
        </is>
      </c>
      <c r="B3272" s="1" t="n">
        <v>45590</v>
      </c>
      <c r="C3272" s="1" t="n">
        <v>45795</v>
      </c>
      <c r="D3272" t="inlineStr">
        <is>
          <t>JÄMTLANDS LÄN</t>
        </is>
      </c>
      <c r="E3272" t="inlineStr">
        <is>
          <t>STRÖMSUND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48603-2024</t>
        </is>
      </c>
      <c r="B3273" s="1" t="n">
        <v>45593</v>
      </c>
      <c r="C3273" s="1" t="n">
        <v>45795</v>
      </c>
      <c r="D3273" t="inlineStr">
        <is>
          <t>JÄMTLANDS LÄN</t>
        </is>
      </c>
      <c r="E3273" t="inlineStr">
        <is>
          <t>STRÖMSUND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48604-2024</t>
        </is>
      </c>
      <c r="B3274" s="1" t="n">
        <v>45593</v>
      </c>
      <c r="C3274" s="1" t="n">
        <v>45795</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48833-2024</t>
        </is>
      </c>
      <c r="B3275" s="1" t="n">
        <v>45593</v>
      </c>
      <c r="C3275" s="1" t="n">
        <v>45795</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48936-2024</t>
        </is>
      </c>
      <c r="B3276" s="1" t="n">
        <v>45594</v>
      </c>
      <c r="C3276" s="1" t="n">
        <v>45795</v>
      </c>
      <c r="D3276" t="inlineStr">
        <is>
          <t>JÄMTLANDS LÄN</t>
        </is>
      </c>
      <c r="E3276" t="inlineStr">
        <is>
          <t>STRÖMSUND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48910-2024</t>
        </is>
      </c>
      <c r="B3277" s="1" t="n">
        <v>45594</v>
      </c>
      <c r="C3277" s="1" t="n">
        <v>45795</v>
      </c>
      <c r="D3277" t="inlineStr">
        <is>
          <t>JÄMTLANDS LÄN</t>
        </is>
      </c>
      <c r="E3277" t="inlineStr">
        <is>
          <t>STRÖMSUND</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49126-2024</t>
        </is>
      </c>
      <c r="B3278" s="1" t="n">
        <v>45594</v>
      </c>
      <c r="C3278" s="1" t="n">
        <v>45795</v>
      </c>
      <c r="D3278" t="inlineStr">
        <is>
          <t>JÄMTLANDS LÄN</t>
        </is>
      </c>
      <c r="E3278" t="inlineStr">
        <is>
          <t>STRÖMSUND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48917-2024</t>
        </is>
      </c>
      <c r="B3279" s="1" t="n">
        <v>45594</v>
      </c>
      <c r="C3279" s="1" t="n">
        <v>45795</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48947-2024</t>
        </is>
      </c>
      <c r="B3280" s="1" t="n">
        <v>45594</v>
      </c>
      <c r="C3280" s="1" t="n">
        <v>45795</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49127-2024</t>
        </is>
      </c>
      <c r="B3281" s="1" t="n">
        <v>45594</v>
      </c>
      <c r="C3281" s="1" t="n">
        <v>45795</v>
      </c>
      <c r="D3281" t="inlineStr">
        <is>
          <t>JÄMTLANDS LÄN</t>
        </is>
      </c>
      <c r="E3281" t="inlineStr">
        <is>
          <t>STRÖMSUND</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49196-2024</t>
        </is>
      </c>
      <c r="B3282" s="1" t="n">
        <v>45595</v>
      </c>
      <c r="C3282" s="1" t="n">
        <v>45795</v>
      </c>
      <c r="D3282" t="inlineStr">
        <is>
          <t>JÄMTLANDS LÄN</t>
        </is>
      </c>
      <c r="E3282" t="inlineStr">
        <is>
          <t>STRÖMSUND</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49191-2024</t>
        </is>
      </c>
      <c r="B3283" s="1" t="n">
        <v>45595</v>
      </c>
      <c r="C3283" s="1" t="n">
        <v>45795</v>
      </c>
      <c r="D3283" t="inlineStr">
        <is>
          <t>JÄMTLANDS LÄN</t>
        </is>
      </c>
      <c r="E3283" t="inlineStr">
        <is>
          <t>STRÖMSUND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49186-2024</t>
        </is>
      </c>
      <c r="B3284" s="1" t="n">
        <v>45595</v>
      </c>
      <c r="C3284" s="1" t="n">
        <v>45795</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49194-2024</t>
        </is>
      </c>
      <c r="B3285" s="1" t="n">
        <v>45595</v>
      </c>
      <c r="C3285" s="1" t="n">
        <v>45795</v>
      </c>
      <c r="D3285" t="inlineStr">
        <is>
          <t>JÄMTLANDS LÄN</t>
        </is>
      </c>
      <c r="E3285" t="inlineStr">
        <is>
          <t>STRÖMSUND</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49370-2024</t>
        </is>
      </c>
      <c r="B3286" s="1" t="n">
        <v>45595</v>
      </c>
      <c r="C3286" s="1" t="n">
        <v>45795</v>
      </c>
      <c r="D3286" t="inlineStr">
        <is>
          <t>JÄMTLANDS LÄN</t>
        </is>
      </c>
      <c r="E3286" t="inlineStr">
        <is>
          <t>STRÖMSUND</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49384-2024</t>
        </is>
      </c>
      <c r="B3287" s="1" t="n">
        <v>45595</v>
      </c>
      <c r="C3287" s="1" t="n">
        <v>45795</v>
      </c>
      <c r="D3287" t="inlineStr">
        <is>
          <t>JÄMTLANDS LÄN</t>
        </is>
      </c>
      <c r="E3287" t="inlineStr">
        <is>
          <t>STRÖMSUND</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49396-2024</t>
        </is>
      </c>
      <c r="B3288" s="1" t="n">
        <v>45595</v>
      </c>
      <c r="C3288" s="1" t="n">
        <v>45795</v>
      </c>
      <c r="D3288" t="inlineStr">
        <is>
          <t>JÄMTLANDS LÄN</t>
        </is>
      </c>
      <c r="E3288" t="inlineStr">
        <is>
          <t>STRÖMSUND</t>
        </is>
      </c>
      <c r="F3288" t="inlineStr">
        <is>
          <t>SCA</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49685-2024</t>
        </is>
      </c>
      <c r="B3289" s="1" t="n">
        <v>45596</v>
      </c>
      <c r="C3289" s="1" t="n">
        <v>45795</v>
      </c>
      <c r="D3289" t="inlineStr">
        <is>
          <t>JÄMTLANDS LÄN</t>
        </is>
      </c>
      <c r="E3289" t="inlineStr">
        <is>
          <t>STRÖMSUND</t>
        </is>
      </c>
      <c r="G3289" t="n">
        <v>21.5</v>
      </c>
      <c r="H3289" t="n">
        <v>0</v>
      </c>
      <c r="I3289" t="n">
        <v>0</v>
      </c>
      <c r="J3289" t="n">
        <v>0</v>
      </c>
      <c r="K3289" t="n">
        <v>0</v>
      </c>
      <c r="L3289" t="n">
        <v>0</v>
      </c>
      <c r="M3289" t="n">
        <v>0</v>
      </c>
      <c r="N3289" t="n">
        <v>0</v>
      </c>
      <c r="O3289" t="n">
        <v>0</v>
      </c>
      <c r="P3289" t="n">
        <v>0</v>
      </c>
      <c r="Q3289" t="n">
        <v>0</v>
      </c>
      <c r="R3289" s="2" t="inlineStr"/>
    </row>
    <row r="3290" ht="15" customHeight="1">
      <c r="A3290" t="inlineStr">
        <is>
          <t>A 49686-2024</t>
        </is>
      </c>
      <c r="B3290" s="1" t="n">
        <v>45596</v>
      </c>
      <c r="C3290" s="1" t="n">
        <v>45795</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49566-2024</t>
        </is>
      </c>
      <c r="B3291" s="1" t="n">
        <v>45596</v>
      </c>
      <c r="C3291" s="1" t="n">
        <v>45795</v>
      </c>
      <c r="D3291" t="inlineStr">
        <is>
          <t>JÄMTLANDS LÄN</t>
        </is>
      </c>
      <c r="E3291" t="inlineStr">
        <is>
          <t>STRÖMSUND</t>
        </is>
      </c>
      <c r="F3291" t="inlineStr">
        <is>
          <t>SCA</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49732-2024</t>
        </is>
      </c>
      <c r="B3292" s="1" t="n">
        <v>45596</v>
      </c>
      <c r="C3292" s="1" t="n">
        <v>45795</v>
      </c>
      <c r="D3292" t="inlineStr">
        <is>
          <t>JÄMTLANDS LÄN</t>
        </is>
      </c>
      <c r="E3292" t="inlineStr">
        <is>
          <t>STRÖMSUND</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49547-2024</t>
        </is>
      </c>
      <c r="B3293" s="1" t="n">
        <v>45596</v>
      </c>
      <c r="C3293" s="1" t="n">
        <v>45795</v>
      </c>
      <c r="D3293" t="inlineStr">
        <is>
          <t>JÄMTLANDS LÄN</t>
        </is>
      </c>
      <c r="E3293" t="inlineStr">
        <is>
          <t>STRÖMSUND</t>
        </is>
      </c>
      <c r="F3293" t="inlineStr">
        <is>
          <t>SCA</t>
        </is>
      </c>
      <c r="G3293" t="n">
        <v>13.8</v>
      </c>
      <c r="H3293" t="n">
        <v>0</v>
      </c>
      <c r="I3293" t="n">
        <v>0</v>
      </c>
      <c r="J3293" t="n">
        <v>0</v>
      </c>
      <c r="K3293" t="n">
        <v>0</v>
      </c>
      <c r="L3293" t="n">
        <v>0</v>
      </c>
      <c r="M3293" t="n">
        <v>0</v>
      </c>
      <c r="N3293" t="n">
        <v>0</v>
      </c>
      <c r="O3293" t="n">
        <v>0</v>
      </c>
      <c r="P3293" t="n">
        <v>0</v>
      </c>
      <c r="Q3293" t="n">
        <v>0</v>
      </c>
      <c r="R3293" s="2" t="inlineStr"/>
    </row>
    <row r="3294" ht="15" customHeight="1">
      <c r="A3294" t="inlineStr">
        <is>
          <t>A 49898-2024</t>
        </is>
      </c>
      <c r="B3294" s="1" t="n">
        <v>45597</v>
      </c>
      <c r="C3294" s="1" t="n">
        <v>45795</v>
      </c>
      <c r="D3294" t="inlineStr">
        <is>
          <t>JÄMTLANDS LÄN</t>
        </is>
      </c>
      <c r="E3294" t="inlineStr">
        <is>
          <t>STRÖMSUND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49940-2024</t>
        </is>
      </c>
      <c r="B3295" s="1" t="n">
        <v>45597</v>
      </c>
      <c r="C3295" s="1" t="n">
        <v>45795</v>
      </c>
      <c r="D3295" t="inlineStr">
        <is>
          <t>JÄMTLANDS LÄN</t>
        </is>
      </c>
      <c r="E3295" t="inlineStr">
        <is>
          <t>STRÖMSUND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50031-2024</t>
        </is>
      </c>
      <c r="B3296" s="1" t="n">
        <v>45599</v>
      </c>
      <c r="C3296" s="1" t="n">
        <v>45795</v>
      </c>
      <c r="D3296" t="inlineStr">
        <is>
          <t>JÄMTLANDS LÄN</t>
        </is>
      </c>
      <c r="E3296" t="inlineStr">
        <is>
          <t>STRÖMSUND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50108-2024</t>
        </is>
      </c>
      <c r="B3297" s="1" t="n">
        <v>45600</v>
      </c>
      <c r="C3297" s="1" t="n">
        <v>45795</v>
      </c>
      <c r="D3297" t="inlineStr">
        <is>
          <t>JÄMTLANDS LÄN</t>
        </is>
      </c>
      <c r="E3297" t="inlineStr">
        <is>
          <t>STRÖMSUND</t>
        </is>
      </c>
      <c r="F3297" t="inlineStr">
        <is>
          <t>SCA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50143-2024</t>
        </is>
      </c>
      <c r="B3298" s="1" t="n">
        <v>45600</v>
      </c>
      <c r="C3298" s="1" t="n">
        <v>45795</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50140-2024</t>
        </is>
      </c>
      <c r="B3299" s="1" t="n">
        <v>45600</v>
      </c>
      <c r="C3299" s="1" t="n">
        <v>45795</v>
      </c>
      <c r="D3299" t="inlineStr">
        <is>
          <t>JÄMTLANDS LÄN</t>
        </is>
      </c>
      <c r="E3299" t="inlineStr">
        <is>
          <t>STRÖMSUND</t>
        </is>
      </c>
      <c r="F3299" t="inlineStr">
        <is>
          <t>SCA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50141-2024</t>
        </is>
      </c>
      <c r="B3300" s="1" t="n">
        <v>45600</v>
      </c>
      <c r="C3300" s="1" t="n">
        <v>45795</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50142-2024</t>
        </is>
      </c>
      <c r="B3301" s="1" t="n">
        <v>45600</v>
      </c>
      <c r="C3301" s="1" t="n">
        <v>45795</v>
      </c>
      <c r="D3301" t="inlineStr">
        <is>
          <t>JÄMTLANDS LÄN</t>
        </is>
      </c>
      <c r="E3301" t="inlineStr">
        <is>
          <t>STRÖMSUND</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50638-2024</t>
        </is>
      </c>
      <c r="B3302" s="1" t="n">
        <v>45601</v>
      </c>
      <c r="C3302" s="1" t="n">
        <v>45795</v>
      </c>
      <c r="D3302" t="inlineStr">
        <is>
          <t>JÄMTLANDS LÄN</t>
        </is>
      </c>
      <c r="E3302" t="inlineStr">
        <is>
          <t>STRÖMSUND</t>
        </is>
      </c>
      <c r="F3302" t="inlineStr">
        <is>
          <t>SCA</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50445-2024</t>
        </is>
      </c>
      <c r="B3303" s="1" t="n">
        <v>45601</v>
      </c>
      <c r="C3303" s="1" t="n">
        <v>45795</v>
      </c>
      <c r="D3303" t="inlineStr">
        <is>
          <t>JÄMTLANDS LÄN</t>
        </is>
      </c>
      <c r="E3303" t="inlineStr">
        <is>
          <t>STRÖMSUND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51056-2024</t>
        </is>
      </c>
      <c r="B3304" s="1" t="n">
        <v>45603</v>
      </c>
      <c r="C3304" s="1" t="n">
        <v>45795</v>
      </c>
      <c r="D3304" t="inlineStr">
        <is>
          <t>JÄMTLANDS LÄN</t>
        </is>
      </c>
      <c r="E3304" t="inlineStr">
        <is>
          <t>STRÖMSUND</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51154-2024</t>
        </is>
      </c>
      <c r="B3305" s="1" t="n">
        <v>45603</v>
      </c>
      <c r="C3305" s="1" t="n">
        <v>45795</v>
      </c>
      <c r="D3305" t="inlineStr">
        <is>
          <t>JÄMTLANDS LÄN</t>
        </is>
      </c>
      <c r="E3305" t="inlineStr">
        <is>
          <t>STRÖMSUND</t>
        </is>
      </c>
      <c r="F3305" t="inlineStr">
        <is>
          <t>SCA</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51404-2024</t>
        </is>
      </c>
      <c r="B3306" s="1" t="n">
        <v>45604</v>
      </c>
      <c r="C3306" s="1" t="n">
        <v>45795</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51432-2024</t>
        </is>
      </c>
      <c r="B3307" s="1" t="n">
        <v>45604</v>
      </c>
      <c r="C3307" s="1" t="n">
        <v>45795</v>
      </c>
      <c r="D3307" t="inlineStr">
        <is>
          <t>JÄMTLANDS LÄN</t>
        </is>
      </c>
      <c r="E3307" t="inlineStr">
        <is>
          <t>STRÖMSUND</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51478-2024</t>
        </is>
      </c>
      <c r="B3308" s="1" t="n">
        <v>45604</v>
      </c>
      <c r="C3308" s="1" t="n">
        <v>45795</v>
      </c>
      <c r="D3308" t="inlineStr">
        <is>
          <t>JÄMTLANDS LÄN</t>
        </is>
      </c>
      <c r="E3308" t="inlineStr">
        <is>
          <t>STRÖMSUND</t>
        </is>
      </c>
      <c r="F3308" t="inlineStr">
        <is>
          <t>Kommuner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51498-2024</t>
        </is>
      </c>
      <c r="B3309" s="1" t="n">
        <v>45604</v>
      </c>
      <c r="C3309" s="1" t="n">
        <v>45795</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51491-2024</t>
        </is>
      </c>
      <c r="B3310" s="1" t="n">
        <v>45604</v>
      </c>
      <c r="C3310" s="1" t="n">
        <v>45795</v>
      </c>
      <c r="D3310" t="inlineStr">
        <is>
          <t>JÄMTLANDS LÄN</t>
        </is>
      </c>
      <c r="E3310" t="inlineStr">
        <is>
          <t>STRÖMSUND</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v>
      </c>
      <c r="C3311" s="1" t="n">
        <v>45795</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51593-2024</t>
        </is>
      </c>
      <c r="B3312" s="1" t="n">
        <v>45604</v>
      </c>
      <c r="C3312" s="1" t="n">
        <v>45795</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51606-2024</t>
        </is>
      </c>
      <c r="B3313" s="1" t="n">
        <v>45604</v>
      </c>
      <c r="C3313" s="1" t="n">
        <v>45795</v>
      </c>
      <c r="D3313" t="inlineStr">
        <is>
          <t>JÄMTLANDS LÄN</t>
        </is>
      </c>
      <c r="E3313" t="inlineStr">
        <is>
          <t>STRÖMSUND</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51943-2024</t>
        </is>
      </c>
      <c r="B3314" s="1" t="n">
        <v>45607</v>
      </c>
      <c r="C3314" s="1" t="n">
        <v>45795</v>
      </c>
      <c r="D3314" t="inlineStr">
        <is>
          <t>JÄMTLANDS LÄN</t>
        </is>
      </c>
      <c r="E3314" t="inlineStr">
        <is>
          <t>STRÖMSUND</t>
        </is>
      </c>
      <c r="F3314" t="inlineStr">
        <is>
          <t>SCA</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51685-2024</t>
        </is>
      </c>
      <c r="B3315" s="1" t="n">
        <v>45607</v>
      </c>
      <c r="C3315" s="1" t="n">
        <v>45795</v>
      </c>
      <c r="D3315" t="inlineStr">
        <is>
          <t>JÄMTLANDS LÄN</t>
        </is>
      </c>
      <c r="E3315" t="inlineStr">
        <is>
          <t>STRÖMSUND</t>
        </is>
      </c>
      <c r="F3315" t="inlineStr">
        <is>
          <t>SCA</t>
        </is>
      </c>
      <c r="G3315" t="n">
        <v>53.5</v>
      </c>
      <c r="H3315" t="n">
        <v>0</v>
      </c>
      <c r="I3315" t="n">
        <v>0</v>
      </c>
      <c r="J3315" t="n">
        <v>0</v>
      </c>
      <c r="K3315" t="n">
        <v>0</v>
      </c>
      <c r="L3315" t="n">
        <v>0</v>
      </c>
      <c r="M3315" t="n">
        <v>0</v>
      </c>
      <c r="N3315" t="n">
        <v>0</v>
      </c>
      <c r="O3315" t="n">
        <v>0</v>
      </c>
      <c r="P3315" t="n">
        <v>0</v>
      </c>
      <c r="Q3315" t="n">
        <v>0</v>
      </c>
      <c r="R3315" s="2" t="inlineStr"/>
    </row>
    <row r="3316" ht="15" customHeight="1">
      <c r="A3316" t="inlineStr">
        <is>
          <t>A 51689-2024</t>
        </is>
      </c>
      <c r="B3316" s="1" t="n">
        <v>45607</v>
      </c>
      <c r="C3316" s="1" t="n">
        <v>45795</v>
      </c>
      <c r="D3316" t="inlineStr">
        <is>
          <t>JÄMTLANDS LÄN</t>
        </is>
      </c>
      <c r="E3316" t="inlineStr">
        <is>
          <t>STRÖMSUND</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51763-2024</t>
        </is>
      </c>
      <c r="B3317" s="1" t="n">
        <v>45607</v>
      </c>
      <c r="C3317" s="1" t="n">
        <v>45795</v>
      </c>
      <c r="D3317" t="inlineStr">
        <is>
          <t>JÄMTLANDS LÄN</t>
        </is>
      </c>
      <c r="E3317" t="inlineStr">
        <is>
          <t>STRÖMSUND</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51803-2024</t>
        </is>
      </c>
      <c r="B3318" s="1" t="n">
        <v>45607</v>
      </c>
      <c r="C3318" s="1" t="n">
        <v>45795</v>
      </c>
      <c r="D3318" t="inlineStr">
        <is>
          <t>JÄMTLANDS LÄN</t>
        </is>
      </c>
      <c r="E3318" t="inlineStr">
        <is>
          <t>STRÖMSUND</t>
        </is>
      </c>
      <c r="F3318" t="inlineStr">
        <is>
          <t>Kommuner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51946-2024</t>
        </is>
      </c>
      <c r="B3319" s="1" t="n">
        <v>45607</v>
      </c>
      <c r="C3319" s="1" t="n">
        <v>45795</v>
      </c>
      <c r="D3319" t="inlineStr">
        <is>
          <t>JÄMTLANDS LÄN</t>
        </is>
      </c>
      <c r="E3319" t="inlineStr">
        <is>
          <t>STRÖMSUND</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51688-2024</t>
        </is>
      </c>
      <c r="B3320" s="1" t="n">
        <v>45607</v>
      </c>
      <c r="C3320" s="1" t="n">
        <v>45795</v>
      </c>
      <c r="D3320" t="inlineStr">
        <is>
          <t>JÄMTLANDS LÄN</t>
        </is>
      </c>
      <c r="E3320" t="inlineStr">
        <is>
          <t>STRÖMSUND</t>
        </is>
      </c>
      <c r="F3320" t="inlineStr">
        <is>
          <t>SCA</t>
        </is>
      </c>
      <c r="G3320" t="n">
        <v>36.3</v>
      </c>
      <c r="H3320" t="n">
        <v>0</v>
      </c>
      <c r="I3320" t="n">
        <v>0</v>
      </c>
      <c r="J3320" t="n">
        <v>0</v>
      </c>
      <c r="K3320" t="n">
        <v>0</v>
      </c>
      <c r="L3320" t="n">
        <v>0</v>
      </c>
      <c r="M3320" t="n">
        <v>0</v>
      </c>
      <c r="N3320" t="n">
        <v>0</v>
      </c>
      <c r="O3320" t="n">
        <v>0</v>
      </c>
      <c r="P3320" t="n">
        <v>0</v>
      </c>
      <c r="Q3320" t="n">
        <v>0</v>
      </c>
      <c r="R3320" s="2" t="inlineStr"/>
    </row>
    <row r="3321" ht="15" customHeight="1">
      <c r="A3321" t="inlineStr">
        <is>
          <t>A 51696-2024</t>
        </is>
      </c>
      <c r="B3321" s="1" t="n">
        <v>45607</v>
      </c>
      <c r="C3321" s="1" t="n">
        <v>45795</v>
      </c>
      <c r="D3321" t="inlineStr">
        <is>
          <t>JÄMTLANDS LÄN</t>
        </is>
      </c>
      <c r="E3321" t="inlineStr">
        <is>
          <t>STRÖMSUND</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51941-2024</t>
        </is>
      </c>
      <c r="B3322" s="1" t="n">
        <v>45607</v>
      </c>
      <c r="C3322" s="1" t="n">
        <v>45795</v>
      </c>
      <c r="D3322" t="inlineStr">
        <is>
          <t>JÄMTLANDS LÄN</t>
        </is>
      </c>
      <c r="E3322" t="inlineStr">
        <is>
          <t>STRÖMSUND</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51838-2024</t>
        </is>
      </c>
      <c r="B3323" s="1" t="n">
        <v>45607</v>
      </c>
      <c r="C3323" s="1" t="n">
        <v>45795</v>
      </c>
      <c r="D3323" t="inlineStr">
        <is>
          <t>JÄMTLANDS LÄN</t>
        </is>
      </c>
      <c r="E3323" t="inlineStr">
        <is>
          <t>STRÖMSUND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51757-2024</t>
        </is>
      </c>
      <c r="B3324" s="1" t="n">
        <v>45607</v>
      </c>
      <c r="C3324" s="1" t="n">
        <v>45795</v>
      </c>
      <c r="D3324" t="inlineStr">
        <is>
          <t>JÄMTLANDS LÄN</t>
        </is>
      </c>
      <c r="E3324" t="inlineStr">
        <is>
          <t>STRÖMSUND</t>
        </is>
      </c>
      <c r="F3324" t="inlineStr">
        <is>
          <t>Kommuner</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51739-2024</t>
        </is>
      </c>
      <c r="B3325" s="1" t="n">
        <v>45607</v>
      </c>
      <c r="C3325" s="1" t="n">
        <v>45795</v>
      </c>
      <c r="D3325" t="inlineStr">
        <is>
          <t>JÄMTLANDS LÄN</t>
        </is>
      </c>
      <c r="E3325" t="inlineStr">
        <is>
          <t>STRÖMSUND</t>
        </is>
      </c>
      <c r="F3325" t="inlineStr">
        <is>
          <t>SCA</t>
        </is>
      </c>
      <c r="G3325" t="n">
        <v>16.1</v>
      </c>
      <c r="H3325" t="n">
        <v>0</v>
      </c>
      <c r="I3325" t="n">
        <v>0</v>
      </c>
      <c r="J3325" t="n">
        <v>0</v>
      </c>
      <c r="K3325" t="n">
        <v>0</v>
      </c>
      <c r="L3325" t="n">
        <v>0</v>
      </c>
      <c r="M3325" t="n">
        <v>0</v>
      </c>
      <c r="N3325" t="n">
        <v>0</v>
      </c>
      <c r="O3325" t="n">
        <v>0</v>
      </c>
      <c r="P3325" t="n">
        <v>0</v>
      </c>
      <c r="Q3325" t="n">
        <v>0</v>
      </c>
      <c r="R3325" s="2" t="inlineStr"/>
    </row>
    <row r="3326" ht="15" customHeight="1">
      <c r="A3326" t="inlineStr">
        <is>
          <t>A 51691-2024</t>
        </is>
      </c>
      <c r="B3326" s="1" t="n">
        <v>45607</v>
      </c>
      <c r="C3326" s="1" t="n">
        <v>45795</v>
      </c>
      <c r="D3326" t="inlineStr">
        <is>
          <t>JÄMTLANDS LÄN</t>
        </is>
      </c>
      <c r="E3326" t="inlineStr">
        <is>
          <t>STRÖMSUND</t>
        </is>
      </c>
      <c r="F3326" t="inlineStr">
        <is>
          <t>SCA</t>
        </is>
      </c>
      <c r="G3326" t="n">
        <v>35.8</v>
      </c>
      <c r="H3326" t="n">
        <v>0</v>
      </c>
      <c r="I3326" t="n">
        <v>0</v>
      </c>
      <c r="J3326" t="n">
        <v>0</v>
      </c>
      <c r="K3326" t="n">
        <v>0</v>
      </c>
      <c r="L3326" t="n">
        <v>0</v>
      </c>
      <c r="M3326" t="n">
        <v>0</v>
      </c>
      <c r="N3326" t="n">
        <v>0</v>
      </c>
      <c r="O3326" t="n">
        <v>0</v>
      </c>
      <c r="P3326" t="n">
        <v>0</v>
      </c>
      <c r="Q3326" t="n">
        <v>0</v>
      </c>
      <c r="R3326" s="2" t="inlineStr"/>
    </row>
    <row r="3327" ht="15" customHeight="1">
      <c r="A3327" t="inlineStr">
        <is>
          <t>A 51687-2024</t>
        </is>
      </c>
      <c r="B3327" s="1" t="n">
        <v>45607</v>
      </c>
      <c r="C3327" s="1" t="n">
        <v>45795</v>
      </c>
      <c r="D3327" t="inlineStr">
        <is>
          <t>JÄMTLANDS LÄN</t>
        </is>
      </c>
      <c r="E3327" t="inlineStr">
        <is>
          <t>STRÖMSUND</t>
        </is>
      </c>
      <c r="F3327" t="inlineStr">
        <is>
          <t>SCA</t>
        </is>
      </c>
      <c r="G3327" t="n">
        <v>21.4</v>
      </c>
      <c r="H3327" t="n">
        <v>0</v>
      </c>
      <c r="I3327" t="n">
        <v>0</v>
      </c>
      <c r="J3327" t="n">
        <v>0</v>
      </c>
      <c r="K3327" t="n">
        <v>0</v>
      </c>
      <c r="L3327" t="n">
        <v>0</v>
      </c>
      <c r="M3327" t="n">
        <v>0</v>
      </c>
      <c r="N3327" t="n">
        <v>0</v>
      </c>
      <c r="O3327" t="n">
        <v>0</v>
      </c>
      <c r="P3327" t="n">
        <v>0</v>
      </c>
      <c r="Q3327" t="n">
        <v>0</v>
      </c>
      <c r="R3327" s="2" t="inlineStr"/>
    </row>
    <row r="3328" ht="15" customHeight="1">
      <c r="A3328" t="inlineStr">
        <is>
          <t>A 51694-2024</t>
        </is>
      </c>
      <c r="B3328" s="1" t="n">
        <v>45607</v>
      </c>
      <c r="C3328" s="1" t="n">
        <v>45795</v>
      </c>
      <c r="D3328" t="inlineStr">
        <is>
          <t>JÄMTLANDS LÄN</t>
        </is>
      </c>
      <c r="E3328" t="inlineStr">
        <is>
          <t>STRÖMSUND</t>
        </is>
      </c>
      <c r="F3328" t="inlineStr">
        <is>
          <t>SCA</t>
        </is>
      </c>
      <c r="G3328" t="n">
        <v>82.7</v>
      </c>
      <c r="H3328" t="n">
        <v>0</v>
      </c>
      <c r="I3328" t="n">
        <v>0</v>
      </c>
      <c r="J3328" t="n">
        <v>0</v>
      </c>
      <c r="K3328" t="n">
        <v>0</v>
      </c>
      <c r="L3328" t="n">
        <v>0</v>
      </c>
      <c r="M3328" t="n">
        <v>0</v>
      </c>
      <c r="N3328" t="n">
        <v>0</v>
      </c>
      <c r="O3328" t="n">
        <v>0</v>
      </c>
      <c r="P3328" t="n">
        <v>0</v>
      </c>
      <c r="Q3328" t="n">
        <v>0</v>
      </c>
      <c r="R3328" s="2" t="inlineStr"/>
    </row>
    <row r="3329" ht="15" customHeight="1">
      <c r="A3329" t="inlineStr">
        <is>
          <t>A 51690-2024</t>
        </is>
      </c>
      <c r="B3329" s="1" t="n">
        <v>45607</v>
      </c>
      <c r="C3329" s="1" t="n">
        <v>45795</v>
      </c>
      <c r="D3329" t="inlineStr">
        <is>
          <t>JÄMTLANDS LÄN</t>
        </is>
      </c>
      <c r="E3329" t="inlineStr">
        <is>
          <t>STRÖMSUND</t>
        </is>
      </c>
      <c r="F3329" t="inlineStr">
        <is>
          <t>SCA</t>
        </is>
      </c>
      <c r="G3329" t="n">
        <v>22.8</v>
      </c>
      <c r="H3329" t="n">
        <v>0</v>
      </c>
      <c r="I3329" t="n">
        <v>0</v>
      </c>
      <c r="J3329" t="n">
        <v>0</v>
      </c>
      <c r="K3329" t="n">
        <v>0</v>
      </c>
      <c r="L3329" t="n">
        <v>0</v>
      </c>
      <c r="M3329" t="n">
        <v>0</v>
      </c>
      <c r="N3329" t="n">
        <v>0</v>
      </c>
      <c r="O3329" t="n">
        <v>0</v>
      </c>
      <c r="P3329" t="n">
        <v>0</v>
      </c>
      <c r="Q3329" t="n">
        <v>0</v>
      </c>
      <c r="R3329" s="2" t="inlineStr"/>
    </row>
    <row r="3330" ht="15" customHeight="1">
      <c r="A3330" t="inlineStr">
        <is>
          <t>A 51686-2024</t>
        </is>
      </c>
      <c r="B3330" s="1" t="n">
        <v>45607</v>
      </c>
      <c r="C3330" s="1" t="n">
        <v>45795</v>
      </c>
      <c r="D3330" t="inlineStr">
        <is>
          <t>JÄMTLANDS LÄN</t>
        </is>
      </c>
      <c r="E3330" t="inlineStr">
        <is>
          <t>STRÖMSUND</t>
        </is>
      </c>
      <c r="F3330" t="inlineStr">
        <is>
          <t>SCA</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52158-2024</t>
        </is>
      </c>
      <c r="B3331" s="1" t="n">
        <v>45608</v>
      </c>
      <c r="C3331" s="1" t="n">
        <v>45795</v>
      </c>
      <c r="D3331" t="inlineStr">
        <is>
          <t>JÄMTLANDS LÄN</t>
        </is>
      </c>
      <c r="E3331" t="inlineStr">
        <is>
          <t>STRÖMSUND</t>
        </is>
      </c>
      <c r="F3331" t="inlineStr">
        <is>
          <t>SCA</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52153-2024</t>
        </is>
      </c>
      <c r="B3332" s="1" t="n">
        <v>45608</v>
      </c>
      <c r="C3332" s="1" t="n">
        <v>45795</v>
      </c>
      <c r="D3332" t="inlineStr">
        <is>
          <t>JÄMTLANDS LÄN</t>
        </is>
      </c>
      <c r="E3332" t="inlineStr">
        <is>
          <t>STRÖMSUND</t>
        </is>
      </c>
      <c r="F3332" t="inlineStr">
        <is>
          <t>SCA</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52151-2024</t>
        </is>
      </c>
      <c r="B3333" s="1" t="n">
        <v>45608</v>
      </c>
      <c r="C3333" s="1" t="n">
        <v>45795</v>
      </c>
      <c r="D3333" t="inlineStr">
        <is>
          <t>JÄMTLANDS LÄN</t>
        </is>
      </c>
      <c r="E3333" t="inlineStr">
        <is>
          <t>STRÖMSUND</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52147-2024</t>
        </is>
      </c>
      <c r="B3334" s="1" t="n">
        <v>45608</v>
      </c>
      <c r="C3334" s="1" t="n">
        <v>45795</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53556-2024</t>
        </is>
      </c>
      <c r="B3335" s="1" t="n">
        <v>45608</v>
      </c>
      <c r="C3335" s="1" t="n">
        <v>45795</v>
      </c>
      <c r="D3335" t="inlineStr">
        <is>
          <t>JÄMTLANDS LÄN</t>
        </is>
      </c>
      <c r="E3335" t="inlineStr">
        <is>
          <t>STRÖMSUND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52211-2024</t>
        </is>
      </c>
      <c r="B3336" s="1" t="n">
        <v>45608</v>
      </c>
      <c r="C3336" s="1" t="n">
        <v>45795</v>
      </c>
      <c r="D3336" t="inlineStr">
        <is>
          <t>JÄMTLANDS LÄN</t>
        </is>
      </c>
      <c r="E3336" t="inlineStr">
        <is>
          <t>STRÖMSUND</t>
        </is>
      </c>
      <c r="F3336" t="inlineStr">
        <is>
          <t>SCA</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52199-2024</t>
        </is>
      </c>
      <c r="B3337" s="1" t="n">
        <v>45608</v>
      </c>
      <c r="C3337" s="1" t="n">
        <v>45795</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52559-2024</t>
        </is>
      </c>
      <c r="B3338" s="1" t="n">
        <v>45609</v>
      </c>
      <c r="C3338" s="1" t="n">
        <v>45795</v>
      </c>
      <c r="D3338" t="inlineStr">
        <is>
          <t>JÄMTLANDS LÄN</t>
        </is>
      </c>
      <c r="E3338" t="inlineStr">
        <is>
          <t>STRÖMSUND</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52583-2024</t>
        </is>
      </c>
      <c r="B3339" s="1" t="n">
        <v>45609</v>
      </c>
      <c r="C3339" s="1" t="n">
        <v>45795</v>
      </c>
      <c r="D3339" t="inlineStr">
        <is>
          <t>JÄMTLANDS LÄN</t>
        </is>
      </c>
      <c r="E3339" t="inlineStr">
        <is>
          <t>STRÖMSUND</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52582-2024</t>
        </is>
      </c>
      <c r="B3340" s="1" t="n">
        <v>45609</v>
      </c>
      <c r="C3340" s="1" t="n">
        <v>45795</v>
      </c>
      <c r="D3340" t="inlineStr">
        <is>
          <t>JÄMTLANDS LÄN</t>
        </is>
      </c>
      <c r="E3340" t="inlineStr">
        <is>
          <t>STRÖMSUND</t>
        </is>
      </c>
      <c r="F3340" t="inlineStr">
        <is>
          <t>SCA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52645-2024</t>
        </is>
      </c>
      <c r="B3341" s="1" t="n">
        <v>45610</v>
      </c>
      <c r="C3341" s="1" t="n">
        <v>45795</v>
      </c>
      <c r="D3341" t="inlineStr">
        <is>
          <t>JÄMTLANDS LÄN</t>
        </is>
      </c>
      <c r="E3341" t="inlineStr">
        <is>
          <t>STRÖMSUND</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52906-2024</t>
        </is>
      </c>
      <c r="B3342" s="1" t="n">
        <v>45610</v>
      </c>
      <c r="C3342" s="1" t="n">
        <v>45795</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53132-2024</t>
        </is>
      </c>
      <c r="B3343" s="1" t="n">
        <v>45611</v>
      </c>
      <c r="C3343" s="1" t="n">
        <v>45795</v>
      </c>
      <c r="D3343" t="inlineStr">
        <is>
          <t>JÄMTLANDS LÄN</t>
        </is>
      </c>
      <c r="E3343" t="inlineStr">
        <is>
          <t>STRÖMSUND</t>
        </is>
      </c>
      <c r="F3343" t="inlineStr">
        <is>
          <t>SCA</t>
        </is>
      </c>
      <c r="G3343" t="n">
        <v>29.2</v>
      </c>
      <c r="H3343" t="n">
        <v>0</v>
      </c>
      <c r="I3343" t="n">
        <v>0</v>
      </c>
      <c r="J3343" t="n">
        <v>0</v>
      </c>
      <c r="K3343" t="n">
        <v>0</v>
      </c>
      <c r="L3343" t="n">
        <v>0</v>
      </c>
      <c r="M3343" t="n">
        <v>0</v>
      </c>
      <c r="N3343" t="n">
        <v>0</v>
      </c>
      <c r="O3343" t="n">
        <v>0</v>
      </c>
      <c r="P3343" t="n">
        <v>0</v>
      </c>
      <c r="Q3343" t="n">
        <v>0</v>
      </c>
      <c r="R3343" s="2" t="inlineStr"/>
    </row>
    <row r="3344" ht="15" customHeight="1">
      <c r="A3344" t="inlineStr">
        <is>
          <t>A 53131-2024</t>
        </is>
      </c>
      <c r="B3344" s="1" t="n">
        <v>45611</v>
      </c>
      <c r="C3344" s="1" t="n">
        <v>45795</v>
      </c>
      <c r="D3344" t="inlineStr">
        <is>
          <t>JÄMTLANDS LÄN</t>
        </is>
      </c>
      <c r="E3344" t="inlineStr">
        <is>
          <t>STRÖMSUND</t>
        </is>
      </c>
      <c r="F3344" t="inlineStr">
        <is>
          <t>SCA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53219-2024</t>
        </is>
      </c>
      <c r="B3345" s="1" t="n">
        <v>45612</v>
      </c>
      <c r="C3345" s="1" t="n">
        <v>45795</v>
      </c>
      <c r="D3345" t="inlineStr">
        <is>
          <t>JÄMTLANDS LÄN</t>
        </is>
      </c>
      <c r="E3345" t="inlineStr">
        <is>
          <t>STRÖMSUND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53216-2024</t>
        </is>
      </c>
      <c r="B3346" s="1" t="n">
        <v>45612</v>
      </c>
      <c r="C3346" s="1" t="n">
        <v>45795</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53218-2024</t>
        </is>
      </c>
      <c r="B3347" s="1" t="n">
        <v>45612</v>
      </c>
      <c r="C3347" s="1" t="n">
        <v>45795</v>
      </c>
      <c r="D3347" t="inlineStr">
        <is>
          <t>JÄMTLANDS LÄN</t>
        </is>
      </c>
      <c r="E3347" t="inlineStr">
        <is>
          <t>STRÖMSUND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53217-2024</t>
        </is>
      </c>
      <c r="B3348" s="1" t="n">
        <v>45612</v>
      </c>
      <c r="C3348" s="1" t="n">
        <v>45795</v>
      </c>
      <c r="D3348" t="inlineStr">
        <is>
          <t>JÄMTLANDS LÄN</t>
        </is>
      </c>
      <c r="E3348" t="inlineStr">
        <is>
          <t>STRÖMSUND</t>
        </is>
      </c>
      <c r="G3348" t="n">
        <v>27.9</v>
      </c>
      <c r="H3348" t="n">
        <v>0</v>
      </c>
      <c r="I3348" t="n">
        <v>0</v>
      </c>
      <c r="J3348" t="n">
        <v>0</v>
      </c>
      <c r="K3348" t="n">
        <v>0</v>
      </c>
      <c r="L3348" t="n">
        <v>0</v>
      </c>
      <c r="M3348" t="n">
        <v>0</v>
      </c>
      <c r="N3348" t="n">
        <v>0</v>
      </c>
      <c r="O3348" t="n">
        <v>0</v>
      </c>
      <c r="P3348" t="n">
        <v>0</v>
      </c>
      <c r="Q3348" t="n">
        <v>0</v>
      </c>
      <c r="R3348" s="2" t="inlineStr"/>
    </row>
    <row r="3349" ht="15" customHeight="1">
      <c r="A3349" t="inlineStr">
        <is>
          <t>A 53240-2024</t>
        </is>
      </c>
      <c r="B3349" s="1" t="n">
        <v>45613</v>
      </c>
      <c r="C3349" s="1" t="n">
        <v>45795</v>
      </c>
      <c r="D3349" t="inlineStr">
        <is>
          <t>JÄMTLANDS LÄN</t>
        </is>
      </c>
      <c r="E3349" t="inlineStr">
        <is>
          <t>STRÖMSUND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53241-2024</t>
        </is>
      </c>
      <c r="B3350" s="1" t="n">
        <v>45613</v>
      </c>
      <c r="C3350" s="1" t="n">
        <v>45795</v>
      </c>
      <c r="D3350" t="inlineStr">
        <is>
          <t>JÄMTLANDS LÄN</t>
        </is>
      </c>
      <c r="E3350" t="inlineStr">
        <is>
          <t>STRÖMSUND</t>
        </is>
      </c>
      <c r="G3350" t="n">
        <v>14.2</v>
      </c>
      <c r="H3350" t="n">
        <v>0</v>
      </c>
      <c r="I3350" t="n">
        <v>0</v>
      </c>
      <c r="J3350" t="n">
        <v>0</v>
      </c>
      <c r="K3350" t="n">
        <v>0</v>
      </c>
      <c r="L3350" t="n">
        <v>0</v>
      </c>
      <c r="M3350" t="n">
        <v>0</v>
      </c>
      <c r="N3350" t="n">
        <v>0</v>
      </c>
      <c r="O3350" t="n">
        <v>0</v>
      </c>
      <c r="P3350" t="n">
        <v>0</v>
      </c>
      <c r="Q3350" t="n">
        <v>0</v>
      </c>
      <c r="R3350" s="2" t="inlineStr"/>
    </row>
    <row r="3351" ht="15" customHeight="1">
      <c r="A3351" t="inlineStr">
        <is>
          <t>A 53609-2024</t>
        </is>
      </c>
      <c r="B3351" s="1" t="n">
        <v>45614</v>
      </c>
      <c r="C3351" s="1" t="n">
        <v>45795</v>
      </c>
      <c r="D3351" t="inlineStr">
        <is>
          <t>JÄMTLANDS LÄN</t>
        </is>
      </c>
      <c r="E3351" t="inlineStr">
        <is>
          <t>STRÖMSUND</t>
        </is>
      </c>
      <c r="F3351" t="inlineStr">
        <is>
          <t>SCA</t>
        </is>
      </c>
      <c r="G3351" t="n">
        <v>13.1</v>
      </c>
      <c r="H3351" t="n">
        <v>0</v>
      </c>
      <c r="I3351" t="n">
        <v>0</v>
      </c>
      <c r="J3351" t="n">
        <v>0</v>
      </c>
      <c r="K3351" t="n">
        <v>0</v>
      </c>
      <c r="L3351" t="n">
        <v>0</v>
      </c>
      <c r="M3351" t="n">
        <v>0</v>
      </c>
      <c r="N3351" t="n">
        <v>0</v>
      </c>
      <c r="O3351" t="n">
        <v>0</v>
      </c>
      <c r="P3351" t="n">
        <v>0</v>
      </c>
      <c r="Q3351" t="n">
        <v>0</v>
      </c>
      <c r="R3351" s="2" t="inlineStr"/>
    </row>
    <row r="3352" ht="15" customHeight="1">
      <c r="A3352" t="inlineStr">
        <is>
          <t>A 53328-2024</t>
        </is>
      </c>
      <c r="B3352" s="1" t="n">
        <v>45614</v>
      </c>
      <c r="C3352" s="1" t="n">
        <v>45795</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53795-2024</t>
        </is>
      </c>
      <c r="B3353" s="1" t="n">
        <v>45615</v>
      </c>
      <c r="C3353" s="1" t="n">
        <v>45795</v>
      </c>
      <c r="D3353" t="inlineStr">
        <is>
          <t>JÄMTLANDS LÄN</t>
        </is>
      </c>
      <c r="E3353" t="inlineStr">
        <is>
          <t>STRÖMSUND</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53833-2024</t>
        </is>
      </c>
      <c r="B3354" s="1" t="n">
        <v>45615</v>
      </c>
      <c r="C3354" s="1" t="n">
        <v>45795</v>
      </c>
      <c r="D3354" t="inlineStr">
        <is>
          <t>JÄMTLANDS LÄN</t>
        </is>
      </c>
      <c r="E3354" t="inlineStr">
        <is>
          <t>STRÖMSUND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53809-2024</t>
        </is>
      </c>
      <c r="B3355" s="1" t="n">
        <v>45615</v>
      </c>
      <c r="C3355" s="1" t="n">
        <v>45795</v>
      </c>
      <c r="D3355" t="inlineStr">
        <is>
          <t>JÄMTLANDS LÄN</t>
        </is>
      </c>
      <c r="E3355" t="inlineStr">
        <is>
          <t>STRÖMSUND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53817-2024</t>
        </is>
      </c>
      <c r="B3356" s="1" t="n">
        <v>45615</v>
      </c>
      <c r="C3356" s="1" t="n">
        <v>45795</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53865-2024</t>
        </is>
      </c>
      <c r="B3357" s="1" t="n">
        <v>45615</v>
      </c>
      <c r="C3357" s="1" t="n">
        <v>45795</v>
      </c>
      <c r="D3357" t="inlineStr">
        <is>
          <t>JÄMTLANDS LÄN</t>
        </is>
      </c>
      <c r="E3357" t="inlineStr">
        <is>
          <t>STRÖMSUND</t>
        </is>
      </c>
      <c r="G3357" t="n">
        <v>16.4</v>
      </c>
      <c r="H3357" t="n">
        <v>0</v>
      </c>
      <c r="I3357" t="n">
        <v>0</v>
      </c>
      <c r="J3357" t="n">
        <v>0</v>
      </c>
      <c r="K3357" t="n">
        <v>0</v>
      </c>
      <c r="L3357" t="n">
        <v>0</v>
      </c>
      <c r="M3357" t="n">
        <v>0</v>
      </c>
      <c r="N3357" t="n">
        <v>0</v>
      </c>
      <c r="O3357" t="n">
        <v>0</v>
      </c>
      <c r="P3357" t="n">
        <v>0</v>
      </c>
      <c r="Q3357" t="n">
        <v>0</v>
      </c>
      <c r="R3357" s="2" t="inlineStr"/>
    </row>
    <row r="3358" ht="15" customHeight="1">
      <c r="A3358" t="inlineStr">
        <is>
          <t>A 53885-2024</t>
        </is>
      </c>
      <c r="B3358" s="1" t="n">
        <v>45615</v>
      </c>
      <c r="C3358" s="1" t="n">
        <v>45795</v>
      </c>
      <c r="D3358" t="inlineStr">
        <is>
          <t>JÄMTLANDS LÄN</t>
        </is>
      </c>
      <c r="E3358" t="inlineStr">
        <is>
          <t>STRÖMSUND</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53886-2024</t>
        </is>
      </c>
      <c r="B3359" s="1" t="n">
        <v>45615</v>
      </c>
      <c r="C3359" s="1" t="n">
        <v>45795</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53873-2024</t>
        </is>
      </c>
      <c r="B3360" s="1" t="n">
        <v>45615</v>
      </c>
      <c r="C3360" s="1" t="n">
        <v>45795</v>
      </c>
      <c r="D3360" t="inlineStr">
        <is>
          <t>JÄMTLANDS LÄN</t>
        </is>
      </c>
      <c r="E3360" t="inlineStr">
        <is>
          <t>STRÖMSUND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53884-2024</t>
        </is>
      </c>
      <c r="B3361" s="1" t="n">
        <v>45615</v>
      </c>
      <c r="C3361" s="1" t="n">
        <v>45795</v>
      </c>
      <c r="D3361" t="inlineStr">
        <is>
          <t>JÄMTLANDS LÄN</t>
        </is>
      </c>
      <c r="E3361" t="inlineStr">
        <is>
          <t>STRÖMSUND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53894-2024</t>
        </is>
      </c>
      <c r="B3362" s="1" t="n">
        <v>45615</v>
      </c>
      <c r="C3362" s="1" t="n">
        <v>45795</v>
      </c>
      <c r="D3362" t="inlineStr">
        <is>
          <t>JÄMTLANDS LÄN</t>
        </is>
      </c>
      <c r="E3362" t="inlineStr">
        <is>
          <t>STRÖMSUND</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54178-2024</t>
        </is>
      </c>
      <c r="B3363" s="1" t="n">
        <v>45616</v>
      </c>
      <c r="C3363" s="1" t="n">
        <v>45795</v>
      </c>
      <c r="D3363" t="inlineStr">
        <is>
          <t>JÄMTLANDS LÄN</t>
        </is>
      </c>
      <c r="E3363" t="inlineStr">
        <is>
          <t>STRÖMSUND</t>
        </is>
      </c>
      <c r="F3363" t="inlineStr">
        <is>
          <t>SCA</t>
        </is>
      </c>
      <c r="G3363" t="n">
        <v>12.7</v>
      </c>
      <c r="H3363" t="n">
        <v>0</v>
      </c>
      <c r="I3363" t="n">
        <v>0</v>
      </c>
      <c r="J3363" t="n">
        <v>0</v>
      </c>
      <c r="K3363" t="n">
        <v>0</v>
      </c>
      <c r="L3363" t="n">
        <v>0</v>
      </c>
      <c r="M3363" t="n">
        <v>0</v>
      </c>
      <c r="N3363" t="n">
        <v>0</v>
      </c>
      <c r="O3363" t="n">
        <v>0</v>
      </c>
      <c r="P3363" t="n">
        <v>0</v>
      </c>
      <c r="Q3363" t="n">
        <v>0</v>
      </c>
      <c r="R3363" s="2" t="inlineStr"/>
    </row>
    <row r="3364" ht="15" customHeight="1">
      <c r="A3364" t="inlineStr">
        <is>
          <t>A 54262-2024</t>
        </is>
      </c>
      <c r="B3364" s="1" t="n">
        <v>45616</v>
      </c>
      <c r="C3364" s="1" t="n">
        <v>45795</v>
      </c>
      <c r="D3364" t="inlineStr">
        <is>
          <t>JÄMTLANDS LÄN</t>
        </is>
      </c>
      <c r="E3364" t="inlineStr">
        <is>
          <t>STRÖMSUND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54389-2024</t>
        </is>
      </c>
      <c r="B3365" s="1" t="n">
        <v>45617</v>
      </c>
      <c r="C3365" s="1" t="n">
        <v>45795</v>
      </c>
      <c r="D3365" t="inlineStr">
        <is>
          <t>JÄMTLANDS LÄN</t>
        </is>
      </c>
      <c r="E3365" t="inlineStr">
        <is>
          <t>STRÖMSUND</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54320-2024</t>
        </is>
      </c>
      <c r="B3366" s="1" t="n">
        <v>45617</v>
      </c>
      <c r="C3366" s="1" t="n">
        <v>45795</v>
      </c>
      <c r="D3366" t="inlineStr">
        <is>
          <t>JÄMTLANDS LÄN</t>
        </is>
      </c>
      <c r="E3366" t="inlineStr">
        <is>
          <t>STRÖMSUND</t>
        </is>
      </c>
      <c r="G3366" t="n">
        <v>14.4</v>
      </c>
      <c r="H3366" t="n">
        <v>0</v>
      </c>
      <c r="I3366" t="n">
        <v>0</v>
      </c>
      <c r="J3366" t="n">
        <v>0</v>
      </c>
      <c r="K3366" t="n">
        <v>0</v>
      </c>
      <c r="L3366" t="n">
        <v>0</v>
      </c>
      <c r="M3366" t="n">
        <v>0</v>
      </c>
      <c r="N3366" t="n">
        <v>0</v>
      </c>
      <c r="O3366" t="n">
        <v>0</v>
      </c>
      <c r="P3366" t="n">
        <v>0</v>
      </c>
      <c r="Q3366" t="n">
        <v>0</v>
      </c>
      <c r="R3366" s="2" t="inlineStr"/>
    </row>
    <row r="3367" ht="15" customHeight="1">
      <c r="A3367" t="inlineStr">
        <is>
          <t>A 54763-2024</t>
        </is>
      </c>
      <c r="B3367" s="1" t="n">
        <v>45618</v>
      </c>
      <c r="C3367" s="1" t="n">
        <v>45795</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54805-2024</t>
        </is>
      </c>
      <c r="B3368" s="1" t="n">
        <v>45618</v>
      </c>
      <c r="C3368" s="1" t="n">
        <v>45795</v>
      </c>
      <c r="D3368" t="inlineStr">
        <is>
          <t>JÄMTLANDS LÄN</t>
        </is>
      </c>
      <c r="E3368" t="inlineStr">
        <is>
          <t>STRÖMSUND</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54945-2024</t>
        </is>
      </c>
      <c r="B3369" s="1" t="n">
        <v>45619</v>
      </c>
      <c r="C3369" s="1" t="n">
        <v>45795</v>
      </c>
      <c r="D3369" t="inlineStr">
        <is>
          <t>JÄMTLANDS LÄN</t>
        </is>
      </c>
      <c r="E3369" t="inlineStr">
        <is>
          <t>STRÖMSUND</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54966-2024</t>
        </is>
      </c>
      <c r="B3370" s="1" t="n">
        <v>45620</v>
      </c>
      <c r="C3370" s="1" t="n">
        <v>45795</v>
      </c>
      <c r="D3370" t="inlineStr">
        <is>
          <t>JÄMTLANDS LÄN</t>
        </is>
      </c>
      <c r="E3370" t="inlineStr">
        <is>
          <t>STRÖMSUND</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54964-2024</t>
        </is>
      </c>
      <c r="B3371" s="1" t="n">
        <v>45620</v>
      </c>
      <c r="C3371" s="1" t="n">
        <v>45795</v>
      </c>
      <c r="D3371" t="inlineStr">
        <is>
          <t>JÄMTLANDS LÄN</t>
        </is>
      </c>
      <c r="E3371" t="inlineStr">
        <is>
          <t>STRÖMSUND</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54965-2024</t>
        </is>
      </c>
      <c r="B3372" s="1" t="n">
        <v>45620</v>
      </c>
      <c r="C3372" s="1" t="n">
        <v>45795</v>
      </c>
      <c r="D3372" t="inlineStr">
        <is>
          <t>JÄMTLANDS LÄN</t>
        </is>
      </c>
      <c r="E3372" t="inlineStr">
        <is>
          <t>STRÖMSUND</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55219-2024</t>
        </is>
      </c>
      <c r="B3373" s="1" t="n">
        <v>45621</v>
      </c>
      <c r="C3373" s="1" t="n">
        <v>45795</v>
      </c>
      <c r="D3373" t="inlineStr">
        <is>
          <t>JÄMTLANDS LÄN</t>
        </is>
      </c>
      <c r="E3373" t="inlineStr">
        <is>
          <t>STRÖMSUND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55197-2024</t>
        </is>
      </c>
      <c r="B3374" s="1" t="n">
        <v>45621</v>
      </c>
      <c r="C3374" s="1" t="n">
        <v>45795</v>
      </c>
      <c r="D3374" t="inlineStr">
        <is>
          <t>JÄMTLANDS LÄN</t>
        </is>
      </c>
      <c r="E3374" t="inlineStr">
        <is>
          <t>STRÖMSUND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55325-2024</t>
        </is>
      </c>
      <c r="B3375" s="1" t="n">
        <v>45621</v>
      </c>
      <c r="C3375" s="1" t="n">
        <v>45795</v>
      </c>
      <c r="D3375" t="inlineStr">
        <is>
          <t>JÄMTLANDS LÄN</t>
        </is>
      </c>
      <c r="E3375" t="inlineStr">
        <is>
          <t>STRÖMSUND</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55311-2024</t>
        </is>
      </c>
      <c r="B3376" s="1" t="n">
        <v>45621</v>
      </c>
      <c r="C3376" s="1" t="n">
        <v>45795</v>
      </c>
      <c r="D3376" t="inlineStr">
        <is>
          <t>JÄMTLANDS LÄN</t>
        </is>
      </c>
      <c r="E3376" t="inlineStr">
        <is>
          <t>STRÖMSUND</t>
        </is>
      </c>
      <c r="F3376" t="inlineStr">
        <is>
          <t>SCA</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55327-2024</t>
        </is>
      </c>
      <c r="B3377" s="1" t="n">
        <v>45621</v>
      </c>
      <c r="C3377" s="1" t="n">
        <v>45795</v>
      </c>
      <c r="D3377" t="inlineStr">
        <is>
          <t>JÄMTLANDS LÄN</t>
        </is>
      </c>
      <c r="E3377" t="inlineStr">
        <is>
          <t>STRÖMSUND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55161-2024</t>
        </is>
      </c>
      <c r="B3378" s="1" t="n">
        <v>45621</v>
      </c>
      <c r="C3378" s="1" t="n">
        <v>45795</v>
      </c>
      <c r="D3378" t="inlineStr">
        <is>
          <t>JÄMTLANDS LÄN</t>
        </is>
      </c>
      <c r="E3378" t="inlineStr">
        <is>
          <t>STRÖMSUND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55690-2024</t>
        </is>
      </c>
      <c r="B3379" s="1" t="n">
        <v>45622</v>
      </c>
      <c r="C3379" s="1" t="n">
        <v>45795</v>
      </c>
      <c r="D3379" t="inlineStr">
        <is>
          <t>JÄMTLANDS LÄN</t>
        </is>
      </c>
      <c r="E3379" t="inlineStr">
        <is>
          <t>STRÖMSUND</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55675-2024</t>
        </is>
      </c>
      <c r="B3380" s="1" t="n">
        <v>45622</v>
      </c>
      <c r="C3380" s="1" t="n">
        <v>45795</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55942-2024</t>
        </is>
      </c>
      <c r="B3381" s="1" t="n">
        <v>45623</v>
      </c>
      <c r="C3381" s="1" t="n">
        <v>45795</v>
      </c>
      <c r="D3381" t="inlineStr">
        <is>
          <t>JÄMTLANDS LÄN</t>
        </is>
      </c>
      <c r="E3381" t="inlineStr">
        <is>
          <t>STRÖMSUND</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56255-2024</t>
        </is>
      </c>
      <c r="B3382" s="1" t="n">
        <v>45624</v>
      </c>
      <c r="C3382" s="1" t="n">
        <v>45795</v>
      </c>
      <c r="D3382" t="inlineStr">
        <is>
          <t>JÄMTLANDS LÄN</t>
        </is>
      </c>
      <c r="E3382" t="inlineStr">
        <is>
          <t>STRÖMSUND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56270-2024</t>
        </is>
      </c>
      <c r="B3383" s="1" t="n">
        <v>45624</v>
      </c>
      <c r="C3383" s="1" t="n">
        <v>45795</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56426-2024</t>
        </is>
      </c>
      <c r="B3384" s="1" t="n">
        <v>45624</v>
      </c>
      <c r="C3384" s="1" t="n">
        <v>45795</v>
      </c>
      <c r="D3384" t="inlineStr">
        <is>
          <t>JÄMTLANDS LÄN</t>
        </is>
      </c>
      <c r="E3384" t="inlineStr">
        <is>
          <t>STRÖMSUND</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56513-2024</t>
        </is>
      </c>
      <c r="B3385" s="1" t="n">
        <v>45625</v>
      </c>
      <c r="C3385" s="1" t="n">
        <v>45795</v>
      </c>
      <c r="D3385" t="inlineStr">
        <is>
          <t>JÄMTLANDS LÄN</t>
        </is>
      </c>
      <c r="E3385" t="inlineStr">
        <is>
          <t>STRÖMSUND</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56550-2024</t>
        </is>
      </c>
      <c r="B3386" s="1" t="n">
        <v>45625</v>
      </c>
      <c r="C3386" s="1" t="n">
        <v>45795</v>
      </c>
      <c r="D3386" t="inlineStr">
        <is>
          <t>JÄMTLANDS LÄN</t>
        </is>
      </c>
      <c r="E3386" t="inlineStr">
        <is>
          <t>STRÖMSUND</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56516-2024</t>
        </is>
      </c>
      <c r="B3387" s="1" t="n">
        <v>45625</v>
      </c>
      <c r="C3387" s="1" t="n">
        <v>45795</v>
      </c>
      <c r="D3387" t="inlineStr">
        <is>
          <t>JÄMTLANDS LÄN</t>
        </is>
      </c>
      <c r="E3387" t="inlineStr">
        <is>
          <t>STRÖMSUND</t>
        </is>
      </c>
      <c r="F3387" t="inlineStr">
        <is>
          <t>SCA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56507-2024</t>
        </is>
      </c>
      <c r="B3388" s="1" t="n">
        <v>45625</v>
      </c>
      <c r="C3388" s="1" t="n">
        <v>45795</v>
      </c>
      <c r="D3388" t="inlineStr">
        <is>
          <t>JÄMTLANDS LÄN</t>
        </is>
      </c>
      <c r="E3388" t="inlineStr">
        <is>
          <t>STRÖMSUND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56514-2024</t>
        </is>
      </c>
      <c r="B3389" s="1" t="n">
        <v>45625</v>
      </c>
      <c r="C3389" s="1" t="n">
        <v>45795</v>
      </c>
      <c r="D3389" t="inlineStr">
        <is>
          <t>JÄMTLANDS LÄN</t>
        </is>
      </c>
      <c r="E3389" t="inlineStr">
        <is>
          <t>STRÖMSUND</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56678-2024</t>
        </is>
      </c>
      <c r="B3390" s="1" t="n">
        <v>45627</v>
      </c>
      <c r="C3390" s="1" t="n">
        <v>45795</v>
      </c>
      <c r="D3390" t="inlineStr">
        <is>
          <t>JÄMTLANDS LÄN</t>
        </is>
      </c>
      <c r="E3390" t="inlineStr">
        <is>
          <t>STRÖMSUND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56997-2024</t>
        </is>
      </c>
      <c r="B3391" s="1" t="n">
        <v>45628</v>
      </c>
      <c r="C3391" s="1" t="n">
        <v>45795</v>
      </c>
      <c r="D3391" t="inlineStr">
        <is>
          <t>JÄMTLANDS LÄN</t>
        </is>
      </c>
      <c r="E3391" t="inlineStr">
        <is>
          <t>STRÖMSUND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57250-2024</t>
        </is>
      </c>
      <c r="B3392" s="1" t="n">
        <v>45628</v>
      </c>
      <c r="C3392" s="1" t="n">
        <v>45795</v>
      </c>
      <c r="D3392" t="inlineStr">
        <is>
          <t>JÄMTLANDS LÄN</t>
        </is>
      </c>
      <c r="E3392" t="inlineStr">
        <is>
          <t>STRÖMSUND</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56961-2024</t>
        </is>
      </c>
      <c r="B3393" s="1" t="n">
        <v>45628</v>
      </c>
      <c r="C3393" s="1" t="n">
        <v>45795</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57258-2024</t>
        </is>
      </c>
      <c r="B3394" s="1" t="n">
        <v>45628</v>
      </c>
      <c r="C3394" s="1" t="n">
        <v>45795</v>
      </c>
      <c r="D3394" t="inlineStr">
        <is>
          <t>JÄMTLANDS LÄN</t>
        </is>
      </c>
      <c r="E3394" t="inlineStr">
        <is>
          <t>STRÖMSUND</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57090-2024</t>
        </is>
      </c>
      <c r="B3395" s="1" t="n">
        <v>45629</v>
      </c>
      <c r="C3395" s="1" t="n">
        <v>45795</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57114-2024</t>
        </is>
      </c>
      <c r="B3396" s="1" t="n">
        <v>45629</v>
      </c>
      <c r="C3396" s="1" t="n">
        <v>45795</v>
      </c>
      <c r="D3396" t="inlineStr">
        <is>
          <t>JÄMTLANDS LÄN</t>
        </is>
      </c>
      <c r="E3396" t="inlineStr">
        <is>
          <t>STRÖMSUND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57075-2024</t>
        </is>
      </c>
      <c r="B3397" s="1" t="n">
        <v>45629</v>
      </c>
      <c r="C3397" s="1" t="n">
        <v>45795</v>
      </c>
      <c r="D3397" t="inlineStr">
        <is>
          <t>JÄMTLANDS LÄN</t>
        </is>
      </c>
      <c r="E3397" t="inlineStr">
        <is>
          <t>STRÖMSUND</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57453-2024</t>
        </is>
      </c>
      <c r="B3398" s="1" t="n">
        <v>45630</v>
      </c>
      <c r="C3398" s="1" t="n">
        <v>45795</v>
      </c>
      <c r="D3398" t="inlineStr">
        <is>
          <t>JÄMTLANDS LÄN</t>
        </is>
      </c>
      <c r="E3398" t="inlineStr">
        <is>
          <t>STRÖMSUND</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57638-2024</t>
        </is>
      </c>
      <c r="B3399" s="1" t="n">
        <v>45630</v>
      </c>
      <c r="C3399" s="1" t="n">
        <v>45795</v>
      </c>
      <c r="D3399" t="inlineStr">
        <is>
          <t>JÄMTLANDS LÄN</t>
        </is>
      </c>
      <c r="E3399" t="inlineStr">
        <is>
          <t>STRÖMSUND</t>
        </is>
      </c>
      <c r="F3399" t="inlineStr">
        <is>
          <t>SCA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57963-2024</t>
        </is>
      </c>
      <c r="B3400" s="1" t="n">
        <v>45631</v>
      </c>
      <c r="C3400" s="1" t="n">
        <v>45795</v>
      </c>
      <c r="D3400" t="inlineStr">
        <is>
          <t>JÄMTLANDS LÄN</t>
        </is>
      </c>
      <c r="E3400" t="inlineStr">
        <is>
          <t>STRÖMSUND</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58027-2024</t>
        </is>
      </c>
      <c r="B3401" s="1" t="n">
        <v>45631</v>
      </c>
      <c r="C3401" s="1" t="n">
        <v>45795</v>
      </c>
      <c r="D3401" t="inlineStr">
        <is>
          <t>JÄMTLANDS LÄN</t>
        </is>
      </c>
      <c r="E3401" t="inlineStr">
        <is>
          <t>STRÖMSUND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58206-2024</t>
        </is>
      </c>
      <c r="B3402" s="1" t="n">
        <v>45632</v>
      </c>
      <c r="C3402" s="1" t="n">
        <v>45795</v>
      </c>
      <c r="D3402" t="inlineStr">
        <is>
          <t>JÄMTLANDS LÄN</t>
        </is>
      </c>
      <c r="E3402" t="inlineStr">
        <is>
          <t>STRÖMSUND</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58393-2024</t>
        </is>
      </c>
      <c r="B3403" s="1" t="n">
        <v>45633</v>
      </c>
      <c r="C3403" s="1" t="n">
        <v>45795</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58392-2024</t>
        </is>
      </c>
      <c r="B3404" s="1" t="n">
        <v>45633</v>
      </c>
      <c r="C3404" s="1" t="n">
        <v>45795</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58391-2024</t>
        </is>
      </c>
      <c r="B3405" s="1" t="n">
        <v>45633</v>
      </c>
      <c r="C3405" s="1" t="n">
        <v>45795</v>
      </c>
      <c r="D3405" t="inlineStr">
        <is>
          <t>JÄMTLANDS LÄN</t>
        </is>
      </c>
      <c r="E3405" t="inlineStr">
        <is>
          <t>STRÖMSUND</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58647-2024</t>
        </is>
      </c>
      <c r="B3406" s="1" t="n">
        <v>45635</v>
      </c>
      <c r="C3406" s="1" t="n">
        <v>45795</v>
      </c>
      <c r="D3406" t="inlineStr">
        <is>
          <t>JÄMTLANDS LÄN</t>
        </is>
      </c>
      <c r="E3406" t="inlineStr">
        <is>
          <t>STRÖMSUND</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58515-2024</t>
        </is>
      </c>
      <c r="B3407" s="1" t="n">
        <v>45635</v>
      </c>
      <c r="C3407" s="1" t="n">
        <v>45795</v>
      </c>
      <c r="D3407" t="inlineStr">
        <is>
          <t>JÄMTLANDS LÄN</t>
        </is>
      </c>
      <c r="E3407" t="inlineStr">
        <is>
          <t>STRÖMSUND</t>
        </is>
      </c>
      <c r="F3407" t="inlineStr">
        <is>
          <t>SCA</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58646-2024</t>
        </is>
      </c>
      <c r="B3408" s="1" t="n">
        <v>45635</v>
      </c>
      <c r="C3408" s="1" t="n">
        <v>45795</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58493-2024</t>
        </is>
      </c>
      <c r="B3409" s="1" t="n">
        <v>45635</v>
      </c>
      <c r="C3409" s="1" t="n">
        <v>45795</v>
      </c>
      <c r="D3409" t="inlineStr">
        <is>
          <t>JÄMTLANDS LÄN</t>
        </is>
      </c>
      <c r="E3409" t="inlineStr">
        <is>
          <t>STRÖMSUND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58695-2024</t>
        </is>
      </c>
      <c r="B3410" s="1" t="n">
        <v>45635</v>
      </c>
      <c r="C3410" s="1" t="n">
        <v>45795</v>
      </c>
      <c r="D3410" t="inlineStr">
        <is>
          <t>JÄMTLANDS LÄN</t>
        </is>
      </c>
      <c r="E3410" t="inlineStr">
        <is>
          <t>STRÖMSUND</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58813-2024</t>
        </is>
      </c>
      <c r="B3411" s="1" t="n">
        <v>45636</v>
      </c>
      <c r="C3411" s="1" t="n">
        <v>45795</v>
      </c>
      <c r="D3411" t="inlineStr">
        <is>
          <t>JÄMTLANDS LÄN</t>
        </is>
      </c>
      <c r="E3411" t="inlineStr">
        <is>
          <t>STRÖMSUND</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58968-2024</t>
        </is>
      </c>
      <c r="B3412" s="1" t="n">
        <v>45636</v>
      </c>
      <c r="C3412" s="1" t="n">
        <v>45795</v>
      </c>
      <c r="D3412" t="inlineStr">
        <is>
          <t>JÄMTLANDS LÄN</t>
        </is>
      </c>
      <c r="E3412" t="inlineStr">
        <is>
          <t>STRÖMSUND</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58947-2024</t>
        </is>
      </c>
      <c r="B3413" s="1" t="n">
        <v>45636</v>
      </c>
      <c r="C3413" s="1" t="n">
        <v>45795</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59152-2024</t>
        </is>
      </c>
      <c r="B3414" s="1" t="n">
        <v>45637</v>
      </c>
      <c r="C3414" s="1" t="n">
        <v>45795</v>
      </c>
      <c r="D3414" t="inlineStr">
        <is>
          <t>JÄMTLANDS LÄN</t>
        </is>
      </c>
      <c r="E3414" t="inlineStr">
        <is>
          <t>STRÖMSUND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59141-2024</t>
        </is>
      </c>
      <c r="B3415" s="1" t="n">
        <v>45637</v>
      </c>
      <c r="C3415" s="1" t="n">
        <v>45795</v>
      </c>
      <c r="D3415" t="inlineStr">
        <is>
          <t>JÄMTLANDS LÄN</t>
        </is>
      </c>
      <c r="E3415" t="inlineStr">
        <is>
          <t>STRÖMSUND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59550-2024</t>
        </is>
      </c>
      <c r="B3416" s="1" t="n">
        <v>45638</v>
      </c>
      <c r="C3416" s="1" t="n">
        <v>45795</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59508-2024</t>
        </is>
      </c>
      <c r="B3417" s="1" t="n">
        <v>45638</v>
      </c>
      <c r="C3417" s="1" t="n">
        <v>45795</v>
      </c>
      <c r="D3417" t="inlineStr">
        <is>
          <t>JÄMTLANDS LÄN</t>
        </is>
      </c>
      <c r="E3417" t="inlineStr">
        <is>
          <t>STRÖMSUND</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59568-2024</t>
        </is>
      </c>
      <c r="B3418" s="1" t="n">
        <v>45638</v>
      </c>
      <c r="C3418" s="1" t="n">
        <v>45795</v>
      </c>
      <c r="D3418" t="inlineStr">
        <is>
          <t>JÄMTLANDS LÄN</t>
        </is>
      </c>
      <c r="E3418" t="inlineStr">
        <is>
          <t>STRÖMSUND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59530-2024</t>
        </is>
      </c>
      <c r="B3419" s="1" t="n">
        <v>45638</v>
      </c>
      <c r="C3419" s="1" t="n">
        <v>45795</v>
      </c>
      <c r="D3419" t="inlineStr">
        <is>
          <t>JÄMTLANDS LÄN</t>
        </is>
      </c>
      <c r="E3419" t="inlineStr">
        <is>
          <t>STRÖMSUND</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59821-2024</t>
        </is>
      </c>
      <c r="B3420" s="1" t="n">
        <v>45639</v>
      </c>
      <c r="C3420" s="1" t="n">
        <v>45795</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59655-2024</t>
        </is>
      </c>
      <c r="B3421" s="1" t="n">
        <v>45639</v>
      </c>
      <c r="C3421" s="1" t="n">
        <v>45795</v>
      </c>
      <c r="D3421" t="inlineStr">
        <is>
          <t>JÄMTLANDS LÄN</t>
        </is>
      </c>
      <c r="E3421" t="inlineStr">
        <is>
          <t>STRÖMSUND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59742-2024</t>
        </is>
      </c>
      <c r="B3422" s="1" t="n">
        <v>45639</v>
      </c>
      <c r="C3422" s="1" t="n">
        <v>45795</v>
      </c>
      <c r="D3422" t="inlineStr">
        <is>
          <t>JÄMTLANDS LÄN</t>
        </is>
      </c>
      <c r="E3422" t="inlineStr">
        <is>
          <t>STRÖMSUND</t>
        </is>
      </c>
      <c r="F3422" t="inlineStr">
        <is>
          <t>SCA</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60171-2024</t>
        </is>
      </c>
      <c r="B3423" s="1" t="n">
        <v>45642</v>
      </c>
      <c r="C3423" s="1" t="n">
        <v>45795</v>
      </c>
      <c r="D3423" t="inlineStr">
        <is>
          <t>JÄMTLANDS LÄN</t>
        </is>
      </c>
      <c r="E3423" t="inlineStr">
        <is>
          <t>STRÖMSUND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60170-2024</t>
        </is>
      </c>
      <c r="B3424" s="1" t="n">
        <v>45642</v>
      </c>
      <c r="C3424" s="1" t="n">
        <v>45795</v>
      </c>
      <c r="D3424" t="inlineStr">
        <is>
          <t>JÄMTLANDS LÄN</t>
        </is>
      </c>
      <c r="E3424" t="inlineStr">
        <is>
          <t>STRÖMSUND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59986-2024</t>
        </is>
      </c>
      <c r="B3425" s="1" t="n">
        <v>45642</v>
      </c>
      <c r="C3425" s="1" t="n">
        <v>45795</v>
      </c>
      <c r="D3425" t="inlineStr">
        <is>
          <t>JÄMTLANDS LÄN</t>
        </is>
      </c>
      <c r="E3425" t="inlineStr">
        <is>
          <t>STRÖMSUND</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60053-2024</t>
        </is>
      </c>
      <c r="B3426" s="1" t="n">
        <v>45642</v>
      </c>
      <c r="C3426" s="1" t="n">
        <v>45795</v>
      </c>
      <c r="D3426" t="inlineStr">
        <is>
          <t>JÄMTLANDS LÄN</t>
        </is>
      </c>
      <c r="E3426" t="inlineStr">
        <is>
          <t>STRÖMSUND</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60310-2024</t>
        </is>
      </c>
      <c r="B3427" s="1" t="n">
        <v>45643</v>
      </c>
      <c r="C3427" s="1" t="n">
        <v>45795</v>
      </c>
      <c r="D3427" t="inlineStr">
        <is>
          <t>JÄMTLANDS LÄN</t>
        </is>
      </c>
      <c r="E3427" t="inlineStr">
        <is>
          <t>STRÖMSUND</t>
        </is>
      </c>
      <c r="F3427" t="inlineStr">
        <is>
          <t>SCA</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60366-2024</t>
        </is>
      </c>
      <c r="B3428" s="1" t="n">
        <v>45643</v>
      </c>
      <c r="C3428" s="1" t="n">
        <v>45795</v>
      </c>
      <c r="D3428" t="inlineStr">
        <is>
          <t>JÄMTLANDS LÄN</t>
        </is>
      </c>
      <c r="E3428" t="inlineStr">
        <is>
          <t>STRÖMSUND</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60791-2024</t>
        </is>
      </c>
      <c r="B3429" s="1" t="n">
        <v>45644</v>
      </c>
      <c r="C3429" s="1" t="n">
        <v>45795</v>
      </c>
      <c r="D3429" t="inlineStr">
        <is>
          <t>JÄMTLANDS LÄN</t>
        </is>
      </c>
      <c r="E3429" t="inlineStr">
        <is>
          <t>STRÖMSUND</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60800-2024</t>
        </is>
      </c>
      <c r="B3430" s="1" t="n">
        <v>45644</v>
      </c>
      <c r="C3430" s="1" t="n">
        <v>45795</v>
      </c>
      <c r="D3430" t="inlineStr">
        <is>
          <t>JÄMTLANDS LÄN</t>
        </is>
      </c>
      <c r="E3430" t="inlineStr">
        <is>
          <t>STRÖMSUND</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60917-2024</t>
        </is>
      </c>
      <c r="B3431" s="1" t="n">
        <v>45644</v>
      </c>
      <c r="C3431" s="1" t="n">
        <v>45795</v>
      </c>
      <c r="D3431" t="inlineStr">
        <is>
          <t>JÄMTLANDS LÄN</t>
        </is>
      </c>
      <c r="E3431" t="inlineStr">
        <is>
          <t>STRÖMSUND</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60911-2024</t>
        </is>
      </c>
      <c r="B3432" s="1" t="n">
        <v>45644</v>
      </c>
      <c r="C3432" s="1" t="n">
        <v>45795</v>
      </c>
      <c r="D3432" t="inlineStr">
        <is>
          <t>JÄMTLANDS LÄN</t>
        </is>
      </c>
      <c r="E3432" t="inlineStr">
        <is>
          <t>STRÖMSUND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60905-2024</t>
        </is>
      </c>
      <c r="B3433" s="1" t="n">
        <v>45644</v>
      </c>
      <c r="C3433" s="1" t="n">
        <v>45795</v>
      </c>
      <c r="D3433" t="inlineStr">
        <is>
          <t>JÄMTLANDS LÄN</t>
        </is>
      </c>
      <c r="E3433" t="inlineStr">
        <is>
          <t>STRÖMSUND</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61015-2024</t>
        </is>
      </c>
      <c r="B3434" s="1" t="n">
        <v>45645</v>
      </c>
      <c r="C3434" s="1" t="n">
        <v>45795</v>
      </c>
      <c r="D3434" t="inlineStr">
        <is>
          <t>JÄMTLANDS LÄN</t>
        </is>
      </c>
      <c r="E3434" t="inlineStr">
        <is>
          <t>STRÖMSUND</t>
        </is>
      </c>
      <c r="F3434" t="inlineStr">
        <is>
          <t>SCA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61163-2024</t>
        </is>
      </c>
      <c r="B3435" s="1" t="n">
        <v>45645</v>
      </c>
      <c r="C3435" s="1" t="n">
        <v>45795</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61481-2024</t>
        </is>
      </c>
      <c r="B3436" s="1" t="n">
        <v>45645</v>
      </c>
      <c r="C3436" s="1" t="n">
        <v>45795</v>
      </c>
      <c r="D3436" t="inlineStr">
        <is>
          <t>JÄMTLANDS LÄN</t>
        </is>
      </c>
      <c r="E3436" t="inlineStr">
        <is>
          <t>STRÖMSUND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61160-2024</t>
        </is>
      </c>
      <c r="B3437" s="1" t="n">
        <v>45645</v>
      </c>
      <c r="C3437" s="1" t="n">
        <v>45795</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61475-2024</t>
        </is>
      </c>
      <c r="B3438" s="1" t="n">
        <v>45645</v>
      </c>
      <c r="C3438" s="1" t="n">
        <v>45795</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61402-2024</t>
        </is>
      </c>
      <c r="B3439" s="1" t="n">
        <v>45646</v>
      </c>
      <c r="C3439" s="1" t="n">
        <v>45795</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61540-2024</t>
        </is>
      </c>
      <c r="B3440" s="1" t="n">
        <v>45646</v>
      </c>
      <c r="C3440" s="1" t="n">
        <v>45795</v>
      </c>
      <c r="D3440" t="inlineStr">
        <is>
          <t>JÄMTLANDS LÄN</t>
        </is>
      </c>
      <c r="E3440" t="inlineStr">
        <is>
          <t>STRÖMSUND</t>
        </is>
      </c>
      <c r="F3440" t="inlineStr">
        <is>
          <t>SCA</t>
        </is>
      </c>
      <c r="G3440" t="n">
        <v>18.2</v>
      </c>
      <c r="H3440" t="n">
        <v>0</v>
      </c>
      <c r="I3440" t="n">
        <v>0</v>
      </c>
      <c r="J3440" t="n">
        <v>0</v>
      </c>
      <c r="K3440" t="n">
        <v>0</v>
      </c>
      <c r="L3440" t="n">
        <v>0</v>
      </c>
      <c r="M3440" t="n">
        <v>0</v>
      </c>
      <c r="N3440" t="n">
        <v>0</v>
      </c>
      <c r="O3440" t="n">
        <v>0</v>
      </c>
      <c r="P3440" t="n">
        <v>0</v>
      </c>
      <c r="Q3440" t="n">
        <v>0</v>
      </c>
      <c r="R3440" s="2" t="inlineStr"/>
    </row>
    <row r="3441" ht="15" customHeight="1">
      <c r="A3441" t="inlineStr">
        <is>
          <t>A 61538-2024</t>
        </is>
      </c>
      <c r="B3441" s="1" t="n">
        <v>45646</v>
      </c>
      <c r="C3441" s="1" t="n">
        <v>45795</v>
      </c>
      <c r="D3441" t="inlineStr">
        <is>
          <t>JÄMTLANDS LÄN</t>
        </is>
      </c>
      <c r="E3441" t="inlineStr">
        <is>
          <t>STRÖMSUND</t>
        </is>
      </c>
      <c r="F3441" t="inlineStr">
        <is>
          <t>SCA</t>
        </is>
      </c>
      <c r="G3441" t="n">
        <v>24.4</v>
      </c>
      <c r="H3441" t="n">
        <v>0</v>
      </c>
      <c r="I3441" t="n">
        <v>0</v>
      </c>
      <c r="J3441" t="n">
        <v>0</v>
      </c>
      <c r="K3441" t="n">
        <v>0</v>
      </c>
      <c r="L3441" t="n">
        <v>0</v>
      </c>
      <c r="M3441" t="n">
        <v>0</v>
      </c>
      <c r="N3441" t="n">
        <v>0</v>
      </c>
      <c r="O3441" t="n">
        <v>0</v>
      </c>
      <c r="P3441" t="n">
        <v>0</v>
      </c>
      <c r="Q3441" t="n">
        <v>0</v>
      </c>
      <c r="R3441" s="2" t="inlineStr"/>
    </row>
    <row r="3442" ht="15" customHeight="1">
      <c r="A3442" t="inlineStr">
        <is>
          <t>A 61365-2024</t>
        </is>
      </c>
      <c r="B3442" s="1" t="n">
        <v>45646</v>
      </c>
      <c r="C3442" s="1" t="n">
        <v>45795</v>
      </c>
      <c r="D3442" t="inlineStr">
        <is>
          <t>JÄMTLANDS LÄN</t>
        </is>
      </c>
      <c r="E3442" t="inlineStr">
        <is>
          <t>STRÖMSUND</t>
        </is>
      </c>
      <c r="F3442" t="inlineStr">
        <is>
          <t>SCA</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61539-2024</t>
        </is>
      </c>
      <c r="B3443" s="1" t="n">
        <v>45646</v>
      </c>
      <c r="C3443" s="1" t="n">
        <v>45795</v>
      </c>
      <c r="D3443" t="inlineStr">
        <is>
          <t>JÄMTLANDS LÄN</t>
        </is>
      </c>
      <c r="E3443" t="inlineStr">
        <is>
          <t>STRÖMSUND</t>
        </is>
      </c>
      <c r="F3443" t="inlineStr">
        <is>
          <t>SCA</t>
        </is>
      </c>
      <c r="G3443" t="n">
        <v>25.5</v>
      </c>
      <c r="H3443" t="n">
        <v>0</v>
      </c>
      <c r="I3443" t="n">
        <v>0</v>
      </c>
      <c r="J3443" t="n">
        <v>0</v>
      </c>
      <c r="K3443" t="n">
        <v>0</v>
      </c>
      <c r="L3443" t="n">
        <v>0</v>
      </c>
      <c r="M3443" t="n">
        <v>0</v>
      </c>
      <c r="N3443" t="n">
        <v>0</v>
      </c>
      <c r="O3443" t="n">
        <v>0</v>
      </c>
      <c r="P3443" t="n">
        <v>0</v>
      </c>
      <c r="Q3443" t="n">
        <v>0</v>
      </c>
      <c r="R3443" s="2" t="inlineStr"/>
    </row>
    <row r="3444" ht="15" customHeight="1">
      <c r="A3444" t="inlineStr">
        <is>
          <t>A 61363-2024</t>
        </is>
      </c>
      <c r="B3444" s="1" t="n">
        <v>45646</v>
      </c>
      <c r="C3444" s="1" t="n">
        <v>45795</v>
      </c>
      <c r="D3444" t="inlineStr">
        <is>
          <t>JÄMTLANDS LÄN</t>
        </is>
      </c>
      <c r="E3444" t="inlineStr">
        <is>
          <t>STRÖMSUND</t>
        </is>
      </c>
      <c r="F3444" t="inlineStr">
        <is>
          <t>SCA</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61854-2024</t>
        </is>
      </c>
      <c r="B3445" s="1" t="n">
        <v>45649</v>
      </c>
      <c r="C3445" s="1" t="n">
        <v>45795</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52-2025</t>
        </is>
      </c>
      <c r="B3446" s="1" t="n">
        <v>45649</v>
      </c>
      <c r="C3446" s="1" t="n">
        <v>45795</v>
      </c>
      <c r="D3446" t="inlineStr">
        <is>
          <t>JÄMTLANDS LÄN</t>
        </is>
      </c>
      <c r="E3446" t="inlineStr">
        <is>
          <t>STRÖMSUND</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50-2025</t>
        </is>
      </c>
      <c r="B3447" s="1" t="n">
        <v>45649</v>
      </c>
      <c r="C3447" s="1" t="n">
        <v>45795</v>
      </c>
      <c r="D3447" t="inlineStr">
        <is>
          <t>JÄMTLANDS LÄN</t>
        </is>
      </c>
      <c r="E3447" t="inlineStr">
        <is>
          <t>STRÖMSUND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61954-2024</t>
        </is>
      </c>
      <c r="B3448" s="1" t="n">
        <v>45653</v>
      </c>
      <c r="C3448" s="1" t="n">
        <v>45795</v>
      </c>
      <c r="D3448" t="inlineStr">
        <is>
          <t>JÄMTLANDS LÄN</t>
        </is>
      </c>
      <c r="E3448" t="inlineStr">
        <is>
          <t>STRÖMSUND</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61959-2024</t>
        </is>
      </c>
      <c r="B3449" s="1" t="n">
        <v>45653</v>
      </c>
      <c r="C3449" s="1" t="n">
        <v>45795</v>
      </c>
      <c r="D3449" t="inlineStr">
        <is>
          <t>JÄMTLANDS LÄN</t>
        </is>
      </c>
      <c r="E3449" t="inlineStr">
        <is>
          <t>STRÖMSUND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40-2025</t>
        </is>
      </c>
      <c r="B3450" s="1" t="n">
        <v>45659</v>
      </c>
      <c r="C3450" s="1" t="n">
        <v>45795</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135-2025</t>
        </is>
      </c>
      <c r="B3451" s="1" t="n">
        <v>45659</v>
      </c>
      <c r="C3451" s="1" t="n">
        <v>45795</v>
      </c>
      <c r="D3451" t="inlineStr">
        <is>
          <t>JÄMTLANDS LÄN</t>
        </is>
      </c>
      <c r="E3451" t="inlineStr">
        <is>
          <t>STRÖMSUND</t>
        </is>
      </c>
      <c r="F3451" t="inlineStr">
        <is>
          <t>SCA</t>
        </is>
      </c>
      <c r="G3451" t="n">
        <v>31.4</v>
      </c>
      <c r="H3451" t="n">
        <v>0</v>
      </c>
      <c r="I3451" t="n">
        <v>0</v>
      </c>
      <c r="J3451" t="n">
        <v>0</v>
      </c>
      <c r="K3451" t="n">
        <v>0</v>
      </c>
      <c r="L3451" t="n">
        <v>0</v>
      </c>
      <c r="M3451" t="n">
        <v>0</v>
      </c>
      <c r="N3451" t="n">
        <v>0</v>
      </c>
      <c r="O3451" t="n">
        <v>0</v>
      </c>
      <c r="P3451" t="n">
        <v>0</v>
      </c>
      <c r="Q3451" t="n">
        <v>0</v>
      </c>
      <c r="R3451" s="2" t="inlineStr"/>
    </row>
    <row r="3452" ht="15" customHeight="1">
      <c r="A3452" t="inlineStr">
        <is>
          <t>A 354-2025</t>
        </is>
      </c>
      <c r="B3452" s="1" t="n">
        <v>45659</v>
      </c>
      <c r="C3452" s="1" t="n">
        <v>45795</v>
      </c>
      <c r="D3452" t="inlineStr">
        <is>
          <t>JÄMTLANDS LÄN</t>
        </is>
      </c>
      <c r="E3452" t="inlineStr">
        <is>
          <t>STRÖMSUND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355-2025</t>
        </is>
      </c>
      <c r="B3453" s="1" t="n">
        <v>45659</v>
      </c>
      <c r="C3453" s="1" t="n">
        <v>45795</v>
      </c>
      <c r="D3453" t="inlineStr">
        <is>
          <t>JÄMTLANDS LÄN</t>
        </is>
      </c>
      <c r="E3453" t="inlineStr">
        <is>
          <t>STRÖMSUND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294-2025</t>
        </is>
      </c>
      <c r="B3454" s="1" t="n">
        <v>45660</v>
      </c>
      <c r="C3454" s="1" t="n">
        <v>45795</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217-2025</t>
        </is>
      </c>
      <c r="B3455" s="1" t="n">
        <v>45660</v>
      </c>
      <c r="C3455" s="1" t="n">
        <v>45795</v>
      </c>
      <c r="D3455" t="inlineStr">
        <is>
          <t>JÄMTLANDS LÄN</t>
        </is>
      </c>
      <c r="E3455" t="inlineStr">
        <is>
          <t>STRÖMSUND</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293-2025</t>
        </is>
      </c>
      <c r="B3456" s="1" t="n">
        <v>45660</v>
      </c>
      <c r="C3456" s="1" t="n">
        <v>45795</v>
      </c>
      <c r="D3456" t="inlineStr">
        <is>
          <t>JÄMTLANDS LÄN</t>
        </is>
      </c>
      <c r="E3456" t="inlineStr">
        <is>
          <t>STRÖMSUND</t>
        </is>
      </c>
      <c r="F3456" t="inlineStr">
        <is>
          <t>SCA</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216-2025</t>
        </is>
      </c>
      <c r="B3457" s="1" t="n">
        <v>45660</v>
      </c>
      <c r="C3457" s="1" t="n">
        <v>45795</v>
      </c>
      <c r="D3457" t="inlineStr">
        <is>
          <t>JÄMTLANDS LÄN</t>
        </is>
      </c>
      <c r="E3457" t="inlineStr">
        <is>
          <t>STRÖMSUND</t>
        </is>
      </c>
      <c r="F3457" t="inlineStr">
        <is>
          <t>SCA</t>
        </is>
      </c>
      <c r="G3457" t="n">
        <v>33.5</v>
      </c>
      <c r="H3457" t="n">
        <v>0</v>
      </c>
      <c r="I3457" t="n">
        <v>0</v>
      </c>
      <c r="J3457" t="n">
        <v>0</v>
      </c>
      <c r="K3457" t="n">
        <v>0</v>
      </c>
      <c r="L3457" t="n">
        <v>0</v>
      </c>
      <c r="M3457" t="n">
        <v>0</v>
      </c>
      <c r="N3457" t="n">
        <v>0</v>
      </c>
      <c r="O3457" t="n">
        <v>0</v>
      </c>
      <c r="P3457" t="n">
        <v>0</v>
      </c>
      <c r="Q3457" t="n">
        <v>0</v>
      </c>
      <c r="R3457" s="2" t="inlineStr"/>
    </row>
    <row r="3458" ht="15" customHeight="1">
      <c r="A3458" t="inlineStr">
        <is>
          <t>A 292-2025</t>
        </is>
      </c>
      <c r="B3458" s="1" t="n">
        <v>45660</v>
      </c>
      <c r="C3458" s="1" t="n">
        <v>45795</v>
      </c>
      <c r="D3458" t="inlineStr">
        <is>
          <t>JÄMTLANDS LÄN</t>
        </is>
      </c>
      <c r="E3458" t="inlineStr">
        <is>
          <t>STRÖMSUND</t>
        </is>
      </c>
      <c r="F3458" t="inlineStr">
        <is>
          <t>SCA</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630-2025</t>
        </is>
      </c>
      <c r="B3459" s="1" t="n">
        <v>45664</v>
      </c>
      <c r="C3459" s="1" t="n">
        <v>45795</v>
      </c>
      <c r="D3459" t="inlineStr">
        <is>
          <t>JÄMTLANDS LÄN</t>
        </is>
      </c>
      <c r="E3459" t="inlineStr">
        <is>
          <t>STRÖMSUND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473-2025</t>
        </is>
      </c>
      <c r="B3460" s="1" t="n">
        <v>45664</v>
      </c>
      <c r="C3460" s="1" t="n">
        <v>45795</v>
      </c>
      <c r="D3460" t="inlineStr">
        <is>
          <t>JÄMTLANDS LÄN</t>
        </is>
      </c>
      <c r="E3460" t="inlineStr">
        <is>
          <t>STRÖMSUND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1126-2025</t>
        </is>
      </c>
      <c r="B3461" s="1" t="n">
        <v>45666</v>
      </c>
      <c r="C3461" s="1" t="n">
        <v>45795</v>
      </c>
      <c r="D3461" t="inlineStr">
        <is>
          <t>JÄMTLANDS LÄN</t>
        </is>
      </c>
      <c r="E3461" t="inlineStr">
        <is>
          <t>STRÖMSUND</t>
        </is>
      </c>
      <c r="F3461" t="inlineStr">
        <is>
          <t>SCA</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992-2025</t>
        </is>
      </c>
      <c r="B3462" s="1" t="n">
        <v>45666</v>
      </c>
      <c r="C3462" s="1" t="n">
        <v>45795</v>
      </c>
      <c r="D3462" t="inlineStr">
        <is>
          <t>JÄMTLANDS LÄN</t>
        </is>
      </c>
      <c r="E3462" t="inlineStr">
        <is>
          <t>STRÖMSUND</t>
        </is>
      </c>
      <c r="F3462" t="inlineStr">
        <is>
          <t>SCA</t>
        </is>
      </c>
      <c r="G3462" t="n">
        <v>16.4</v>
      </c>
      <c r="H3462" t="n">
        <v>0</v>
      </c>
      <c r="I3462" t="n">
        <v>0</v>
      </c>
      <c r="J3462" t="n">
        <v>0</v>
      </c>
      <c r="K3462" t="n">
        <v>0</v>
      </c>
      <c r="L3462" t="n">
        <v>0</v>
      </c>
      <c r="M3462" t="n">
        <v>0</v>
      </c>
      <c r="N3462" t="n">
        <v>0</v>
      </c>
      <c r="O3462" t="n">
        <v>0</v>
      </c>
      <c r="P3462" t="n">
        <v>0</v>
      </c>
      <c r="Q3462" t="n">
        <v>0</v>
      </c>
      <c r="R3462" s="2" t="inlineStr"/>
    </row>
    <row r="3463" ht="15" customHeight="1">
      <c r="A3463" t="inlineStr">
        <is>
          <t>A 1117-2025</t>
        </is>
      </c>
      <c r="B3463" s="1" t="n">
        <v>45666</v>
      </c>
      <c r="C3463" s="1" t="n">
        <v>45795</v>
      </c>
      <c r="D3463" t="inlineStr">
        <is>
          <t>JÄMTLANDS LÄN</t>
        </is>
      </c>
      <c r="E3463" t="inlineStr">
        <is>
          <t>STRÖMSUND</t>
        </is>
      </c>
      <c r="F3463" t="inlineStr">
        <is>
          <t>SCA</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1391-2025</t>
        </is>
      </c>
      <c r="B3464" s="1" t="n">
        <v>45667</v>
      </c>
      <c r="C3464" s="1" t="n">
        <v>45795</v>
      </c>
      <c r="D3464" t="inlineStr">
        <is>
          <t>JÄMTLANDS LÄN</t>
        </is>
      </c>
      <c r="E3464" t="inlineStr">
        <is>
          <t>STRÖMSUND</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1421-2025</t>
        </is>
      </c>
      <c r="B3465" s="1" t="n">
        <v>45668</v>
      </c>
      <c r="C3465" s="1" t="n">
        <v>45795</v>
      </c>
      <c r="D3465" t="inlineStr">
        <is>
          <t>JÄMTLANDS LÄN</t>
        </is>
      </c>
      <c r="E3465" t="inlineStr">
        <is>
          <t>STRÖMSUND</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1429-2025</t>
        </is>
      </c>
      <c r="B3466" s="1" t="n">
        <v>45669</v>
      </c>
      <c r="C3466" s="1" t="n">
        <v>45795</v>
      </c>
      <c r="D3466" t="inlineStr">
        <is>
          <t>JÄMTLANDS LÄN</t>
        </is>
      </c>
      <c r="E3466" t="inlineStr">
        <is>
          <t>STRÖMSUND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1545-2025</t>
        </is>
      </c>
      <c r="B3467" s="1" t="n">
        <v>45670</v>
      </c>
      <c r="C3467" s="1" t="n">
        <v>45795</v>
      </c>
      <c r="D3467" t="inlineStr">
        <is>
          <t>JÄMTLANDS LÄN</t>
        </is>
      </c>
      <c r="E3467" t="inlineStr">
        <is>
          <t>STRÖMSUND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1546-2025</t>
        </is>
      </c>
      <c r="B3468" s="1" t="n">
        <v>45670</v>
      </c>
      <c r="C3468" s="1" t="n">
        <v>45795</v>
      </c>
      <c r="D3468" t="inlineStr">
        <is>
          <t>JÄMTLANDS LÄN</t>
        </is>
      </c>
      <c r="E3468" t="inlineStr">
        <is>
          <t>STRÖMSUND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1542-2025</t>
        </is>
      </c>
      <c r="B3469" s="1" t="n">
        <v>45670</v>
      </c>
      <c r="C3469" s="1" t="n">
        <v>45795</v>
      </c>
      <c r="D3469" t="inlineStr">
        <is>
          <t>JÄMTLANDS LÄN</t>
        </is>
      </c>
      <c r="E3469" t="inlineStr">
        <is>
          <t>STRÖMSUND</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1548-2025</t>
        </is>
      </c>
      <c r="B3470" s="1" t="n">
        <v>45670</v>
      </c>
      <c r="C3470" s="1" t="n">
        <v>45795</v>
      </c>
      <c r="D3470" t="inlineStr">
        <is>
          <t>JÄMTLANDS LÄN</t>
        </is>
      </c>
      <c r="E3470" t="inlineStr">
        <is>
          <t>STRÖMSUND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1544-2025</t>
        </is>
      </c>
      <c r="B3471" s="1" t="n">
        <v>45670</v>
      </c>
      <c r="C3471" s="1" t="n">
        <v>45795</v>
      </c>
      <c r="D3471" t="inlineStr">
        <is>
          <t>JÄMTLANDS LÄN</t>
        </is>
      </c>
      <c r="E3471" t="inlineStr">
        <is>
          <t>STRÖMSUND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1671-2025</t>
        </is>
      </c>
      <c r="B3472" s="1" t="n">
        <v>45670</v>
      </c>
      <c r="C3472" s="1" t="n">
        <v>45795</v>
      </c>
      <c r="D3472" t="inlineStr">
        <is>
          <t>JÄMTLANDS LÄN</t>
        </is>
      </c>
      <c r="E3472" t="inlineStr">
        <is>
          <t>STRÖMSUND</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1669-2025</t>
        </is>
      </c>
      <c r="B3473" s="1" t="n">
        <v>45670</v>
      </c>
      <c r="C3473" s="1" t="n">
        <v>45795</v>
      </c>
      <c r="D3473" t="inlineStr">
        <is>
          <t>JÄMTLANDS LÄN</t>
        </is>
      </c>
      <c r="E3473" t="inlineStr">
        <is>
          <t>STRÖMSUND</t>
        </is>
      </c>
      <c r="F3473" t="inlineStr">
        <is>
          <t>SCA</t>
        </is>
      </c>
      <c r="G3473" t="n">
        <v>14.7</v>
      </c>
      <c r="H3473" t="n">
        <v>0</v>
      </c>
      <c r="I3473" t="n">
        <v>0</v>
      </c>
      <c r="J3473" t="n">
        <v>0</v>
      </c>
      <c r="K3473" t="n">
        <v>0</v>
      </c>
      <c r="L3473" t="n">
        <v>0</v>
      </c>
      <c r="M3473" t="n">
        <v>0</v>
      </c>
      <c r="N3473" t="n">
        <v>0</v>
      </c>
      <c r="O3473" t="n">
        <v>0</v>
      </c>
      <c r="P3473" t="n">
        <v>0</v>
      </c>
      <c r="Q3473" t="n">
        <v>0</v>
      </c>
      <c r="R3473" s="2" t="inlineStr"/>
    </row>
    <row r="3474" ht="15" customHeight="1">
      <c r="A3474" t="inlineStr">
        <is>
          <t>A 1498-2025</t>
        </is>
      </c>
      <c r="B3474" s="1" t="n">
        <v>45670</v>
      </c>
      <c r="C3474" s="1" t="n">
        <v>45795</v>
      </c>
      <c r="D3474" t="inlineStr">
        <is>
          <t>JÄMTLANDS LÄN</t>
        </is>
      </c>
      <c r="E3474" t="inlineStr">
        <is>
          <t>STRÖMSUND</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1547-2025</t>
        </is>
      </c>
      <c r="B3475" s="1" t="n">
        <v>45670</v>
      </c>
      <c r="C3475" s="1" t="n">
        <v>45795</v>
      </c>
      <c r="D3475" t="inlineStr">
        <is>
          <t>JÄMTLANDS LÄN</t>
        </is>
      </c>
      <c r="E3475" t="inlineStr">
        <is>
          <t>STRÖMSUND</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1543-2025</t>
        </is>
      </c>
      <c r="B3476" s="1" t="n">
        <v>45670</v>
      </c>
      <c r="C3476" s="1" t="n">
        <v>45795</v>
      </c>
      <c r="D3476" t="inlineStr">
        <is>
          <t>JÄMTLANDS LÄN</t>
        </is>
      </c>
      <c r="E3476" t="inlineStr">
        <is>
          <t>STRÖMSUND</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1670-2025</t>
        </is>
      </c>
      <c r="B3477" s="1" t="n">
        <v>45670</v>
      </c>
      <c r="C3477" s="1" t="n">
        <v>45795</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1913-2025</t>
        </is>
      </c>
      <c r="B3478" s="1" t="n">
        <v>45671</v>
      </c>
      <c r="C3478" s="1" t="n">
        <v>45795</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1722-2025</t>
        </is>
      </c>
      <c r="B3479" s="1" t="n">
        <v>45671</v>
      </c>
      <c r="C3479" s="1" t="n">
        <v>45795</v>
      </c>
      <c r="D3479" t="inlineStr">
        <is>
          <t>JÄMTLANDS LÄN</t>
        </is>
      </c>
      <c r="E3479" t="inlineStr">
        <is>
          <t>STRÖMSUND</t>
        </is>
      </c>
      <c r="F3479" t="inlineStr">
        <is>
          <t>SCA</t>
        </is>
      </c>
      <c r="G3479" t="n">
        <v>37.1</v>
      </c>
      <c r="H3479" t="n">
        <v>0</v>
      </c>
      <c r="I3479" t="n">
        <v>0</v>
      </c>
      <c r="J3479" t="n">
        <v>0</v>
      </c>
      <c r="K3479" t="n">
        <v>0</v>
      </c>
      <c r="L3479" t="n">
        <v>0</v>
      </c>
      <c r="M3479" t="n">
        <v>0</v>
      </c>
      <c r="N3479" t="n">
        <v>0</v>
      </c>
      <c r="O3479" t="n">
        <v>0</v>
      </c>
      <c r="P3479" t="n">
        <v>0</v>
      </c>
      <c r="Q3479" t="n">
        <v>0</v>
      </c>
      <c r="R3479" s="2" t="inlineStr"/>
    </row>
    <row r="3480" ht="15" customHeight="1">
      <c r="A3480" t="inlineStr">
        <is>
          <t>A 1721-2025</t>
        </is>
      </c>
      <c r="B3480" s="1" t="n">
        <v>45671</v>
      </c>
      <c r="C3480" s="1" t="n">
        <v>45795</v>
      </c>
      <c r="D3480" t="inlineStr">
        <is>
          <t>JÄMTLANDS LÄN</t>
        </is>
      </c>
      <c r="E3480" t="inlineStr">
        <is>
          <t>STRÖMSUND</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1822-2025</t>
        </is>
      </c>
      <c r="B3481" s="1" t="n">
        <v>45671</v>
      </c>
      <c r="C3481" s="1" t="n">
        <v>45795</v>
      </c>
      <c r="D3481" t="inlineStr">
        <is>
          <t>JÄMTLANDS LÄN</t>
        </is>
      </c>
      <c r="E3481" t="inlineStr">
        <is>
          <t>STRÖMSUND</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1878-2025</t>
        </is>
      </c>
      <c r="B3482" s="1" t="n">
        <v>45671</v>
      </c>
      <c r="C3482" s="1" t="n">
        <v>45795</v>
      </c>
      <c r="D3482" t="inlineStr">
        <is>
          <t>JÄMTLANDS LÄN</t>
        </is>
      </c>
      <c r="E3482" t="inlineStr">
        <is>
          <t>STRÖMSUND</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1824-2025</t>
        </is>
      </c>
      <c r="B3483" s="1" t="n">
        <v>45671</v>
      </c>
      <c r="C3483" s="1" t="n">
        <v>45795</v>
      </c>
      <c r="D3483" t="inlineStr">
        <is>
          <t>JÄMTLANDS LÄN</t>
        </is>
      </c>
      <c r="E3483" t="inlineStr">
        <is>
          <t>STRÖMSUND</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1823-2025</t>
        </is>
      </c>
      <c r="B3484" s="1" t="n">
        <v>45671</v>
      </c>
      <c r="C3484" s="1" t="n">
        <v>45795</v>
      </c>
      <c r="D3484" t="inlineStr">
        <is>
          <t>JÄMTLANDS LÄN</t>
        </is>
      </c>
      <c r="E3484" t="inlineStr">
        <is>
          <t>STRÖMSUND</t>
        </is>
      </c>
      <c r="F3484" t="inlineStr">
        <is>
          <t>SCA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1925-2025</t>
        </is>
      </c>
      <c r="B3485" s="1" t="n">
        <v>45671</v>
      </c>
      <c r="C3485" s="1" t="n">
        <v>45795</v>
      </c>
      <c r="D3485" t="inlineStr">
        <is>
          <t>JÄMTLANDS LÄN</t>
        </is>
      </c>
      <c r="E3485" t="inlineStr">
        <is>
          <t>STRÖMSUND</t>
        </is>
      </c>
      <c r="F3485" t="inlineStr">
        <is>
          <t>SCA</t>
        </is>
      </c>
      <c r="G3485" t="n">
        <v>37.6</v>
      </c>
      <c r="H3485" t="n">
        <v>0</v>
      </c>
      <c r="I3485" t="n">
        <v>0</v>
      </c>
      <c r="J3485" t="n">
        <v>0</v>
      </c>
      <c r="K3485" t="n">
        <v>0</v>
      </c>
      <c r="L3485" t="n">
        <v>0</v>
      </c>
      <c r="M3485" t="n">
        <v>0</v>
      </c>
      <c r="N3485" t="n">
        <v>0</v>
      </c>
      <c r="O3485" t="n">
        <v>0</v>
      </c>
      <c r="P3485" t="n">
        <v>0</v>
      </c>
      <c r="Q3485" t="n">
        <v>0</v>
      </c>
      <c r="R3485" s="2" t="inlineStr"/>
    </row>
    <row r="3486" ht="15" customHeight="1">
      <c r="A3486" t="inlineStr">
        <is>
          <t>A 2124-2025</t>
        </is>
      </c>
      <c r="B3486" s="1" t="n">
        <v>45672</v>
      </c>
      <c r="C3486" s="1" t="n">
        <v>45795</v>
      </c>
      <c r="D3486" t="inlineStr">
        <is>
          <t>JÄMTLANDS LÄN</t>
        </is>
      </c>
      <c r="E3486" t="inlineStr">
        <is>
          <t>STRÖMSUND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2304-2025</t>
        </is>
      </c>
      <c r="B3487" s="1" t="n">
        <v>45673</v>
      </c>
      <c r="C3487" s="1" t="n">
        <v>45795</v>
      </c>
      <c r="D3487" t="inlineStr">
        <is>
          <t>JÄMTLANDS LÄN</t>
        </is>
      </c>
      <c r="E3487" t="inlineStr">
        <is>
          <t>STRÖMSUND</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2568-2025</t>
        </is>
      </c>
      <c r="B3488" s="1" t="n">
        <v>45673</v>
      </c>
      <c r="C3488" s="1" t="n">
        <v>45795</v>
      </c>
      <c r="D3488" t="inlineStr">
        <is>
          <t>JÄMTLANDS LÄN</t>
        </is>
      </c>
      <c r="E3488" t="inlineStr">
        <is>
          <t>STRÖMSUND</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2533-2025</t>
        </is>
      </c>
      <c r="B3489" s="1" t="n">
        <v>45674</v>
      </c>
      <c r="C3489" s="1" t="n">
        <v>45795</v>
      </c>
      <c r="D3489" t="inlineStr">
        <is>
          <t>JÄMTLANDS LÄN</t>
        </is>
      </c>
      <c r="E3489" t="inlineStr">
        <is>
          <t>STRÖMSUND</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2535-2025</t>
        </is>
      </c>
      <c r="B3490" s="1" t="n">
        <v>45674</v>
      </c>
      <c r="C3490" s="1" t="n">
        <v>45795</v>
      </c>
      <c r="D3490" t="inlineStr">
        <is>
          <t>JÄMTLANDS LÄN</t>
        </is>
      </c>
      <c r="E3490" t="inlineStr">
        <is>
          <t>STRÖMSUND</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2534-2025</t>
        </is>
      </c>
      <c r="B3491" s="1" t="n">
        <v>45674</v>
      </c>
      <c r="C3491" s="1" t="n">
        <v>45795</v>
      </c>
      <c r="D3491" t="inlineStr">
        <is>
          <t>JÄMTLANDS LÄN</t>
        </is>
      </c>
      <c r="E3491" t="inlineStr">
        <is>
          <t>STRÖMSUND</t>
        </is>
      </c>
      <c r="F3491" t="inlineStr">
        <is>
          <t>SCA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2618-2025</t>
        </is>
      </c>
      <c r="B3492" s="1" t="n">
        <v>45675</v>
      </c>
      <c r="C3492" s="1" t="n">
        <v>45795</v>
      </c>
      <c r="D3492" t="inlineStr">
        <is>
          <t>JÄMTLANDS LÄN</t>
        </is>
      </c>
      <c r="E3492" t="inlineStr">
        <is>
          <t>STRÖMSUND</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2686-2025</t>
        </is>
      </c>
      <c r="B3493" s="1" t="n">
        <v>45677</v>
      </c>
      <c r="C3493" s="1" t="n">
        <v>45795</v>
      </c>
      <c r="D3493" t="inlineStr">
        <is>
          <t>JÄMTLANDS LÄN</t>
        </is>
      </c>
      <c r="E3493" t="inlineStr">
        <is>
          <t>STRÖMSUND</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2749-2025</t>
        </is>
      </c>
      <c r="B3494" s="1" t="n">
        <v>45677</v>
      </c>
      <c r="C3494" s="1" t="n">
        <v>45795</v>
      </c>
      <c r="D3494" t="inlineStr">
        <is>
          <t>JÄMTLANDS LÄN</t>
        </is>
      </c>
      <c r="E3494" t="inlineStr">
        <is>
          <t>STRÖMSUND</t>
        </is>
      </c>
      <c r="G3494" t="n">
        <v>20.6</v>
      </c>
      <c r="H3494" t="n">
        <v>0</v>
      </c>
      <c r="I3494" t="n">
        <v>0</v>
      </c>
      <c r="J3494" t="n">
        <v>0</v>
      </c>
      <c r="K3494" t="n">
        <v>0</v>
      </c>
      <c r="L3494" t="n">
        <v>0</v>
      </c>
      <c r="M3494" t="n">
        <v>0</v>
      </c>
      <c r="N3494" t="n">
        <v>0</v>
      </c>
      <c r="O3494" t="n">
        <v>0</v>
      </c>
      <c r="P3494" t="n">
        <v>0</v>
      </c>
      <c r="Q3494" t="n">
        <v>0</v>
      </c>
      <c r="R3494" s="2" t="inlineStr"/>
    </row>
    <row r="3495" ht="15" customHeight="1">
      <c r="A3495" t="inlineStr">
        <is>
          <t>A 2808-2025</t>
        </is>
      </c>
      <c r="B3495" s="1" t="n">
        <v>45677</v>
      </c>
      <c r="C3495" s="1" t="n">
        <v>45795</v>
      </c>
      <c r="D3495" t="inlineStr">
        <is>
          <t>JÄMTLANDS LÄN</t>
        </is>
      </c>
      <c r="E3495" t="inlineStr">
        <is>
          <t>STRÖMSUND</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2990-2025</t>
        </is>
      </c>
      <c r="B3496" s="1" t="n">
        <v>45678</v>
      </c>
      <c r="C3496" s="1" t="n">
        <v>45795</v>
      </c>
      <c r="D3496" t="inlineStr">
        <is>
          <t>JÄMTLANDS LÄN</t>
        </is>
      </c>
      <c r="E3496" t="inlineStr">
        <is>
          <t>STRÖMSUND</t>
        </is>
      </c>
      <c r="F3496" t="inlineStr">
        <is>
          <t>SCA</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3019-2025</t>
        </is>
      </c>
      <c r="B3497" s="1" t="n">
        <v>45678</v>
      </c>
      <c r="C3497" s="1" t="n">
        <v>45795</v>
      </c>
      <c r="D3497" t="inlineStr">
        <is>
          <t>JÄMTLANDS LÄN</t>
        </is>
      </c>
      <c r="E3497" t="inlineStr">
        <is>
          <t>STRÖMSUND</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2989-2025</t>
        </is>
      </c>
      <c r="B3498" s="1" t="n">
        <v>45678</v>
      </c>
      <c r="C3498" s="1" t="n">
        <v>45795</v>
      </c>
      <c r="D3498" t="inlineStr">
        <is>
          <t>JÄMTLANDS LÄN</t>
        </is>
      </c>
      <c r="E3498" t="inlineStr">
        <is>
          <t>STRÖMSUND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3328-2025</t>
        </is>
      </c>
      <c r="B3499" s="1" t="n">
        <v>45679</v>
      </c>
      <c r="C3499" s="1" t="n">
        <v>45795</v>
      </c>
      <c r="D3499" t="inlineStr">
        <is>
          <t>JÄMTLANDS LÄN</t>
        </is>
      </c>
      <c r="E3499" t="inlineStr">
        <is>
          <t>STRÖMSUND</t>
        </is>
      </c>
      <c r="F3499" t="inlineStr">
        <is>
          <t>SCA</t>
        </is>
      </c>
      <c r="G3499" t="n">
        <v>24.7</v>
      </c>
      <c r="H3499" t="n">
        <v>0</v>
      </c>
      <c r="I3499" t="n">
        <v>0</v>
      </c>
      <c r="J3499" t="n">
        <v>0</v>
      </c>
      <c r="K3499" t="n">
        <v>0</v>
      </c>
      <c r="L3499" t="n">
        <v>0</v>
      </c>
      <c r="M3499" t="n">
        <v>0</v>
      </c>
      <c r="N3499" t="n">
        <v>0</v>
      </c>
      <c r="O3499" t="n">
        <v>0</v>
      </c>
      <c r="P3499" t="n">
        <v>0</v>
      </c>
      <c r="Q3499" t="n">
        <v>0</v>
      </c>
      <c r="R3499" s="2" t="inlineStr"/>
    </row>
    <row r="3500" ht="15" customHeight="1">
      <c r="A3500" t="inlineStr">
        <is>
          <t>A 3427-2025</t>
        </is>
      </c>
      <c r="B3500" s="1" t="n">
        <v>45680</v>
      </c>
      <c r="C3500" s="1" t="n">
        <v>45795</v>
      </c>
      <c r="D3500" t="inlineStr">
        <is>
          <t>JÄMTLANDS LÄN</t>
        </is>
      </c>
      <c r="E3500" t="inlineStr">
        <is>
          <t>STRÖMSUND</t>
        </is>
      </c>
      <c r="F3500" t="inlineStr">
        <is>
          <t>SCA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3443-2025</t>
        </is>
      </c>
      <c r="B3501" s="1" t="n">
        <v>45680</v>
      </c>
      <c r="C3501" s="1" t="n">
        <v>45795</v>
      </c>
      <c r="D3501" t="inlineStr">
        <is>
          <t>JÄMTLANDS LÄN</t>
        </is>
      </c>
      <c r="E3501" t="inlineStr">
        <is>
          <t>STRÖMSUND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3388-2025</t>
        </is>
      </c>
      <c r="B3502" s="1" t="n">
        <v>45680</v>
      </c>
      <c r="C3502" s="1" t="n">
        <v>45795</v>
      </c>
      <c r="D3502" t="inlineStr">
        <is>
          <t>JÄMTLANDS LÄN</t>
        </is>
      </c>
      <c r="E3502" t="inlineStr">
        <is>
          <t>STRÖMSUND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3749-2025</t>
        </is>
      </c>
      <c r="B3503" s="1" t="n">
        <v>45681</v>
      </c>
      <c r="C3503" s="1" t="n">
        <v>45795</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3751-2025</t>
        </is>
      </c>
      <c r="B3504" s="1" t="n">
        <v>45681</v>
      </c>
      <c r="C3504" s="1" t="n">
        <v>45795</v>
      </c>
      <c r="D3504" t="inlineStr">
        <is>
          <t>JÄMTLANDS LÄN</t>
        </is>
      </c>
      <c r="E3504" t="inlineStr">
        <is>
          <t>STRÖMSUND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3650-2025</t>
        </is>
      </c>
      <c r="B3505" s="1" t="n">
        <v>45681</v>
      </c>
      <c r="C3505" s="1" t="n">
        <v>45795</v>
      </c>
      <c r="D3505" t="inlineStr">
        <is>
          <t>JÄMTLANDS LÄN</t>
        </is>
      </c>
      <c r="E3505" t="inlineStr">
        <is>
          <t>STRÖMSUND</t>
        </is>
      </c>
      <c r="F3505" t="inlineStr">
        <is>
          <t>SCA</t>
        </is>
      </c>
      <c r="G3505" t="n">
        <v>12.4</v>
      </c>
      <c r="H3505" t="n">
        <v>0</v>
      </c>
      <c r="I3505" t="n">
        <v>0</v>
      </c>
      <c r="J3505" t="n">
        <v>0</v>
      </c>
      <c r="K3505" t="n">
        <v>0</v>
      </c>
      <c r="L3505" t="n">
        <v>0</v>
      </c>
      <c r="M3505" t="n">
        <v>0</v>
      </c>
      <c r="N3505" t="n">
        <v>0</v>
      </c>
      <c r="O3505" t="n">
        <v>0</v>
      </c>
      <c r="P3505" t="n">
        <v>0</v>
      </c>
      <c r="Q3505" t="n">
        <v>0</v>
      </c>
      <c r="R3505" s="2" t="inlineStr"/>
    </row>
    <row r="3506" ht="15" customHeight="1">
      <c r="A3506" t="inlineStr">
        <is>
          <t>A 3667-2025</t>
        </is>
      </c>
      <c r="B3506" s="1" t="n">
        <v>45681</v>
      </c>
      <c r="C3506" s="1" t="n">
        <v>45795</v>
      </c>
      <c r="D3506" t="inlineStr">
        <is>
          <t>JÄMTLANDS LÄN</t>
        </is>
      </c>
      <c r="E3506" t="inlineStr">
        <is>
          <t>STRÖMSUND</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3695-2025</t>
        </is>
      </c>
      <c r="B3507" s="1" t="n">
        <v>45681</v>
      </c>
      <c r="C3507" s="1" t="n">
        <v>45795</v>
      </c>
      <c r="D3507" t="inlineStr">
        <is>
          <t>JÄMTLANDS LÄN</t>
        </is>
      </c>
      <c r="E3507" t="inlineStr">
        <is>
          <t>STRÖMSUND</t>
        </is>
      </c>
      <c r="F3507" t="inlineStr">
        <is>
          <t>SCA</t>
        </is>
      </c>
      <c r="G3507" t="n">
        <v>15.9</v>
      </c>
      <c r="H3507" t="n">
        <v>0</v>
      </c>
      <c r="I3507" t="n">
        <v>0</v>
      </c>
      <c r="J3507" t="n">
        <v>0</v>
      </c>
      <c r="K3507" t="n">
        <v>0</v>
      </c>
      <c r="L3507" t="n">
        <v>0</v>
      </c>
      <c r="M3507" t="n">
        <v>0</v>
      </c>
      <c r="N3507" t="n">
        <v>0</v>
      </c>
      <c r="O3507" t="n">
        <v>0</v>
      </c>
      <c r="P3507" t="n">
        <v>0</v>
      </c>
      <c r="Q3507" t="n">
        <v>0</v>
      </c>
      <c r="R3507" s="2" t="inlineStr"/>
    </row>
    <row r="3508" ht="15" customHeight="1">
      <c r="A3508" t="inlineStr">
        <is>
          <t>A 4043-2025</t>
        </is>
      </c>
      <c r="B3508" s="1" t="n">
        <v>45684</v>
      </c>
      <c r="C3508" s="1" t="n">
        <v>45795</v>
      </c>
      <c r="D3508" t="inlineStr">
        <is>
          <t>JÄMTLANDS LÄN</t>
        </is>
      </c>
      <c r="E3508" t="inlineStr">
        <is>
          <t>STRÖMSUND</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3911-2025</t>
        </is>
      </c>
      <c r="B3509" s="1" t="n">
        <v>45684</v>
      </c>
      <c r="C3509" s="1" t="n">
        <v>45795</v>
      </c>
      <c r="D3509" t="inlineStr">
        <is>
          <t>JÄMTLANDS LÄN</t>
        </is>
      </c>
      <c r="E3509" t="inlineStr">
        <is>
          <t>STRÖMSUND</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3918-2025</t>
        </is>
      </c>
      <c r="B3510" s="1" t="n">
        <v>45684</v>
      </c>
      <c r="C3510" s="1" t="n">
        <v>45795</v>
      </c>
      <c r="D3510" t="inlineStr">
        <is>
          <t>JÄMTLANDS LÄN</t>
        </is>
      </c>
      <c r="E3510" t="inlineStr">
        <is>
          <t>STRÖMSUND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4036-2025</t>
        </is>
      </c>
      <c r="B3511" s="1" t="n">
        <v>45684</v>
      </c>
      <c r="C3511" s="1" t="n">
        <v>45795</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4044-2025</t>
        </is>
      </c>
      <c r="B3512" s="1" t="n">
        <v>45684</v>
      </c>
      <c r="C3512" s="1" t="n">
        <v>45795</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3917-2025</t>
        </is>
      </c>
      <c r="B3513" s="1" t="n">
        <v>45684</v>
      </c>
      <c r="C3513" s="1" t="n">
        <v>45795</v>
      </c>
      <c r="D3513" t="inlineStr">
        <is>
          <t>JÄMTLANDS LÄN</t>
        </is>
      </c>
      <c r="E3513" t="inlineStr">
        <is>
          <t>STRÖMSUND</t>
        </is>
      </c>
      <c r="G3513" t="n">
        <v>17.2</v>
      </c>
      <c r="H3513" t="n">
        <v>0</v>
      </c>
      <c r="I3513" t="n">
        <v>0</v>
      </c>
      <c r="J3513" t="n">
        <v>0</v>
      </c>
      <c r="K3513" t="n">
        <v>0</v>
      </c>
      <c r="L3513" t="n">
        <v>0</v>
      </c>
      <c r="M3513" t="n">
        <v>0</v>
      </c>
      <c r="N3513" t="n">
        <v>0</v>
      </c>
      <c r="O3513" t="n">
        <v>0</v>
      </c>
      <c r="P3513" t="n">
        <v>0</v>
      </c>
      <c r="Q3513" t="n">
        <v>0</v>
      </c>
      <c r="R3513" s="2" t="inlineStr"/>
    </row>
    <row r="3514" ht="15" customHeight="1">
      <c r="A3514" t="inlineStr">
        <is>
          <t>A 4026-2025</t>
        </is>
      </c>
      <c r="B3514" s="1" t="n">
        <v>45684</v>
      </c>
      <c r="C3514" s="1" t="n">
        <v>45795</v>
      </c>
      <c r="D3514" t="inlineStr">
        <is>
          <t>JÄMTLANDS LÄN</t>
        </is>
      </c>
      <c r="E3514" t="inlineStr">
        <is>
          <t>STRÖMSUND</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4034-2025</t>
        </is>
      </c>
      <c r="B3515" s="1" t="n">
        <v>45684</v>
      </c>
      <c r="C3515" s="1" t="n">
        <v>45795</v>
      </c>
      <c r="D3515" t="inlineStr">
        <is>
          <t>JÄMTLANDS LÄN</t>
        </is>
      </c>
      <c r="E3515" t="inlineStr">
        <is>
          <t>STRÖMSUND</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4042-2025</t>
        </is>
      </c>
      <c r="B3516" s="1" t="n">
        <v>45684</v>
      </c>
      <c r="C3516" s="1" t="n">
        <v>45795</v>
      </c>
      <c r="D3516" t="inlineStr">
        <is>
          <t>JÄMTLANDS LÄN</t>
        </is>
      </c>
      <c r="E3516" t="inlineStr">
        <is>
          <t>STRÖMSUND</t>
        </is>
      </c>
      <c r="F3516" t="inlineStr">
        <is>
          <t>SCA</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4092-2025</t>
        </is>
      </c>
      <c r="B3517" s="1" t="n">
        <v>45684</v>
      </c>
      <c r="C3517" s="1" t="n">
        <v>45795</v>
      </c>
      <c r="D3517" t="inlineStr">
        <is>
          <t>JÄMTLANDS LÄN</t>
        </is>
      </c>
      <c r="E3517" t="inlineStr">
        <is>
          <t>STRÖMSUND</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4033-2025</t>
        </is>
      </c>
      <c r="B3518" s="1" t="n">
        <v>45684</v>
      </c>
      <c r="C3518" s="1" t="n">
        <v>45795</v>
      </c>
      <c r="D3518" t="inlineStr">
        <is>
          <t>JÄMTLANDS LÄN</t>
        </is>
      </c>
      <c r="E3518" t="inlineStr">
        <is>
          <t>STRÖMSUND</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4045-2025</t>
        </is>
      </c>
      <c r="B3519" s="1" t="n">
        <v>45684</v>
      </c>
      <c r="C3519" s="1" t="n">
        <v>45795</v>
      </c>
      <c r="D3519" t="inlineStr">
        <is>
          <t>JÄMTLANDS LÄN</t>
        </is>
      </c>
      <c r="E3519" t="inlineStr">
        <is>
          <t>STRÖMSUND</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4334-2025</t>
        </is>
      </c>
      <c r="B3520" s="1" t="n">
        <v>45685</v>
      </c>
      <c r="C3520" s="1" t="n">
        <v>45795</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4315-2025</t>
        </is>
      </c>
      <c r="B3521" s="1" t="n">
        <v>45685</v>
      </c>
      <c r="C3521" s="1" t="n">
        <v>45795</v>
      </c>
      <c r="D3521" t="inlineStr">
        <is>
          <t>JÄMTLANDS LÄN</t>
        </is>
      </c>
      <c r="E3521" t="inlineStr">
        <is>
          <t>STRÖMSUND</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4410-2025</t>
        </is>
      </c>
      <c r="B3522" s="1" t="n">
        <v>45686</v>
      </c>
      <c r="C3522" s="1" t="n">
        <v>45795</v>
      </c>
      <c r="D3522" t="inlineStr">
        <is>
          <t>JÄMTLANDS LÄN</t>
        </is>
      </c>
      <c r="E3522" t="inlineStr">
        <is>
          <t>STRÖMSUND</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4370-2025</t>
        </is>
      </c>
      <c r="B3523" s="1" t="n">
        <v>45686</v>
      </c>
      <c r="C3523" s="1" t="n">
        <v>45795</v>
      </c>
      <c r="D3523" t="inlineStr">
        <is>
          <t>JÄMTLANDS LÄN</t>
        </is>
      </c>
      <c r="E3523" t="inlineStr">
        <is>
          <t>STRÖMSUND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4854-2025</t>
        </is>
      </c>
      <c r="B3524" s="1" t="n">
        <v>45688</v>
      </c>
      <c r="C3524" s="1" t="n">
        <v>45795</v>
      </c>
      <c r="D3524" t="inlineStr">
        <is>
          <t>JÄMTLANDS LÄN</t>
        </is>
      </c>
      <c r="E3524" t="inlineStr">
        <is>
          <t>STRÖMSUND</t>
        </is>
      </c>
      <c r="F3524" t="inlineStr">
        <is>
          <t>SCA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4910-2025</t>
        </is>
      </c>
      <c r="B3525" s="1" t="n">
        <v>45688</v>
      </c>
      <c r="C3525" s="1" t="n">
        <v>45795</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4881-2025</t>
        </is>
      </c>
      <c r="B3526" s="1" t="n">
        <v>45688</v>
      </c>
      <c r="C3526" s="1" t="n">
        <v>45795</v>
      </c>
      <c r="D3526" t="inlineStr">
        <is>
          <t>JÄMTLANDS LÄN</t>
        </is>
      </c>
      <c r="E3526" t="inlineStr">
        <is>
          <t>STRÖMSUND</t>
        </is>
      </c>
      <c r="F3526" t="inlineStr">
        <is>
          <t>SCA</t>
        </is>
      </c>
      <c r="G3526" t="n">
        <v>11.2</v>
      </c>
      <c r="H3526" t="n">
        <v>0</v>
      </c>
      <c r="I3526" t="n">
        <v>0</v>
      </c>
      <c r="J3526" t="n">
        <v>0</v>
      </c>
      <c r="K3526" t="n">
        <v>0</v>
      </c>
      <c r="L3526" t="n">
        <v>0</v>
      </c>
      <c r="M3526" t="n">
        <v>0</v>
      </c>
      <c r="N3526" t="n">
        <v>0</v>
      </c>
      <c r="O3526" t="n">
        <v>0</v>
      </c>
      <c r="P3526" t="n">
        <v>0</v>
      </c>
      <c r="Q3526" t="n">
        <v>0</v>
      </c>
      <c r="R3526" s="2" t="inlineStr"/>
    </row>
    <row r="3527" ht="15" customHeight="1">
      <c r="A3527" t="inlineStr">
        <is>
          <t>A 4855-2025</t>
        </is>
      </c>
      <c r="B3527" s="1" t="n">
        <v>45688</v>
      </c>
      <c r="C3527" s="1" t="n">
        <v>45795</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4835-2025</t>
        </is>
      </c>
      <c r="B3528" s="1" t="n">
        <v>45688</v>
      </c>
      <c r="C3528" s="1" t="n">
        <v>45795</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4860-2025</t>
        </is>
      </c>
      <c r="B3529" s="1" t="n">
        <v>45688</v>
      </c>
      <c r="C3529" s="1" t="n">
        <v>45795</v>
      </c>
      <c r="D3529" t="inlineStr">
        <is>
          <t>JÄMTLANDS LÄN</t>
        </is>
      </c>
      <c r="E3529" t="inlineStr">
        <is>
          <t>STRÖMSUND</t>
        </is>
      </c>
      <c r="F3529" t="inlineStr">
        <is>
          <t>SCA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5047-2025</t>
        </is>
      </c>
      <c r="B3530" s="1" t="n">
        <v>45691</v>
      </c>
      <c r="C3530" s="1" t="n">
        <v>45795</v>
      </c>
      <c r="D3530" t="inlineStr">
        <is>
          <t>JÄMTLANDS LÄN</t>
        </is>
      </c>
      <c r="E3530" t="inlineStr">
        <is>
          <t>STRÖMSUND</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5210-2025</t>
        </is>
      </c>
      <c r="B3531" s="1" t="n">
        <v>45691</v>
      </c>
      <c r="C3531" s="1" t="n">
        <v>45795</v>
      </c>
      <c r="D3531" t="inlineStr">
        <is>
          <t>JÄMTLANDS LÄN</t>
        </is>
      </c>
      <c r="E3531" t="inlineStr">
        <is>
          <t>STRÖMSUND</t>
        </is>
      </c>
      <c r="F3531" t="inlineStr">
        <is>
          <t>SCA</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5377-2025</t>
        </is>
      </c>
      <c r="B3532" s="1" t="n">
        <v>45692</v>
      </c>
      <c r="C3532" s="1" t="n">
        <v>45795</v>
      </c>
      <c r="D3532" t="inlineStr">
        <is>
          <t>JÄMTLANDS LÄN</t>
        </is>
      </c>
      <c r="E3532" t="inlineStr">
        <is>
          <t>STRÖMSUND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5607-2025</t>
        </is>
      </c>
      <c r="B3533" s="1" t="n">
        <v>45693</v>
      </c>
      <c r="C3533" s="1" t="n">
        <v>45795</v>
      </c>
      <c r="D3533" t="inlineStr">
        <is>
          <t>JÄMTLANDS LÄN</t>
        </is>
      </c>
      <c r="E3533" t="inlineStr">
        <is>
          <t>STRÖMSUND</t>
        </is>
      </c>
      <c r="F3533" t="inlineStr">
        <is>
          <t>SCA</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5617-2025</t>
        </is>
      </c>
      <c r="B3534" s="1" t="n">
        <v>45693</v>
      </c>
      <c r="C3534" s="1" t="n">
        <v>45795</v>
      </c>
      <c r="D3534" t="inlineStr">
        <is>
          <t>JÄMTLANDS LÄN</t>
        </is>
      </c>
      <c r="E3534" t="inlineStr">
        <is>
          <t>STRÖMSUND</t>
        </is>
      </c>
      <c r="F3534" t="inlineStr">
        <is>
          <t>SCA</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5627-2025</t>
        </is>
      </c>
      <c r="B3535" s="1" t="n">
        <v>45693</v>
      </c>
      <c r="C3535" s="1" t="n">
        <v>45795</v>
      </c>
      <c r="D3535" t="inlineStr">
        <is>
          <t>JÄMTLANDS LÄN</t>
        </is>
      </c>
      <c r="E3535" t="inlineStr">
        <is>
          <t>STRÖMSUND</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5775-2025</t>
        </is>
      </c>
      <c r="B3536" s="1" t="n">
        <v>45694</v>
      </c>
      <c r="C3536" s="1" t="n">
        <v>45795</v>
      </c>
      <c r="D3536" t="inlineStr">
        <is>
          <t>JÄMTLANDS LÄN</t>
        </is>
      </c>
      <c r="E3536" t="inlineStr">
        <is>
          <t>STRÖMSUND</t>
        </is>
      </c>
      <c r="F3536" t="inlineStr">
        <is>
          <t>SCA</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5694-2025</t>
        </is>
      </c>
      <c r="B3537" s="1" t="n">
        <v>45694</v>
      </c>
      <c r="C3537" s="1" t="n">
        <v>45795</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5807-2025</t>
        </is>
      </c>
      <c r="B3538" s="1" t="n">
        <v>45694</v>
      </c>
      <c r="C3538" s="1" t="n">
        <v>45795</v>
      </c>
      <c r="D3538" t="inlineStr">
        <is>
          <t>JÄMTLANDS LÄN</t>
        </is>
      </c>
      <c r="E3538" t="inlineStr">
        <is>
          <t>STRÖMSUND</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5808-2025</t>
        </is>
      </c>
      <c r="B3539" s="1" t="n">
        <v>45694</v>
      </c>
      <c r="C3539" s="1" t="n">
        <v>45795</v>
      </c>
      <c r="D3539" t="inlineStr">
        <is>
          <t>JÄMTLANDS LÄN</t>
        </is>
      </c>
      <c r="E3539" t="inlineStr">
        <is>
          <t>STRÖMSUND</t>
        </is>
      </c>
      <c r="F3539" t="inlineStr">
        <is>
          <t>SCA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5910-2025</t>
        </is>
      </c>
      <c r="B3540" s="1" t="n">
        <v>45695</v>
      </c>
      <c r="C3540" s="1" t="n">
        <v>45795</v>
      </c>
      <c r="D3540" t="inlineStr">
        <is>
          <t>JÄMTLANDS LÄN</t>
        </is>
      </c>
      <c r="E3540" t="inlineStr">
        <is>
          <t>STRÖMSUND</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5943-2025</t>
        </is>
      </c>
      <c r="B3541" s="1" t="n">
        <v>45695</v>
      </c>
      <c r="C3541" s="1" t="n">
        <v>45795</v>
      </c>
      <c r="D3541" t="inlineStr">
        <is>
          <t>JÄMTLANDS LÄN</t>
        </is>
      </c>
      <c r="E3541" t="inlineStr">
        <is>
          <t>STRÖMSUND</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5871-2025</t>
        </is>
      </c>
      <c r="B3542" s="1" t="n">
        <v>45695</v>
      </c>
      <c r="C3542" s="1" t="n">
        <v>45795</v>
      </c>
      <c r="D3542" t="inlineStr">
        <is>
          <t>JÄMTLANDS LÄN</t>
        </is>
      </c>
      <c r="E3542" t="inlineStr">
        <is>
          <t>STRÖMSUND</t>
        </is>
      </c>
      <c r="F3542" t="inlineStr">
        <is>
          <t>SCA</t>
        </is>
      </c>
      <c r="G3542" t="n">
        <v>32.6</v>
      </c>
      <c r="H3542" t="n">
        <v>0</v>
      </c>
      <c r="I3542" t="n">
        <v>0</v>
      </c>
      <c r="J3542" t="n">
        <v>0</v>
      </c>
      <c r="K3542" t="n">
        <v>0</v>
      </c>
      <c r="L3542" t="n">
        <v>0</v>
      </c>
      <c r="M3542" t="n">
        <v>0</v>
      </c>
      <c r="N3542" t="n">
        <v>0</v>
      </c>
      <c r="O3542" t="n">
        <v>0</v>
      </c>
      <c r="P3542" t="n">
        <v>0</v>
      </c>
      <c r="Q3542" t="n">
        <v>0</v>
      </c>
      <c r="R3542" s="2" t="inlineStr"/>
    </row>
    <row r="3543" ht="15" customHeight="1">
      <c r="A3543" t="inlineStr">
        <is>
          <t>A 5948-2025</t>
        </is>
      </c>
      <c r="B3543" s="1" t="n">
        <v>45695</v>
      </c>
      <c r="C3543" s="1" t="n">
        <v>45795</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6129-2025</t>
        </is>
      </c>
      <c r="B3544" s="1" t="n">
        <v>45698</v>
      </c>
      <c r="C3544" s="1" t="n">
        <v>45795</v>
      </c>
      <c r="D3544" t="inlineStr">
        <is>
          <t>JÄMTLANDS LÄN</t>
        </is>
      </c>
      <c r="E3544" t="inlineStr">
        <is>
          <t>STRÖMSUND</t>
        </is>
      </c>
      <c r="G3544" t="n">
        <v>16.6</v>
      </c>
      <c r="H3544" t="n">
        <v>0</v>
      </c>
      <c r="I3544" t="n">
        <v>0</v>
      </c>
      <c r="J3544" t="n">
        <v>0</v>
      </c>
      <c r="K3544" t="n">
        <v>0</v>
      </c>
      <c r="L3544" t="n">
        <v>0</v>
      </c>
      <c r="M3544" t="n">
        <v>0</v>
      </c>
      <c r="N3544" t="n">
        <v>0</v>
      </c>
      <c r="O3544" t="n">
        <v>0</v>
      </c>
      <c r="P3544" t="n">
        <v>0</v>
      </c>
      <c r="Q3544" t="n">
        <v>0</v>
      </c>
      <c r="R3544" s="2" t="inlineStr"/>
    </row>
    <row r="3545" ht="15" customHeight="1">
      <c r="A3545" t="inlineStr">
        <is>
          <t>A 6302-2025</t>
        </is>
      </c>
      <c r="B3545" s="1" t="n">
        <v>45698</v>
      </c>
      <c r="C3545" s="1" t="n">
        <v>45795</v>
      </c>
      <c r="D3545" t="inlineStr">
        <is>
          <t>JÄMTLANDS LÄN</t>
        </is>
      </c>
      <c r="E3545" t="inlineStr">
        <is>
          <t>STRÖMSUND</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6172-2025</t>
        </is>
      </c>
      <c r="B3546" s="1" t="n">
        <v>45698</v>
      </c>
      <c r="C3546" s="1" t="n">
        <v>45795</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6232-2025</t>
        </is>
      </c>
      <c r="B3547" s="1" t="n">
        <v>45698</v>
      </c>
      <c r="C3547" s="1" t="n">
        <v>45795</v>
      </c>
      <c r="D3547" t="inlineStr">
        <is>
          <t>JÄMTLANDS LÄN</t>
        </is>
      </c>
      <c r="E3547" t="inlineStr">
        <is>
          <t>STRÖMSUND</t>
        </is>
      </c>
      <c r="F3547" t="inlineStr">
        <is>
          <t>SCA</t>
        </is>
      </c>
      <c r="G3547" t="n">
        <v>24.2</v>
      </c>
      <c r="H3547" t="n">
        <v>0</v>
      </c>
      <c r="I3547" t="n">
        <v>0</v>
      </c>
      <c r="J3547" t="n">
        <v>0</v>
      </c>
      <c r="K3547" t="n">
        <v>0</v>
      </c>
      <c r="L3547" t="n">
        <v>0</v>
      </c>
      <c r="M3547" t="n">
        <v>0</v>
      </c>
      <c r="N3547" t="n">
        <v>0</v>
      </c>
      <c r="O3547" t="n">
        <v>0</v>
      </c>
      <c r="P3547" t="n">
        <v>0</v>
      </c>
      <c r="Q3547" t="n">
        <v>0</v>
      </c>
      <c r="R3547" s="2" t="inlineStr"/>
      <c r="U3547">
        <f>HYPERLINK("https://klasma.github.io/Logging_2313/knärot/A 6232-2025 karta knärot.png", "A 6232-2025")</f>
        <v/>
      </c>
      <c r="V3547">
        <f>HYPERLINK("https://klasma.github.io/Logging_2313/klagomål/A 6232-2025 FSC-klagomål.docx", "A 6232-2025")</f>
        <v/>
      </c>
      <c r="W3547">
        <f>HYPERLINK("https://klasma.github.io/Logging_2313/klagomålsmail/A 6232-2025 FSC-klagomål mail.docx", "A 6232-2025")</f>
        <v/>
      </c>
      <c r="X3547">
        <f>HYPERLINK("https://klasma.github.io/Logging_2313/tillsyn/A 6232-2025 tillsynsbegäran.docx", "A 6232-2025")</f>
        <v/>
      </c>
      <c r="Y3547">
        <f>HYPERLINK("https://klasma.github.io/Logging_2313/tillsynsmail/A 6232-2025 tillsynsbegäran mail.docx", "A 6232-2025")</f>
        <v/>
      </c>
    </row>
    <row r="3548" ht="15" customHeight="1">
      <c r="A3548" t="inlineStr">
        <is>
          <t>A 6527-2025</t>
        </is>
      </c>
      <c r="B3548" s="1" t="n">
        <v>45699</v>
      </c>
      <c r="C3548" s="1" t="n">
        <v>45795</v>
      </c>
      <c r="D3548" t="inlineStr">
        <is>
          <t>JÄMTLANDS LÄN</t>
        </is>
      </c>
      <c r="E3548" t="inlineStr">
        <is>
          <t>STRÖMSUND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6488-2025</t>
        </is>
      </c>
      <c r="B3549" s="1" t="n">
        <v>45699</v>
      </c>
      <c r="C3549" s="1" t="n">
        <v>45795</v>
      </c>
      <c r="D3549" t="inlineStr">
        <is>
          <t>JÄMTLANDS LÄN</t>
        </is>
      </c>
      <c r="E3549" t="inlineStr">
        <is>
          <t>STRÖMSUND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6494-2025</t>
        </is>
      </c>
      <c r="B3550" s="1" t="n">
        <v>45699</v>
      </c>
      <c r="C3550" s="1" t="n">
        <v>45795</v>
      </c>
      <c r="D3550" t="inlineStr">
        <is>
          <t>JÄMTLANDS LÄN</t>
        </is>
      </c>
      <c r="E3550" t="inlineStr">
        <is>
          <t>STRÖMSUND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6576-2025</t>
        </is>
      </c>
      <c r="B3551" s="1" t="n">
        <v>45699</v>
      </c>
      <c r="C3551" s="1" t="n">
        <v>45795</v>
      </c>
      <c r="D3551" t="inlineStr">
        <is>
          <t>JÄMTLANDS LÄN</t>
        </is>
      </c>
      <c r="E3551" t="inlineStr">
        <is>
          <t>STRÖMSUND</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6414-2025</t>
        </is>
      </c>
      <c r="B3552" s="1" t="n">
        <v>45699</v>
      </c>
      <c r="C3552" s="1" t="n">
        <v>45795</v>
      </c>
      <c r="D3552" t="inlineStr">
        <is>
          <t>JÄMTLANDS LÄN</t>
        </is>
      </c>
      <c r="E3552" t="inlineStr">
        <is>
          <t>STRÖMSUND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6347-2025</t>
        </is>
      </c>
      <c r="B3553" s="1" t="n">
        <v>45699</v>
      </c>
      <c r="C3553" s="1" t="n">
        <v>45795</v>
      </c>
      <c r="D3553" t="inlineStr">
        <is>
          <t>JÄMTLANDS LÄN</t>
        </is>
      </c>
      <c r="E3553" t="inlineStr">
        <is>
          <t>STRÖMSUND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6685-2025</t>
        </is>
      </c>
      <c r="B3554" s="1" t="n">
        <v>45700</v>
      </c>
      <c r="C3554" s="1" t="n">
        <v>45795</v>
      </c>
      <c r="D3554" t="inlineStr">
        <is>
          <t>JÄMTLANDS LÄN</t>
        </is>
      </c>
      <c r="E3554" t="inlineStr">
        <is>
          <t>STRÖMSUND</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6836-2025</t>
        </is>
      </c>
      <c r="B3555" s="1" t="n">
        <v>45700</v>
      </c>
      <c r="C3555" s="1" t="n">
        <v>45795</v>
      </c>
      <c r="D3555" t="inlineStr">
        <is>
          <t>JÄMTLANDS LÄN</t>
        </is>
      </c>
      <c r="E3555" t="inlineStr">
        <is>
          <t>STRÖMSUND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6787-2025</t>
        </is>
      </c>
      <c r="B3556" s="1" t="n">
        <v>45700</v>
      </c>
      <c r="C3556" s="1" t="n">
        <v>45795</v>
      </c>
      <c r="D3556" t="inlineStr">
        <is>
          <t>JÄMTLANDS LÄN</t>
        </is>
      </c>
      <c r="E3556" t="inlineStr">
        <is>
          <t>STRÖMSUND</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7082-2025</t>
        </is>
      </c>
      <c r="B3557" s="1" t="n">
        <v>45701</v>
      </c>
      <c r="C3557" s="1" t="n">
        <v>45795</v>
      </c>
      <c r="D3557" t="inlineStr">
        <is>
          <t>JÄMTLANDS LÄN</t>
        </is>
      </c>
      <c r="E3557" t="inlineStr">
        <is>
          <t>STRÖMSUND</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6883-2025</t>
        </is>
      </c>
      <c r="B3558" s="1" t="n">
        <v>45701</v>
      </c>
      <c r="C3558" s="1" t="n">
        <v>45795</v>
      </c>
      <c r="D3558" t="inlineStr">
        <is>
          <t>JÄMTLANDS LÄN</t>
        </is>
      </c>
      <c r="E3558" t="inlineStr">
        <is>
          <t>STRÖMSUND</t>
        </is>
      </c>
      <c r="F3558" t="inlineStr">
        <is>
          <t>SCA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6879-2025</t>
        </is>
      </c>
      <c r="B3559" s="1" t="n">
        <v>45701</v>
      </c>
      <c r="C3559" s="1" t="n">
        <v>45795</v>
      </c>
      <c r="D3559" t="inlineStr">
        <is>
          <t>JÄMTLANDS LÄN</t>
        </is>
      </c>
      <c r="E3559" t="inlineStr">
        <is>
          <t>STRÖMSUND</t>
        </is>
      </c>
      <c r="F3559" t="inlineStr">
        <is>
          <t>SCA</t>
        </is>
      </c>
      <c r="G3559" t="n">
        <v>21.3</v>
      </c>
      <c r="H3559" t="n">
        <v>0</v>
      </c>
      <c r="I3559" t="n">
        <v>0</v>
      </c>
      <c r="J3559" t="n">
        <v>0</v>
      </c>
      <c r="K3559" t="n">
        <v>0</v>
      </c>
      <c r="L3559" t="n">
        <v>0</v>
      </c>
      <c r="M3559" t="n">
        <v>0</v>
      </c>
      <c r="N3559" t="n">
        <v>0</v>
      </c>
      <c r="O3559" t="n">
        <v>0</v>
      </c>
      <c r="P3559" t="n">
        <v>0</v>
      </c>
      <c r="Q3559" t="n">
        <v>0</v>
      </c>
      <c r="R3559" s="2" t="inlineStr"/>
    </row>
    <row r="3560" ht="15" customHeight="1">
      <c r="A3560" t="inlineStr">
        <is>
          <t>A 7085-2025</t>
        </is>
      </c>
      <c r="B3560" s="1" t="n">
        <v>45701</v>
      </c>
      <c r="C3560" s="1" t="n">
        <v>45795</v>
      </c>
      <c r="D3560" t="inlineStr">
        <is>
          <t>JÄMTLANDS LÄN</t>
        </is>
      </c>
      <c r="E3560" t="inlineStr">
        <is>
          <t>STRÖMSUND</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6885-2025</t>
        </is>
      </c>
      <c r="B3561" s="1" t="n">
        <v>45701</v>
      </c>
      <c r="C3561" s="1" t="n">
        <v>45795</v>
      </c>
      <c r="D3561" t="inlineStr">
        <is>
          <t>JÄMTLANDS LÄN</t>
        </is>
      </c>
      <c r="E3561" t="inlineStr">
        <is>
          <t>STRÖMSUND</t>
        </is>
      </c>
      <c r="F3561" t="inlineStr">
        <is>
          <t>SCA</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7124-2025</t>
        </is>
      </c>
      <c r="B3562" s="1" t="n">
        <v>45702</v>
      </c>
      <c r="C3562" s="1" t="n">
        <v>45795</v>
      </c>
      <c r="D3562" t="inlineStr">
        <is>
          <t>JÄMTLANDS LÄN</t>
        </is>
      </c>
      <c r="E3562" t="inlineStr">
        <is>
          <t>STRÖMSUND</t>
        </is>
      </c>
      <c r="F3562" t="inlineStr">
        <is>
          <t>SCA</t>
        </is>
      </c>
      <c r="G3562" t="n">
        <v>25.7</v>
      </c>
      <c r="H3562" t="n">
        <v>0</v>
      </c>
      <c r="I3562" t="n">
        <v>0</v>
      </c>
      <c r="J3562" t="n">
        <v>0</v>
      </c>
      <c r="K3562" t="n">
        <v>0</v>
      </c>
      <c r="L3562" t="n">
        <v>0</v>
      </c>
      <c r="M3562" t="n">
        <v>0</v>
      </c>
      <c r="N3562" t="n">
        <v>0</v>
      </c>
      <c r="O3562" t="n">
        <v>0</v>
      </c>
      <c r="P3562" t="n">
        <v>0</v>
      </c>
      <c r="Q3562" t="n">
        <v>0</v>
      </c>
      <c r="R3562" s="2" t="inlineStr"/>
    </row>
    <row r="3563" ht="15" customHeight="1">
      <c r="A3563" t="inlineStr">
        <is>
          <t>A 7181-2025</t>
        </is>
      </c>
      <c r="B3563" s="1" t="n">
        <v>45702</v>
      </c>
      <c r="C3563" s="1" t="n">
        <v>45795</v>
      </c>
      <c r="D3563" t="inlineStr">
        <is>
          <t>JÄMTLANDS LÄN</t>
        </is>
      </c>
      <c r="E3563" t="inlineStr">
        <is>
          <t>STRÖMSUND</t>
        </is>
      </c>
      <c r="F3563" t="inlineStr">
        <is>
          <t>SCA</t>
        </is>
      </c>
      <c r="G3563" t="n">
        <v>17.6</v>
      </c>
      <c r="H3563" t="n">
        <v>0</v>
      </c>
      <c r="I3563" t="n">
        <v>0</v>
      </c>
      <c r="J3563" t="n">
        <v>0</v>
      </c>
      <c r="K3563" t="n">
        <v>0</v>
      </c>
      <c r="L3563" t="n">
        <v>0</v>
      </c>
      <c r="M3563" t="n">
        <v>0</v>
      </c>
      <c r="N3563" t="n">
        <v>0</v>
      </c>
      <c r="O3563" t="n">
        <v>0</v>
      </c>
      <c r="P3563" t="n">
        <v>0</v>
      </c>
      <c r="Q3563" t="n">
        <v>0</v>
      </c>
      <c r="R3563" s="2" t="inlineStr"/>
    </row>
    <row r="3564" ht="15" customHeight="1">
      <c r="A3564" t="inlineStr">
        <is>
          <t>A 7324-2025</t>
        </is>
      </c>
      <c r="B3564" s="1" t="n">
        <v>45702</v>
      </c>
      <c r="C3564" s="1" t="n">
        <v>45795</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7241-2025</t>
        </is>
      </c>
      <c r="B3565" s="1" t="n">
        <v>45702</v>
      </c>
      <c r="C3565" s="1" t="n">
        <v>45795</v>
      </c>
      <c r="D3565" t="inlineStr">
        <is>
          <t>JÄMTLANDS LÄN</t>
        </is>
      </c>
      <c r="E3565" t="inlineStr">
        <is>
          <t>STRÖMSUND</t>
        </is>
      </c>
      <c r="F3565" t="inlineStr">
        <is>
          <t>SCA</t>
        </is>
      </c>
      <c r="G3565" t="n">
        <v>18.5</v>
      </c>
      <c r="H3565" t="n">
        <v>0</v>
      </c>
      <c r="I3565" t="n">
        <v>0</v>
      </c>
      <c r="J3565" t="n">
        <v>0</v>
      </c>
      <c r="K3565" t="n">
        <v>0</v>
      </c>
      <c r="L3565" t="n">
        <v>0</v>
      </c>
      <c r="M3565" t="n">
        <v>0</v>
      </c>
      <c r="N3565" t="n">
        <v>0</v>
      </c>
      <c r="O3565" t="n">
        <v>0</v>
      </c>
      <c r="P3565" t="n">
        <v>0</v>
      </c>
      <c r="Q3565" t="n">
        <v>0</v>
      </c>
      <c r="R3565" s="2" t="inlineStr"/>
    </row>
    <row r="3566" ht="15" customHeight="1">
      <c r="A3566" t="inlineStr">
        <is>
          <t>A 7135-2025</t>
        </is>
      </c>
      <c r="B3566" s="1" t="n">
        <v>45702</v>
      </c>
      <c r="C3566" s="1" t="n">
        <v>45795</v>
      </c>
      <c r="D3566" t="inlineStr">
        <is>
          <t>JÄMTLANDS LÄN</t>
        </is>
      </c>
      <c r="E3566" t="inlineStr">
        <is>
          <t>STRÖMSUND</t>
        </is>
      </c>
      <c r="F3566" t="inlineStr">
        <is>
          <t>SCA</t>
        </is>
      </c>
      <c r="G3566" t="n">
        <v>32.9</v>
      </c>
      <c r="H3566" t="n">
        <v>0</v>
      </c>
      <c r="I3566" t="n">
        <v>0</v>
      </c>
      <c r="J3566" t="n">
        <v>0</v>
      </c>
      <c r="K3566" t="n">
        <v>0</v>
      </c>
      <c r="L3566" t="n">
        <v>0</v>
      </c>
      <c r="M3566" t="n">
        <v>0</v>
      </c>
      <c r="N3566" t="n">
        <v>0</v>
      </c>
      <c r="O3566" t="n">
        <v>0</v>
      </c>
      <c r="P3566" t="n">
        <v>0</v>
      </c>
      <c r="Q3566" t="n">
        <v>0</v>
      </c>
      <c r="R3566" s="2" t="inlineStr"/>
    </row>
    <row r="3567" ht="15" customHeight="1">
      <c r="A3567" t="inlineStr">
        <is>
          <t>A 7479-2025</t>
        </is>
      </c>
      <c r="B3567" s="1" t="n">
        <v>45705</v>
      </c>
      <c r="C3567" s="1" t="n">
        <v>45795</v>
      </c>
      <c r="D3567" t="inlineStr">
        <is>
          <t>JÄMTLANDS LÄN</t>
        </is>
      </c>
      <c r="E3567" t="inlineStr">
        <is>
          <t>STRÖMSUND</t>
        </is>
      </c>
      <c r="F3567" t="inlineStr">
        <is>
          <t>SCA</t>
        </is>
      </c>
      <c r="G3567" t="n">
        <v>17.2</v>
      </c>
      <c r="H3567" t="n">
        <v>0</v>
      </c>
      <c r="I3567" t="n">
        <v>0</v>
      </c>
      <c r="J3567" t="n">
        <v>0</v>
      </c>
      <c r="K3567" t="n">
        <v>0</v>
      </c>
      <c r="L3567" t="n">
        <v>0</v>
      </c>
      <c r="M3567" t="n">
        <v>0</v>
      </c>
      <c r="N3567" t="n">
        <v>0</v>
      </c>
      <c r="O3567" t="n">
        <v>0</v>
      </c>
      <c r="P3567" t="n">
        <v>0</v>
      </c>
      <c r="Q3567" t="n">
        <v>0</v>
      </c>
      <c r="R3567" s="2" t="inlineStr"/>
    </row>
    <row r="3568" ht="15" customHeight="1">
      <c r="A3568" t="inlineStr">
        <is>
          <t>A 7547-2025</t>
        </is>
      </c>
      <c r="B3568" s="1" t="n">
        <v>45705</v>
      </c>
      <c r="C3568" s="1" t="n">
        <v>45795</v>
      </c>
      <c r="D3568" t="inlineStr">
        <is>
          <t>JÄMTLANDS LÄN</t>
        </is>
      </c>
      <c r="E3568" t="inlineStr">
        <is>
          <t>STRÖMSUND</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7543-2025</t>
        </is>
      </c>
      <c r="B3569" s="1" t="n">
        <v>45705</v>
      </c>
      <c r="C3569" s="1" t="n">
        <v>45795</v>
      </c>
      <c r="D3569" t="inlineStr">
        <is>
          <t>JÄMTLANDS LÄN</t>
        </is>
      </c>
      <c r="E3569" t="inlineStr">
        <is>
          <t>STRÖMSUND</t>
        </is>
      </c>
      <c r="F3569" t="inlineStr">
        <is>
          <t>SCA</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7545-2025</t>
        </is>
      </c>
      <c r="B3570" s="1" t="n">
        <v>45705</v>
      </c>
      <c r="C3570" s="1" t="n">
        <v>45795</v>
      </c>
      <c r="D3570" t="inlineStr">
        <is>
          <t>JÄMTLANDS LÄN</t>
        </is>
      </c>
      <c r="E3570" t="inlineStr">
        <is>
          <t>STRÖMSUND</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7546-2025</t>
        </is>
      </c>
      <c r="B3571" s="1" t="n">
        <v>45705</v>
      </c>
      <c r="C3571" s="1" t="n">
        <v>45795</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7542-2025</t>
        </is>
      </c>
      <c r="B3572" s="1" t="n">
        <v>45705</v>
      </c>
      <c r="C3572" s="1" t="n">
        <v>45795</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7544-2025</t>
        </is>
      </c>
      <c r="B3573" s="1" t="n">
        <v>45705</v>
      </c>
      <c r="C3573" s="1" t="n">
        <v>45795</v>
      </c>
      <c r="D3573" t="inlineStr">
        <is>
          <t>JÄMTLANDS LÄN</t>
        </is>
      </c>
      <c r="E3573" t="inlineStr">
        <is>
          <t>STRÖMSUND</t>
        </is>
      </c>
      <c r="F3573" t="inlineStr">
        <is>
          <t>SCA</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7993-2025</t>
        </is>
      </c>
      <c r="B3574" s="1" t="n">
        <v>45706</v>
      </c>
      <c r="C3574" s="1" t="n">
        <v>45795</v>
      </c>
      <c r="D3574" t="inlineStr">
        <is>
          <t>JÄMTLANDS LÄN</t>
        </is>
      </c>
      <c r="E3574" t="inlineStr">
        <is>
          <t>STRÖMSUND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7867-2025</t>
        </is>
      </c>
      <c r="B3575" s="1" t="n">
        <v>45706</v>
      </c>
      <c r="C3575" s="1" t="n">
        <v>45795</v>
      </c>
      <c r="D3575" t="inlineStr">
        <is>
          <t>JÄMTLANDS LÄN</t>
        </is>
      </c>
      <c r="E3575" t="inlineStr">
        <is>
          <t>STRÖMSUND</t>
        </is>
      </c>
      <c r="F3575" t="inlineStr">
        <is>
          <t>SCA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8050-2025</t>
        </is>
      </c>
      <c r="B3576" s="1" t="n">
        <v>45706</v>
      </c>
      <c r="C3576" s="1" t="n">
        <v>45795</v>
      </c>
      <c r="D3576" t="inlineStr">
        <is>
          <t>JÄMTLANDS LÄN</t>
        </is>
      </c>
      <c r="E3576" t="inlineStr">
        <is>
          <t>STRÖMSUND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7999-2025</t>
        </is>
      </c>
      <c r="B3577" s="1" t="n">
        <v>45706</v>
      </c>
      <c r="C3577" s="1" t="n">
        <v>45795</v>
      </c>
      <c r="D3577" t="inlineStr">
        <is>
          <t>JÄMTLANDS LÄN</t>
        </is>
      </c>
      <c r="E3577" t="inlineStr">
        <is>
          <t>STRÖMSUND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8480-2025</t>
        </is>
      </c>
      <c r="B3578" s="1" t="n">
        <v>45706</v>
      </c>
      <c r="C3578" s="1" t="n">
        <v>45795</v>
      </c>
      <c r="D3578" t="inlineStr">
        <is>
          <t>JÄMTLANDS LÄN</t>
        </is>
      </c>
      <c r="E3578" t="inlineStr">
        <is>
          <t>STRÖMSUND</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8014-2025</t>
        </is>
      </c>
      <c r="B3579" s="1" t="n">
        <v>45707</v>
      </c>
      <c r="C3579" s="1" t="n">
        <v>45795</v>
      </c>
      <c r="D3579" t="inlineStr">
        <is>
          <t>JÄMTLANDS LÄN</t>
        </is>
      </c>
      <c r="E3579" t="inlineStr">
        <is>
          <t>STRÖMSUND</t>
        </is>
      </c>
      <c r="F3579" t="inlineStr">
        <is>
          <t>SCA</t>
        </is>
      </c>
      <c r="G3579" t="n">
        <v>26.6</v>
      </c>
      <c r="H3579" t="n">
        <v>0</v>
      </c>
      <c r="I3579" t="n">
        <v>0</v>
      </c>
      <c r="J3579" t="n">
        <v>0</v>
      </c>
      <c r="K3579" t="n">
        <v>0</v>
      </c>
      <c r="L3579" t="n">
        <v>0</v>
      </c>
      <c r="M3579" t="n">
        <v>0</v>
      </c>
      <c r="N3579" t="n">
        <v>0</v>
      </c>
      <c r="O3579" t="n">
        <v>0</v>
      </c>
      <c r="P3579" t="n">
        <v>0</v>
      </c>
      <c r="Q3579" t="n">
        <v>0</v>
      </c>
      <c r="R3579" s="2" t="inlineStr"/>
    </row>
    <row r="3580" ht="15" customHeight="1">
      <c r="A3580" t="inlineStr">
        <is>
          <t>A 7964-2025</t>
        </is>
      </c>
      <c r="B3580" s="1" t="n">
        <v>45707</v>
      </c>
      <c r="C3580" s="1" t="n">
        <v>45795</v>
      </c>
      <c r="D3580" t="inlineStr">
        <is>
          <t>JÄMTLANDS LÄN</t>
        </is>
      </c>
      <c r="E3580" t="inlineStr">
        <is>
          <t>STRÖMSUND</t>
        </is>
      </c>
      <c r="F3580" t="inlineStr">
        <is>
          <t>SCA</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8227-2025</t>
        </is>
      </c>
      <c r="B3581" s="1" t="n">
        <v>45708</v>
      </c>
      <c r="C3581" s="1" t="n">
        <v>45795</v>
      </c>
      <c r="D3581" t="inlineStr">
        <is>
          <t>JÄMTLANDS LÄN</t>
        </is>
      </c>
      <c r="E3581" t="inlineStr">
        <is>
          <t>STRÖMSUND</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8347-2025</t>
        </is>
      </c>
      <c r="B3582" s="1" t="n">
        <v>45708</v>
      </c>
      <c r="C3582" s="1" t="n">
        <v>45795</v>
      </c>
      <c r="D3582" t="inlineStr">
        <is>
          <t>JÄMTLANDS LÄN</t>
        </is>
      </c>
      <c r="E3582" t="inlineStr">
        <is>
          <t>STRÖMSUND</t>
        </is>
      </c>
      <c r="F3582" t="inlineStr">
        <is>
          <t>SCA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8325-2025</t>
        </is>
      </c>
      <c r="B3583" s="1" t="n">
        <v>45708</v>
      </c>
      <c r="C3583" s="1" t="n">
        <v>45795</v>
      </c>
      <c r="D3583" t="inlineStr">
        <is>
          <t>JÄMTLANDS LÄN</t>
        </is>
      </c>
      <c r="E3583" t="inlineStr">
        <is>
          <t>STRÖMSUND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8326-2025</t>
        </is>
      </c>
      <c r="B3584" s="1" t="n">
        <v>45708</v>
      </c>
      <c r="C3584" s="1" t="n">
        <v>45795</v>
      </c>
      <c r="D3584" t="inlineStr">
        <is>
          <t>JÄMTLANDS LÄN</t>
        </is>
      </c>
      <c r="E3584" t="inlineStr">
        <is>
          <t>STRÖMSUND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8158-2025</t>
        </is>
      </c>
      <c r="B3585" s="1" t="n">
        <v>45708</v>
      </c>
      <c r="C3585" s="1" t="n">
        <v>45795</v>
      </c>
      <c r="D3585" t="inlineStr">
        <is>
          <t>JÄMTLANDS LÄN</t>
        </is>
      </c>
      <c r="E3585" t="inlineStr">
        <is>
          <t>STRÖMSUND</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8327-2025</t>
        </is>
      </c>
      <c r="B3586" s="1" t="n">
        <v>45708</v>
      </c>
      <c r="C3586" s="1" t="n">
        <v>45795</v>
      </c>
      <c r="D3586" t="inlineStr">
        <is>
          <t>JÄMTLANDS LÄN</t>
        </is>
      </c>
      <c r="E3586" t="inlineStr">
        <is>
          <t>STRÖMSUND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8495-2025</t>
        </is>
      </c>
      <c r="B3587" s="1" t="n">
        <v>45709</v>
      </c>
      <c r="C3587" s="1" t="n">
        <v>45795</v>
      </c>
      <c r="D3587" t="inlineStr">
        <is>
          <t>JÄMTLANDS LÄN</t>
        </is>
      </c>
      <c r="E3587" t="inlineStr">
        <is>
          <t>STRÖMSUND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8660-2025</t>
        </is>
      </c>
      <c r="B3588" s="1" t="n">
        <v>45712</v>
      </c>
      <c r="C3588" s="1" t="n">
        <v>45795</v>
      </c>
      <c r="D3588" t="inlineStr">
        <is>
          <t>JÄMTLANDS LÄN</t>
        </is>
      </c>
      <c r="E3588" t="inlineStr">
        <is>
          <t>STRÖMSUND</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8809-2025</t>
        </is>
      </c>
      <c r="B3589" s="1" t="n">
        <v>45712</v>
      </c>
      <c r="C3589" s="1" t="n">
        <v>45795</v>
      </c>
      <c r="D3589" t="inlineStr">
        <is>
          <t>JÄMTLANDS LÄN</t>
        </is>
      </c>
      <c r="E3589" t="inlineStr">
        <is>
          <t>STRÖMSUND</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8808-2025</t>
        </is>
      </c>
      <c r="B3590" s="1" t="n">
        <v>45712</v>
      </c>
      <c r="C3590" s="1" t="n">
        <v>45795</v>
      </c>
      <c r="D3590" t="inlineStr">
        <is>
          <t>JÄMTLANDS LÄN</t>
        </is>
      </c>
      <c r="E3590" t="inlineStr">
        <is>
          <t>STRÖMSUND</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8812-2025</t>
        </is>
      </c>
      <c r="B3591" s="1" t="n">
        <v>45712</v>
      </c>
      <c r="C3591" s="1" t="n">
        <v>45795</v>
      </c>
      <c r="D3591" t="inlineStr">
        <is>
          <t>JÄMTLANDS LÄN</t>
        </is>
      </c>
      <c r="E3591" t="inlineStr">
        <is>
          <t>STRÖMSUND</t>
        </is>
      </c>
      <c r="F3591" t="inlineStr">
        <is>
          <t>Kyrkan</t>
        </is>
      </c>
      <c r="G3591" t="n">
        <v>38.1</v>
      </c>
      <c r="H3591" t="n">
        <v>0</v>
      </c>
      <c r="I3591" t="n">
        <v>0</v>
      </c>
      <c r="J3591" t="n">
        <v>0</v>
      </c>
      <c r="K3591" t="n">
        <v>0</v>
      </c>
      <c r="L3591" t="n">
        <v>0</v>
      </c>
      <c r="M3591" t="n">
        <v>0</v>
      </c>
      <c r="N3591" t="n">
        <v>0</v>
      </c>
      <c r="O3591" t="n">
        <v>0</v>
      </c>
      <c r="P3591" t="n">
        <v>0</v>
      </c>
      <c r="Q3591" t="n">
        <v>0</v>
      </c>
      <c r="R3591" s="2" t="inlineStr"/>
    </row>
    <row r="3592" ht="15" customHeight="1">
      <c r="A3592" t="inlineStr">
        <is>
          <t>A 8758-2025</t>
        </is>
      </c>
      <c r="B3592" s="1" t="n">
        <v>45712</v>
      </c>
      <c r="C3592" s="1" t="n">
        <v>45795</v>
      </c>
      <c r="D3592" t="inlineStr">
        <is>
          <t>JÄMTLANDS LÄN</t>
        </is>
      </c>
      <c r="E3592" t="inlineStr">
        <is>
          <t>STRÖMSUND</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8756-2025</t>
        </is>
      </c>
      <c r="B3593" s="1" t="n">
        <v>45712</v>
      </c>
      <c r="C3593" s="1" t="n">
        <v>45795</v>
      </c>
      <c r="D3593" t="inlineStr">
        <is>
          <t>JÄMTLANDS LÄN</t>
        </is>
      </c>
      <c r="E3593" t="inlineStr">
        <is>
          <t>STRÖMSUND</t>
        </is>
      </c>
      <c r="F3593" t="inlineStr">
        <is>
          <t>SCA</t>
        </is>
      </c>
      <c r="G3593" t="n">
        <v>27.9</v>
      </c>
      <c r="H3593" t="n">
        <v>0</v>
      </c>
      <c r="I3593" t="n">
        <v>0</v>
      </c>
      <c r="J3593" t="n">
        <v>0</v>
      </c>
      <c r="K3593" t="n">
        <v>0</v>
      </c>
      <c r="L3593" t="n">
        <v>0</v>
      </c>
      <c r="M3593" t="n">
        <v>0</v>
      </c>
      <c r="N3593" t="n">
        <v>0</v>
      </c>
      <c r="O3593" t="n">
        <v>0</v>
      </c>
      <c r="P3593" t="n">
        <v>0</v>
      </c>
      <c r="Q3593" t="n">
        <v>0</v>
      </c>
      <c r="R3593" s="2" t="inlineStr"/>
    </row>
    <row r="3594" ht="15" customHeight="1">
      <c r="A3594" t="inlineStr">
        <is>
          <t>A 8720-2025</t>
        </is>
      </c>
      <c r="B3594" s="1" t="n">
        <v>45712</v>
      </c>
      <c r="C3594" s="1" t="n">
        <v>45795</v>
      </c>
      <c r="D3594" t="inlineStr">
        <is>
          <t>JÄMTLANDS LÄN</t>
        </is>
      </c>
      <c r="E3594" t="inlineStr">
        <is>
          <t>STRÖMSUND</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9008-2025</t>
        </is>
      </c>
      <c r="B3595" s="1" t="n">
        <v>45713</v>
      </c>
      <c r="C3595" s="1" t="n">
        <v>45795</v>
      </c>
      <c r="D3595" t="inlineStr">
        <is>
          <t>JÄMTLANDS LÄN</t>
        </is>
      </c>
      <c r="E3595" t="inlineStr">
        <is>
          <t>STRÖMSUND</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9195-2025</t>
        </is>
      </c>
      <c r="B3596" s="1" t="n">
        <v>45714</v>
      </c>
      <c r="C3596" s="1" t="n">
        <v>45795</v>
      </c>
      <c r="D3596" t="inlineStr">
        <is>
          <t>JÄMTLANDS LÄN</t>
        </is>
      </c>
      <c r="E3596" t="inlineStr">
        <is>
          <t>STRÖMSUND</t>
        </is>
      </c>
      <c r="F3596" t="inlineStr">
        <is>
          <t>SCA</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9234-2025</t>
        </is>
      </c>
      <c r="B3597" s="1" t="n">
        <v>45714</v>
      </c>
      <c r="C3597" s="1" t="n">
        <v>45795</v>
      </c>
      <c r="D3597" t="inlineStr">
        <is>
          <t>JÄMTLANDS LÄN</t>
        </is>
      </c>
      <c r="E3597" t="inlineStr">
        <is>
          <t>STRÖMSUND</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9258-2025</t>
        </is>
      </c>
      <c r="B3598" s="1" t="n">
        <v>45714</v>
      </c>
      <c r="C3598" s="1" t="n">
        <v>45795</v>
      </c>
      <c r="D3598" t="inlineStr">
        <is>
          <t>JÄMTLANDS LÄN</t>
        </is>
      </c>
      <c r="E3598" t="inlineStr">
        <is>
          <t>STRÖMSUND</t>
        </is>
      </c>
      <c r="F3598" t="inlineStr">
        <is>
          <t>SCA</t>
        </is>
      </c>
      <c r="G3598" t="n">
        <v>15.4</v>
      </c>
      <c r="H3598" t="n">
        <v>0</v>
      </c>
      <c r="I3598" t="n">
        <v>0</v>
      </c>
      <c r="J3598" t="n">
        <v>0</v>
      </c>
      <c r="K3598" t="n">
        <v>0</v>
      </c>
      <c r="L3598" t="n">
        <v>0</v>
      </c>
      <c r="M3598" t="n">
        <v>0</v>
      </c>
      <c r="N3598" t="n">
        <v>0</v>
      </c>
      <c r="O3598" t="n">
        <v>0</v>
      </c>
      <c r="P3598" t="n">
        <v>0</v>
      </c>
      <c r="Q3598" t="n">
        <v>0</v>
      </c>
      <c r="R3598" s="2" t="inlineStr"/>
    </row>
    <row r="3599" ht="15" customHeight="1">
      <c r="A3599" t="inlineStr">
        <is>
          <t>A 9318-2025</t>
        </is>
      </c>
      <c r="B3599" s="1" t="n">
        <v>45714</v>
      </c>
      <c r="C3599" s="1" t="n">
        <v>45795</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9257-2025</t>
        </is>
      </c>
      <c r="B3600" s="1" t="n">
        <v>45714</v>
      </c>
      <c r="C3600" s="1" t="n">
        <v>45795</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9390-2025</t>
        </is>
      </c>
      <c r="B3601" s="1" t="n">
        <v>45714</v>
      </c>
      <c r="C3601" s="1" t="n">
        <v>45795</v>
      </c>
      <c r="D3601" t="inlineStr">
        <is>
          <t>JÄMTLANDS LÄN</t>
        </is>
      </c>
      <c r="E3601" t="inlineStr">
        <is>
          <t>STRÖMSUND</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9631-2025</t>
        </is>
      </c>
      <c r="B3602" s="1" t="n">
        <v>45715</v>
      </c>
      <c r="C3602" s="1" t="n">
        <v>45795</v>
      </c>
      <c r="D3602" t="inlineStr">
        <is>
          <t>JÄMTLANDS LÄN</t>
        </is>
      </c>
      <c r="E3602" t="inlineStr">
        <is>
          <t>STRÖMSUND</t>
        </is>
      </c>
      <c r="F3602" t="inlineStr">
        <is>
          <t>SCA</t>
        </is>
      </c>
      <c r="G3602" t="n">
        <v>19.3</v>
      </c>
      <c r="H3602" t="n">
        <v>0</v>
      </c>
      <c r="I3602" t="n">
        <v>0</v>
      </c>
      <c r="J3602" t="n">
        <v>0</v>
      </c>
      <c r="K3602" t="n">
        <v>0</v>
      </c>
      <c r="L3602" t="n">
        <v>0</v>
      </c>
      <c r="M3602" t="n">
        <v>0</v>
      </c>
      <c r="N3602" t="n">
        <v>0</v>
      </c>
      <c r="O3602" t="n">
        <v>0</v>
      </c>
      <c r="P3602" t="n">
        <v>0</v>
      </c>
      <c r="Q3602" t="n">
        <v>0</v>
      </c>
      <c r="R3602" s="2" t="inlineStr"/>
    </row>
    <row r="3603" ht="15" customHeight="1">
      <c r="A3603" t="inlineStr">
        <is>
          <t>A 9798-2025</t>
        </is>
      </c>
      <c r="B3603" s="1" t="n">
        <v>45716</v>
      </c>
      <c r="C3603" s="1" t="n">
        <v>45795</v>
      </c>
      <c r="D3603" t="inlineStr">
        <is>
          <t>JÄMTLANDS LÄN</t>
        </is>
      </c>
      <c r="E3603" t="inlineStr">
        <is>
          <t>STRÖMSUND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9799-2025</t>
        </is>
      </c>
      <c r="B3604" s="1" t="n">
        <v>45716</v>
      </c>
      <c r="C3604" s="1" t="n">
        <v>45795</v>
      </c>
      <c r="D3604" t="inlineStr">
        <is>
          <t>JÄMTLANDS LÄN</t>
        </is>
      </c>
      <c r="E3604" t="inlineStr">
        <is>
          <t>STRÖMSUND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9797-2025</t>
        </is>
      </c>
      <c r="B3605" s="1" t="n">
        <v>45716</v>
      </c>
      <c r="C3605" s="1" t="n">
        <v>45795</v>
      </c>
      <c r="D3605" t="inlineStr">
        <is>
          <t>JÄMTLANDS LÄN</t>
        </is>
      </c>
      <c r="E3605" t="inlineStr">
        <is>
          <t>STRÖMSUND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10163-2025</t>
        </is>
      </c>
      <c r="B3606" s="1" t="n">
        <v>45719</v>
      </c>
      <c r="C3606" s="1" t="n">
        <v>45795</v>
      </c>
      <c r="D3606" t="inlineStr">
        <is>
          <t>JÄMTLANDS LÄN</t>
        </is>
      </c>
      <c r="E3606" t="inlineStr">
        <is>
          <t>STRÖMSUND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10132-2025</t>
        </is>
      </c>
      <c r="B3607" s="1" t="n">
        <v>45719</v>
      </c>
      <c r="C3607" s="1" t="n">
        <v>45795</v>
      </c>
      <c r="D3607" t="inlineStr">
        <is>
          <t>JÄMTLANDS LÄN</t>
        </is>
      </c>
      <c r="E3607" t="inlineStr">
        <is>
          <t>STRÖMSUND</t>
        </is>
      </c>
      <c r="F3607" t="inlineStr">
        <is>
          <t>SCA</t>
        </is>
      </c>
      <c r="G3607" t="n">
        <v>30.1</v>
      </c>
      <c r="H3607" t="n">
        <v>0</v>
      </c>
      <c r="I3607" t="n">
        <v>0</v>
      </c>
      <c r="J3607" t="n">
        <v>0</v>
      </c>
      <c r="K3607" t="n">
        <v>0</v>
      </c>
      <c r="L3607" t="n">
        <v>0</v>
      </c>
      <c r="M3607" t="n">
        <v>0</v>
      </c>
      <c r="N3607" t="n">
        <v>0</v>
      </c>
      <c r="O3607" t="n">
        <v>0</v>
      </c>
      <c r="P3607" t="n">
        <v>0</v>
      </c>
      <c r="Q3607" t="n">
        <v>0</v>
      </c>
      <c r="R3607" s="2" t="inlineStr"/>
    </row>
    <row r="3608" ht="15" customHeight="1">
      <c r="A3608" t="inlineStr">
        <is>
          <t>A 10180-2025</t>
        </is>
      </c>
      <c r="B3608" s="1" t="n">
        <v>45719</v>
      </c>
      <c r="C3608" s="1" t="n">
        <v>45795</v>
      </c>
      <c r="D3608" t="inlineStr">
        <is>
          <t>JÄMTLANDS LÄN</t>
        </is>
      </c>
      <c r="E3608" t="inlineStr">
        <is>
          <t>STRÖMSUND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10089-2025</t>
        </is>
      </c>
      <c r="B3609" s="1" t="n">
        <v>45719</v>
      </c>
      <c r="C3609" s="1" t="n">
        <v>45795</v>
      </c>
      <c r="D3609" t="inlineStr">
        <is>
          <t>JÄMTLANDS LÄN</t>
        </is>
      </c>
      <c r="E3609" t="inlineStr">
        <is>
          <t>STRÖMSUND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10091-2025</t>
        </is>
      </c>
      <c r="B3610" s="1" t="n">
        <v>45719</v>
      </c>
      <c r="C3610" s="1" t="n">
        <v>45795</v>
      </c>
      <c r="D3610" t="inlineStr">
        <is>
          <t>JÄMTLANDS LÄN</t>
        </is>
      </c>
      <c r="E3610" t="inlineStr">
        <is>
          <t>STRÖMSUND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9949-2025</t>
        </is>
      </c>
      <c r="B3611" s="1" t="n">
        <v>45719</v>
      </c>
      <c r="C3611" s="1" t="n">
        <v>45795</v>
      </c>
      <c r="D3611" t="inlineStr">
        <is>
          <t>JÄMTLANDS LÄN</t>
        </is>
      </c>
      <c r="E3611" t="inlineStr">
        <is>
          <t>STRÖMSUND</t>
        </is>
      </c>
      <c r="F3611" t="inlineStr">
        <is>
          <t>Holmen skog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10047-2025</t>
        </is>
      </c>
      <c r="B3612" s="1" t="n">
        <v>45719</v>
      </c>
      <c r="C3612" s="1" t="n">
        <v>45795</v>
      </c>
      <c r="D3612" t="inlineStr">
        <is>
          <t>JÄMTLANDS LÄN</t>
        </is>
      </c>
      <c r="E3612" t="inlineStr">
        <is>
          <t>STRÖMSUND</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9956-2025</t>
        </is>
      </c>
      <c r="B3613" s="1" t="n">
        <v>45719</v>
      </c>
      <c r="C3613" s="1" t="n">
        <v>45795</v>
      </c>
      <c r="D3613" t="inlineStr">
        <is>
          <t>JÄMTLANDS LÄN</t>
        </is>
      </c>
      <c r="E3613" t="inlineStr">
        <is>
          <t>STRÖMSUND</t>
        </is>
      </c>
      <c r="F3613" t="inlineStr">
        <is>
          <t>Holmen skog AB</t>
        </is>
      </c>
      <c r="G3613" t="n">
        <v>21.4</v>
      </c>
      <c r="H3613" t="n">
        <v>0</v>
      </c>
      <c r="I3613" t="n">
        <v>0</v>
      </c>
      <c r="J3613" t="n">
        <v>0</v>
      </c>
      <c r="K3613" t="n">
        <v>0</v>
      </c>
      <c r="L3613" t="n">
        <v>0</v>
      </c>
      <c r="M3613" t="n">
        <v>0</v>
      </c>
      <c r="N3613" t="n">
        <v>0</v>
      </c>
      <c r="O3613" t="n">
        <v>0</v>
      </c>
      <c r="P3613" t="n">
        <v>0</v>
      </c>
      <c r="Q3613" t="n">
        <v>0</v>
      </c>
      <c r="R3613" s="2" t="inlineStr"/>
    </row>
    <row r="3614" ht="15" customHeight="1">
      <c r="A3614" t="inlineStr">
        <is>
          <t>A 10168-2025</t>
        </is>
      </c>
      <c r="B3614" s="1" t="n">
        <v>45719</v>
      </c>
      <c r="C3614" s="1" t="n">
        <v>45795</v>
      </c>
      <c r="D3614" t="inlineStr">
        <is>
          <t>JÄMTLANDS LÄN</t>
        </is>
      </c>
      <c r="E3614" t="inlineStr">
        <is>
          <t>STRÖMSUND</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10016-2025</t>
        </is>
      </c>
      <c r="B3615" s="1" t="n">
        <v>45719</v>
      </c>
      <c r="C3615" s="1" t="n">
        <v>45795</v>
      </c>
      <c r="D3615" t="inlineStr">
        <is>
          <t>JÄMTLANDS LÄN</t>
        </is>
      </c>
      <c r="E3615" t="inlineStr">
        <is>
          <t>STRÖMSUND</t>
        </is>
      </c>
      <c r="F3615" t="inlineStr">
        <is>
          <t>SCA</t>
        </is>
      </c>
      <c r="G3615" t="n">
        <v>14.3</v>
      </c>
      <c r="H3615" t="n">
        <v>0</v>
      </c>
      <c r="I3615" t="n">
        <v>0</v>
      </c>
      <c r="J3615" t="n">
        <v>0</v>
      </c>
      <c r="K3615" t="n">
        <v>0</v>
      </c>
      <c r="L3615" t="n">
        <v>0</v>
      </c>
      <c r="M3615" t="n">
        <v>0</v>
      </c>
      <c r="N3615" t="n">
        <v>0</v>
      </c>
      <c r="O3615" t="n">
        <v>0</v>
      </c>
      <c r="P3615" t="n">
        <v>0</v>
      </c>
      <c r="Q3615" t="n">
        <v>0</v>
      </c>
      <c r="R3615" s="2" t="inlineStr"/>
    </row>
    <row r="3616" ht="15" customHeight="1">
      <c r="A3616" t="inlineStr">
        <is>
          <t>A 10093-2025</t>
        </is>
      </c>
      <c r="B3616" s="1" t="n">
        <v>45719</v>
      </c>
      <c r="C3616" s="1" t="n">
        <v>45795</v>
      </c>
      <c r="D3616" t="inlineStr">
        <is>
          <t>JÄMTLANDS LÄN</t>
        </is>
      </c>
      <c r="E3616" t="inlineStr">
        <is>
          <t>STRÖMSUND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10429-2025</t>
        </is>
      </c>
      <c r="B3617" s="1" t="n">
        <v>45720</v>
      </c>
      <c r="C3617" s="1" t="n">
        <v>45795</v>
      </c>
      <c r="D3617" t="inlineStr">
        <is>
          <t>JÄMTLANDS LÄN</t>
        </is>
      </c>
      <c r="E3617" t="inlineStr">
        <is>
          <t>STRÖMSUND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10236-2025</t>
        </is>
      </c>
      <c r="B3618" s="1" t="n">
        <v>45720</v>
      </c>
      <c r="C3618" s="1" t="n">
        <v>45795</v>
      </c>
      <c r="D3618" t="inlineStr">
        <is>
          <t>JÄMTLANDS LÄN</t>
        </is>
      </c>
      <c r="E3618" t="inlineStr">
        <is>
          <t>STRÖMSUND</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10443-2025</t>
        </is>
      </c>
      <c r="B3619" s="1" t="n">
        <v>45720</v>
      </c>
      <c r="C3619" s="1" t="n">
        <v>45795</v>
      </c>
      <c r="D3619" t="inlineStr">
        <is>
          <t>JÄMTLANDS LÄN</t>
        </is>
      </c>
      <c r="E3619" t="inlineStr">
        <is>
          <t>STRÖMSUND</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10428-2025</t>
        </is>
      </c>
      <c r="B3620" s="1" t="n">
        <v>45720</v>
      </c>
      <c r="C3620" s="1" t="n">
        <v>45795</v>
      </c>
      <c r="D3620" t="inlineStr">
        <is>
          <t>JÄMTLANDS LÄN</t>
        </is>
      </c>
      <c r="E3620" t="inlineStr">
        <is>
          <t>STRÖMSUND</t>
        </is>
      </c>
      <c r="F3620" t="inlineStr">
        <is>
          <t>SCA</t>
        </is>
      </c>
      <c r="G3620" t="n">
        <v>14.2</v>
      </c>
      <c r="H3620" t="n">
        <v>0</v>
      </c>
      <c r="I3620" t="n">
        <v>0</v>
      </c>
      <c r="J3620" t="n">
        <v>0</v>
      </c>
      <c r="K3620" t="n">
        <v>0</v>
      </c>
      <c r="L3620" t="n">
        <v>0</v>
      </c>
      <c r="M3620" t="n">
        <v>0</v>
      </c>
      <c r="N3620" t="n">
        <v>0</v>
      </c>
      <c r="O3620" t="n">
        <v>0</v>
      </c>
      <c r="P3620" t="n">
        <v>0</v>
      </c>
      <c r="Q3620" t="n">
        <v>0</v>
      </c>
      <c r="R3620" s="2" t="inlineStr"/>
    </row>
    <row r="3621" ht="15" customHeight="1">
      <c r="A3621" t="inlineStr">
        <is>
          <t>A 10585-2025</t>
        </is>
      </c>
      <c r="B3621" s="1" t="n">
        <v>45721</v>
      </c>
      <c r="C3621" s="1" t="n">
        <v>45795</v>
      </c>
      <c r="D3621" t="inlineStr">
        <is>
          <t>JÄMTLANDS LÄN</t>
        </is>
      </c>
      <c r="E3621" t="inlineStr">
        <is>
          <t>STRÖMSUND</t>
        </is>
      </c>
      <c r="F3621" t="inlineStr">
        <is>
          <t>SCA</t>
        </is>
      </c>
      <c r="G3621" t="n">
        <v>27.4</v>
      </c>
      <c r="H3621" t="n">
        <v>0</v>
      </c>
      <c r="I3621" t="n">
        <v>0</v>
      </c>
      <c r="J3621" t="n">
        <v>0</v>
      </c>
      <c r="K3621" t="n">
        <v>0</v>
      </c>
      <c r="L3621" t="n">
        <v>0</v>
      </c>
      <c r="M3621" t="n">
        <v>0</v>
      </c>
      <c r="N3621" t="n">
        <v>0</v>
      </c>
      <c r="O3621" t="n">
        <v>0</v>
      </c>
      <c r="P3621" t="n">
        <v>0</v>
      </c>
      <c r="Q3621" t="n">
        <v>0</v>
      </c>
      <c r="R3621" s="2" t="inlineStr"/>
    </row>
    <row r="3622" ht="15" customHeight="1">
      <c r="A3622" t="inlineStr">
        <is>
          <t>A 10629-2025</t>
        </is>
      </c>
      <c r="B3622" s="1" t="n">
        <v>45721</v>
      </c>
      <c r="C3622" s="1" t="n">
        <v>45795</v>
      </c>
      <c r="D3622" t="inlineStr">
        <is>
          <t>JÄMTLANDS LÄN</t>
        </is>
      </c>
      <c r="E3622" t="inlineStr">
        <is>
          <t>STRÖMSUND</t>
        </is>
      </c>
      <c r="F3622" t="inlineStr">
        <is>
          <t>SCA</t>
        </is>
      </c>
      <c r="G3622" t="n">
        <v>18.7</v>
      </c>
      <c r="H3622" t="n">
        <v>0</v>
      </c>
      <c r="I3622" t="n">
        <v>0</v>
      </c>
      <c r="J3622" t="n">
        <v>0</v>
      </c>
      <c r="K3622" t="n">
        <v>0</v>
      </c>
      <c r="L3622" t="n">
        <v>0</v>
      </c>
      <c r="M3622" t="n">
        <v>0</v>
      </c>
      <c r="N3622" t="n">
        <v>0</v>
      </c>
      <c r="O3622" t="n">
        <v>0</v>
      </c>
      <c r="P3622" t="n">
        <v>0</v>
      </c>
      <c r="Q3622" t="n">
        <v>0</v>
      </c>
      <c r="R3622" s="2" t="inlineStr"/>
    </row>
    <row r="3623" ht="15" customHeight="1">
      <c r="A3623" t="inlineStr">
        <is>
          <t>A 10584-2025</t>
        </is>
      </c>
      <c r="B3623" s="1" t="n">
        <v>45721</v>
      </c>
      <c r="C3623" s="1" t="n">
        <v>45795</v>
      </c>
      <c r="D3623" t="inlineStr">
        <is>
          <t>JÄMTLANDS LÄN</t>
        </is>
      </c>
      <c r="E3623" t="inlineStr">
        <is>
          <t>STRÖMSUND</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10605-2025</t>
        </is>
      </c>
      <c r="B3624" s="1" t="n">
        <v>45721</v>
      </c>
      <c r="C3624" s="1" t="n">
        <v>45795</v>
      </c>
      <c r="D3624" t="inlineStr">
        <is>
          <t>JÄMTLANDS LÄN</t>
        </is>
      </c>
      <c r="E3624" t="inlineStr">
        <is>
          <t>STRÖMSUND</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10504-2025</t>
        </is>
      </c>
      <c r="B3625" s="1" t="n">
        <v>45721</v>
      </c>
      <c r="C3625" s="1" t="n">
        <v>45795</v>
      </c>
      <c r="D3625" t="inlineStr">
        <is>
          <t>JÄMTLANDS LÄN</t>
        </is>
      </c>
      <c r="E3625" t="inlineStr">
        <is>
          <t>STRÖMSUND</t>
        </is>
      </c>
      <c r="F3625" t="inlineStr">
        <is>
          <t>SCA</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10864-2025</t>
        </is>
      </c>
      <c r="B3626" s="1" t="n">
        <v>45722</v>
      </c>
      <c r="C3626" s="1" t="n">
        <v>45795</v>
      </c>
      <c r="D3626" t="inlineStr">
        <is>
          <t>JÄMTLANDS LÄN</t>
        </is>
      </c>
      <c r="E3626" t="inlineStr">
        <is>
          <t>STRÖMSUND</t>
        </is>
      </c>
      <c r="F3626" t="inlineStr">
        <is>
          <t>SCA</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10857-2025</t>
        </is>
      </c>
      <c r="B3627" s="1" t="n">
        <v>45722</v>
      </c>
      <c r="C3627" s="1" t="n">
        <v>45795</v>
      </c>
      <c r="D3627" t="inlineStr">
        <is>
          <t>JÄMTLANDS LÄN</t>
        </is>
      </c>
      <c r="E3627" t="inlineStr">
        <is>
          <t>STRÖMSUND</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10927-2025</t>
        </is>
      </c>
      <c r="B3628" s="1" t="n">
        <v>45722</v>
      </c>
      <c r="C3628" s="1" t="n">
        <v>45795</v>
      </c>
      <c r="D3628" t="inlineStr">
        <is>
          <t>JÄMTLANDS LÄN</t>
        </is>
      </c>
      <c r="E3628" t="inlineStr">
        <is>
          <t>STRÖMSUND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10855-2025</t>
        </is>
      </c>
      <c r="B3629" s="1" t="n">
        <v>45722</v>
      </c>
      <c r="C3629" s="1" t="n">
        <v>45795</v>
      </c>
      <c r="D3629" t="inlineStr">
        <is>
          <t>JÄMTLANDS LÄN</t>
        </is>
      </c>
      <c r="E3629" t="inlineStr">
        <is>
          <t>STRÖMSUND</t>
        </is>
      </c>
      <c r="F3629" t="inlineStr">
        <is>
          <t>SCA</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11027-2025</t>
        </is>
      </c>
      <c r="B3630" s="1" t="n">
        <v>45723</v>
      </c>
      <c r="C3630" s="1" t="n">
        <v>45795</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10951-2025</t>
        </is>
      </c>
      <c r="B3631" s="1" t="n">
        <v>45723</v>
      </c>
      <c r="C3631" s="1" t="n">
        <v>45795</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11157-2025</t>
        </is>
      </c>
      <c r="B3632" s="1" t="n">
        <v>45723</v>
      </c>
      <c r="C3632" s="1" t="n">
        <v>45795</v>
      </c>
      <c r="D3632" t="inlineStr">
        <is>
          <t>JÄMTLANDS LÄN</t>
        </is>
      </c>
      <c r="E3632" t="inlineStr">
        <is>
          <t>STRÖMSUND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11169-2025</t>
        </is>
      </c>
      <c r="B3633" s="1" t="n">
        <v>45724</v>
      </c>
      <c r="C3633" s="1" t="n">
        <v>45795</v>
      </c>
      <c r="D3633" t="inlineStr">
        <is>
          <t>JÄMTLANDS LÄN</t>
        </is>
      </c>
      <c r="E3633" t="inlineStr">
        <is>
          <t>STRÖMSUND</t>
        </is>
      </c>
      <c r="F3633" t="inlineStr">
        <is>
          <t>SCA</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11396-2025</t>
        </is>
      </c>
      <c r="B3634" s="1" t="n">
        <v>45726</v>
      </c>
      <c r="C3634" s="1" t="n">
        <v>45795</v>
      </c>
      <c r="D3634" t="inlineStr">
        <is>
          <t>JÄMTLANDS LÄN</t>
        </is>
      </c>
      <c r="E3634" t="inlineStr">
        <is>
          <t>STRÖMSUND</t>
        </is>
      </c>
      <c r="F3634" t="inlineStr">
        <is>
          <t>SCA</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11224-2025</t>
        </is>
      </c>
      <c r="B3635" s="1" t="n">
        <v>45726</v>
      </c>
      <c r="C3635" s="1" t="n">
        <v>45795</v>
      </c>
      <c r="D3635" t="inlineStr">
        <is>
          <t>JÄMTLANDS LÄN</t>
        </is>
      </c>
      <c r="E3635" t="inlineStr">
        <is>
          <t>STRÖMSUND</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11733-2025</t>
        </is>
      </c>
      <c r="B3636" s="1" t="n">
        <v>45727</v>
      </c>
      <c r="C3636" s="1" t="n">
        <v>45795</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11681-2025</t>
        </is>
      </c>
      <c r="B3637" s="1" t="n">
        <v>45727</v>
      </c>
      <c r="C3637" s="1" t="n">
        <v>45795</v>
      </c>
      <c r="D3637" t="inlineStr">
        <is>
          <t>JÄMTLANDS LÄN</t>
        </is>
      </c>
      <c r="E3637" t="inlineStr">
        <is>
          <t>STRÖMSUND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11738-2025</t>
        </is>
      </c>
      <c r="B3638" s="1" t="n">
        <v>45727</v>
      </c>
      <c r="C3638" s="1" t="n">
        <v>45795</v>
      </c>
      <c r="D3638" t="inlineStr">
        <is>
          <t>JÄMTLANDS LÄN</t>
        </is>
      </c>
      <c r="E3638" t="inlineStr">
        <is>
          <t>STRÖMSUND</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11664-2025</t>
        </is>
      </c>
      <c r="B3639" s="1" t="n">
        <v>45727</v>
      </c>
      <c r="C3639" s="1" t="n">
        <v>45795</v>
      </c>
      <c r="D3639" t="inlineStr">
        <is>
          <t>JÄMTLANDS LÄN</t>
        </is>
      </c>
      <c r="E3639" t="inlineStr">
        <is>
          <t>STRÖMSUND</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11546-2025</t>
        </is>
      </c>
      <c r="B3640" s="1" t="n">
        <v>45727</v>
      </c>
      <c r="C3640" s="1" t="n">
        <v>45795</v>
      </c>
      <c r="D3640" t="inlineStr">
        <is>
          <t>JÄMTLANDS LÄN</t>
        </is>
      </c>
      <c r="E3640" t="inlineStr">
        <is>
          <t>STRÖMSUND</t>
        </is>
      </c>
      <c r="F3640" t="inlineStr">
        <is>
          <t>SCA</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11930-2025</t>
        </is>
      </c>
      <c r="B3641" s="1" t="n">
        <v>45728</v>
      </c>
      <c r="C3641" s="1" t="n">
        <v>45795</v>
      </c>
      <c r="D3641" t="inlineStr">
        <is>
          <t>JÄMTLANDS LÄN</t>
        </is>
      </c>
      <c r="E3641" t="inlineStr">
        <is>
          <t>STRÖMSUND</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11838-2025</t>
        </is>
      </c>
      <c r="B3642" s="1" t="n">
        <v>45728</v>
      </c>
      <c r="C3642" s="1" t="n">
        <v>45795</v>
      </c>
      <c r="D3642" t="inlineStr">
        <is>
          <t>JÄMTLANDS LÄN</t>
        </is>
      </c>
      <c r="E3642" t="inlineStr">
        <is>
          <t>STRÖMSUND</t>
        </is>
      </c>
      <c r="F3642" t="inlineStr">
        <is>
          <t>SCA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12097-2025</t>
        </is>
      </c>
      <c r="B3643" s="1" t="n">
        <v>45729</v>
      </c>
      <c r="C3643" s="1" t="n">
        <v>45795</v>
      </c>
      <c r="D3643" t="inlineStr">
        <is>
          <t>JÄMTLANDS LÄN</t>
        </is>
      </c>
      <c r="E3643" t="inlineStr">
        <is>
          <t>STRÖMSUND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12201-2025</t>
        </is>
      </c>
      <c r="B3644" s="1" t="n">
        <v>45729</v>
      </c>
      <c r="C3644" s="1" t="n">
        <v>45795</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12175-2025</t>
        </is>
      </c>
      <c r="B3645" s="1" t="n">
        <v>45729</v>
      </c>
      <c r="C3645" s="1" t="n">
        <v>45795</v>
      </c>
      <c r="D3645" t="inlineStr">
        <is>
          <t>JÄMTLANDS LÄN</t>
        </is>
      </c>
      <c r="E3645" t="inlineStr">
        <is>
          <t>STRÖMSUND</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12099-2025</t>
        </is>
      </c>
      <c r="B3646" s="1" t="n">
        <v>45729</v>
      </c>
      <c r="C3646" s="1" t="n">
        <v>45795</v>
      </c>
      <c r="D3646" t="inlineStr">
        <is>
          <t>JÄMTLANDS LÄN</t>
        </is>
      </c>
      <c r="E3646" t="inlineStr">
        <is>
          <t>STRÖMSUND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12265-2025</t>
        </is>
      </c>
      <c r="B3647" s="1" t="n">
        <v>45729</v>
      </c>
      <c r="C3647" s="1" t="n">
        <v>45795</v>
      </c>
      <c r="D3647" t="inlineStr">
        <is>
          <t>JÄMTLANDS LÄN</t>
        </is>
      </c>
      <c r="E3647" t="inlineStr">
        <is>
          <t>STRÖMSUND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12188-2025</t>
        </is>
      </c>
      <c r="B3648" s="1" t="n">
        <v>45729</v>
      </c>
      <c r="C3648" s="1" t="n">
        <v>45795</v>
      </c>
      <c r="D3648" t="inlineStr">
        <is>
          <t>JÄMTLANDS LÄN</t>
        </is>
      </c>
      <c r="E3648" t="inlineStr">
        <is>
          <t>STRÖMSUND</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12641-2025</t>
        </is>
      </c>
      <c r="B3649" s="1" t="n">
        <v>45733</v>
      </c>
      <c r="C3649" s="1" t="n">
        <v>45795</v>
      </c>
      <c r="D3649" t="inlineStr">
        <is>
          <t>JÄMTLANDS LÄN</t>
        </is>
      </c>
      <c r="E3649" t="inlineStr">
        <is>
          <t>STRÖMSUND</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12885-2025</t>
        </is>
      </c>
      <c r="B3650" s="1" t="n">
        <v>45733</v>
      </c>
      <c r="C3650" s="1" t="n">
        <v>45795</v>
      </c>
      <c r="D3650" t="inlineStr">
        <is>
          <t>JÄMTLANDS LÄN</t>
        </is>
      </c>
      <c r="E3650" t="inlineStr">
        <is>
          <t>STRÖMSUND</t>
        </is>
      </c>
      <c r="F3650" t="inlineStr">
        <is>
          <t>SCA</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12870-2025</t>
        </is>
      </c>
      <c r="B3651" s="1" t="n">
        <v>45733</v>
      </c>
      <c r="C3651" s="1" t="n">
        <v>45795</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12835-2025</t>
        </is>
      </c>
      <c r="B3652" s="1" t="n">
        <v>45733</v>
      </c>
      <c r="C3652" s="1" t="n">
        <v>45795</v>
      </c>
      <c r="D3652" t="inlineStr">
        <is>
          <t>JÄMTLANDS LÄN</t>
        </is>
      </c>
      <c r="E3652" t="inlineStr">
        <is>
          <t>STRÖMSUND</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12666-2025</t>
        </is>
      </c>
      <c r="B3653" s="1" t="n">
        <v>45733</v>
      </c>
      <c r="C3653" s="1" t="n">
        <v>45795</v>
      </c>
      <c r="D3653" t="inlineStr">
        <is>
          <t>JÄMTLANDS LÄN</t>
        </is>
      </c>
      <c r="E3653" t="inlineStr">
        <is>
          <t>STRÖMSUND</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13044-2025</t>
        </is>
      </c>
      <c r="B3654" s="1" t="n">
        <v>45734</v>
      </c>
      <c r="C3654" s="1" t="n">
        <v>45795</v>
      </c>
      <c r="D3654" t="inlineStr">
        <is>
          <t>JÄMTLANDS LÄN</t>
        </is>
      </c>
      <c r="E3654" t="inlineStr">
        <is>
          <t>STRÖMSUND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13054-2025</t>
        </is>
      </c>
      <c r="B3655" s="1" t="n">
        <v>45734</v>
      </c>
      <c r="C3655" s="1" t="n">
        <v>45795</v>
      </c>
      <c r="D3655" t="inlineStr">
        <is>
          <t>JÄMTLANDS LÄN</t>
        </is>
      </c>
      <c r="E3655" t="inlineStr">
        <is>
          <t>STRÖMSUND</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13146-2025</t>
        </is>
      </c>
      <c r="B3656" s="1" t="n">
        <v>45734</v>
      </c>
      <c r="C3656" s="1" t="n">
        <v>45795</v>
      </c>
      <c r="D3656" t="inlineStr">
        <is>
          <t>JÄMTLANDS LÄN</t>
        </is>
      </c>
      <c r="E3656" t="inlineStr">
        <is>
          <t>STRÖMSUND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13022-2025</t>
        </is>
      </c>
      <c r="B3657" s="1" t="n">
        <v>45734</v>
      </c>
      <c r="C3657" s="1" t="n">
        <v>45795</v>
      </c>
      <c r="D3657" t="inlineStr">
        <is>
          <t>JÄMTLANDS LÄN</t>
        </is>
      </c>
      <c r="E3657" t="inlineStr">
        <is>
          <t>STRÖMSUND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13053-2025</t>
        </is>
      </c>
      <c r="B3658" s="1" t="n">
        <v>45734</v>
      </c>
      <c r="C3658" s="1" t="n">
        <v>45795</v>
      </c>
      <c r="D3658" t="inlineStr">
        <is>
          <t>JÄMTLANDS LÄN</t>
        </is>
      </c>
      <c r="E3658" t="inlineStr">
        <is>
          <t>STRÖMSUND</t>
        </is>
      </c>
      <c r="F3658" t="inlineStr">
        <is>
          <t>SCA</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13298-2025</t>
        </is>
      </c>
      <c r="B3659" s="1" t="n">
        <v>45735</v>
      </c>
      <c r="C3659" s="1" t="n">
        <v>45795</v>
      </c>
      <c r="D3659" t="inlineStr">
        <is>
          <t>JÄMTLANDS LÄN</t>
        </is>
      </c>
      <c r="E3659" t="inlineStr">
        <is>
          <t>STRÖMSUND</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13318-2025</t>
        </is>
      </c>
      <c r="B3660" s="1" t="n">
        <v>45735</v>
      </c>
      <c r="C3660" s="1" t="n">
        <v>45795</v>
      </c>
      <c r="D3660" t="inlineStr">
        <is>
          <t>JÄMTLANDS LÄN</t>
        </is>
      </c>
      <c r="E3660" t="inlineStr">
        <is>
          <t>STRÖMSUND</t>
        </is>
      </c>
      <c r="F3660" t="inlineStr">
        <is>
          <t>SCA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13350-2025</t>
        </is>
      </c>
      <c r="B3661" s="1" t="n">
        <v>45735</v>
      </c>
      <c r="C3661" s="1" t="n">
        <v>45795</v>
      </c>
      <c r="D3661" t="inlineStr">
        <is>
          <t>JÄMTLANDS LÄN</t>
        </is>
      </c>
      <c r="E3661" t="inlineStr">
        <is>
          <t>STRÖMSUND</t>
        </is>
      </c>
      <c r="F3661" t="inlineStr">
        <is>
          <t>SCA</t>
        </is>
      </c>
      <c r="G3661" t="n">
        <v>13.7</v>
      </c>
      <c r="H3661" t="n">
        <v>0</v>
      </c>
      <c r="I3661" t="n">
        <v>0</v>
      </c>
      <c r="J3661" t="n">
        <v>0</v>
      </c>
      <c r="K3661" t="n">
        <v>0</v>
      </c>
      <c r="L3661" t="n">
        <v>0</v>
      </c>
      <c r="M3661" t="n">
        <v>0</v>
      </c>
      <c r="N3661" t="n">
        <v>0</v>
      </c>
      <c r="O3661" t="n">
        <v>0</v>
      </c>
      <c r="P3661" t="n">
        <v>0</v>
      </c>
      <c r="Q3661" t="n">
        <v>0</v>
      </c>
      <c r="R3661" s="2" t="inlineStr"/>
    </row>
    <row r="3662" ht="15" customHeight="1">
      <c r="A3662" t="inlineStr">
        <is>
          <t>A 13320-2025</t>
        </is>
      </c>
      <c r="B3662" s="1" t="n">
        <v>45735</v>
      </c>
      <c r="C3662" s="1" t="n">
        <v>45795</v>
      </c>
      <c r="D3662" t="inlineStr">
        <is>
          <t>JÄMTLANDS LÄN</t>
        </is>
      </c>
      <c r="E3662" t="inlineStr">
        <is>
          <t>STRÖMSUND</t>
        </is>
      </c>
      <c r="F3662" t="inlineStr">
        <is>
          <t>SCA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13262-2025</t>
        </is>
      </c>
      <c r="B3663" s="1" t="n">
        <v>45735</v>
      </c>
      <c r="C3663" s="1" t="n">
        <v>45795</v>
      </c>
      <c r="D3663" t="inlineStr">
        <is>
          <t>JÄMTLANDS LÄN</t>
        </is>
      </c>
      <c r="E3663" t="inlineStr">
        <is>
          <t>STRÖMSUND</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13444-2025</t>
        </is>
      </c>
      <c r="B3664" s="1" t="n">
        <v>45736</v>
      </c>
      <c r="C3664" s="1" t="n">
        <v>45795</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13777-2025</t>
        </is>
      </c>
      <c r="B3665" s="1" t="n">
        <v>45736</v>
      </c>
      <c r="C3665" s="1" t="n">
        <v>45795</v>
      </c>
      <c r="D3665" t="inlineStr">
        <is>
          <t>JÄMTLANDS LÄN</t>
        </is>
      </c>
      <c r="E3665" t="inlineStr">
        <is>
          <t>STRÖMSUND</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13617-2025</t>
        </is>
      </c>
      <c r="B3666" s="1" t="n">
        <v>45736</v>
      </c>
      <c r="C3666" s="1" t="n">
        <v>45795</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13740-2025</t>
        </is>
      </c>
      <c r="B3667" s="1" t="n">
        <v>45736</v>
      </c>
      <c r="C3667" s="1" t="n">
        <v>45795</v>
      </c>
      <c r="D3667" t="inlineStr">
        <is>
          <t>JÄMTLANDS LÄN</t>
        </is>
      </c>
      <c r="E3667" t="inlineStr">
        <is>
          <t>STRÖMSUND</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13776-2025</t>
        </is>
      </c>
      <c r="B3668" s="1" t="n">
        <v>45736</v>
      </c>
      <c r="C3668" s="1" t="n">
        <v>45795</v>
      </c>
      <c r="D3668" t="inlineStr">
        <is>
          <t>JÄMTLANDS LÄN</t>
        </is>
      </c>
      <c r="E3668" t="inlineStr">
        <is>
          <t>STRÖMSUND</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13782-2025</t>
        </is>
      </c>
      <c r="B3669" s="1" t="n">
        <v>45736</v>
      </c>
      <c r="C3669" s="1" t="n">
        <v>45795</v>
      </c>
      <c r="D3669" t="inlineStr">
        <is>
          <t>JÄMTLANDS LÄN</t>
        </is>
      </c>
      <c r="E3669" t="inlineStr">
        <is>
          <t>STRÖMSUND</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13442-2025</t>
        </is>
      </c>
      <c r="B3670" s="1" t="n">
        <v>45736</v>
      </c>
      <c r="C3670" s="1" t="n">
        <v>45795</v>
      </c>
      <c r="D3670" t="inlineStr">
        <is>
          <t>JÄMTLANDS LÄN</t>
        </is>
      </c>
      <c r="E3670" t="inlineStr">
        <is>
          <t>STRÖMSUND</t>
        </is>
      </c>
      <c r="F3670" t="inlineStr">
        <is>
          <t>SCA</t>
        </is>
      </c>
      <c r="G3670" t="n">
        <v>23.9</v>
      </c>
      <c r="H3670" t="n">
        <v>0</v>
      </c>
      <c r="I3670" t="n">
        <v>0</v>
      </c>
      <c r="J3670" t="n">
        <v>0</v>
      </c>
      <c r="K3670" t="n">
        <v>0</v>
      </c>
      <c r="L3670" t="n">
        <v>0</v>
      </c>
      <c r="M3670" t="n">
        <v>0</v>
      </c>
      <c r="N3670" t="n">
        <v>0</v>
      </c>
      <c r="O3670" t="n">
        <v>0</v>
      </c>
      <c r="P3670" t="n">
        <v>0</v>
      </c>
      <c r="Q3670" t="n">
        <v>0</v>
      </c>
      <c r="R3670" s="2" t="inlineStr"/>
    </row>
    <row r="3671" ht="15" customHeight="1">
      <c r="A3671" t="inlineStr">
        <is>
          <t>A 13654-2025</t>
        </is>
      </c>
      <c r="B3671" s="1" t="n">
        <v>45736</v>
      </c>
      <c r="C3671" s="1" t="n">
        <v>45795</v>
      </c>
      <c r="D3671" t="inlineStr">
        <is>
          <t>JÄMTLANDS LÄN</t>
        </is>
      </c>
      <c r="E3671" t="inlineStr">
        <is>
          <t>STRÖMSUND</t>
        </is>
      </c>
      <c r="F3671" t="inlineStr">
        <is>
          <t>SCA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13522-2025</t>
        </is>
      </c>
      <c r="B3672" s="1" t="n">
        <v>45736</v>
      </c>
      <c r="C3672" s="1" t="n">
        <v>45795</v>
      </c>
      <c r="D3672" t="inlineStr">
        <is>
          <t>JÄMTLANDS LÄN</t>
        </is>
      </c>
      <c r="E3672" t="inlineStr">
        <is>
          <t>STRÖMSUND</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13566-2025</t>
        </is>
      </c>
      <c r="B3673" s="1" t="n">
        <v>45736</v>
      </c>
      <c r="C3673" s="1" t="n">
        <v>45795</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13898-2025</t>
        </is>
      </c>
      <c r="B3674" s="1" t="n">
        <v>45737</v>
      </c>
      <c r="C3674" s="1" t="n">
        <v>45795</v>
      </c>
      <c r="D3674" t="inlineStr">
        <is>
          <t>JÄMTLANDS LÄN</t>
        </is>
      </c>
      <c r="E3674" t="inlineStr">
        <is>
          <t>STRÖMSUND</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13899-2025</t>
        </is>
      </c>
      <c r="B3675" s="1" t="n">
        <v>45737</v>
      </c>
      <c r="C3675" s="1" t="n">
        <v>45795</v>
      </c>
      <c r="D3675" t="inlineStr">
        <is>
          <t>JÄMTLANDS LÄN</t>
        </is>
      </c>
      <c r="E3675" t="inlineStr">
        <is>
          <t>STRÖMSUND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14291-2025</t>
        </is>
      </c>
      <c r="B3676" s="1" t="n">
        <v>45740</v>
      </c>
      <c r="C3676" s="1" t="n">
        <v>45795</v>
      </c>
      <c r="D3676" t="inlineStr">
        <is>
          <t>JÄMTLANDS LÄN</t>
        </is>
      </c>
      <c r="E3676" t="inlineStr">
        <is>
          <t>STRÖMSUND</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14314-2025</t>
        </is>
      </c>
      <c r="B3677" s="1" t="n">
        <v>45740</v>
      </c>
      <c r="C3677" s="1" t="n">
        <v>45795</v>
      </c>
      <c r="D3677" t="inlineStr">
        <is>
          <t>JÄMTLANDS LÄN</t>
        </is>
      </c>
      <c r="E3677" t="inlineStr">
        <is>
          <t>STRÖMSUND</t>
        </is>
      </c>
      <c r="F3677" t="inlineStr">
        <is>
          <t>SCA</t>
        </is>
      </c>
      <c r="G3677" t="n">
        <v>26.7</v>
      </c>
      <c r="H3677" t="n">
        <v>0</v>
      </c>
      <c r="I3677" t="n">
        <v>0</v>
      </c>
      <c r="J3677" t="n">
        <v>0</v>
      </c>
      <c r="K3677" t="n">
        <v>0</v>
      </c>
      <c r="L3677" t="n">
        <v>0</v>
      </c>
      <c r="M3677" t="n">
        <v>0</v>
      </c>
      <c r="N3677" t="n">
        <v>0</v>
      </c>
      <c r="O3677" t="n">
        <v>0</v>
      </c>
      <c r="P3677" t="n">
        <v>0</v>
      </c>
      <c r="Q3677" t="n">
        <v>0</v>
      </c>
      <c r="R3677" s="2" t="inlineStr"/>
    </row>
    <row r="3678" ht="15" customHeight="1">
      <c r="A3678" t="inlineStr">
        <is>
          <t>A 14070-2025</t>
        </is>
      </c>
      <c r="B3678" s="1" t="n">
        <v>45740</v>
      </c>
      <c r="C3678" s="1" t="n">
        <v>45795</v>
      </c>
      <c r="D3678" t="inlineStr">
        <is>
          <t>JÄMTLANDS LÄN</t>
        </is>
      </c>
      <c r="E3678" t="inlineStr">
        <is>
          <t>STRÖMSUND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14282-2025</t>
        </is>
      </c>
      <c r="B3679" s="1" t="n">
        <v>45740</v>
      </c>
      <c r="C3679" s="1" t="n">
        <v>45795</v>
      </c>
      <c r="D3679" t="inlineStr">
        <is>
          <t>JÄMTLANDS LÄN</t>
        </is>
      </c>
      <c r="E3679" t="inlineStr">
        <is>
          <t>STRÖMSUND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14671-2025</t>
        </is>
      </c>
      <c r="B3680" s="1" t="n">
        <v>45742</v>
      </c>
      <c r="C3680" s="1" t="n">
        <v>45795</v>
      </c>
      <c r="D3680" t="inlineStr">
        <is>
          <t>JÄMTLANDS LÄN</t>
        </is>
      </c>
      <c r="E3680" t="inlineStr">
        <is>
          <t>STRÖMSUND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15027-2025</t>
        </is>
      </c>
      <c r="B3681" s="1" t="n">
        <v>45743</v>
      </c>
      <c r="C3681" s="1" t="n">
        <v>45795</v>
      </c>
      <c r="D3681" t="inlineStr">
        <is>
          <t>JÄMTLANDS LÄN</t>
        </is>
      </c>
      <c r="E3681" t="inlineStr">
        <is>
          <t>STRÖMSUND</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14814-2025</t>
        </is>
      </c>
      <c r="B3682" s="1" t="n">
        <v>45743</v>
      </c>
      <c r="C3682" s="1" t="n">
        <v>45795</v>
      </c>
      <c r="D3682" t="inlineStr">
        <is>
          <t>JÄMTLANDS LÄN</t>
        </is>
      </c>
      <c r="E3682" t="inlineStr">
        <is>
          <t>STRÖMSUND</t>
        </is>
      </c>
      <c r="F3682" t="inlineStr">
        <is>
          <t>SCA</t>
        </is>
      </c>
      <c r="G3682" t="n">
        <v>20.6</v>
      </c>
      <c r="H3682" t="n">
        <v>0</v>
      </c>
      <c r="I3682" t="n">
        <v>0</v>
      </c>
      <c r="J3682" t="n">
        <v>0</v>
      </c>
      <c r="K3682" t="n">
        <v>0</v>
      </c>
      <c r="L3682" t="n">
        <v>0</v>
      </c>
      <c r="M3682" t="n">
        <v>0</v>
      </c>
      <c r="N3682" t="n">
        <v>0</v>
      </c>
      <c r="O3682" t="n">
        <v>0</v>
      </c>
      <c r="P3682" t="n">
        <v>0</v>
      </c>
      <c r="Q3682" t="n">
        <v>0</v>
      </c>
      <c r="R3682" s="2" t="inlineStr"/>
    </row>
    <row r="3683" ht="15" customHeight="1">
      <c r="A3683" t="inlineStr">
        <is>
          <t>A 14928-2025</t>
        </is>
      </c>
      <c r="B3683" s="1" t="n">
        <v>45743</v>
      </c>
      <c r="C3683" s="1" t="n">
        <v>45795</v>
      </c>
      <c r="D3683" t="inlineStr">
        <is>
          <t>JÄMTLANDS LÄN</t>
        </is>
      </c>
      <c r="E3683" t="inlineStr">
        <is>
          <t>STRÖMSUND</t>
        </is>
      </c>
      <c r="F3683" t="inlineStr">
        <is>
          <t>SCA</t>
        </is>
      </c>
      <c r="G3683" t="n">
        <v>12.2</v>
      </c>
      <c r="H3683" t="n">
        <v>0</v>
      </c>
      <c r="I3683" t="n">
        <v>0</v>
      </c>
      <c r="J3683" t="n">
        <v>0</v>
      </c>
      <c r="K3683" t="n">
        <v>0</v>
      </c>
      <c r="L3683" t="n">
        <v>0</v>
      </c>
      <c r="M3683" t="n">
        <v>0</v>
      </c>
      <c r="N3683" t="n">
        <v>0</v>
      </c>
      <c r="O3683" t="n">
        <v>0</v>
      </c>
      <c r="P3683" t="n">
        <v>0</v>
      </c>
      <c r="Q3683" t="n">
        <v>0</v>
      </c>
      <c r="R3683" s="2" t="inlineStr"/>
    </row>
    <row r="3684" ht="15" customHeight="1">
      <c r="A3684" t="inlineStr">
        <is>
          <t>A 15026-2025</t>
        </is>
      </c>
      <c r="B3684" s="1" t="n">
        <v>45743</v>
      </c>
      <c r="C3684" s="1" t="n">
        <v>45795</v>
      </c>
      <c r="D3684" t="inlineStr">
        <is>
          <t>JÄMTLANDS LÄN</t>
        </is>
      </c>
      <c r="E3684" t="inlineStr">
        <is>
          <t>STRÖMSUND</t>
        </is>
      </c>
      <c r="F3684" t="inlineStr">
        <is>
          <t>SCA</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14931-2025</t>
        </is>
      </c>
      <c r="B3685" s="1" t="n">
        <v>45743</v>
      </c>
      <c r="C3685" s="1" t="n">
        <v>45795</v>
      </c>
      <c r="D3685" t="inlineStr">
        <is>
          <t>JÄMTLANDS LÄN</t>
        </is>
      </c>
      <c r="E3685" t="inlineStr">
        <is>
          <t>STRÖMSUND</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14886-2025</t>
        </is>
      </c>
      <c r="B3686" s="1" t="n">
        <v>45743</v>
      </c>
      <c r="C3686" s="1" t="n">
        <v>45795</v>
      </c>
      <c r="D3686" t="inlineStr">
        <is>
          <t>JÄMTLANDS LÄN</t>
        </is>
      </c>
      <c r="E3686" t="inlineStr">
        <is>
          <t>STRÖMSUND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14830-2025</t>
        </is>
      </c>
      <c r="B3687" s="1" t="n">
        <v>45743</v>
      </c>
      <c r="C3687" s="1" t="n">
        <v>45795</v>
      </c>
      <c r="D3687" t="inlineStr">
        <is>
          <t>JÄMTLANDS LÄN</t>
        </is>
      </c>
      <c r="E3687" t="inlineStr">
        <is>
          <t>STRÖMSUND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15139-2025</t>
        </is>
      </c>
      <c r="B3688" s="1" t="n">
        <v>45744</v>
      </c>
      <c r="C3688" s="1" t="n">
        <v>45795</v>
      </c>
      <c r="D3688" t="inlineStr">
        <is>
          <t>JÄMTLANDS LÄN</t>
        </is>
      </c>
      <c r="E3688" t="inlineStr">
        <is>
          <t>STRÖMSUND</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15134-2025</t>
        </is>
      </c>
      <c r="B3689" s="1" t="n">
        <v>45744</v>
      </c>
      <c r="C3689" s="1" t="n">
        <v>45795</v>
      </c>
      <c r="D3689" t="inlineStr">
        <is>
          <t>JÄMTLANDS LÄN</t>
        </is>
      </c>
      <c r="E3689" t="inlineStr">
        <is>
          <t>STRÖMSUND</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15329-2025</t>
        </is>
      </c>
      <c r="B3690" s="1" t="n">
        <v>45747</v>
      </c>
      <c r="C3690" s="1" t="n">
        <v>45795</v>
      </c>
      <c r="D3690" t="inlineStr">
        <is>
          <t>JÄMTLANDS LÄN</t>
        </is>
      </c>
      <c r="E3690" t="inlineStr">
        <is>
          <t>STRÖMSUND</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15463-2025</t>
        </is>
      </c>
      <c r="B3691" s="1" t="n">
        <v>45747</v>
      </c>
      <c r="C3691" s="1" t="n">
        <v>45795</v>
      </c>
      <c r="D3691" t="inlineStr">
        <is>
          <t>JÄMTLANDS LÄN</t>
        </is>
      </c>
      <c r="E3691" t="inlineStr">
        <is>
          <t>STRÖMSUND</t>
        </is>
      </c>
      <c r="F3691" t="inlineStr">
        <is>
          <t>SCA</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15783-2025</t>
        </is>
      </c>
      <c r="B3692" s="1" t="n">
        <v>45748</v>
      </c>
      <c r="C3692" s="1" t="n">
        <v>45795</v>
      </c>
      <c r="D3692" t="inlineStr">
        <is>
          <t>JÄMTLANDS LÄN</t>
        </is>
      </c>
      <c r="E3692" t="inlineStr">
        <is>
          <t>STRÖMSUND</t>
        </is>
      </c>
      <c r="F3692" t="inlineStr">
        <is>
          <t>SCA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15789-2025</t>
        </is>
      </c>
      <c r="B3693" s="1" t="n">
        <v>45748</v>
      </c>
      <c r="C3693" s="1" t="n">
        <v>45795</v>
      </c>
      <c r="D3693" t="inlineStr">
        <is>
          <t>JÄMTLANDS LÄN</t>
        </is>
      </c>
      <c r="E3693" t="inlineStr">
        <is>
          <t>STRÖMSUND</t>
        </is>
      </c>
      <c r="F3693" t="inlineStr">
        <is>
          <t>SCA</t>
        </is>
      </c>
      <c r="G3693" t="n">
        <v>25.5</v>
      </c>
      <c r="H3693" t="n">
        <v>0</v>
      </c>
      <c r="I3693" t="n">
        <v>0</v>
      </c>
      <c r="J3693" t="n">
        <v>0</v>
      </c>
      <c r="K3693" t="n">
        <v>0</v>
      </c>
      <c r="L3693" t="n">
        <v>0</v>
      </c>
      <c r="M3693" t="n">
        <v>0</v>
      </c>
      <c r="N3693" t="n">
        <v>0</v>
      </c>
      <c r="O3693" t="n">
        <v>0</v>
      </c>
      <c r="P3693" t="n">
        <v>0</v>
      </c>
      <c r="Q3693" t="n">
        <v>0</v>
      </c>
      <c r="R3693" s="2" t="inlineStr"/>
    </row>
    <row r="3694" ht="15" customHeight="1">
      <c r="A3694" t="inlineStr">
        <is>
          <t>A 15927-2025</t>
        </is>
      </c>
      <c r="B3694" s="1" t="n">
        <v>45749</v>
      </c>
      <c r="C3694" s="1" t="n">
        <v>45795</v>
      </c>
      <c r="D3694" t="inlineStr">
        <is>
          <t>JÄMTLANDS LÄN</t>
        </is>
      </c>
      <c r="E3694" t="inlineStr">
        <is>
          <t>STRÖMSUND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15950-2025</t>
        </is>
      </c>
      <c r="B3695" s="1" t="n">
        <v>45749</v>
      </c>
      <c r="C3695" s="1" t="n">
        <v>45795</v>
      </c>
      <c r="D3695" t="inlineStr">
        <is>
          <t>JÄMTLANDS LÄN</t>
        </is>
      </c>
      <c r="E3695" t="inlineStr">
        <is>
          <t>STRÖMSUND</t>
        </is>
      </c>
      <c r="F3695" t="inlineStr">
        <is>
          <t>SCA</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15888-2025</t>
        </is>
      </c>
      <c r="B3696" s="1" t="n">
        <v>45749</v>
      </c>
      <c r="C3696" s="1" t="n">
        <v>45795</v>
      </c>
      <c r="D3696" t="inlineStr">
        <is>
          <t>JÄMTLANDS LÄN</t>
        </is>
      </c>
      <c r="E3696" t="inlineStr">
        <is>
          <t>STRÖMSUND</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16310-2025</t>
        </is>
      </c>
      <c r="B3697" s="1" t="n">
        <v>45751</v>
      </c>
      <c r="C3697" s="1" t="n">
        <v>45795</v>
      </c>
      <c r="D3697" t="inlineStr">
        <is>
          <t>JÄMTLANDS LÄN</t>
        </is>
      </c>
      <c r="E3697" t="inlineStr">
        <is>
          <t>STRÖMSUND</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16566-2025</t>
        </is>
      </c>
      <c r="B3698" s="1" t="n">
        <v>45752</v>
      </c>
      <c r="C3698" s="1" t="n">
        <v>45795</v>
      </c>
      <c r="D3698" t="inlineStr">
        <is>
          <t>JÄMTLANDS LÄN</t>
        </is>
      </c>
      <c r="E3698" t="inlineStr">
        <is>
          <t>STRÖMSUND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16722-2025</t>
        </is>
      </c>
      <c r="B3699" s="1" t="n">
        <v>45754</v>
      </c>
      <c r="C3699" s="1" t="n">
        <v>45795</v>
      </c>
      <c r="D3699" t="inlineStr">
        <is>
          <t>JÄMTLANDS LÄN</t>
        </is>
      </c>
      <c r="E3699" t="inlineStr">
        <is>
          <t>STRÖMSUND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16782-2025</t>
        </is>
      </c>
      <c r="B3700" s="1" t="n">
        <v>45754</v>
      </c>
      <c r="C3700" s="1" t="n">
        <v>45795</v>
      </c>
      <c r="D3700" t="inlineStr">
        <is>
          <t>JÄMTLANDS LÄN</t>
        </is>
      </c>
      <c r="E3700" t="inlineStr">
        <is>
          <t>STRÖMSUND</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17033-2025</t>
        </is>
      </c>
      <c r="B3701" s="1" t="n">
        <v>45755</v>
      </c>
      <c r="C3701" s="1" t="n">
        <v>45795</v>
      </c>
      <c r="D3701" t="inlineStr">
        <is>
          <t>JÄMTLANDS LÄN</t>
        </is>
      </c>
      <c r="E3701" t="inlineStr">
        <is>
          <t>STRÖMSUND</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17083-2025</t>
        </is>
      </c>
      <c r="B3702" s="1" t="n">
        <v>45755</v>
      </c>
      <c r="C3702" s="1" t="n">
        <v>45795</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17030-2025</t>
        </is>
      </c>
      <c r="B3703" s="1" t="n">
        <v>45755</v>
      </c>
      <c r="C3703" s="1" t="n">
        <v>45795</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17031-2025</t>
        </is>
      </c>
      <c r="B3704" s="1" t="n">
        <v>45755</v>
      </c>
      <c r="C3704" s="1" t="n">
        <v>45795</v>
      </c>
      <c r="D3704" t="inlineStr">
        <is>
          <t>JÄMTLANDS LÄN</t>
        </is>
      </c>
      <c r="E3704" t="inlineStr">
        <is>
          <t>STRÖMSUND</t>
        </is>
      </c>
      <c r="F3704" t="inlineStr">
        <is>
          <t>SCA</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17205-2025</t>
        </is>
      </c>
      <c r="B3705" s="1" t="n">
        <v>45756</v>
      </c>
      <c r="C3705" s="1" t="n">
        <v>45795</v>
      </c>
      <c r="D3705" t="inlineStr">
        <is>
          <t>JÄMTLANDS LÄN</t>
        </is>
      </c>
      <c r="E3705" t="inlineStr">
        <is>
          <t>STRÖMSUND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17256-2025</t>
        </is>
      </c>
      <c r="B3706" s="1" t="n">
        <v>45756</v>
      </c>
      <c r="C3706" s="1" t="n">
        <v>45795</v>
      </c>
      <c r="D3706" t="inlineStr">
        <is>
          <t>JÄMTLANDS LÄN</t>
        </is>
      </c>
      <c r="E3706" t="inlineStr">
        <is>
          <t>STRÖMSUND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17214-2025</t>
        </is>
      </c>
      <c r="B3707" s="1" t="n">
        <v>45756</v>
      </c>
      <c r="C3707" s="1" t="n">
        <v>45795</v>
      </c>
      <c r="D3707" t="inlineStr">
        <is>
          <t>JÄMTLANDS LÄN</t>
        </is>
      </c>
      <c r="E3707" t="inlineStr">
        <is>
          <t>STRÖMSUND</t>
        </is>
      </c>
      <c r="F3707" t="inlineStr">
        <is>
          <t>SCA</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17322-2025</t>
        </is>
      </c>
      <c r="B3708" s="1" t="n">
        <v>45756</v>
      </c>
      <c r="C3708" s="1" t="n">
        <v>45795</v>
      </c>
      <c r="D3708" t="inlineStr">
        <is>
          <t>JÄMTLANDS LÄN</t>
        </is>
      </c>
      <c r="E3708" t="inlineStr">
        <is>
          <t>STRÖMSUND</t>
        </is>
      </c>
      <c r="F3708" t="inlineStr">
        <is>
          <t>SCA</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45795</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17191-2025</t>
        </is>
      </c>
      <c r="B3710" s="1" t="n">
        <v>45756</v>
      </c>
      <c r="C3710" s="1" t="n">
        <v>45795</v>
      </c>
      <c r="D3710" t="inlineStr">
        <is>
          <t>JÄMTLANDS LÄN</t>
        </is>
      </c>
      <c r="E3710" t="inlineStr">
        <is>
          <t>STRÖMSUND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17286-2025</t>
        </is>
      </c>
      <c r="B3711" s="1" t="n">
        <v>45756</v>
      </c>
      <c r="C3711" s="1" t="n">
        <v>45795</v>
      </c>
      <c r="D3711" t="inlineStr">
        <is>
          <t>JÄMTLANDS LÄN</t>
        </is>
      </c>
      <c r="E3711" t="inlineStr">
        <is>
          <t>STRÖMSUND</t>
        </is>
      </c>
      <c r="F3711" t="inlineStr">
        <is>
          <t>SCA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17207-2025</t>
        </is>
      </c>
      <c r="B3712" s="1" t="n">
        <v>45756</v>
      </c>
      <c r="C3712" s="1" t="n">
        <v>45795</v>
      </c>
      <c r="D3712" t="inlineStr">
        <is>
          <t>JÄMTLANDS LÄN</t>
        </is>
      </c>
      <c r="E3712" t="inlineStr">
        <is>
          <t>STRÖMSUND</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17213-2025</t>
        </is>
      </c>
      <c r="B3713" s="1" t="n">
        <v>45756</v>
      </c>
      <c r="C3713" s="1" t="n">
        <v>45795</v>
      </c>
      <c r="D3713" t="inlineStr">
        <is>
          <t>JÄMTLANDS LÄN</t>
        </is>
      </c>
      <c r="E3713" t="inlineStr">
        <is>
          <t>STRÖMSUND</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17532-2025</t>
        </is>
      </c>
      <c r="B3714" s="1" t="n">
        <v>45757</v>
      </c>
      <c r="C3714" s="1" t="n">
        <v>45795</v>
      </c>
      <c r="D3714" t="inlineStr">
        <is>
          <t>JÄMTLANDS LÄN</t>
        </is>
      </c>
      <c r="E3714" t="inlineStr">
        <is>
          <t>STRÖMSUND</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17506-2025</t>
        </is>
      </c>
      <c r="B3715" s="1" t="n">
        <v>45757</v>
      </c>
      <c r="C3715" s="1" t="n">
        <v>45795</v>
      </c>
      <c r="D3715" t="inlineStr">
        <is>
          <t>JÄMTLANDS LÄN</t>
        </is>
      </c>
      <c r="E3715" t="inlineStr">
        <is>
          <t>STRÖMSUND</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17514-2025</t>
        </is>
      </c>
      <c r="B3716" s="1" t="n">
        <v>45757</v>
      </c>
      <c r="C3716" s="1" t="n">
        <v>45795</v>
      </c>
      <c r="D3716" t="inlineStr">
        <is>
          <t>JÄMTLANDS LÄN</t>
        </is>
      </c>
      <c r="E3716" t="inlineStr">
        <is>
          <t>STRÖMSUND</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17408-2025</t>
        </is>
      </c>
      <c r="B3717" s="1" t="n">
        <v>45757</v>
      </c>
      <c r="C3717" s="1" t="n">
        <v>45795</v>
      </c>
      <c r="D3717" t="inlineStr">
        <is>
          <t>JÄMTLANDS LÄN</t>
        </is>
      </c>
      <c r="E3717" t="inlineStr">
        <is>
          <t>STRÖMSUND</t>
        </is>
      </c>
      <c r="G3717" t="n">
        <v>15.1</v>
      </c>
      <c r="H3717" t="n">
        <v>0</v>
      </c>
      <c r="I3717" t="n">
        <v>0</v>
      </c>
      <c r="J3717" t="n">
        <v>0</v>
      </c>
      <c r="K3717" t="n">
        <v>0</v>
      </c>
      <c r="L3717" t="n">
        <v>0</v>
      </c>
      <c r="M3717" t="n">
        <v>0</v>
      </c>
      <c r="N3717" t="n">
        <v>0</v>
      </c>
      <c r="O3717" t="n">
        <v>0</v>
      </c>
      <c r="P3717" t="n">
        <v>0</v>
      </c>
      <c r="Q3717" t="n">
        <v>0</v>
      </c>
      <c r="R3717" s="2" t="inlineStr"/>
    </row>
    <row r="3718" ht="15" customHeight="1">
      <c r="A3718" t="inlineStr">
        <is>
          <t>A 17569-2025</t>
        </is>
      </c>
      <c r="B3718" s="1" t="n">
        <v>45757</v>
      </c>
      <c r="C3718" s="1" t="n">
        <v>45795</v>
      </c>
      <c r="D3718" t="inlineStr">
        <is>
          <t>JÄMTLANDS LÄN</t>
        </is>
      </c>
      <c r="E3718" t="inlineStr">
        <is>
          <t>STRÖMSUND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17804-2025</t>
        </is>
      </c>
      <c r="B3719" s="1" t="n">
        <v>45758</v>
      </c>
      <c r="C3719" s="1" t="n">
        <v>45795</v>
      </c>
      <c r="D3719" t="inlineStr">
        <is>
          <t>JÄMTLANDS LÄN</t>
        </is>
      </c>
      <c r="E3719" t="inlineStr">
        <is>
          <t>STRÖMSUND</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18043-2025</t>
        </is>
      </c>
      <c r="B3720" s="1" t="n">
        <v>45761</v>
      </c>
      <c r="C3720" s="1" t="n">
        <v>45795</v>
      </c>
      <c r="D3720" t="inlineStr">
        <is>
          <t>JÄMTLANDS LÄN</t>
        </is>
      </c>
      <c r="E3720" t="inlineStr">
        <is>
          <t>STRÖMSUND</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18192-2025</t>
        </is>
      </c>
      <c r="B3721" s="1" t="n">
        <v>45761</v>
      </c>
      <c r="C3721" s="1" t="n">
        <v>45795</v>
      </c>
      <c r="D3721" t="inlineStr">
        <is>
          <t>JÄMTLANDS LÄN</t>
        </is>
      </c>
      <c r="E3721" t="inlineStr">
        <is>
          <t>STRÖMSUND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18146-2025</t>
        </is>
      </c>
      <c r="B3722" s="1" t="n">
        <v>45761</v>
      </c>
      <c r="C3722" s="1" t="n">
        <v>45795</v>
      </c>
      <c r="D3722" t="inlineStr">
        <is>
          <t>JÄMTLANDS LÄN</t>
        </is>
      </c>
      <c r="E3722" t="inlineStr">
        <is>
          <t>STRÖMSUND</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18195-2025</t>
        </is>
      </c>
      <c r="B3723" s="1" t="n">
        <v>45761</v>
      </c>
      <c r="C3723" s="1" t="n">
        <v>45795</v>
      </c>
      <c r="D3723" t="inlineStr">
        <is>
          <t>JÄMTLANDS LÄN</t>
        </is>
      </c>
      <c r="E3723" t="inlineStr">
        <is>
          <t>STRÖMSUND</t>
        </is>
      </c>
      <c r="F3723" t="inlineStr">
        <is>
          <t>SCA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17994-2025</t>
        </is>
      </c>
      <c r="B3724" s="1" t="n">
        <v>45761</v>
      </c>
      <c r="C3724" s="1" t="n">
        <v>45795</v>
      </c>
      <c r="D3724" t="inlineStr">
        <is>
          <t>JÄMTLANDS LÄN</t>
        </is>
      </c>
      <c r="E3724" t="inlineStr">
        <is>
          <t>STRÖMSUND</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17975-2025</t>
        </is>
      </c>
      <c r="B3725" s="1" t="n">
        <v>45761</v>
      </c>
      <c r="C3725" s="1" t="n">
        <v>45795</v>
      </c>
      <c r="D3725" t="inlineStr">
        <is>
          <t>JÄMTLANDS LÄN</t>
        </is>
      </c>
      <c r="E3725" t="inlineStr">
        <is>
          <t>STRÖMSUND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17995-2025</t>
        </is>
      </c>
      <c r="B3726" s="1" t="n">
        <v>45761</v>
      </c>
      <c r="C3726" s="1" t="n">
        <v>45795</v>
      </c>
      <c r="D3726" t="inlineStr">
        <is>
          <t>JÄMTLANDS LÄN</t>
        </is>
      </c>
      <c r="E3726" t="inlineStr">
        <is>
          <t>STRÖMSUND</t>
        </is>
      </c>
      <c r="F3726" t="inlineStr">
        <is>
          <t>SCA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18395-2025</t>
        </is>
      </c>
      <c r="B3727" s="1" t="n">
        <v>45762</v>
      </c>
      <c r="C3727" s="1" t="n">
        <v>45795</v>
      </c>
      <c r="D3727" t="inlineStr">
        <is>
          <t>JÄMTLANDS LÄN</t>
        </is>
      </c>
      <c r="E3727" t="inlineStr">
        <is>
          <t>STRÖMSUND</t>
        </is>
      </c>
      <c r="F3727" t="inlineStr">
        <is>
          <t>SCA</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18414-2025</t>
        </is>
      </c>
      <c r="B3728" s="1" t="n">
        <v>45762</v>
      </c>
      <c r="C3728" s="1" t="n">
        <v>45795</v>
      </c>
      <c r="D3728" t="inlineStr">
        <is>
          <t>JÄMTLANDS LÄN</t>
        </is>
      </c>
      <c r="E3728" t="inlineStr">
        <is>
          <t>STRÖMSUND</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18279-2025</t>
        </is>
      </c>
      <c r="B3729" s="1" t="n">
        <v>45762</v>
      </c>
      <c r="C3729" s="1" t="n">
        <v>45795</v>
      </c>
      <c r="D3729" t="inlineStr">
        <is>
          <t>JÄMTLANDS LÄN</t>
        </is>
      </c>
      <c r="E3729" t="inlineStr">
        <is>
          <t>STRÖMSUND</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18252-2025</t>
        </is>
      </c>
      <c r="B3730" s="1" t="n">
        <v>45762</v>
      </c>
      <c r="C3730" s="1" t="n">
        <v>45795</v>
      </c>
      <c r="D3730" t="inlineStr">
        <is>
          <t>JÄMTLANDS LÄN</t>
        </is>
      </c>
      <c r="E3730" t="inlineStr">
        <is>
          <t>STRÖMSUND</t>
        </is>
      </c>
      <c r="F3730" t="inlineStr">
        <is>
          <t>SCA</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18253-2025</t>
        </is>
      </c>
      <c r="B3731" s="1" t="n">
        <v>45762</v>
      </c>
      <c r="C3731" s="1" t="n">
        <v>45795</v>
      </c>
      <c r="D3731" t="inlineStr">
        <is>
          <t>JÄMTLANDS LÄN</t>
        </is>
      </c>
      <c r="E3731" t="inlineStr">
        <is>
          <t>STRÖMSUND</t>
        </is>
      </c>
      <c r="F3731" t="inlineStr">
        <is>
          <t>SCA</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18280-2025</t>
        </is>
      </c>
      <c r="B3732" s="1" t="n">
        <v>45762</v>
      </c>
      <c r="C3732" s="1" t="n">
        <v>45795</v>
      </c>
      <c r="D3732" t="inlineStr">
        <is>
          <t>JÄMTLANDS LÄN</t>
        </is>
      </c>
      <c r="E3732" t="inlineStr">
        <is>
          <t>STRÖMSUND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18254-2025</t>
        </is>
      </c>
      <c r="B3733" s="1" t="n">
        <v>45762</v>
      </c>
      <c r="C3733" s="1" t="n">
        <v>45795</v>
      </c>
      <c r="D3733" t="inlineStr">
        <is>
          <t>JÄMTLANDS LÄN</t>
        </is>
      </c>
      <c r="E3733" t="inlineStr">
        <is>
          <t>STRÖMSUND</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18780-2025</t>
        </is>
      </c>
      <c r="B3734" s="1" t="n">
        <v>45763</v>
      </c>
      <c r="C3734" s="1" t="n">
        <v>45795</v>
      </c>
      <c r="D3734" t="inlineStr">
        <is>
          <t>JÄMTLANDS LÄN</t>
        </is>
      </c>
      <c r="E3734" t="inlineStr">
        <is>
          <t>STRÖMSUND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19031-2025</t>
        </is>
      </c>
      <c r="B3735" s="1" t="n">
        <v>45764</v>
      </c>
      <c r="C3735" s="1" t="n">
        <v>45795</v>
      </c>
      <c r="D3735" t="inlineStr">
        <is>
          <t>JÄMTLANDS LÄN</t>
        </is>
      </c>
      <c r="E3735" t="inlineStr">
        <is>
          <t>STRÖMSUND</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19045-2025</t>
        </is>
      </c>
      <c r="B3736" s="1" t="n">
        <v>45764</v>
      </c>
      <c r="C3736" s="1" t="n">
        <v>45795</v>
      </c>
      <c r="D3736" t="inlineStr">
        <is>
          <t>JÄMTLANDS LÄN</t>
        </is>
      </c>
      <c r="E3736" t="inlineStr">
        <is>
          <t>STRÖMSUND</t>
        </is>
      </c>
      <c r="F3736" t="inlineStr">
        <is>
          <t>SCA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18863-2025</t>
        </is>
      </c>
      <c r="B3737" s="1" t="n">
        <v>45764</v>
      </c>
      <c r="C3737" s="1" t="n">
        <v>45795</v>
      </c>
      <c r="D3737" t="inlineStr">
        <is>
          <t>JÄMTLANDS LÄN</t>
        </is>
      </c>
      <c r="E3737" t="inlineStr">
        <is>
          <t>STRÖMSUND</t>
        </is>
      </c>
      <c r="F3737" t="inlineStr">
        <is>
          <t>SCA</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19063-2025</t>
        </is>
      </c>
      <c r="B3738" s="1" t="n">
        <v>45765</v>
      </c>
      <c r="C3738" s="1" t="n">
        <v>45795</v>
      </c>
      <c r="D3738" t="inlineStr">
        <is>
          <t>JÄMTLANDS LÄN</t>
        </is>
      </c>
      <c r="E3738" t="inlineStr">
        <is>
          <t>STRÖMSUND</t>
        </is>
      </c>
      <c r="F3738" t="inlineStr">
        <is>
          <t>SCA</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19413-2025</t>
        </is>
      </c>
      <c r="B3739" s="1" t="n">
        <v>45769</v>
      </c>
      <c r="C3739" s="1" t="n">
        <v>45795</v>
      </c>
      <c r="D3739" t="inlineStr">
        <is>
          <t>JÄMTLANDS LÄN</t>
        </is>
      </c>
      <c r="E3739" t="inlineStr">
        <is>
          <t>STRÖMSUND</t>
        </is>
      </c>
      <c r="F3739" t="inlineStr">
        <is>
          <t>SCA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19412-2025</t>
        </is>
      </c>
      <c r="B3740" s="1" t="n">
        <v>45769</v>
      </c>
      <c r="C3740" s="1" t="n">
        <v>45795</v>
      </c>
      <c r="D3740" t="inlineStr">
        <is>
          <t>JÄMTLANDS LÄN</t>
        </is>
      </c>
      <c r="E3740" t="inlineStr">
        <is>
          <t>STRÖMSUND</t>
        </is>
      </c>
      <c r="F3740" t="inlineStr">
        <is>
          <t>SCA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19146-2025</t>
        </is>
      </c>
      <c r="B3741" s="1" t="n">
        <v>45769</v>
      </c>
      <c r="C3741" s="1" t="n">
        <v>45795</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19411-2025</t>
        </is>
      </c>
      <c r="B3742" s="1" t="n">
        <v>45769</v>
      </c>
      <c r="C3742" s="1" t="n">
        <v>45795</v>
      </c>
      <c r="D3742" t="inlineStr">
        <is>
          <t>JÄMTLANDS LÄN</t>
        </is>
      </c>
      <c r="E3742" t="inlineStr">
        <is>
          <t>STRÖMSUND</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19668-2025</t>
        </is>
      </c>
      <c r="B3743" s="1" t="n">
        <v>45770</v>
      </c>
      <c r="C3743" s="1" t="n">
        <v>45795</v>
      </c>
      <c r="D3743" t="inlineStr">
        <is>
          <t>JÄMTLANDS LÄN</t>
        </is>
      </c>
      <c r="E3743" t="inlineStr">
        <is>
          <t>STRÖMSUND</t>
        </is>
      </c>
      <c r="F3743" t="inlineStr">
        <is>
          <t>SCA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19674-2025</t>
        </is>
      </c>
      <c r="B3744" s="1" t="n">
        <v>45770</v>
      </c>
      <c r="C3744" s="1" t="n">
        <v>45795</v>
      </c>
      <c r="D3744" t="inlineStr">
        <is>
          <t>JÄMTLANDS LÄN</t>
        </is>
      </c>
      <c r="E3744" t="inlineStr">
        <is>
          <t>STRÖMSUND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19453-2025</t>
        </is>
      </c>
      <c r="B3745" s="1" t="n">
        <v>45770</v>
      </c>
      <c r="C3745" s="1" t="n">
        <v>45795</v>
      </c>
      <c r="D3745" t="inlineStr">
        <is>
          <t>JÄMTLANDS LÄN</t>
        </is>
      </c>
      <c r="E3745" t="inlineStr">
        <is>
          <t>STRÖMSUND</t>
        </is>
      </c>
      <c r="F3745" t="inlineStr">
        <is>
          <t>SCA</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19670-2025</t>
        </is>
      </c>
      <c r="B3746" s="1" t="n">
        <v>45770</v>
      </c>
      <c r="C3746" s="1" t="n">
        <v>45795</v>
      </c>
      <c r="D3746" t="inlineStr">
        <is>
          <t>JÄMTLANDS LÄN</t>
        </is>
      </c>
      <c r="E3746" t="inlineStr">
        <is>
          <t>STRÖMSUND</t>
        </is>
      </c>
      <c r="F3746" t="inlineStr">
        <is>
          <t>SCA</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19512-2025</t>
        </is>
      </c>
      <c r="B3747" s="1" t="n">
        <v>45770</v>
      </c>
      <c r="C3747" s="1" t="n">
        <v>45795</v>
      </c>
      <c r="D3747" t="inlineStr">
        <is>
          <t>JÄMTLANDS LÄN</t>
        </is>
      </c>
      <c r="E3747" t="inlineStr">
        <is>
          <t>STRÖMSUND</t>
        </is>
      </c>
      <c r="F3747" t="inlineStr">
        <is>
          <t>SCA</t>
        </is>
      </c>
      <c r="G3747" t="n">
        <v>8.1</v>
      </c>
      <c r="H3747" t="n">
        <v>0</v>
      </c>
      <c r="I3747" t="n">
        <v>0</v>
      </c>
      <c r="J3747" t="n">
        <v>0</v>
      </c>
      <c r="K3747" t="n">
        <v>0</v>
      </c>
      <c r="L3747" t="n">
        <v>0</v>
      </c>
      <c r="M3747" t="n">
        <v>0</v>
      </c>
      <c r="N3747" t="n">
        <v>0</v>
      </c>
      <c r="O3747" t="n">
        <v>0</v>
      </c>
      <c r="P3747" t="n">
        <v>0</v>
      </c>
      <c r="Q3747" t="n">
        <v>0</v>
      </c>
      <c r="R3747" s="2" t="inlineStr"/>
    </row>
    <row r="3748" ht="15" customHeight="1">
      <c r="A3748" t="inlineStr">
        <is>
          <t>A 19711-2025</t>
        </is>
      </c>
      <c r="B3748" s="1" t="n">
        <v>45771</v>
      </c>
      <c r="C3748" s="1" t="n">
        <v>45795</v>
      </c>
      <c r="D3748" t="inlineStr">
        <is>
          <t>JÄMTLANDS LÄN</t>
        </is>
      </c>
      <c r="E3748" t="inlineStr">
        <is>
          <t>STRÖMSUND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19712-2025</t>
        </is>
      </c>
      <c r="B3749" s="1" t="n">
        <v>45771</v>
      </c>
      <c r="C3749" s="1" t="n">
        <v>45795</v>
      </c>
      <c r="D3749" t="inlineStr">
        <is>
          <t>JÄMTLANDS LÄN</t>
        </is>
      </c>
      <c r="E3749" t="inlineStr">
        <is>
          <t>STRÖMSUND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19761-2025</t>
        </is>
      </c>
      <c r="B3750" s="1" t="n">
        <v>45771</v>
      </c>
      <c r="C3750" s="1" t="n">
        <v>45795</v>
      </c>
      <c r="D3750" t="inlineStr">
        <is>
          <t>JÄMTLANDS LÄN</t>
        </is>
      </c>
      <c r="E3750" t="inlineStr">
        <is>
          <t>STRÖMSUND</t>
        </is>
      </c>
      <c r="F3750" t="inlineStr">
        <is>
          <t>SCA</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19788-2025</t>
        </is>
      </c>
      <c r="B3751" s="1" t="n">
        <v>45771</v>
      </c>
      <c r="C3751" s="1" t="n">
        <v>45795</v>
      </c>
      <c r="D3751" t="inlineStr">
        <is>
          <t>JÄMTLANDS LÄN</t>
        </is>
      </c>
      <c r="E3751" t="inlineStr">
        <is>
          <t>STRÖMSUND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19885-2025</t>
        </is>
      </c>
      <c r="B3752" s="1" t="n">
        <v>45771</v>
      </c>
      <c r="C3752" s="1" t="n">
        <v>45795</v>
      </c>
      <c r="D3752" t="inlineStr">
        <is>
          <t>JÄMTLANDS LÄN</t>
        </is>
      </c>
      <c r="E3752" t="inlineStr">
        <is>
          <t>STRÖMSUND</t>
        </is>
      </c>
      <c r="G3752" t="n">
        <v>12.7</v>
      </c>
      <c r="H3752" t="n">
        <v>0</v>
      </c>
      <c r="I3752" t="n">
        <v>0</v>
      </c>
      <c r="J3752" t="n">
        <v>0</v>
      </c>
      <c r="K3752" t="n">
        <v>0</v>
      </c>
      <c r="L3752" t="n">
        <v>0</v>
      </c>
      <c r="M3752" t="n">
        <v>0</v>
      </c>
      <c r="N3752" t="n">
        <v>0</v>
      </c>
      <c r="O3752" t="n">
        <v>0</v>
      </c>
      <c r="P3752" t="n">
        <v>0</v>
      </c>
      <c r="Q3752" t="n">
        <v>0</v>
      </c>
      <c r="R3752" s="2" t="inlineStr"/>
    </row>
    <row r="3753" ht="15" customHeight="1">
      <c r="A3753" t="inlineStr">
        <is>
          <t>A 19859-2025</t>
        </is>
      </c>
      <c r="B3753" s="1" t="n">
        <v>45771</v>
      </c>
      <c r="C3753" s="1" t="n">
        <v>45795</v>
      </c>
      <c r="D3753" t="inlineStr">
        <is>
          <t>JÄMTLANDS LÄN</t>
        </is>
      </c>
      <c r="E3753" t="inlineStr">
        <is>
          <t>STRÖMSUND</t>
        </is>
      </c>
      <c r="F3753" t="inlineStr">
        <is>
          <t>SCA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19883-2025</t>
        </is>
      </c>
      <c r="B3754" s="1" t="n">
        <v>45771</v>
      </c>
      <c r="C3754" s="1" t="n">
        <v>45795</v>
      </c>
      <c r="D3754" t="inlineStr">
        <is>
          <t>JÄMTLANDS LÄN</t>
        </is>
      </c>
      <c r="E3754" t="inlineStr">
        <is>
          <t>STRÖMSUND</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19872-2025</t>
        </is>
      </c>
      <c r="B3755" s="1" t="n">
        <v>45771</v>
      </c>
      <c r="C3755" s="1" t="n">
        <v>45795</v>
      </c>
      <c r="D3755" t="inlineStr">
        <is>
          <t>JÄMTLANDS LÄN</t>
        </is>
      </c>
      <c r="E3755" t="inlineStr">
        <is>
          <t>STRÖMSUND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20074-2025</t>
        </is>
      </c>
      <c r="B3756" s="1" t="n">
        <v>45772</v>
      </c>
      <c r="C3756" s="1" t="n">
        <v>45795</v>
      </c>
      <c r="D3756" t="inlineStr">
        <is>
          <t>JÄMTLANDS LÄN</t>
        </is>
      </c>
      <c r="E3756" t="inlineStr">
        <is>
          <t>STRÖMSUND</t>
        </is>
      </c>
      <c r="F3756" t="inlineStr">
        <is>
          <t>SCA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20144-2025</t>
        </is>
      </c>
      <c r="B3757" s="1" t="n">
        <v>45772</v>
      </c>
      <c r="C3757" s="1" t="n">
        <v>45795</v>
      </c>
      <c r="D3757" t="inlineStr">
        <is>
          <t>JÄMTLANDS LÄN</t>
        </is>
      </c>
      <c r="E3757" t="inlineStr">
        <is>
          <t>STRÖMSUND</t>
        </is>
      </c>
      <c r="F3757" t="inlineStr">
        <is>
          <t>SCA</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20256-2025</t>
        </is>
      </c>
      <c r="B3758" s="1" t="n">
        <v>45773</v>
      </c>
      <c r="C3758" s="1" t="n">
        <v>45795</v>
      </c>
      <c r="D3758" t="inlineStr">
        <is>
          <t>JÄMTLANDS LÄN</t>
        </is>
      </c>
      <c r="E3758" t="inlineStr">
        <is>
          <t>STRÖMSUND</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20097-2025</t>
        </is>
      </c>
      <c r="B3759" s="1" t="n">
        <v>45772</v>
      </c>
      <c r="C3759" s="1" t="n">
        <v>45795</v>
      </c>
      <c r="D3759" t="inlineStr">
        <is>
          <t>JÄMTLANDS LÄN</t>
        </is>
      </c>
      <c r="E3759" t="inlineStr">
        <is>
          <t>STRÖMSUND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20262-2025</t>
        </is>
      </c>
      <c r="B3760" s="1" t="n">
        <v>45773</v>
      </c>
      <c r="C3760" s="1" t="n">
        <v>45795</v>
      </c>
      <c r="D3760" t="inlineStr">
        <is>
          <t>JÄMTLANDS LÄN</t>
        </is>
      </c>
      <c r="E3760" t="inlineStr">
        <is>
          <t>STRÖMSUND</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20263-2025</t>
        </is>
      </c>
      <c r="B3761" s="1" t="n">
        <v>45773</v>
      </c>
      <c r="C3761" s="1" t="n">
        <v>45795</v>
      </c>
      <c r="D3761" t="inlineStr">
        <is>
          <t>JÄMTLANDS LÄN</t>
        </is>
      </c>
      <c r="E3761" t="inlineStr">
        <is>
          <t>STRÖMSUND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20551-2025</t>
        </is>
      </c>
      <c r="B3762" s="1" t="n">
        <v>45775</v>
      </c>
      <c r="C3762" s="1" t="n">
        <v>45795</v>
      </c>
      <c r="D3762" t="inlineStr">
        <is>
          <t>JÄMTLANDS LÄN</t>
        </is>
      </c>
      <c r="E3762" t="inlineStr">
        <is>
          <t>STRÖMSUND</t>
        </is>
      </c>
      <c r="F3762" t="inlineStr">
        <is>
          <t>SCA</t>
        </is>
      </c>
      <c r="G3762" t="n">
        <v>12.9</v>
      </c>
      <c r="H3762" t="n">
        <v>0</v>
      </c>
      <c r="I3762" t="n">
        <v>0</v>
      </c>
      <c r="J3762" t="n">
        <v>0</v>
      </c>
      <c r="K3762" t="n">
        <v>0</v>
      </c>
      <c r="L3762" t="n">
        <v>0</v>
      </c>
      <c r="M3762" t="n">
        <v>0</v>
      </c>
      <c r="N3762" t="n">
        <v>0</v>
      </c>
      <c r="O3762" t="n">
        <v>0</v>
      </c>
      <c r="P3762" t="n">
        <v>0</v>
      </c>
      <c r="Q3762" t="n">
        <v>0</v>
      </c>
      <c r="R3762" s="2" t="inlineStr"/>
    </row>
    <row r="3763" ht="15" customHeight="1">
      <c r="A3763" t="inlineStr">
        <is>
          <t>A 20604-2025</t>
        </is>
      </c>
      <c r="B3763" s="1" t="n">
        <v>45775</v>
      </c>
      <c r="C3763" s="1" t="n">
        <v>45795</v>
      </c>
      <c r="D3763" t="inlineStr">
        <is>
          <t>JÄMTLANDS LÄN</t>
        </is>
      </c>
      <c r="E3763" t="inlineStr">
        <is>
          <t>STRÖMSUND</t>
        </is>
      </c>
      <c r="F3763" t="inlineStr">
        <is>
          <t>Kyrkan</t>
        </is>
      </c>
      <c r="G3763" t="n">
        <v>16.1</v>
      </c>
      <c r="H3763" t="n">
        <v>0</v>
      </c>
      <c r="I3763" t="n">
        <v>0</v>
      </c>
      <c r="J3763" t="n">
        <v>0</v>
      </c>
      <c r="K3763" t="n">
        <v>0</v>
      </c>
      <c r="L3763" t="n">
        <v>0</v>
      </c>
      <c r="M3763" t="n">
        <v>0</v>
      </c>
      <c r="N3763" t="n">
        <v>0</v>
      </c>
      <c r="O3763" t="n">
        <v>0</v>
      </c>
      <c r="P3763" t="n">
        <v>0</v>
      </c>
      <c r="Q3763" t="n">
        <v>0</v>
      </c>
      <c r="R3763" s="2" t="inlineStr"/>
    </row>
    <row r="3764" ht="15" customHeight="1">
      <c r="A3764" t="inlineStr">
        <is>
          <t>A 20814-2025</t>
        </is>
      </c>
      <c r="B3764" s="1" t="n">
        <v>45776</v>
      </c>
      <c r="C3764" s="1" t="n">
        <v>45795</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20654-2025</t>
        </is>
      </c>
      <c r="B3765" s="1" t="n">
        <v>45776</v>
      </c>
      <c r="C3765" s="1" t="n">
        <v>45795</v>
      </c>
      <c r="D3765" t="inlineStr">
        <is>
          <t>JÄMTLANDS LÄN</t>
        </is>
      </c>
      <c r="E3765" t="inlineStr">
        <is>
          <t>STRÖMSUND</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20656-2025</t>
        </is>
      </c>
      <c r="B3766" s="1" t="n">
        <v>45776</v>
      </c>
      <c r="C3766" s="1" t="n">
        <v>45795</v>
      </c>
      <c r="D3766" t="inlineStr">
        <is>
          <t>JÄMTLANDS LÄN</t>
        </is>
      </c>
      <c r="E3766" t="inlineStr">
        <is>
          <t>STRÖMSUND</t>
        </is>
      </c>
      <c r="F3766" t="inlineStr">
        <is>
          <t>SCA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20658-2025</t>
        </is>
      </c>
      <c r="B3767" s="1" t="n">
        <v>45776</v>
      </c>
      <c r="C3767" s="1" t="n">
        <v>45795</v>
      </c>
      <c r="D3767" t="inlineStr">
        <is>
          <t>JÄMTLANDS LÄN</t>
        </is>
      </c>
      <c r="E3767" t="inlineStr">
        <is>
          <t>STRÖMSUND</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20667-2025</t>
        </is>
      </c>
      <c r="B3768" s="1" t="n">
        <v>45776</v>
      </c>
      <c r="C3768" s="1" t="n">
        <v>45795</v>
      </c>
      <c r="D3768" t="inlineStr">
        <is>
          <t>JÄMTLANDS LÄN</t>
        </is>
      </c>
      <c r="E3768" t="inlineStr">
        <is>
          <t>STRÖMSUND</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20815-2025</t>
        </is>
      </c>
      <c r="B3769" s="1" t="n">
        <v>45776</v>
      </c>
      <c r="C3769" s="1" t="n">
        <v>45795</v>
      </c>
      <c r="D3769" t="inlineStr">
        <is>
          <t>JÄMTLANDS LÄN</t>
        </is>
      </c>
      <c r="E3769" t="inlineStr">
        <is>
          <t>STRÖMSUND</t>
        </is>
      </c>
      <c r="F3769" t="inlineStr">
        <is>
          <t>SCA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20657-2025</t>
        </is>
      </c>
      <c r="B3770" s="1" t="n">
        <v>45776</v>
      </c>
      <c r="C3770" s="1" t="n">
        <v>45795</v>
      </c>
      <c r="D3770" t="inlineStr">
        <is>
          <t>JÄMTLANDS LÄN</t>
        </is>
      </c>
      <c r="E3770" t="inlineStr">
        <is>
          <t>STRÖMSUND</t>
        </is>
      </c>
      <c r="F3770" t="inlineStr">
        <is>
          <t>SCA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20783-2025</t>
        </is>
      </c>
      <c r="B3771" s="1" t="n">
        <v>45776</v>
      </c>
      <c r="C3771" s="1" t="n">
        <v>45795</v>
      </c>
      <c r="D3771" t="inlineStr">
        <is>
          <t>JÄMTLANDS LÄN</t>
        </is>
      </c>
      <c r="E3771" t="inlineStr">
        <is>
          <t>STRÖMSUND</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20648-2025</t>
        </is>
      </c>
      <c r="B3772" s="1" t="n">
        <v>45776</v>
      </c>
      <c r="C3772" s="1" t="n">
        <v>45795</v>
      </c>
      <c r="D3772" t="inlineStr">
        <is>
          <t>JÄMTLANDS LÄN</t>
        </is>
      </c>
      <c r="E3772" t="inlineStr">
        <is>
          <t>STRÖMSUND</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20871-2025</t>
        </is>
      </c>
      <c r="B3773" s="1" t="n">
        <v>45777</v>
      </c>
      <c r="C3773" s="1" t="n">
        <v>45795</v>
      </c>
      <c r="D3773" t="inlineStr">
        <is>
          <t>JÄMTLANDS LÄN</t>
        </is>
      </c>
      <c r="E3773" t="inlineStr">
        <is>
          <t>STRÖMSUND</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21129-2025</t>
        </is>
      </c>
      <c r="B3774" s="1" t="n">
        <v>45778</v>
      </c>
      <c r="C3774" s="1" t="n">
        <v>45795</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21180-2025</t>
        </is>
      </c>
      <c r="B3775" s="1" t="n">
        <v>45779</v>
      </c>
      <c r="C3775" s="1" t="n">
        <v>45795</v>
      </c>
      <c r="D3775" t="inlineStr">
        <is>
          <t>JÄMTLANDS LÄN</t>
        </is>
      </c>
      <c r="E3775" t="inlineStr">
        <is>
          <t>STRÖMSUND</t>
        </is>
      </c>
      <c r="G3775" t="n">
        <v>14.5</v>
      </c>
      <c r="H3775" t="n">
        <v>0</v>
      </c>
      <c r="I3775" t="n">
        <v>0</v>
      </c>
      <c r="J3775" t="n">
        <v>0</v>
      </c>
      <c r="K3775" t="n">
        <v>0</v>
      </c>
      <c r="L3775" t="n">
        <v>0</v>
      </c>
      <c r="M3775" t="n">
        <v>0</v>
      </c>
      <c r="N3775" t="n">
        <v>0</v>
      </c>
      <c r="O3775" t="n">
        <v>0</v>
      </c>
      <c r="P3775" t="n">
        <v>0</v>
      </c>
      <c r="Q3775" t="n">
        <v>0</v>
      </c>
      <c r="R3775" s="2" t="inlineStr"/>
    </row>
    <row r="3776" ht="15" customHeight="1">
      <c r="A3776" t="inlineStr">
        <is>
          <t>A 21196-2025</t>
        </is>
      </c>
      <c r="B3776" s="1" t="n">
        <v>45779</v>
      </c>
      <c r="C3776" s="1" t="n">
        <v>45795</v>
      </c>
      <c r="D3776" t="inlineStr">
        <is>
          <t>JÄMTLANDS LÄN</t>
        </is>
      </c>
      <c r="E3776" t="inlineStr">
        <is>
          <t>STRÖMSUND</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21344-2025</t>
        </is>
      </c>
      <c r="B3777" s="1" t="n">
        <v>45782</v>
      </c>
      <c r="C3777" s="1" t="n">
        <v>45795</v>
      </c>
      <c r="D3777" t="inlineStr">
        <is>
          <t>JÄMTLANDS LÄN</t>
        </is>
      </c>
      <c r="E3777" t="inlineStr">
        <is>
          <t>STRÖMSUND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21347-2025</t>
        </is>
      </c>
      <c r="B3778" s="1" t="n">
        <v>45782</v>
      </c>
      <c r="C3778" s="1" t="n">
        <v>45795</v>
      </c>
      <c r="D3778" t="inlineStr">
        <is>
          <t>JÄMTLANDS LÄN</t>
        </is>
      </c>
      <c r="E3778" t="inlineStr">
        <is>
          <t>STRÖMSUND</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21337-2025</t>
        </is>
      </c>
      <c r="B3779" s="1" t="n">
        <v>45782</v>
      </c>
      <c r="C3779" s="1" t="n">
        <v>45795</v>
      </c>
      <c r="D3779" t="inlineStr">
        <is>
          <t>JÄMTLANDS LÄN</t>
        </is>
      </c>
      <c r="E3779" t="inlineStr">
        <is>
          <t>STRÖMSUND</t>
        </is>
      </c>
      <c r="F3779" t="inlineStr">
        <is>
          <t>Holmen skog AB</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21353-2025</t>
        </is>
      </c>
      <c r="B3780" s="1" t="n">
        <v>45782</v>
      </c>
      <c r="C3780" s="1" t="n">
        <v>45795</v>
      </c>
      <c r="D3780" t="inlineStr">
        <is>
          <t>JÄMTLANDS LÄN</t>
        </is>
      </c>
      <c r="E3780" t="inlineStr">
        <is>
          <t>STRÖMSUND</t>
        </is>
      </c>
      <c r="F3780" t="inlineStr">
        <is>
          <t>Holmen skog AB</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21322-2025</t>
        </is>
      </c>
      <c r="B3781" s="1" t="n">
        <v>45782</v>
      </c>
      <c r="C3781" s="1" t="n">
        <v>45795</v>
      </c>
      <c r="D3781" t="inlineStr">
        <is>
          <t>JÄMTLANDS LÄN</t>
        </is>
      </c>
      <c r="E3781" t="inlineStr">
        <is>
          <t>STRÖMSUND</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21557-2025</t>
        </is>
      </c>
      <c r="B3782" s="1" t="n">
        <v>45782</v>
      </c>
      <c r="C3782" s="1" t="n">
        <v>45795</v>
      </c>
      <c r="D3782" t="inlineStr">
        <is>
          <t>JÄMTLANDS LÄN</t>
        </is>
      </c>
      <c r="E3782" t="inlineStr">
        <is>
          <t>STRÖMSUND</t>
        </is>
      </c>
      <c r="F3782" t="inlineStr">
        <is>
          <t>SCA</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21559-2025</t>
        </is>
      </c>
      <c r="B3783" s="1" t="n">
        <v>45782</v>
      </c>
      <c r="C3783" s="1" t="n">
        <v>45795</v>
      </c>
      <c r="D3783" t="inlineStr">
        <is>
          <t>JÄMTLANDS LÄN</t>
        </is>
      </c>
      <c r="E3783" t="inlineStr">
        <is>
          <t>STRÖMSUND</t>
        </is>
      </c>
      <c r="F3783" t="inlineStr">
        <is>
          <t>SCA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21407-2025</t>
        </is>
      </c>
      <c r="B3784" s="1" t="n">
        <v>45782</v>
      </c>
      <c r="C3784" s="1" t="n">
        <v>45795</v>
      </c>
      <c r="D3784" t="inlineStr">
        <is>
          <t>JÄMTLANDS LÄN</t>
        </is>
      </c>
      <c r="E3784" t="inlineStr">
        <is>
          <t>STRÖMSUND</t>
        </is>
      </c>
      <c r="G3784" t="n">
        <v>9.800000000000001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21552-2025</t>
        </is>
      </c>
      <c r="B3785" s="1" t="n">
        <v>45782</v>
      </c>
      <c r="C3785" s="1" t="n">
        <v>45795</v>
      </c>
      <c r="D3785" t="inlineStr">
        <is>
          <t>JÄMTLANDS LÄN</t>
        </is>
      </c>
      <c r="E3785" t="inlineStr">
        <is>
          <t>STRÖMSUND</t>
        </is>
      </c>
      <c r="F3785" t="inlineStr">
        <is>
          <t>SCA</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21708-2025</t>
        </is>
      </c>
      <c r="B3786" s="1" t="n">
        <v>45783</v>
      </c>
      <c r="C3786" s="1" t="n">
        <v>45795</v>
      </c>
      <c r="D3786" t="inlineStr">
        <is>
          <t>JÄMTLANDS LÄN</t>
        </is>
      </c>
      <c r="E3786" t="inlineStr">
        <is>
          <t>STRÖMSUND</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21697-2025</t>
        </is>
      </c>
      <c r="B3787" s="1" t="n">
        <v>45783</v>
      </c>
      <c r="C3787" s="1" t="n">
        <v>45795</v>
      </c>
      <c r="D3787" t="inlineStr">
        <is>
          <t>JÄMTLANDS LÄN</t>
        </is>
      </c>
      <c r="E3787" t="inlineStr">
        <is>
          <t>STRÖMSUND</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21633-2025</t>
        </is>
      </c>
      <c r="B3788" s="1" t="n">
        <v>45783</v>
      </c>
      <c r="C3788" s="1" t="n">
        <v>45795</v>
      </c>
      <c r="D3788" t="inlineStr">
        <is>
          <t>JÄMTLANDS LÄN</t>
        </is>
      </c>
      <c r="E3788" t="inlineStr">
        <is>
          <t>STRÖMSUND</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21781-2025</t>
        </is>
      </c>
      <c r="B3789" s="1" t="n">
        <v>45783</v>
      </c>
      <c r="C3789" s="1" t="n">
        <v>45795</v>
      </c>
      <c r="D3789" t="inlineStr">
        <is>
          <t>JÄMTLANDS LÄN</t>
        </is>
      </c>
      <c r="E3789" t="inlineStr">
        <is>
          <t>STRÖMSUND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21680-2025</t>
        </is>
      </c>
      <c r="B3790" s="1" t="n">
        <v>45783</v>
      </c>
      <c r="C3790" s="1" t="n">
        <v>45795</v>
      </c>
      <c r="D3790" t="inlineStr">
        <is>
          <t>JÄMTLANDS LÄN</t>
        </is>
      </c>
      <c r="E3790" t="inlineStr">
        <is>
          <t>STRÖMSUND</t>
        </is>
      </c>
      <c r="F3790" t="inlineStr">
        <is>
          <t>SCA</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21682-2025</t>
        </is>
      </c>
      <c r="B3791" s="1" t="n">
        <v>45783</v>
      </c>
      <c r="C3791" s="1" t="n">
        <v>45795</v>
      </c>
      <c r="D3791" t="inlineStr">
        <is>
          <t>JÄMTLANDS LÄN</t>
        </is>
      </c>
      <c r="E3791" t="inlineStr">
        <is>
          <t>STRÖMSUND</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22001-2025</t>
        </is>
      </c>
      <c r="B3792" s="1" t="n">
        <v>45784</v>
      </c>
      <c r="C3792" s="1" t="n">
        <v>45795</v>
      </c>
      <c r="D3792" t="inlineStr">
        <is>
          <t>JÄMTLANDS LÄN</t>
        </is>
      </c>
      <c r="E3792" t="inlineStr">
        <is>
          <t>STRÖMSUND</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22005-2025</t>
        </is>
      </c>
      <c r="B3793" s="1" t="n">
        <v>45784</v>
      </c>
      <c r="C3793" s="1" t="n">
        <v>45795</v>
      </c>
      <c r="D3793" t="inlineStr">
        <is>
          <t>JÄMTLANDS LÄN</t>
        </is>
      </c>
      <c r="E3793" t="inlineStr">
        <is>
          <t>STRÖMSUND</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21920-2025</t>
        </is>
      </c>
      <c r="B3794" s="1" t="n">
        <v>45784</v>
      </c>
      <c r="C3794" s="1" t="n">
        <v>45795</v>
      </c>
      <c r="D3794" t="inlineStr">
        <is>
          <t>JÄMTLANDS LÄN</t>
        </is>
      </c>
      <c r="E3794" t="inlineStr">
        <is>
          <t>STRÖMSUND</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22093-2025</t>
        </is>
      </c>
      <c r="B3795" s="1" t="n">
        <v>45784</v>
      </c>
      <c r="C3795" s="1" t="n">
        <v>45795</v>
      </c>
      <c r="D3795" t="inlineStr">
        <is>
          <t>JÄMTLANDS LÄN</t>
        </is>
      </c>
      <c r="E3795" t="inlineStr">
        <is>
          <t>STRÖMSUND</t>
        </is>
      </c>
      <c r="G3795" t="n">
        <v>13.7</v>
      </c>
      <c r="H3795" t="n">
        <v>0</v>
      </c>
      <c r="I3795" t="n">
        <v>0</v>
      </c>
      <c r="J3795" t="n">
        <v>0</v>
      </c>
      <c r="K3795" t="n">
        <v>0</v>
      </c>
      <c r="L3795" t="n">
        <v>0</v>
      </c>
      <c r="M3795" t="n">
        <v>0</v>
      </c>
      <c r="N3795" t="n">
        <v>0</v>
      </c>
      <c r="O3795" t="n">
        <v>0</v>
      </c>
      <c r="P3795" t="n">
        <v>0</v>
      </c>
      <c r="Q3795" t="n">
        <v>0</v>
      </c>
      <c r="R3795" s="2" t="inlineStr"/>
    </row>
    <row r="3796" ht="15" customHeight="1">
      <c r="A3796" t="inlineStr">
        <is>
          <t>A 21946-2025</t>
        </is>
      </c>
      <c r="B3796" s="1" t="n">
        <v>45784</v>
      </c>
      <c r="C3796" s="1" t="n">
        <v>45795</v>
      </c>
      <c r="D3796" t="inlineStr">
        <is>
          <t>JÄMTLANDS LÄN</t>
        </is>
      </c>
      <c r="E3796" t="inlineStr">
        <is>
          <t>STRÖMSUND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22003-2025</t>
        </is>
      </c>
      <c r="B3797" s="1" t="n">
        <v>45784</v>
      </c>
      <c r="C3797" s="1" t="n">
        <v>45795</v>
      </c>
      <c r="D3797" t="inlineStr">
        <is>
          <t>JÄMTLANDS LÄN</t>
        </is>
      </c>
      <c r="E3797" t="inlineStr">
        <is>
          <t>STRÖMSUND</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21971-2025</t>
        </is>
      </c>
      <c r="B3798" s="1" t="n">
        <v>45784</v>
      </c>
      <c r="C3798" s="1" t="n">
        <v>45795</v>
      </c>
      <c r="D3798" t="inlineStr">
        <is>
          <t>JÄMTLANDS LÄN</t>
        </is>
      </c>
      <c r="E3798" t="inlineStr">
        <is>
          <t>STRÖMSUND</t>
        </is>
      </c>
      <c r="F3798" t="inlineStr">
        <is>
          <t>SCA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22071-2025</t>
        </is>
      </c>
      <c r="B3799" s="1" t="n">
        <v>45785</v>
      </c>
      <c r="C3799" s="1" t="n">
        <v>45795</v>
      </c>
      <c r="D3799" t="inlineStr">
        <is>
          <t>JÄMTLANDS LÄN</t>
        </is>
      </c>
      <c r="E3799" t="inlineStr">
        <is>
          <t>STRÖMSUND</t>
        </is>
      </c>
      <c r="F3799" t="inlineStr">
        <is>
          <t>SCA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22073-2025</t>
        </is>
      </c>
      <c r="B3800" s="1" t="n">
        <v>45785</v>
      </c>
      <c r="C3800" s="1" t="n">
        <v>45795</v>
      </c>
      <c r="D3800" t="inlineStr">
        <is>
          <t>JÄMTLANDS LÄN</t>
        </is>
      </c>
      <c r="E3800" t="inlineStr">
        <is>
          <t>STRÖMSUND</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22239-2025</t>
        </is>
      </c>
      <c r="B3801" s="1" t="n">
        <v>45785</v>
      </c>
      <c r="C3801" s="1" t="n">
        <v>45795</v>
      </c>
      <c r="D3801" t="inlineStr">
        <is>
          <t>JÄMTLANDS LÄN</t>
        </is>
      </c>
      <c r="E3801" t="inlineStr">
        <is>
          <t>STRÖMSUND</t>
        </is>
      </c>
      <c r="F3801" t="inlineStr">
        <is>
          <t>SCA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22051-2025</t>
        </is>
      </c>
      <c r="B3802" s="1" t="n">
        <v>45785</v>
      </c>
      <c r="C3802" s="1" t="n">
        <v>45795</v>
      </c>
      <c r="D3802" t="inlineStr">
        <is>
          <t>JÄMTLANDS LÄN</t>
        </is>
      </c>
      <c r="E3802" t="inlineStr">
        <is>
          <t>STRÖMSUND</t>
        </is>
      </c>
      <c r="G3802" t="n">
        <v>8.1</v>
      </c>
      <c r="H3802" t="n">
        <v>0</v>
      </c>
      <c r="I3802" t="n">
        <v>0</v>
      </c>
      <c r="J3802" t="n">
        <v>0</v>
      </c>
      <c r="K3802" t="n">
        <v>0</v>
      </c>
      <c r="L3802" t="n">
        <v>0</v>
      </c>
      <c r="M3802" t="n">
        <v>0</v>
      </c>
      <c r="N3802" t="n">
        <v>0</v>
      </c>
      <c r="O3802" t="n">
        <v>0</v>
      </c>
      <c r="P3802" t="n">
        <v>0</v>
      </c>
      <c r="Q3802" t="n">
        <v>0</v>
      </c>
      <c r="R3802" s="2" t="inlineStr"/>
    </row>
    <row r="3803" ht="15" customHeight="1">
      <c r="A3803" t="inlineStr">
        <is>
          <t>A 22057-2025</t>
        </is>
      </c>
      <c r="B3803" s="1" t="n">
        <v>45785</v>
      </c>
      <c r="C3803" s="1" t="n">
        <v>45795</v>
      </c>
      <c r="D3803" t="inlineStr">
        <is>
          <t>JÄMTLANDS LÄN</t>
        </is>
      </c>
      <c r="E3803" t="inlineStr">
        <is>
          <t>STRÖMSUND</t>
        </is>
      </c>
      <c r="G3803" t="n">
        <v>38.5</v>
      </c>
      <c r="H3803" t="n">
        <v>0</v>
      </c>
      <c r="I3803" t="n">
        <v>0</v>
      </c>
      <c r="J3803" t="n">
        <v>0</v>
      </c>
      <c r="K3803" t="n">
        <v>0</v>
      </c>
      <c r="L3803" t="n">
        <v>0</v>
      </c>
      <c r="M3803" t="n">
        <v>0</v>
      </c>
      <c r="N3803" t="n">
        <v>0</v>
      </c>
      <c r="O3803" t="n">
        <v>0</v>
      </c>
      <c r="P3803" t="n">
        <v>0</v>
      </c>
      <c r="Q3803" t="n">
        <v>0</v>
      </c>
      <c r="R3803" s="2" t="inlineStr"/>
    </row>
    <row r="3804" ht="15" customHeight="1">
      <c r="A3804" t="inlineStr">
        <is>
          <t>A 22070-2025</t>
        </is>
      </c>
      <c r="B3804" s="1" t="n">
        <v>45785</v>
      </c>
      <c r="C3804" s="1" t="n">
        <v>45795</v>
      </c>
      <c r="D3804" t="inlineStr">
        <is>
          <t>JÄMTLANDS LÄN</t>
        </is>
      </c>
      <c r="E3804" t="inlineStr">
        <is>
          <t>STRÖMSUND</t>
        </is>
      </c>
      <c r="F3804" t="inlineStr">
        <is>
          <t>SCA</t>
        </is>
      </c>
      <c r="G3804" t="n">
        <v>22.7</v>
      </c>
      <c r="H3804" t="n">
        <v>0</v>
      </c>
      <c r="I3804" t="n">
        <v>0</v>
      </c>
      <c r="J3804" t="n">
        <v>0</v>
      </c>
      <c r="K3804" t="n">
        <v>0</v>
      </c>
      <c r="L3804" t="n">
        <v>0</v>
      </c>
      <c r="M3804" t="n">
        <v>0</v>
      </c>
      <c r="N3804" t="n">
        <v>0</v>
      </c>
      <c r="O3804" t="n">
        <v>0</v>
      </c>
      <c r="P3804" t="n">
        <v>0</v>
      </c>
      <c r="Q3804" t="n">
        <v>0</v>
      </c>
      <c r="R3804" s="2" t="inlineStr"/>
    </row>
    <row r="3805" ht="15" customHeight="1">
      <c r="A3805" t="inlineStr">
        <is>
          <t>A 22256-2025</t>
        </is>
      </c>
      <c r="B3805" s="1" t="n">
        <v>45785</v>
      </c>
      <c r="C3805" s="1" t="n">
        <v>45795</v>
      </c>
      <c r="D3805" t="inlineStr">
        <is>
          <t>JÄMTLANDS LÄN</t>
        </is>
      </c>
      <c r="E3805" t="inlineStr">
        <is>
          <t>STRÖMSUND</t>
        </is>
      </c>
      <c r="F3805" t="inlineStr">
        <is>
          <t>SCA</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22238-2025</t>
        </is>
      </c>
      <c r="B3806" s="1" t="n">
        <v>45785</v>
      </c>
      <c r="C3806" s="1" t="n">
        <v>45795</v>
      </c>
      <c r="D3806" t="inlineStr">
        <is>
          <t>JÄMTLANDS LÄN</t>
        </is>
      </c>
      <c r="E3806" t="inlineStr">
        <is>
          <t>STRÖMSUND</t>
        </is>
      </c>
      <c r="F3806" t="inlineStr">
        <is>
          <t>SCA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22241-2025</t>
        </is>
      </c>
      <c r="B3807" s="1" t="n">
        <v>45785</v>
      </c>
      <c r="C3807" s="1" t="n">
        <v>45795</v>
      </c>
      <c r="D3807" t="inlineStr">
        <is>
          <t>JÄMTLANDS LÄN</t>
        </is>
      </c>
      <c r="E3807" t="inlineStr">
        <is>
          <t>STRÖMSUND</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22497-2025</t>
        </is>
      </c>
      <c r="B3808" s="1" t="n">
        <v>45786</v>
      </c>
      <c r="C3808" s="1" t="n">
        <v>45795</v>
      </c>
      <c r="D3808" t="inlineStr">
        <is>
          <t>JÄMTLANDS LÄN</t>
        </is>
      </c>
      <c r="E3808" t="inlineStr">
        <is>
          <t>STRÖMSUND</t>
        </is>
      </c>
      <c r="F3808" t="inlineStr">
        <is>
          <t>SCA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22479-2025</t>
        </is>
      </c>
      <c r="B3809" s="1" t="n">
        <v>45786</v>
      </c>
      <c r="C3809" s="1" t="n">
        <v>45795</v>
      </c>
      <c r="D3809" t="inlineStr">
        <is>
          <t>JÄMTLANDS LÄN</t>
        </is>
      </c>
      <c r="E3809" t="inlineStr">
        <is>
          <t>STRÖMSUND</t>
        </is>
      </c>
      <c r="F3809" t="inlineStr">
        <is>
          <t>SCA</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22519-2025</t>
        </is>
      </c>
      <c r="B3810" s="1" t="n">
        <v>45786</v>
      </c>
      <c r="C3810" s="1" t="n">
        <v>45795</v>
      </c>
      <c r="D3810" t="inlineStr">
        <is>
          <t>JÄMTLANDS LÄN</t>
        </is>
      </c>
      <c r="E3810" t="inlineStr">
        <is>
          <t>STRÖMSUND</t>
        </is>
      </c>
      <c r="F3810" t="inlineStr">
        <is>
          <t>SCA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22288-2025</t>
        </is>
      </c>
      <c r="B3811" s="1" t="n">
        <v>45786</v>
      </c>
      <c r="C3811" s="1" t="n">
        <v>45795</v>
      </c>
      <c r="D3811" t="inlineStr">
        <is>
          <t>JÄMTLANDS LÄN</t>
        </is>
      </c>
      <c r="E3811" t="inlineStr">
        <is>
          <t>STRÖMSUND</t>
        </is>
      </c>
      <c r="F3811" t="inlineStr">
        <is>
          <t>SCA</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22723-2025</t>
        </is>
      </c>
      <c r="B3812" s="1" t="n">
        <v>45789</v>
      </c>
      <c r="C3812" s="1" t="n">
        <v>45795</v>
      </c>
      <c r="D3812" t="inlineStr">
        <is>
          <t>JÄMTLANDS LÄN</t>
        </is>
      </c>
      <c r="E3812" t="inlineStr">
        <is>
          <t>STRÖMSUND</t>
        </is>
      </c>
      <c r="F3812" t="inlineStr">
        <is>
          <t>SCA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22741-2025</t>
        </is>
      </c>
      <c r="B3813" s="1" t="n">
        <v>45789</v>
      </c>
      <c r="C3813" s="1" t="n">
        <v>45795</v>
      </c>
      <c r="D3813" t="inlineStr">
        <is>
          <t>JÄMTLANDS LÄN</t>
        </is>
      </c>
      <c r="E3813" t="inlineStr">
        <is>
          <t>STRÖMSUND</t>
        </is>
      </c>
      <c r="F3813" t="inlineStr">
        <is>
          <t>SCA</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22864-2025</t>
        </is>
      </c>
      <c r="B3814" s="1" t="n">
        <v>45790</v>
      </c>
      <c r="C3814" s="1" t="n">
        <v>45795</v>
      </c>
      <c r="D3814" t="inlineStr">
        <is>
          <t>JÄMTLANDS LÄN</t>
        </is>
      </c>
      <c r="E3814" t="inlineStr">
        <is>
          <t>STRÖMSUND</t>
        </is>
      </c>
      <c r="F3814" t="inlineStr">
        <is>
          <t>SCA</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22865-2025</t>
        </is>
      </c>
      <c r="B3815" s="1" t="n">
        <v>45790</v>
      </c>
      <c r="C3815" s="1" t="n">
        <v>45795</v>
      </c>
      <c r="D3815" t="inlineStr">
        <is>
          <t>JÄMTLANDS LÄN</t>
        </is>
      </c>
      <c r="E3815" t="inlineStr">
        <is>
          <t>STRÖMSUND</t>
        </is>
      </c>
      <c r="F3815" t="inlineStr">
        <is>
          <t>SCA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22941-2025</t>
        </is>
      </c>
      <c r="B3816" s="1" t="n">
        <v>45790</v>
      </c>
      <c r="C3816" s="1" t="n">
        <v>45795</v>
      </c>
      <c r="D3816" t="inlineStr">
        <is>
          <t>JÄMTLANDS LÄN</t>
        </is>
      </c>
      <c r="E3816" t="inlineStr">
        <is>
          <t>STRÖMSUND</t>
        </is>
      </c>
      <c r="F3816" t="inlineStr">
        <is>
          <t>SCA</t>
        </is>
      </c>
      <c r="G3816" t="n">
        <v>9.5</v>
      </c>
      <c r="H3816" t="n">
        <v>0</v>
      </c>
      <c r="I3816" t="n">
        <v>0</v>
      </c>
      <c r="J3816" t="n">
        <v>0</v>
      </c>
      <c r="K3816" t="n">
        <v>0</v>
      </c>
      <c r="L3816" t="n">
        <v>0</v>
      </c>
      <c r="M3816" t="n">
        <v>0</v>
      </c>
      <c r="N3816" t="n">
        <v>0</v>
      </c>
      <c r="O3816" t="n">
        <v>0</v>
      </c>
      <c r="P3816" t="n">
        <v>0</v>
      </c>
      <c r="Q3816" t="n">
        <v>0</v>
      </c>
      <c r="R3816" s="2" t="inlineStr"/>
    </row>
    <row r="3817" ht="15" customHeight="1">
      <c r="A3817" t="inlineStr">
        <is>
          <t>A 22885-2025</t>
        </is>
      </c>
      <c r="B3817" s="1" t="n">
        <v>45790</v>
      </c>
      <c r="C3817" s="1" t="n">
        <v>45795</v>
      </c>
      <c r="D3817" t="inlineStr">
        <is>
          <t>JÄMTLANDS LÄN</t>
        </is>
      </c>
      <c r="E3817" t="inlineStr">
        <is>
          <t>STRÖMSUND</t>
        </is>
      </c>
      <c r="G3817" t="n">
        <v>10.1</v>
      </c>
      <c r="H3817" t="n">
        <v>0</v>
      </c>
      <c r="I3817" t="n">
        <v>0</v>
      </c>
      <c r="J3817" t="n">
        <v>0</v>
      </c>
      <c r="K3817" t="n">
        <v>0</v>
      </c>
      <c r="L3817" t="n">
        <v>0</v>
      </c>
      <c r="M3817" t="n">
        <v>0</v>
      </c>
      <c r="N3817" t="n">
        <v>0</v>
      </c>
      <c r="O3817" t="n">
        <v>0</v>
      </c>
      <c r="P3817" t="n">
        <v>0</v>
      </c>
      <c r="Q3817" t="n">
        <v>0</v>
      </c>
      <c r="R3817" s="2" t="inlineStr"/>
    </row>
    <row r="3818" ht="15" customHeight="1">
      <c r="A3818" t="inlineStr">
        <is>
          <t>A 23155-2025</t>
        </is>
      </c>
      <c r="B3818" s="1" t="n">
        <v>45791</v>
      </c>
      <c r="C3818" s="1" t="n">
        <v>45795</v>
      </c>
      <c r="D3818" t="inlineStr">
        <is>
          <t>JÄMTLANDS LÄN</t>
        </is>
      </c>
      <c r="E3818" t="inlineStr">
        <is>
          <t>STRÖMSUND</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23362-2025</t>
        </is>
      </c>
      <c r="B3819" s="1" t="n">
        <v>45791</v>
      </c>
      <c r="C3819" s="1" t="n">
        <v>45795</v>
      </c>
      <c r="D3819" t="inlineStr">
        <is>
          <t>JÄMTLANDS LÄN</t>
        </is>
      </c>
      <c r="E3819" t="inlineStr">
        <is>
          <t>STRÖMSUND</t>
        </is>
      </c>
      <c r="F3819" t="inlineStr">
        <is>
          <t>SCA</t>
        </is>
      </c>
      <c r="G3819" t="n">
        <v>7.8</v>
      </c>
      <c r="H3819" t="n">
        <v>0</v>
      </c>
      <c r="I3819" t="n">
        <v>0</v>
      </c>
      <c r="J3819" t="n">
        <v>0</v>
      </c>
      <c r="K3819" t="n">
        <v>0</v>
      </c>
      <c r="L3819" t="n">
        <v>0</v>
      </c>
      <c r="M3819" t="n">
        <v>0</v>
      </c>
      <c r="N3819" t="n">
        <v>0</v>
      </c>
      <c r="O3819" t="n">
        <v>0</v>
      </c>
      <c r="P3819" t="n">
        <v>0</v>
      </c>
      <c r="Q3819" t="n">
        <v>0</v>
      </c>
      <c r="R3819" s="2" t="inlineStr"/>
    </row>
    <row r="3820" ht="15" customHeight="1">
      <c r="A3820" t="inlineStr">
        <is>
          <t>A 23313-2025</t>
        </is>
      </c>
      <c r="B3820" s="1" t="n">
        <v>45791</v>
      </c>
      <c r="C3820" s="1" t="n">
        <v>45795</v>
      </c>
      <c r="D3820" t="inlineStr">
        <is>
          <t>JÄMTLANDS LÄN</t>
        </is>
      </c>
      <c r="E3820" t="inlineStr">
        <is>
          <t>STRÖMSUND</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23093-2025</t>
        </is>
      </c>
      <c r="B3821" s="1" t="n">
        <v>45791</v>
      </c>
      <c r="C3821" s="1" t="n">
        <v>45795</v>
      </c>
      <c r="D3821" t="inlineStr">
        <is>
          <t>JÄMTLANDS LÄN</t>
        </is>
      </c>
      <c r="E3821" t="inlineStr">
        <is>
          <t>STRÖMSUND</t>
        </is>
      </c>
      <c r="F3821" t="inlineStr">
        <is>
          <t>SCA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23445-2025</t>
        </is>
      </c>
      <c r="B3822" s="1" t="n">
        <v>45792</v>
      </c>
      <c r="C3822" s="1" t="n">
        <v>45795</v>
      </c>
      <c r="D3822" t="inlineStr">
        <is>
          <t>JÄMTLANDS LÄN</t>
        </is>
      </c>
      <c r="E3822" t="inlineStr">
        <is>
          <t>STRÖMSUND</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23632-2025</t>
        </is>
      </c>
      <c r="B3823" s="1" t="n">
        <v>45792</v>
      </c>
      <c r="C3823" s="1" t="n">
        <v>45795</v>
      </c>
      <c r="D3823" t="inlineStr">
        <is>
          <t>JÄMTLANDS LÄN</t>
        </is>
      </c>
      <c r="E3823" t="inlineStr">
        <is>
          <t>STRÖMSUND</t>
        </is>
      </c>
      <c r="F3823" t="inlineStr">
        <is>
          <t>SCA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23635-2025</t>
        </is>
      </c>
      <c r="B3824" s="1" t="n">
        <v>45792</v>
      </c>
      <c r="C3824" s="1" t="n">
        <v>45795</v>
      </c>
      <c r="D3824" t="inlineStr">
        <is>
          <t>JÄMTLANDS LÄN</t>
        </is>
      </c>
      <c r="E3824" t="inlineStr">
        <is>
          <t>STRÖMSUND</t>
        </is>
      </c>
      <c r="F3824" t="inlineStr">
        <is>
          <t>Holmen skog AB</t>
        </is>
      </c>
      <c r="G3824" t="n">
        <v>8.1</v>
      </c>
      <c r="H3824" t="n">
        <v>0</v>
      </c>
      <c r="I3824" t="n">
        <v>0</v>
      </c>
      <c r="J3824" t="n">
        <v>0</v>
      </c>
      <c r="K3824" t="n">
        <v>0</v>
      </c>
      <c r="L3824" t="n">
        <v>0</v>
      </c>
      <c r="M3824" t="n">
        <v>0</v>
      </c>
      <c r="N3824" t="n">
        <v>0</v>
      </c>
      <c r="O3824" t="n">
        <v>0</v>
      </c>
      <c r="P3824" t="n">
        <v>0</v>
      </c>
      <c r="Q3824" t="n">
        <v>0</v>
      </c>
      <c r="R3824" s="2" t="inlineStr"/>
    </row>
    <row r="3825" ht="15" customHeight="1">
      <c r="A3825" t="inlineStr">
        <is>
          <t>A 23628-2025</t>
        </is>
      </c>
      <c r="B3825" s="1" t="n">
        <v>45792</v>
      </c>
      <c r="C3825" s="1" t="n">
        <v>45795</v>
      </c>
      <c r="D3825" t="inlineStr">
        <is>
          <t>JÄMTLANDS LÄN</t>
        </is>
      </c>
      <c r="E3825" t="inlineStr">
        <is>
          <t>STRÖMSUND</t>
        </is>
      </c>
      <c r="F3825" t="inlineStr">
        <is>
          <t>SCA</t>
        </is>
      </c>
      <c r="G3825" t="n">
        <v>13.6</v>
      </c>
      <c r="H3825" t="n">
        <v>0</v>
      </c>
      <c r="I3825" t="n">
        <v>0</v>
      </c>
      <c r="J3825" t="n">
        <v>0</v>
      </c>
      <c r="K3825" t="n">
        <v>0</v>
      </c>
      <c r="L3825" t="n">
        <v>0</v>
      </c>
      <c r="M3825" t="n">
        <v>0</v>
      </c>
      <c r="N3825" t="n">
        <v>0</v>
      </c>
      <c r="O3825" t="n">
        <v>0</v>
      </c>
      <c r="P3825" t="n">
        <v>0</v>
      </c>
      <c r="Q3825" t="n">
        <v>0</v>
      </c>
      <c r="R3825" s="2" t="inlineStr"/>
    </row>
    <row r="3826">
      <c r="A3826" t="inlineStr">
        <is>
          <t>A 23689-2025</t>
        </is>
      </c>
      <c r="B3826" s="1" t="n">
        <v>45793</v>
      </c>
      <c r="C3826" s="1" t="n">
        <v>45795</v>
      </c>
      <c r="D3826" t="inlineStr">
        <is>
          <t>JÄMTLANDS LÄN</t>
        </is>
      </c>
      <c r="E3826" t="inlineStr">
        <is>
          <t>STRÖMSUND</t>
        </is>
      </c>
      <c r="F3826" t="inlineStr">
        <is>
          <t>SCA</t>
        </is>
      </c>
      <c r="G3826" t="n">
        <v>3.6</v>
      </c>
      <c r="H3826" t="n">
        <v>0</v>
      </c>
      <c r="I3826" t="n">
        <v>0</v>
      </c>
      <c r="J3826" t="n">
        <v>0</v>
      </c>
      <c r="K3826" t="n">
        <v>0</v>
      </c>
      <c r="L3826" t="n">
        <v>0</v>
      </c>
      <c r="M3826" t="n">
        <v>0</v>
      </c>
      <c r="N3826" t="n">
        <v>0</v>
      </c>
      <c r="O3826" t="n">
        <v>0</v>
      </c>
      <c r="P3826" t="n">
        <v>0</v>
      </c>
      <c r="Q3826" t="n">
        <v>0</v>
      </c>
      <c r="R3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2025-05-18T17:27:22Z</dcterms:created>
  <dcterms:modified xmlns:dcterms="http://purl.org/dc/terms/" xmlns:xsi="http://www.w3.org/2001/XMLSchema-instance" xsi:type="dcterms:W3CDTF">2025-05-18T17:27:26Z</dcterms:modified>
</cp:coreProperties>
</file>