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45749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45749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45749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45749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45749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45749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45749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45749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45749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45749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45749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45749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45749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45749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45749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45749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45749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45749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45749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45749</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45749</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45749</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45749</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45749</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45749</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45749</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45749</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45749</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45749</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45749</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45749</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45749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45749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45749</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45749</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45749</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45749</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45749</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45749</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45749</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45749</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44956-2020</t>
        </is>
      </c>
      <c r="B43" s="1" t="n">
        <v>44083</v>
      </c>
      <c r="C43" s="1" t="n">
        <v>45749</v>
      </c>
      <c r="D43" t="inlineStr">
        <is>
          <t>JÄMTLANDS LÄN</t>
        </is>
      </c>
      <c r="E43" t="inlineStr">
        <is>
          <t>STRÖMSUND</t>
        </is>
      </c>
      <c r="G43" t="n">
        <v>19.8</v>
      </c>
      <c r="H43" t="n">
        <v>3</v>
      </c>
      <c r="I43" t="n">
        <v>6</v>
      </c>
      <c r="J43" t="n">
        <v>9</v>
      </c>
      <c r="K43" t="n">
        <v>0</v>
      </c>
      <c r="L43" t="n">
        <v>0</v>
      </c>
      <c r="M43" t="n">
        <v>0</v>
      </c>
      <c r="N43" t="n">
        <v>0</v>
      </c>
      <c r="O43" t="n">
        <v>9</v>
      </c>
      <c r="P43" t="n">
        <v>0</v>
      </c>
      <c r="Q43" t="n">
        <v>16</v>
      </c>
      <c r="R43" s="2" t="inlineStr">
        <is>
          <t>Brunpudrad nållav
Garnlav
Granticka
Lunglav
Rödbrun blekspik
Skorpgelélav
Skrovellav
Talltita
Tretåig hackspett
Bårdlav
Gulnål
Gytterlav
Kambräken
Luddlav
Stuplav
Revlummer</t>
        </is>
      </c>
      <c r="S43">
        <f>HYPERLINK("https://klasma.github.io/Logging_2313/artfynd/A 44956-2020 artfynd.xlsx", "A 44956-2020")</f>
        <v/>
      </c>
      <c r="T43">
        <f>HYPERLINK("https://klasma.github.io/Logging_2313/kartor/A 44956-2020 karta.png", "A 44956-2020")</f>
        <v/>
      </c>
      <c r="V43">
        <f>HYPERLINK("https://klasma.github.io/Logging_2313/klagomål/A 44956-2020 FSC-klagomål.docx", "A 44956-2020")</f>
        <v/>
      </c>
      <c r="W43">
        <f>HYPERLINK("https://klasma.github.io/Logging_2313/klagomålsmail/A 44956-2020 FSC-klagomål mail.docx", "A 44956-2020")</f>
        <v/>
      </c>
      <c r="X43">
        <f>HYPERLINK("https://klasma.github.io/Logging_2313/tillsyn/A 44956-2020 tillsynsbegäran.docx", "A 44956-2020")</f>
        <v/>
      </c>
      <c r="Y43">
        <f>HYPERLINK("https://klasma.github.io/Logging_2313/tillsynsmail/A 44956-2020 tillsynsbegäran mail.docx", "A 44956-2020")</f>
        <v/>
      </c>
      <c r="Z43">
        <f>HYPERLINK("https://klasma.github.io/Logging_2313/fåglar/A 44956-2020 prioriterade fågelarter.docx", "A 44956-2020")</f>
        <v/>
      </c>
    </row>
    <row r="44" ht="15" customHeight="1">
      <c r="A44" t="inlineStr">
        <is>
          <t>A 54246-2022</t>
        </is>
      </c>
      <c r="B44" s="1" t="n">
        <v>44881</v>
      </c>
      <c r="C44" s="1" t="n">
        <v>45749</v>
      </c>
      <c r="D44" t="inlineStr">
        <is>
          <t>JÄMTLANDS LÄN</t>
        </is>
      </c>
      <c r="E44" t="inlineStr">
        <is>
          <t>STRÖMSUND</t>
        </is>
      </c>
      <c r="F44" t="inlineStr">
        <is>
          <t>SCA</t>
        </is>
      </c>
      <c r="G44" t="n">
        <v>8.199999999999999</v>
      </c>
      <c r="H44" t="n">
        <v>3</v>
      </c>
      <c r="I44" t="n">
        <v>5</v>
      </c>
      <c r="J44" t="n">
        <v>9</v>
      </c>
      <c r="K44" t="n">
        <v>2</v>
      </c>
      <c r="L44" t="n">
        <v>0</v>
      </c>
      <c r="M44" t="n">
        <v>0</v>
      </c>
      <c r="N44" t="n">
        <v>0</v>
      </c>
      <c r="O44" t="n">
        <v>11</v>
      </c>
      <c r="P44" t="n">
        <v>2</v>
      </c>
      <c r="Q44" t="n">
        <v>16</v>
      </c>
      <c r="R44" s="2" t="inlineStr">
        <is>
          <t>Fjällfotad musseron
Läderdoftande fingersvamp
Gammelgransskål
Garnlav
Grantaggsvamp
Granticka
Lunglav
Skrovellav
Spillkråka
Tretåig hackspett
Äggvaxskivling
Bårdlav
Fjällig taggsvamp s.str.
Spindelblomster
Stuplav
Svavelriska</t>
        </is>
      </c>
      <c r="S44">
        <f>HYPERLINK("https://klasma.github.io/Logging_2313/artfynd/A 54246-2022 artfynd.xlsx", "A 54246-2022")</f>
        <v/>
      </c>
      <c r="T44">
        <f>HYPERLINK("https://klasma.github.io/Logging_2313/kartor/A 54246-2022 karta.png", "A 54246-2022")</f>
        <v/>
      </c>
      <c r="V44">
        <f>HYPERLINK("https://klasma.github.io/Logging_2313/klagomål/A 54246-2022 FSC-klagomål.docx", "A 54246-2022")</f>
        <v/>
      </c>
      <c r="W44">
        <f>HYPERLINK("https://klasma.github.io/Logging_2313/klagomålsmail/A 54246-2022 FSC-klagomål mail.docx", "A 54246-2022")</f>
        <v/>
      </c>
      <c r="X44">
        <f>HYPERLINK("https://klasma.github.io/Logging_2313/tillsyn/A 54246-2022 tillsynsbegäran.docx", "A 54246-2022")</f>
        <v/>
      </c>
      <c r="Y44">
        <f>HYPERLINK("https://klasma.github.io/Logging_2313/tillsynsmail/A 54246-2022 tillsynsbegäran mail.docx", "A 54246-2022")</f>
        <v/>
      </c>
      <c r="Z44">
        <f>HYPERLINK("https://klasma.github.io/Logging_2313/fåglar/A 54246-2022 prioriterade fågelarter.docx", "A 54246-2022")</f>
        <v/>
      </c>
    </row>
    <row r="45" ht="15" customHeight="1">
      <c r="A45" t="inlineStr">
        <is>
          <t>A 22472-2023</t>
        </is>
      </c>
      <c r="B45" s="1" t="n">
        <v>45071</v>
      </c>
      <c r="C45" s="1" t="n">
        <v>45749</v>
      </c>
      <c r="D45" t="inlineStr">
        <is>
          <t>JÄMTLANDS LÄN</t>
        </is>
      </c>
      <c r="E45" t="inlineStr">
        <is>
          <t>STRÖMSUND</t>
        </is>
      </c>
      <c r="F45" t="inlineStr">
        <is>
          <t>SCA</t>
        </is>
      </c>
      <c r="G45" t="n">
        <v>11.5</v>
      </c>
      <c r="H45" t="n">
        <v>4</v>
      </c>
      <c r="I45" t="n">
        <v>8</v>
      </c>
      <c r="J45" t="n">
        <v>6</v>
      </c>
      <c r="K45" t="n">
        <v>1</v>
      </c>
      <c r="L45" t="n">
        <v>0</v>
      </c>
      <c r="M45" t="n">
        <v>0</v>
      </c>
      <c r="N45" t="n">
        <v>0</v>
      </c>
      <c r="O45" t="n">
        <v>7</v>
      </c>
      <c r="P45" t="n">
        <v>1</v>
      </c>
      <c r="Q45" t="n">
        <v>16</v>
      </c>
      <c r="R45" s="2" t="inlineStr">
        <is>
          <t>Liten aspgelélav
Garnlav
Lunglav
Skogsfru
Skrovellav
Stiftgelélav
Violmussling
Bårdlav
Korallrot
Luddlav
Skinnlav
Spindelblomster
Stor aspticka
Stuplav
Tibast
Fläcknycklar</t>
        </is>
      </c>
      <c r="S45">
        <f>HYPERLINK("https://klasma.github.io/Logging_2313/artfynd/A 22472-2023 artfynd.xlsx", "A 22472-2023")</f>
        <v/>
      </c>
      <c r="T45">
        <f>HYPERLINK("https://klasma.github.io/Logging_2313/kartor/A 22472-2023 karta.png", "A 22472-2023")</f>
        <v/>
      </c>
      <c r="V45">
        <f>HYPERLINK("https://klasma.github.io/Logging_2313/klagomål/A 22472-2023 FSC-klagomål.docx", "A 22472-2023")</f>
        <v/>
      </c>
      <c r="W45">
        <f>HYPERLINK("https://klasma.github.io/Logging_2313/klagomålsmail/A 22472-2023 FSC-klagomål mail.docx", "A 22472-2023")</f>
        <v/>
      </c>
      <c r="X45">
        <f>HYPERLINK("https://klasma.github.io/Logging_2313/tillsyn/A 22472-2023 tillsynsbegäran.docx", "A 22472-2023")</f>
        <v/>
      </c>
      <c r="Y45">
        <f>HYPERLINK("https://klasma.github.io/Logging_2313/tillsynsmail/A 22472-2023 tillsynsbegäran mail.docx", "A 22472-2023")</f>
        <v/>
      </c>
    </row>
    <row r="46" ht="15" customHeight="1">
      <c r="A46" t="inlineStr">
        <is>
          <t>A 50271-2024</t>
        </is>
      </c>
      <c r="B46" s="1" t="n">
        <v>45600</v>
      </c>
      <c r="C46" s="1" t="n">
        <v>45749</v>
      </c>
      <c r="D46" t="inlineStr">
        <is>
          <t>JÄMTLANDS LÄN</t>
        </is>
      </c>
      <c r="E46" t="inlineStr">
        <is>
          <t>STRÖMSUND</t>
        </is>
      </c>
      <c r="G46" t="n">
        <v>22.1</v>
      </c>
      <c r="H46" t="n">
        <v>5</v>
      </c>
      <c r="I46" t="n">
        <v>6</v>
      </c>
      <c r="J46" t="n">
        <v>9</v>
      </c>
      <c r="K46" t="n">
        <v>0</v>
      </c>
      <c r="L46" t="n">
        <v>0</v>
      </c>
      <c r="M46" t="n">
        <v>0</v>
      </c>
      <c r="N46" t="n">
        <v>0</v>
      </c>
      <c r="O46" t="n">
        <v>9</v>
      </c>
      <c r="P46" t="n">
        <v>0</v>
      </c>
      <c r="Q46" t="n">
        <v>16</v>
      </c>
      <c r="R46" s="2" t="inlineStr">
        <is>
          <t>Garnlav
Granticka
Harticka
Lunglav
Skogshare
Spillkråka
Talltita
Tretåig hackspett
Ullticka
Bårdlav
Finbräken
Kransrams
Stuplav
Trådticka
Tvåblad
Revlummer</t>
        </is>
      </c>
      <c r="S46">
        <f>HYPERLINK("https://klasma.github.io/Logging_2313/artfynd/A 50271-2024 artfynd.xlsx", "A 50271-2024")</f>
        <v/>
      </c>
      <c r="T46">
        <f>HYPERLINK("https://klasma.github.io/Logging_2313/kartor/A 50271-2024 karta.png", "A 50271-2024")</f>
        <v/>
      </c>
      <c r="V46">
        <f>HYPERLINK("https://klasma.github.io/Logging_2313/klagomål/A 50271-2024 FSC-klagomål.docx", "A 50271-2024")</f>
        <v/>
      </c>
      <c r="W46">
        <f>HYPERLINK("https://klasma.github.io/Logging_2313/klagomålsmail/A 50271-2024 FSC-klagomål mail.docx", "A 50271-2024")</f>
        <v/>
      </c>
      <c r="X46">
        <f>HYPERLINK("https://klasma.github.io/Logging_2313/tillsyn/A 50271-2024 tillsynsbegäran.docx", "A 50271-2024")</f>
        <v/>
      </c>
      <c r="Y46">
        <f>HYPERLINK("https://klasma.github.io/Logging_2313/tillsynsmail/A 50271-2024 tillsynsbegäran mail.docx", "A 50271-2024")</f>
        <v/>
      </c>
      <c r="Z46">
        <f>HYPERLINK("https://klasma.github.io/Logging_2313/fåglar/A 50271-2024 prioriterade fågelarter.docx", "A 50271-2024")</f>
        <v/>
      </c>
    </row>
    <row r="47" ht="15" customHeight="1">
      <c r="A47" t="inlineStr">
        <is>
          <t>A 30406-2020</t>
        </is>
      </c>
      <c r="B47" s="1" t="n">
        <v>44007</v>
      </c>
      <c r="C47" s="1" t="n">
        <v>45749</v>
      </c>
      <c r="D47" t="inlineStr">
        <is>
          <t>JÄMTLANDS LÄN</t>
        </is>
      </c>
      <c r="E47" t="inlineStr">
        <is>
          <t>STRÖMSUND</t>
        </is>
      </c>
      <c r="F47" t="inlineStr">
        <is>
          <t>Holmen skog AB</t>
        </is>
      </c>
      <c r="G47" t="n">
        <v>9.5</v>
      </c>
      <c r="H47" t="n">
        <v>1</v>
      </c>
      <c r="I47" t="n">
        <v>2</v>
      </c>
      <c r="J47" t="n">
        <v>10</v>
      </c>
      <c r="K47" t="n">
        <v>2</v>
      </c>
      <c r="L47" t="n">
        <v>0</v>
      </c>
      <c r="M47" t="n">
        <v>1</v>
      </c>
      <c r="N47" t="n">
        <v>0</v>
      </c>
      <c r="O47" t="n">
        <v>13</v>
      </c>
      <c r="P47" t="n">
        <v>3</v>
      </c>
      <c r="Q47" t="n">
        <v>15</v>
      </c>
      <c r="R47" s="2" t="inlineStr">
        <is>
          <t>Kritporing
Tajgataggsvamp
Vit aspticka
Dvärgbägarlav
Garnlav
Kolflarnlav
Mörk kolflarnlav
Nordtagging
Orange taggsvamp
Stiftgelélav
Talltita
Vaddporing
Vedflamlav
Dropptaggsvamp
Skinnlav</t>
        </is>
      </c>
      <c r="S47">
        <f>HYPERLINK("https://klasma.github.io/Logging_2313/artfynd/A 30406-2020 artfynd.xlsx", "A 30406-2020")</f>
        <v/>
      </c>
      <c r="T47">
        <f>HYPERLINK("https://klasma.github.io/Logging_2313/kartor/A 30406-2020 karta.png", "A 30406-2020")</f>
        <v/>
      </c>
      <c r="V47">
        <f>HYPERLINK("https://klasma.github.io/Logging_2313/klagomål/A 30406-2020 FSC-klagomål.docx", "A 30406-2020")</f>
        <v/>
      </c>
      <c r="W47">
        <f>HYPERLINK("https://klasma.github.io/Logging_2313/klagomålsmail/A 30406-2020 FSC-klagomål mail.docx", "A 30406-2020")</f>
        <v/>
      </c>
      <c r="X47">
        <f>HYPERLINK("https://klasma.github.io/Logging_2313/tillsyn/A 30406-2020 tillsynsbegäran.docx", "A 30406-2020")</f>
        <v/>
      </c>
      <c r="Y47">
        <f>HYPERLINK("https://klasma.github.io/Logging_2313/tillsynsmail/A 30406-2020 tillsynsbegäran mail.docx", "A 30406-2020")</f>
        <v/>
      </c>
      <c r="Z47">
        <f>HYPERLINK("https://klasma.github.io/Logging_2313/fåglar/A 30406-2020 prioriterade fågelarter.docx", "A 30406-2020")</f>
        <v/>
      </c>
    </row>
    <row r="48" ht="15" customHeight="1">
      <c r="A48" t="inlineStr">
        <is>
          <t>A 44914-2021</t>
        </is>
      </c>
      <c r="B48" s="1" t="n">
        <v>44438</v>
      </c>
      <c r="C48" s="1" t="n">
        <v>45749</v>
      </c>
      <c r="D48" t="inlineStr">
        <is>
          <t>JÄMTLANDS LÄN</t>
        </is>
      </c>
      <c r="E48" t="inlineStr">
        <is>
          <t>STRÖMSUND</t>
        </is>
      </c>
      <c r="F48" t="inlineStr">
        <is>
          <t>Holmen skog AB</t>
        </is>
      </c>
      <c r="G48" t="n">
        <v>0.9</v>
      </c>
      <c r="H48" t="n">
        <v>0</v>
      </c>
      <c r="I48" t="n">
        <v>3</v>
      </c>
      <c r="J48" t="n">
        <v>7</v>
      </c>
      <c r="K48" t="n">
        <v>3</v>
      </c>
      <c r="L48" t="n">
        <v>0</v>
      </c>
      <c r="M48" t="n">
        <v>0</v>
      </c>
      <c r="N48" t="n">
        <v>0</v>
      </c>
      <c r="O48" t="n">
        <v>10</v>
      </c>
      <c r="P48" t="n">
        <v>3</v>
      </c>
      <c r="Q48" t="n">
        <v>13</v>
      </c>
      <c r="R48" s="2" t="inlineStr">
        <is>
          <t>Smalfotad taggsvamp
Tajgataggsvamp
Tallgråticka
Blå taggsvamp
Dofttaggsvamp
Dvärgbägarlav
Garnlav
Mörk kolflarnlav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54906-2022</t>
        </is>
      </c>
      <c r="B49" s="1" t="n">
        <v>44886</v>
      </c>
      <c r="C49" s="1" t="n">
        <v>45749</v>
      </c>
      <c r="D49" t="inlineStr">
        <is>
          <t>JÄMTLANDS LÄN</t>
        </is>
      </c>
      <c r="E49" t="inlineStr">
        <is>
          <t>STRÖMSUND</t>
        </is>
      </c>
      <c r="G49" t="n">
        <v>20.9</v>
      </c>
      <c r="H49" t="n">
        <v>5</v>
      </c>
      <c r="I49" t="n">
        <v>6</v>
      </c>
      <c r="J49" t="n">
        <v>4</v>
      </c>
      <c r="K49" t="n">
        <v>2</v>
      </c>
      <c r="L49" t="n">
        <v>0</v>
      </c>
      <c r="M49" t="n">
        <v>0</v>
      </c>
      <c r="N49" t="n">
        <v>0</v>
      </c>
      <c r="O49" t="n">
        <v>6</v>
      </c>
      <c r="P49" t="n">
        <v>2</v>
      </c>
      <c r="Q49" t="n">
        <v>13</v>
      </c>
      <c r="R49" s="2" t="inlineStr">
        <is>
          <t>Finnstarr
Ulltickeporing
Lunglav
Månlåsbräken
Tretåig hackspett
Ullticka
Finbräken
Gytterlav
Korallrot
Kransrams
Spindelblomster
Stuplav
Äkta lopplummer</t>
        </is>
      </c>
      <c r="S49">
        <f>HYPERLINK("https://klasma.github.io/Logging_2313/artfynd/A 54906-2022 artfynd.xlsx", "A 54906-2022")</f>
        <v/>
      </c>
      <c r="T49">
        <f>HYPERLINK("https://klasma.github.io/Logging_2313/kartor/A 54906-2022 karta.png", "A 54906-2022")</f>
        <v/>
      </c>
      <c r="V49">
        <f>HYPERLINK("https://klasma.github.io/Logging_2313/klagomål/A 54906-2022 FSC-klagomål.docx", "A 54906-2022")</f>
        <v/>
      </c>
      <c r="W49">
        <f>HYPERLINK("https://klasma.github.io/Logging_2313/klagomålsmail/A 54906-2022 FSC-klagomål mail.docx", "A 54906-2022")</f>
        <v/>
      </c>
      <c r="X49">
        <f>HYPERLINK("https://klasma.github.io/Logging_2313/tillsyn/A 54906-2022 tillsynsbegäran.docx", "A 54906-2022")</f>
        <v/>
      </c>
      <c r="Y49">
        <f>HYPERLINK("https://klasma.github.io/Logging_2313/tillsynsmail/A 54906-2022 tillsynsbegäran mail.docx", "A 54906-2022")</f>
        <v/>
      </c>
      <c r="Z49">
        <f>HYPERLINK("https://klasma.github.io/Logging_2313/fåglar/A 54906-2022 prioriterade fågelarter.docx", "A 54906-2022")</f>
        <v/>
      </c>
    </row>
    <row r="50" ht="15" customHeight="1">
      <c r="A50" t="inlineStr">
        <is>
          <t>A 34775-2023</t>
        </is>
      </c>
      <c r="B50" s="1" t="n">
        <v>45140</v>
      </c>
      <c r="C50" s="1" t="n">
        <v>45749</v>
      </c>
      <c r="D50" t="inlineStr">
        <is>
          <t>JÄMTLANDS LÄN</t>
        </is>
      </c>
      <c r="E50" t="inlineStr">
        <is>
          <t>STRÖMSUND</t>
        </is>
      </c>
      <c r="G50" t="n">
        <v>9.199999999999999</v>
      </c>
      <c r="H50" t="n">
        <v>7</v>
      </c>
      <c r="I50" t="n">
        <v>2</v>
      </c>
      <c r="J50" t="n">
        <v>7</v>
      </c>
      <c r="K50" t="n">
        <v>2</v>
      </c>
      <c r="L50" t="n">
        <v>0</v>
      </c>
      <c r="M50" t="n">
        <v>0</v>
      </c>
      <c r="N50" t="n">
        <v>0</v>
      </c>
      <c r="O50" t="n">
        <v>9</v>
      </c>
      <c r="P50" t="n">
        <v>2</v>
      </c>
      <c r="Q50" t="n">
        <v>13</v>
      </c>
      <c r="R50" s="2" t="inlineStr">
        <is>
          <t>Knärot
Kopparspindling
Granticka
Järpe
Lunglav
Puderspindling
Skogsfru
Spillkråka
Tretåig hackspett
Bårdlav
Stor aspticka
Lavskrika
Fläcknycklar</t>
        </is>
      </c>
      <c r="S50">
        <f>HYPERLINK("https://klasma.github.io/Logging_2313/artfynd/A 34775-2023 artfynd.xlsx", "A 34775-2023")</f>
        <v/>
      </c>
      <c r="T50">
        <f>HYPERLINK("https://klasma.github.io/Logging_2313/kartor/A 34775-2023 karta.png", "A 34775-2023")</f>
        <v/>
      </c>
      <c r="U50">
        <f>HYPERLINK("https://klasma.github.io/Logging_2313/knärot/A 34775-2023 karta knärot.png", "A 34775-2023")</f>
        <v/>
      </c>
      <c r="V50">
        <f>HYPERLINK("https://klasma.github.io/Logging_2313/klagomål/A 34775-2023 FSC-klagomål.docx", "A 34775-2023")</f>
        <v/>
      </c>
      <c r="W50">
        <f>HYPERLINK("https://klasma.github.io/Logging_2313/klagomålsmail/A 34775-2023 FSC-klagomål mail.docx", "A 34775-2023")</f>
        <v/>
      </c>
      <c r="X50">
        <f>HYPERLINK("https://klasma.github.io/Logging_2313/tillsyn/A 34775-2023 tillsynsbegäran.docx", "A 34775-2023")</f>
        <v/>
      </c>
      <c r="Y50">
        <f>HYPERLINK("https://klasma.github.io/Logging_2313/tillsynsmail/A 34775-2023 tillsynsbegäran mail.docx", "A 34775-2023")</f>
        <v/>
      </c>
      <c r="Z50">
        <f>HYPERLINK("https://klasma.github.io/Logging_2313/fåglar/A 34775-2023 prioriterade fågelarter.docx", "A 34775-2023")</f>
        <v/>
      </c>
    </row>
    <row r="51" ht="15" customHeight="1">
      <c r="A51" t="inlineStr">
        <is>
          <t>A 60761-2023</t>
        </is>
      </c>
      <c r="B51" s="1" t="n">
        <v>45259</v>
      </c>
      <c r="C51" s="1" t="n">
        <v>45749</v>
      </c>
      <c r="D51" t="inlineStr">
        <is>
          <t>JÄMTLANDS LÄN</t>
        </is>
      </c>
      <c r="E51" t="inlineStr">
        <is>
          <t>STRÖMSUND</t>
        </is>
      </c>
      <c r="G51" t="n">
        <v>86.2</v>
      </c>
      <c r="H51" t="n">
        <v>3</v>
      </c>
      <c r="I51" t="n">
        <v>3</v>
      </c>
      <c r="J51" t="n">
        <v>6</v>
      </c>
      <c r="K51" t="n">
        <v>3</v>
      </c>
      <c r="L51" t="n">
        <v>0</v>
      </c>
      <c r="M51" t="n">
        <v>0</v>
      </c>
      <c r="N51" t="n">
        <v>0</v>
      </c>
      <c r="O51" t="n">
        <v>9</v>
      </c>
      <c r="P51" t="n">
        <v>3</v>
      </c>
      <c r="Q51" t="n">
        <v>13</v>
      </c>
      <c r="R51" s="2" t="inlineStr">
        <is>
          <t>Doftticka
Ostticka
Ulltickeporing
Garnlav
Granticka
Lunglav
Skrovellav
Tretåig hackspett
Ullticka
Luddlav
Stuplav
Trådticka
Lavskrika</t>
        </is>
      </c>
      <c r="S51">
        <f>HYPERLINK("https://klasma.github.io/Logging_2313/artfynd/A 60761-2023 artfynd.xlsx", "A 60761-2023")</f>
        <v/>
      </c>
      <c r="T51">
        <f>HYPERLINK("https://klasma.github.io/Logging_2313/kartor/A 60761-2023 karta.png", "A 60761-2023")</f>
        <v/>
      </c>
      <c r="V51">
        <f>HYPERLINK("https://klasma.github.io/Logging_2313/klagomål/A 60761-2023 FSC-klagomål.docx", "A 60761-2023")</f>
        <v/>
      </c>
      <c r="W51">
        <f>HYPERLINK("https://klasma.github.io/Logging_2313/klagomålsmail/A 60761-2023 FSC-klagomål mail.docx", "A 60761-2023")</f>
        <v/>
      </c>
      <c r="X51">
        <f>HYPERLINK("https://klasma.github.io/Logging_2313/tillsyn/A 60761-2023 tillsynsbegäran.docx", "A 60761-2023")</f>
        <v/>
      </c>
      <c r="Y51">
        <f>HYPERLINK("https://klasma.github.io/Logging_2313/tillsynsmail/A 60761-2023 tillsynsbegäran mail.docx", "A 60761-2023")</f>
        <v/>
      </c>
      <c r="Z51">
        <f>HYPERLINK("https://klasma.github.io/Logging_2313/fåglar/A 60761-2023 prioriterade fågelarter.docx", "A 60761-2023")</f>
        <v/>
      </c>
    </row>
    <row r="52" ht="15" customHeight="1">
      <c r="A52" t="inlineStr">
        <is>
          <t>A 45276-2019</t>
        </is>
      </c>
      <c r="B52" s="1" t="n">
        <v>43713</v>
      </c>
      <c r="C52" s="1" t="n">
        <v>45749</v>
      </c>
      <c r="D52" t="inlineStr">
        <is>
          <t>JÄMTLANDS LÄN</t>
        </is>
      </c>
      <c r="E52" t="inlineStr">
        <is>
          <t>STRÖMSUND</t>
        </is>
      </c>
      <c r="F52" t="inlineStr">
        <is>
          <t>SCA</t>
        </is>
      </c>
      <c r="G52" t="n">
        <v>8.6</v>
      </c>
      <c r="H52" t="n">
        <v>4</v>
      </c>
      <c r="I52" t="n">
        <v>6</v>
      </c>
      <c r="J52" t="n">
        <v>5</v>
      </c>
      <c r="K52" t="n">
        <v>0</v>
      </c>
      <c r="L52" t="n">
        <v>0</v>
      </c>
      <c r="M52" t="n">
        <v>0</v>
      </c>
      <c r="N52" t="n">
        <v>0</v>
      </c>
      <c r="O52" t="n">
        <v>5</v>
      </c>
      <c r="P52" t="n">
        <v>0</v>
      </c>
      <c r="Q52" t="n">
        <v>12</v>
      </c>
      <c r="R52" s="2" t="inlineStr">
        <is>
          <t>Garnlav
Granticka
Skrovellav
Tretåig hackspett
Vitgrynig nållav
Bårdlav
Gytterlav
Luddlav
Plattlummer
Spindelblomster
Stuplav
Fläcknycklar</t>
        </is>
      </c>
      <c r="S52">
        <f>HYPERLINK("https://klasma.github.io/Logging_2313/artfynd/A 45276-2019 artfynd.xlsx", "A 45276-2019")</f>
        <v/>
      </c>
      <c r="T52">
        <f>HYPERLINK("https://klasma.github.io/Logging_2313/kartor/A 45276-2019 karta.png", "A 45276-2019")</f>
        <v/>
      </c>
      <c r="V52">
        <f>HYPERLINK("https://klasma.github.io/Logging_2313/klagomål/A 45276-2019 FSC-klagomål.docx", "A 45276-2019")</f>
        <v/>
      </c>
      <c r="W52">
        <f>HYPERLINK("https://klasma.github.io/Logging_2313/klagomålsmail/A 45276-2019 FSC-klagomål mail.docx", "A 45276-2019")</f>
        <v/>
      </c>
      <c r="X52">
        <f>HYPERLINK("https://klasma.github.io/Logging_2313/tillsyn/A 45276-2019 tillsynsbegäran.docx", "A 45276-2019")</f>
        <v/>
      </c>
      <c r="Y52">
        <f>HYPERLINK("https://klasma.github.io/Logging_2313/tillsynsmail/A 45276-2019 tillsynsbegäran mail.docx", "A 45276-2019")</f>
        <v/>
      </c>
      <c r="Z52">
        <f>HYPERLINK("https://klasma.github.io/Logging_2313/fåglar/A 45276-2019 prioriterade fågelarter.docx", "A 45276-2019")</f>
        <v/>
      </c>
    </row>
    <row r="53" ht="15" customHeight="1">
      <c r="A53" t="inlineStr">
        <is>
          <t>A 65784-2020</t>
        </is>
      </c>
      <c r="B53" s="1" t="n">
        <v>44174</v>
      </c>
      <c r="C53" s="1" t="n">
        <v>45749</v>
      </c>
      <c r="D53" t="inlineStr">
        <is>
          <t>JÄMTLANDS LÄN</t>
        </is>
      </c>
      <c r="E53" t="inlineStr">
        <is>
          <t>STRÖMSUND</t>
        </is>
      </c>
      <c r="F53" t="inlineStr">
        <is>
          <t>Holmen skog AB</t>
        </is>
      </c>
      <c r="G53" t="n">
        <v>20.8</v>
      </c>
      <c r="H53" t="n">
        <v>2</v>
      </c>
      <c r="I53" t="n">
        <v>3</v>
      </c>
      <c r="J53" t="n">
        <v>7</v>
      </c>
      <c r="K53" t="n">
        <v>2</v>
      </c>
      <c r="L53" t="n">
        <v>0</v>
      </c>
      <c r="M53" t="n">
        <v>0</v>
      </c>
      <c r="N53" t="n">
        <v>0</v>
      </c>
      <c r="O53" t="n">
        <v>9</v>
      </c>
      <c r="P53" t="n">
        <v>2</v>
      </c>
      <c r="Q53" t="n">
        <v>12</v>
      </c>
      <c r="R53" s="2" t="inlineStr">
        <is>
          <t>Doftticka
Norsk näverlav
Brunpudrad nållav
Doftskinn
Gammelgransskål
Garnlav
Rödbrun blekspik
Tretåig hackspett
Vitgrynig nållav
Stuplav
Vedticka
Vågbandad barkbock</t>
        </is>
      </c>
      <c r="S53">
        <f>HYPERLINK("https://klasma.github.io/Logging_2313/artfynd/A 65784-2020 artfynd.xlsx", "A 65784-2020")</f>
        <v/>
      </c>
      <c r="T53">
        <f>HYPERLINK("https://klasma.github.io/Logging_2313/kartor/A 65784-2020 karta.png", "A 65784-2020")</f>
        <v/>
      </c>
      <c r="V53">
        <f>HYPERLINK("https://klasma.github.io/Logging_2313/klagomål/A 65784-2020 FSC-klagomål.docx", "A 65784-2020")</f>
        <v/>
      </c>
      <c r="W53">
        <f>HYPERLINK("https://klasma.github.io/Logging_2313/klagomålsmail/A 65784-2020 FSC-klagomål mail.docx", "A 65784-2020")</f>
        <v/>
      </c>
      <c r="X53">
        <f>HYPERLINK("https://klasma.github.io/Logging_2313/tillsyn/A 65784-2020 tillsynsbegäran.docx", "A 65784-2020")</f>
        <v/>
      </c>
      <c r="Y53">
        <f>HYPERLINK("https://klasma.github.io/Logging_2313/tillsynsmail/A 65784-2020 tillsynsbegäran mail.docx", "A 65784-2020")</f>
        <v/>
      </c>
      <c r="Z53">
        <f>HYPERLINK("https://klasma.github.io/Logging_2313/fåglar/A 65784-2020 prioriterade fågelarter.docx", "A 65784-2020")</f>
        <v/>
      </c>
    </row>
    <row r="54" ht="15" customHeight="1">
      <c r="A54" t="inlineStr">
        <is>
          <t>A 65807-2020</t>
        </is>
      </c>
      <c r="B54" s="1" t="n">
        <v>44174</v>
      </c>
      <c r="C54" s="1" t="n">
        <v>45749</v>
      </c>
      <c r="D54" t="inlineStr">
        <is>
          <t>JÄMTLANDS LÄN</t>
        </is>
      </c>
      <c r="E54" t="inlineStr">
        <is>
          <t>STRÖMSUND</t>
        </is>
      </c>
      <c r="F54" t="inlineStr">
        <is>
          <t>Holmen skog AB</t>
        </is>
      </c>
      <c r="G54" t="n">
        <v>27.6</v>
      </c>
      <c r="H54" t="n">
        <v>1</v>
      </c>
      <c r="I54" t="n">
        <v>7</v>
      </c>
      <c r="J54" t="n">
        <v>4</v>
      </c>
      <c r="K54" t="n">
        <v>1</v>
      </c>
      <c r="L54" t="n">
        <v>0</v>
      </c>
      <c r="M54" t="n">
        <v>0</v>
      </c>
      <c r="N54" t="n">
        <v>0</v>
      </c>
      <c r="O54" t="n">
        <v>5</v>
      </c>
      <c r="P54" t="n">
        <v>1</v>
      </c>
      <c r="Q54" t="n">
        <v>12</v>
      </c>
      <c r="R54" s="2" t="inlineStr">
        <is>
          <t>Norsk näverlav
Brunpudrad nållav
Gränsticka
Rödbrun blekspik
Skrovellav
Barkkornlav
Gulnål
Gytterlav
Luddlav
Spindelblomster
Stuplav
Ögonpyrola</t>
        </is>
      </c>
      <c r="S54">
        <f>HYPERLINK("https://klasma.github.io/Logging_2313/artfynd/A 65807-2020 artfynd.xlsx", "A 65807-2020")</f>
        <v/>
      </c>
      <c r="T54">
        <f>HYPERLINK("https://klasma.github.io/Logging_2313/kartor/A 65807-2020 karta.png", "A 65807-2020")</f>
        <v/>
      </c>
      <c r="V54">
        <f>HYPERLINK("https://klasma.github.io/Logging_2313/klagomål/A 65807-2020 FSC-klagomål.docx", "A 65807-2020")</f>
        <v/>
      </c>
      <c r="W54">
        <f>HYPERLINK("https://klasma.github.io/Logging_2313/klagomålsmail/A 65807-2020 FSC-klagomål mail.docx", "A 65807-2020")</f>
        <v/>
      </c>
      <c r="X54">
        <f>HYPERLINK("https://klasma.github.io/Logging_2313/tillsyn/A 65807-2020 tillsynsbegäran.docx", "A 65807-2020")</f>
        <v/>
      </c>
      <c r="Y54">
        <f>HYPERLINK("https://klasma.github.io/Logging_2313/tillsynsmail/A 65807-2020 tillsynsbegäran mail.docx", "A 65807-2020")</f>
        <v/>
      </c>
    </row>
    <row r="55" ht="15" customHeight="1">
      <c r="A55" t="inlineStr">
        <is>
          <t>A 575-2021</t>
        </is>
      </c>
      <c r="B55" s="1" t="n">
        <v>44201</v>
      </c>
      <c r="C55" s="1" t="n">
        <v>45749</v>
      </c>
      <c r="D55" t="inlineStr">
        <is>
          <t>JÄMTLANDS LÄN</t>
        </is>
      </c>
      <c r="E55" t="inlineStr">
        <is>
          <t>STRÖMSUND</t>
        </is>
      </c>
      <c r="G55" t="n">
        <v>32.5</v>
      </c>
      <c r="H55" t="n">
        <v>4</v>
      </c>
      <c r="I55" t="n">
        <v>1</v>
      </c>
      <c r="J55" t="n">
        <v>9</v>
      </c>
      <c r="K55" t="n">
        <v>1</v>
      </c>
      <c r="L55" t="n">
        <v>0</v>
      </c>
      <c r="M55" t="n">
        <v>0</v>
      </c>
      <c r="N55" t="n">
        <v>0</v>
      </c>
      <c r="O55" t="n">
        <v>10</v>
      </c>
      <c r="P55" t="n">
        <v>1</v>
      </c>
      <c r="Q55" t="n">
        <v>12</v>
      </c>
      <c r="R55" s="2" t="inlineStr">
        <is>
          <t>Doftticka
Garnlav
Granticka
Harticka
Lunglav
Skrovellav
Spillkråka
Tretåig hackspett
Ullticka
Äggvaxskivling
Trådticka
Lavskrika</t>
        </is>
      </c>
      <c r="S55">
        <f>HYPERLINK("https://klasma.github.io/Logging_2313/artfynd/A 575-2021 artfynd.xlsx", "A 575-2021")</f>
        <v/>
      </c>
      <c r="T55">
        <f>HYPERLINK("https://klasma.github.io/Logging_2313/kartor/A 575-2021 karta.png", "A 575-2021")</f>
        <v/>
      </c>
      <c r="V55">
        <f>HYPERLINK("https://klasma.github.io/Logging_2313/klagomål/A 575-2021 FSC-klagomål.docx", "A 575-2021")</f>
        <v/>
      </c>
      <c r="W55">
        <f>HYPERLINK("https://klasma.github.io/Logging_2313/klagomålsmail/A 575-2021 FSC-klagomål mail.docx", "A 575-2021")</f>
        <v/>
      </c>
      <c r="X55">
        <f>HYPERLINK("https://klasma.github.io/Logging_2313/tillsyn/A 575-2021 tillsynsbegäran.docx", "A 575-2021")</f>
        <v/>
      </c>
      <c r="Y55">
        <f>HYPERLINK("https://klasma.github.io/Logging_2313/tillsynsmail/A 575-2021 tillsynsbegäran mail.docx", "A 575-2021")</f>
        <v/>
      </c>
      <c r="Z55">
        <f>HYPERLINK("https://klasma.github.io/Logging_2313/fåglar/A 575-2021 prioriterade fågelarter.docx", "A 575-2021")</f>
        <v/>
      </c>
    </row>
    <row r="56" ht="15" customHeight="1">
      <c r="A56" t="inlineStr">
        <is>
          <t>A 43075-2021</t>
        </is>
      </c>
      <c r="B56" s="1" t="n">
        <v>44431</v>
      </c>
      <c r="C56" s="1" t="n">
        <v>45749</v>
      </c>
      <c r="D56" t="inlineStr">
        <is>
          <t>JÄMTLANDS LÄN</t>
        </is>
      </c>
      <c r="E56" t="inlineStr">
        <is>
          <t>STRÖMSUND</t>
        </is>
      </c>
      <c r="G56" t="n">
        <v>27.7</v>
      </c>
      <c r="H56" t="n">
        <v>2</v>
      </c>
      <c r="I56" t="n">
        <v>5</v>
      </c>
      <c r="J56" t="n">
        <v>6</v>
      </c>
      <c r="K56" t="n">
        <v>1</v>
      </c>
      <c r="L56" t="n">
        <v>0</v>
      </c>
      <c r="M56" t="n">
        <v>0</v>
      </c>
      <c r="N56" t="n">
        <v>0</v>
      </c>
      <c r="O56" t="n">
        <v>7</v>
      </c>
      <c r="P56" t="n">
        <v>1</v>
      </c>
      <c r="Q56" t="n">
        <v>12</v>
      </c>
      <c r="R56" s="2" t="inlineStr">
        <is>
          <t>Gräddporing
Dvärgbägarlav
Lunglav
Mörk kolflarnlav
Vedflikmossa
Vedskivlav
Vitgrynig nållav
Bårdlav
Korallrot
Spindelblomster
Stuplav
Ögonpyrola</t>
        </is>
      </c>
      <c r="S56">
        <f>HYPERLINK("https://klasma.github.io/Logging_2313/artfynd/A 43075-2021 artfynd.xlsx", "A 43075-2021")</f>
        <v/>
      </c>
      <c r="T56">
        <f>HYPERLINK("https://klasma.github.io/Logging_2313/kartor/A 43075-2021 karta.png", "A 43075-2021")</f>
        <v/>
      </c>
      <c r="V56">
        <f>HYPERLINK("https://klasma.github.io/Logging_2313/klagomål/A 43075-2021 FSC-klagomål.docx", "A 43075-2021")</f>
        <v/>
      </c>
      <c r="W56">
        <f>HYPERLINK("https://klasma.github.io/Logging_2313/klagomålsmail/A 43075-2021 FSC-klagomål mail.docx", "A 43075-2021")</f>
        <v/>
      </c>
      <c r="X56">
        <f>HYPERLINK("https://klasma.github.io/Logging_2313/tillsyn/A 43075-2021 tillsynsbegäran.docx", "A 43075-2021")</f>
        <v/>
      </c>
      <c r="Y56">
        <f>HYPERLINK("https://klasma.github.io/Logging_2313/tillsynsmail/A 43075-2021 tillsynsbegäran mail.docx", "A 43075-2021")</f>
        <v/>
      </c>
    </row>
    <row r="57" ht="15" customHeight="1">
      <c r="A57" t="inlineStr">
        <is>
          <t>A 40397-2023</t>
        </is>
      </c>
      <c r="B57" s="1" t="n">
        <v>45170</v>
      </c>
      <c r="C57" s="1" t="n">
        <v>45749</v>
      </c>
      <c r="D57" t="inlineStr">
        <is>
          <t>JÄMTLANDS LÄN</t>
        </is>
      </c>
      <c r="E57" t="inlineStr">
        <is>
          <t>STRÖMSUND</t>
        </is>
      </c>
      <c r="F57" t="inlineStr">
        <is>
          <t>SCA</t>
        </is>
      </c>
      <c r="G57" t="n">
        <v>5.4</v>
      </c>
      <c r="H57" t="n">
        <v>0</v>
      </c>
      <c r="I57" t="n">
        <v>4</v>
      </c>
      <c r="J57" t="n">
        <v>8</v>
      </c>
      <c r="K57" t="n">
        <v>0</v>
      </c>
      <c r="L57" t="n">
        <v>0</v>
      </c>
      <c r="M57" t="n">
        <v>0</v>
      </c>
      <c r="N57" t="n">
        <v>0</v>
      </c>
      <c r="O57" t="n">
        <v>8</v>
      </c>
      <c r="P57" t="n">
        <v>0</v>
      </c>
      <c r="Q57" t="n">
        <v>12</v>
      </c>
      <c r="R57" s="2" t="inlineStr">
        <is>
          <t>Brunpudrad nållav
Gammelgransskål
Granticka
Lunglav
Rosenticka
Skrovellav
Ullticka
Vitgrynig nållav
Gulnål
Kransrams
Svavelriska
Vedticka</t>
        </is>
      </c>
      <c r="S57">
        <f>HYPERLINK("https://klasma.github.io/Logging_2313/artfynd/A 40397-2023 artfynd.xlsx", "A 40397-2023")</f>
        <v/>
      </c>
      <c r="T57">
        <f>HYPERLINK("https://klasma.github.io/Logging_2313/kartor/A 40397-2023 karta.png", "A 40397-2023")</f>
        <v/>
      </c>
      <c r="V57">
        <f>HYPERLINK("https://klasma.github.io/Logging_2313/klagomål/A 40397-2023 FSC-klagomål.docx", "A 40397-2023")</f>
        <v/>
      </c>
      <c r="W57">
        <f>HYPERLINK("https://klasma.github.io/Logging_2313/klagomålsmail/A 40397-2023 FSC-klagomål mail.docx", "A 40397-2023")</f>
        <v/>
      </c>
      <c r="X57">
        <f>HYPERLINK("https://klasma.github.io/Logging_2313/tillsyn/A 40397-2023 tillsynsbegäran.docx", "A 40397-2023")</f>
        <v/>
      </c>
      <c r="Y57">
        <f>HYPERLINK("https://klasma.github.io/Logging_2313/tillsynsmail/A 40397-2023 tillsynsbegäran mail.docx", "A 40397-2023")</f>
        <v/>
      </c>
    </row>
    <row r="58" ht="15" customHeight="1">
      <c r="A58" t="inlineStr">
        <is>
          <t>A 47078-2019</t>
        </is>
      </c>
      <c r="B58" s="1" t="n">
        <v>43720</v>
      </c>
      <c r="C58" s="1" t="n">
        <v>45749</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45749</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45749</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45749</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45749</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45749</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45749</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45749</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45749</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45749</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45749</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69641-2020</t>
        </is>
      </c>
      <c r="B69" s="1" t="n">
        <v>44195</v>
      </c>
      <c r="C69" s="1" t="n">
        <v>45749</v>
      </c>
      <c r="D69" t="inlineStr">
        <is>
          <t>JÄMTLANDS LÄN</t>
        </is>
      </c>
      <c r="E69" t="inlineStr">
        <is>
          <t>STRÖMSUND</t>
        </is>
      </c>
      <c r="G69" t="n">
        <v>15.8</v>
      </c>
      <c r="H69" t="n">
        <v>4</v>
      </c>
      <c r="I69" t="n">
        <v>3</v>
      </c>
      <c r="J69" t="n">
        <v>5</v>
      </c>
      <c r="K69" t="n">
        <v>0</v>
      </c>
      <c r="L69" t="n">
        <v>0</v>
      </c>
      <c r="M69" t="n">
        <v>0</v>
      </c>
      <c r="N69" t="n">
        <v>0</v>
      </c>
      <c r="O69" t="n">
        <v>5</v>
      </c>
      <c r="P69" t="n">
        <v>0</v>
      </c>
      <c r="Q69" t="n">
        <v>10</v>
      </c>
      <c r="R69" s="2" t="inlineStr">
        <is>
          <t>Garnlav
Granticka
Lunglav
Spillkråka
Tretåig hackspett
Finbräken
Kransrams
Stuplav
Blåsippa
Revlummer</t>
        </is>
      </c>
      <c r="S69">
        <f>HYPERLINK("https://klasma.github.io/Logging_2313/artfynd/A 69641-2020 artfynd.xlsx", "A 69641-2020")</f>
        <v/>
      </c>
      <c r="T69">
        <f>HYPERLINK("https://klasma.github.io/Logging_2313/kartor/A 69641-2020 karta.png", "A 69641-2020")</f>
        <v/>
      </c>
      <c r="V69">
        <f>HYPERLINK("https://klasma.github.io/Logging_2313/klagomål/A 69641-2020 FSC-klagomål.docx", "A 69641-2020")</f>
        <v/>
      </c>
      <c r="W69">
        <f>HYPERLINK("https://klasma.github.io/Logging_2313/klagomålsmail/A 69641-2020 FSC-klagomål mail.docx", "A 69641-2020")</f>
        <v/>
      </c>
      <c r="X69">
        <f>HYPERLINK("https://klasma.github.io/Logging_2313/tillsyn/A 69641-2020 tillsynsbegäran.docx", "A 69641-2020")</f>
        <v/>
      </c>
      <c r="Y69">
        <f>HYPERLINK("https://klasma.github.io/Logging_2313/tillsynsmail/A 69641-2020 tillsynsbegäran mail.docx", "A 69641-2020")</f>
        <v/>
      </c>
      <c r="Z69">
        <f>HYPERLINK("https://klasma.github.io/Logging_2313/fåglar/A 69641-2020 prioriterade fågelarter.docx", "A 69641-2020")</f>
        <v/>
      </c>
    </row>
    <row r="70" ht="15" customHeight="1">
      <c r="A70" t="inlineStr">
        <is>
          <t>A 26141-2022</t>
        </is>
      </c>
      <c r="B70" s="1" t="n">
        <v>44734</v>
      </c>
      <c r="C70" s="1" t="n">
        <v>45749</v>
      </c>
      <c r="D70" t="inlineStr">
        <is>
          <t>JÄMTLANDS LÄN</t>
        </is>
      </c>
      <c r="E70" t="inlineStr">
        <is>
          <t>STRÖMSUND</t>
        </is>
      </c>
      <c r="F70" t="inlineStr">
        <is>
          <t>SCA</t>
        </is>
      </c>
      <c r="G70" t="n">
        <v>7.5</v>
      </c>
      <c r="H70" t="n">
        <v>2</v>
      </c>
      <c r="I70" t="n">
        <v>1</v>
      </c>
      <c r="J70" t="n">
        <v>9</v>
      </c>
      <c r="K70" t="n">
        <v>0</v>
      </c>
      <c r="L70" t="n">
        <v>0</v>
      </c>
      <c r="M70" t="n">
        <v>0</v>
      </c>
      <c r="N70" t="n">
        <v>0</v>
      </c>
      <c r="O70" t="n">
        <v>9</v>
      </c>
      <c r="P70" t="n">
        <v>0</v>
      </c>
      <c r="Q70" t="n">
        <v>10</v>
      </c>
      <c r="R70" s="2" t="inlineStr">
        <is>
          <t>Doftskinn
Gammelgransskål
Garnlav
Granticka
Gränsticka
Talltita
Tretåig hackspett
Ullticka
Vitgrynig nållav
Vedticka</t>
        </is>
      </c>
      <c r="S70">
        <f>HYPERLINK("https://klasma.github.io/Logging_2313/artfynd/A 26141-2022 artfynd.xlsx", "A 26141-2022")</f>
        <v/>
      </c>
      <c r="T70">
        <f>HYPERLINK("https://klasma.github.io/Logging_2313/kartor/A 26141-2022 karta.png", "A 26141-2022")</f>
        <v/>
      </c>
      <c r="V70">
        <f>HYPERLINK("https://klasma.github.io/Logging_2313/klagomål/A 26141-2022 FSC-klagomål.docx", "A 26141-2022")</f>
        <v/>
      </c>
      <c r="W70">
        <f>HYPERLINK("https://klasma.github.io/Logging_2313/klagomålsmail/A 26141-2022 FSC-klagomål mail.docx", "A 26141-2022")</f>
        <v/>
      </c>
      <c r="X70">
        <f>HYPERLINK("https://klasma.github.io/Logging_2313/tillsyn/A 26141-2022 tillsynsbegäran.docx", "A 26141-2022")</f>
        <v/>
      </c>
      <c r="Y70">
        <f>HYPERLINK("https://klasma.github.io/Logging_2313/tillsynsmail/A 26141-2022 tillsynsbegäran mail.docx", "A 26141-2022")</f>
        <v/>
      </c>
      <c r="Z70">
        <f>HYPERLINK("https://klasma.github.io/Logging_2313/fåglar/A 26141-2022 prioriterade fågelarter.docx", "A 26141-2022")</f>
        <v/>
      </c>
    </row>
    <row r="71" ht="15" customHeight="1">
      <c r="A71" t="inlineStr">
        <is>
          <t>A 58174-2022</t>
        </is>
      </c>
      <c r="B71" s="1" t="n">
        <v>44900</v>
      </c>
      <c r="C71" s="1" t="n">
        <v>45749</v>
      </c>
      <c r="D71" t="inlineStr">
        <is>
          <t>JÄMTLANDS LÄN</t>
        </is>
      </c>
      <c r="E71" t="inlineStr">
        <is>
          <t>STRÖMSUND</t>
        </is>
      </c>
      <c r="G71" t="n">
        <v>0.3</v>
      </c>
      <c r="H71" t="n">
        <v>9</v>
      </c>
      <c r="I71" t="n">
        <v>0</v>
      </c>
      <c r="J71" t="n">
        <v>10</v>
      </c>
      <c r="K71" t="n">
        <v>0</v>
      </c>
      <c r="L71" t="n">
        <v>0</v>
      </c>
      <c r="M71" t="n">
        <v>0</v>
      </c>
      <c r="N71" t="n">
        <v>0</v>
      </c>
      <c r="O71" t="n">
        <v>10</v>
      </c>
      <c r="P71" t="n">
        <v>0</v>
      </c>
      <c r="Q71" t="n">
        <v>10</v>
      </c>
      <c r="R71" s="2" t="inlineStr">
        <is>
          <t>Björktrast
Drillsnäppa
Fiskmås
Järpe
Rödvingetrast
Skogshare
Spillkråka
Svartvit flugsnappare
Talltita
Tretåig hackspett</t>
        </is>
      </c>
      <c r="S71">
        <f>HYPERLINK("https://klasma.github.io/Logging_2313/artfynd/A 58174-2022 artfynd.xlsx", "A 58174-2022")</f>
        <v/>
      </c>
      <c r="T71">
        <f>HYPERLINK("https://klasma.github.io/Logging_2313/kartor/A 58174-2022 karta.png", "A 58174-2022")</f>
        <v/>
      </c>
      <c r="V71">
        <f>HYPERLINK("https://klasma.github.io/Logging_2313/klagomål/A 58174-2022 FSC-klagomål.docx", "A 58174-2022")</f>
        <v/>
      </c>
      <c r="W71">
        <f>HYPERLINK("https://klasma.github.io/Logging_2313/klagomålsmail/A 58174-2022 FSC-klagomål mail.docx", "A 58174-2022")</f>
        <v/>
      </c>
      <c r="X71">
        <f>HYPERLINK("https://klasma.github.io/Logging_2313/tillsyn/A 58174-2022 tillsynsbegäran.docx", "A 58174-2022")</f>
        <v/>
      </c>
      <c r="Y71">
        <f>HYPERLINK("https://klasma.github.io/Logging_2313/tillsynsmail/A 58174-2022 tillsynsbegäran mail.docx", "A 58174-2022")</f>
        <v/>
      </c>
      <c r="Z71">
        <f>HYPERLINK("https://klasma.github.io/Logging_2313/fåglar/A 58174-2022 prioriterade fågelarter.docx", "A 58174-2022")</f>
        <v/>
      </c>
    </row>
    <row r="72" ht="15" customHeight="1">
      <c r="A72" t="inlineStr">
        <is>
          <t>A 1470-2023</t>
        </is>
      </c>
      <c r="B72" s="1" t="n">
        <v>44931</v>
      </c>
      <c r="C72" s="1" t="n">
        <v>45749</v>
      </c>
      <c r="D72" t="inlineStr">
        <is>
          <t>JÄMTLANDS LÄN</t>
        </is>
      </c>
      <c r="E72" t="inlineStr">
        <is>
          <t>STRÖMSUND</t>
        </is>
      </c>
      <c r="G72" t="n">
        <v>39.8</v>
      </c>
      <c r="H72" t="n">
        <v>3</v>
      </c>
      <c r="I72" t="n">
        <v>3</v>
      </c>
      <c r="J72" t="n">
        <v>6</v>
      </c>
      <c r="K72" t="n">
        <v>0</v>
      </c>
      <c r="L72" t="n">
        <v>0</v>
      </c>
      <c r="M72" t="n">
        <v>0</v>
      </c>
      <c r="N72" t="n">
        <v>0</v>
      </c>
      <c r="O72" t="n">
        <v>6</v>
      </c>
      <c r="P72" t="n">
        <v>0</v>
      </c>
      <c r="Q72" t="n">
        <v>10</v>
      </c>
      <c r="R72" s="2" t="inlineStr">
        <is>
          <t>Doftskinn
Garnlav
Granticka
Harticka
Talltita
Tretåig hackspett
Kransrams
Stuplav
Ögonpyrola
Fläcknycklar</t>
        </is>
      </c>
      <c r="S72">
        <f>HYPERLINK("https://klasma.github.io/Logging_2313/artfynd/A 1470-2023 artfynd.xlsx", "A 1470-2023")</f>
        <v/>
      </c>
      <c r="T72">
        <f>HYPERLINK("https://klasma.github.io/Logging_2313/kartor/A 1470-2023 karta.png", "A 1470-2023")</f>
        <v/>
      </c>
      <c r="V72">
        <f>HYPERLINK("https://klasma.github.io/Logging_2313/klagomål/A 1470-2023 FSC-klagomål.docx", "A 1470-2023")</f>
        <v/>
      </c>
      <c r="W72">
        <f>HYPERLINK("https://klasma.github.io/Logging_2313/klagomålsmail/A 1470-2023 FSC-klagomål mail.docx", "A 1470-2023")</f>
        <v/>
      </c>
      <c r="X72">
        <f>HYPERLINK("https://klasma.github.io/Logging_2313/tillsyn/A 1470-2023 tillsynsbegäran.docx", "A 1470-2023")</f>
        <v/>
      </c>
      <c r="Y72">
        <f>HYPERLINK("https://klasma.github.io/Logging_2313/tillsynsmail/A 1470-2023 tillsynsbegäran mail.docx", "A 1470-2023")</f>
        <v/>
      </c>
      <c r="Z72">
        <f>HYPERLINK("https://klasma.github.io/Logging_2313/fåglar/A 1470-2023 prioriterade fågelarter.docx", "A 1470-2023")</f>
        <v/>
      </c>
    </row>
    <row r="73" ht="15" customHeight="1">
      <c r="A73" t="inlineStr">
        <is>
          <t>A 43417-2023</t>
        </is>
      </c>
      <c r="B73" s="1" t="n">
        <v>45184</v>
      </c>
      <c r="C73" s="1" t="n">
        <v>45749</v>
      </c>
      <c r="D73" t="inlineStr">
        <is>
          <t>JÄMTLANDS LÄN</t>
        </is>
      </c>
      <c r="E73" t="inlineStr">
        <is>
          <t>STRÖMSUND</t>
        </is>
      </c>
      <c r="F73" t="inlineStr">
        <is>
          <t>SCA</t>
        </is>
      </c>
      <c r="G73" t="n">
        <v>8.199999999999999</v>
      </c>
      <c r="H73" t="n">
        <v>2</v>
      </c>
      <c r="I73" t="n">
        <v>4</v>
      </c>
      <c r="J73" t="n">
        <v>5</v>
      </c>
      <c r="K73" t="n">
        <v>1</v>
      </c>
      <c r="L73" t="n">
        <v>0</v>
      </c>
      <c r="M73" t="n">
        <v>0</v>
      </c>
      <c r="N73" t="n">
        <v>0</v>
      </c>
      <c r="O73" t="n">
        <v>6</v>
      </c>
      <c r="P73" t="n">
        <v>1</v>
      </c>
      <c r="Q73" t="n">
        <v>10</v>
      </c>
      <c r="R73" s="2" t="inlineStr">
        <is>
          <t>Doftticka
Doftskinn
Garnlav
Järpe
Lunglav
Mörk kolflarnlav
Bårdlav
Luddlav
Skinnlav
Stuplav</t>
        </is>
      </c>
      <c r="S73">
        <f>HYPERLINK("https://klasma.github.io/Logging_2313/artfynd/A 43417-2023 artfynd.xlsx", "A 43417-2023")</f>
        <v/>
      </c>
      <c r="T73">
        <f>HYPERLINK("https://klasma.github.io/Logging_2313/kartor/A 43417-2023 karta.png", "A 43417-2023")</f>
        <v/>
      </c>
      <c r="V73">
        <f>HYPERLINK("https://klasma.github.io/Logging_2313/klagomål/A 43417-2023 FSC-klagomål.docx", "A 43417-2023")</f>
        <v/>
      </c>
      <c r="W73">
        <f>HYPERLINK("https://klasma.github.io/Logging_2313/klagomålsmail/A 43417-2023 FSC-klagomål mail.docx", "A 43417-2023")</f>
        <v/>
      </c>
      <c r="X73">
        <f>HYPERLINK("https://klasma.github.io/Logging_2313/tillsyn/A 43417-2023 tillsynsbegäran.docx", "A 43417-2023")</f>
        <v/>
      </c>
      <c r="Y73">
        <f>HYPERLINK("https://klasma.github.io/Logging_2313/tillsynsmail/A 43417-2023 tillsynsbegäran mail.docx", "A 43417-2023")</f>
        <v/>
      </c>
      <c r="Z73">
        <f>HYPERLINK("https://klasma.github.io/Logging_2313/fåglar/A 43417-2023 prioriterade fågelarter.docx", "A 43417-2023")</f>
        <v/>
      </c>
    </row>
    <row r="74" ht="15" customHeight="1">
      <c r="A74" t="inlineStr">
        <is>
          <t>A 54229-2024</t>
        </is>
      </c>
      <c r="B74" s="1" t="n">
        <v>45616</v>
      </c>
      <c r="C74" s="1" t="n">
        <v>45749</v>
      </c>
      <c r="D74" t="inlineStr">
        <is>
          <t>JÄMTLANDS LÄN</t>
        </is>
      </c>
      <c r="E74" t="inlineStr">
        <is>
          <t>STRÖMSUND</t>
        </is>
      </c>
      <c r="G74" t="n">
        <v>66.2</v>
      </c>
      <c r="H74" t="n">
        <v>0</v>
      </c>
      <c r="I74" t="n">
        <v>7</v>
      </c>
      <c r="J74" t="n">
        <v>3</v>
      </c>
      <c r="K74" t="n">
        <v>0</v>
      </c>
      <c r="L74" t="n">
        <v>0</v>
      </c>
      <c r="M74" t="n">
        <v>0</v>
      </c>
      <c r="N74" t="n">
        <v>0</v>
      </c>
      <c r="O74" t="n">
        <v>3</v>
      </c>
      <c r="P74" t="n">
        <v>0</v>
      </c>
      <c r="Q74" t="n">
        <v>10</v>
      </c>
      <c r="R74" s="2" t="inlineStr">
        <is>
          <t>Garnlav
Lunglav
Skrovellav
Granriska
Kransrams
Stuplav
Svart trolldruva
Svavelriska
Tibast
Ögonpyrola</t>
        </is>
      </c>
      <c r="S74">
        <f>HYPERLINK("https://klasma.github.io/Logging_2313/artfynd/A 54229-2024 artfynd.xlsx", "A 54229-2024")</f>
        <v/>
      </c>
      <c r="T74">
        <f>HYPERLINK("https://klasma.github.io/Logging_2313/kartor/A 54229-2024 karta.png", "A 54229-2024")</f>
        <v/>
      </c>
      <c r="V74">
        <f>HYPERLINK("https://klasma.github.io/Logging_2313/klagomål/A 54229-2024 FSC-klagomål.docx", "A 54229-2024")</f>
        <v/>
      </c>
      <c r="W74">
        <f>HYPERLINK("https://klasma.github.io/Logging_2313/klagomålsmail/A 54229-2024 FSC-klagomål mail.docx", "A 54229-2024")</f>
        <v/>
      </c>
      <c r="X74">
        <f>HYPERLINK("https://klasma.github.io/Logging_2313/tillsyn/A 54229-2024 tillsynsbegäran.docx", "A 54229-2024")</f>
        <v/>
      </c>
      <c r="Y74">
        <f>HYPERLINK("https://klasma.github.io/Logging_2313/tillsynsmail/A 54229-2024 tillsynsbegäran mail.docx", "A 54229-2024")</f>
        <v/>
      </c>
    </row>
    <row r="75" ht="15" customHeight="1">
      <c r="A75" t="inlineStr">
        <is>
          <t>A 6776-2020</t>
        </is>
      </c>
      <c r="B75" s="1" t="n">
        <v>43867</v>
      </c>
      <c r="C75" s="1" t="n">
        <v>45749</v>
      </c>
      <c r="D75" t="inlineStr">
        <is>
          <t>JÄMTLANDS LÄN</t>
        </is>
      </c>
      <c r="E75" t="inlineStr">
        <is>
          <t>STRÖMSUND</t>
        </is>
      </c>
      <c r="G75" t="n">
        <v>10.7</v>
      </c>
      <c r="H75" t="n">
        <v>0</v>
      </c>
      <c r="I75" t="n">
        <v>4</v>
      </c>
      <c r="J75" t="n">
        <v>5</v>
      </c>
      <c r="K75" t="n">
        <v>0</v>
      </c>
      <c r="L75" t="n">
        <v>0</v>
      </c>
      <c r="M75" t="n">
        <v>0</v>
      </c>
      <c r="N75" t="n">
        <v>0</v>
      </c>
      <c r="O75" t="n">
        <v>5</v>
      </c>
      <c r="P75" t="n">
        <v>0</v>
      </c>
      <c r="Q75" t="n">
        <v>9</v>
      </c>
      <c r="R75" s="2" t="inlineStr">
        <is>
          <t>Granticka
Harticka
Lunglav
Skrovellav
Vedflikmossa
Bårdlav
Kransrams
Stuplav
Trådticka</t>
        </is>
      </c>
      <c r="S75">
        <f>HYPERLINK("https://klasma.github.io/Logging_2313/artfynd/A 6776-2020 artfynd.xlsx", "A 6776-2020")</f>
        <v/>
      </c>
      <c r="T75">
        <f>HYPERLINK("https://klasma.github.io/Logging_2313/kartor/A 6776-2020 karta.png", "A 6776-2020")</f>
        <v/>
      </c>
      <c r="V75">
        <f>HYPERLINK("https://klasma.github.io/Logging_2313/klagomål/A 6776-2020 FSC-klagomål.docx", "A 6776-2020")</f>
        <v/>
      </c>
      <c r="W75">
        <f>HYPERLINK("https://klasma.github.io/Logging_2313/klagomålsmail/A 6776-2020 FSC-klagomål mail.docx", "A 6776-2020")</f>
        <v/>
      </c>
      <c r="X75">
        <f>HYPERLINK("https://klasma.github.io/Logging_2313/tillsyn/A 6776-2020 tillsynsbegäran.docx", "A 6776-2020")</f>
        <v/>
      </c>
      <c r="Y75">
        <f>HYPERLINK("https://klasma.github.io/Logging_2313/tillsynsmail/A 6776-2020 tillsynsbegäran mail.docx", "A 6776-2020")</f>
        <v/>
      </c>
    </row>
    <row r="76" ht="15" customHeight="1">
      <c r="A76" t="inlineStr">
        <is>
          <t>A 44983-2020</t>
        </is>
      </c>
      <c r="B76" s="1" t="n">
        <v>44083</v>
      </c>
      <c r="C76" s="1" t="n">
        <v>45749</v>
      </c>
      <c r="D76" t="inlineStr">
        <is>
          <t>JÄMTLANDS LÄN</t>
        </is>
      </c>
      <c r="E76" t="inlineStr">
        <is>
          <t>STRÖMSUND</t>
        </is>
      </c>
      <c r="G76" t="n">
        <v>8.5</v>
      </c>
      <c r="H76" t="n">
        <v>1</v>
      </c>
      <c r="I76" t="n">
        <v>4</v>
      </c>
      <c r="J76" t="n">
        <v>3</v>
      </c>
      <c r="K76" t="n">
        <v>1</v>
      </c>
      <c r="L76" t="n">
        <v>0</v>
      </c>
      <c r="M76" t="n">
        <v>0</v>
      </c>
      <c r="N76" t="n">
        <v>0</v>
      </c>
      <c r="O76" t="n">
        <v>4</v>
      </c>
      <c r="P76" t="n">
        <v>1</v>
      </c>
      <c r="Q76" t="n">
        <v>9</v>
      </c>
      <c r="R76" s="2" t="inlineStr">
        <is>
          <t>Norsk näverlav
Brunpudrad nållav
Garnlav
Skrovellav
Bårdlav
Gytterlav
Norrlandslav
Stuplav
Revlummer</t>
        </is>
      </c>
      <c r="S76">
        <f>HYPERLINK("https://klasma.github.io/Logging_2313/artfynd/A 44983-2020 artfynd.xlsx", "A 44983-2020")</f>
        <v/>
      </c>
      <c r="T76">
        <f>HYPERLINK("https://klasma.github.io/Logging_2313/kartor/A 44983-2020 karta.png", "A 44983-2020")</f>
        <v/>
      </c>
      <c r="V76">
        <f>HYPERLINK("https://klasma.github.io/Logging_2313/klagomål/A 44983-2020 FSC-klagomål.docx", "A 44983-2020")</f>
        <v/>
      </c>
      <c r="W76">
        <f>HYPERLINK("https://klasma.github.io/Logging_2313/klagomålsmail/A 44983-2020 FSC-klagomål mail.docx", "A 44983-2020")</f>
        <v/>
      </c>
      <c r="X76">
        <f>HYPERLINK("https://klasma.github.io/Logging_2313/tillsyn/A 44983-2020 tillsynsbegäran.docx", "A 44983-2020")</f>
        <v/>
      </c>
      <c r="Y76">
        <f>HYPERLINK("https://klasma.github.io/Logging_2313/tillsynsmail/A 44983-2020 tillsynsbegäran mail.docx", "A 44983-2020")</f>
        <v/>
      </c>
    </row>
    <row r="77" ht="15" customHeight="1">
      <c r="A77" t="inlineStr">
        <is>
          <t>A 66118-2020</t>
        </is>
      </c>
      <c r="B77" s="1" t="n">
        <v>44175</v>
      </c>
      <c r="C77" s="1" t="n">
        <v>45749</v>
      </c>
      <c r="D77" t="inlineStr">
        <is>
          <t>JÄMTLANDS LÄN</t>
        </is>
      </c>
      <c r="E77" t="inlineStr">
        <is>
          <t>STRÖMSUND</t>
        </is>
      </c>
      <c r="F77" t="inlineStr">
        <is>
          <t>Holmen skog AB</t>
        </is>
      </c>
      <c r="G77" t="n">
        <v>24.6</v>
      </c>
      <c r="H77" t="n">
        <v>1</v>
      </c>
      <c r="I77" t="n">
        <v>1</v>
      </c>
      <c r="J77" t="n">
        <v>6</v>
      </c>
      <c r="K77" t="n">
        <v>2</v>
      </c>
      <c r="L77" t="n">
        <v>0</v>
      </c>
      <c r="M77" t="n">
        <v>0</v>
      </c>
      <c r="N77" t="n">
        <v>0</v>
      </c>
      <c r="O77" t="n">
        <v>8</v>
      </c>
      <c r="P77" t="n">
        <v>2</v>
      </c>
      <c r="Q77" t="n">
        <v>9</v>
      </c>
      <c r="R77" s="2" t="inlineStr">
        <is>
          <t>Liten sotlav
Norsk näverlav
Brunpudrad nållav
Garnlav
Granticka
Rödbrun blekspik
Skrovellav
Tretåig hackspett
Luddlav</t>
        </is>
      </c>
      <c r="S77">
        <f>HYPERLINK("https://klasma.github.io/Logging_2313/artfynd/A 66118-2020 artfynd.xlsx", "A 66118-2020")</f>
        <v/>
      </c>
      <c r="T77">
        <f>HYPERLINK("https://klasma.github.io/Logging_2313/kartor/A 66118-2020 karta.png", "A 66118-2020")</f>
        <v/>
      </c>
      <c r="V77">
        <f>HYPERLINK("https://klasma.github.io/Logging_2313/klagomål/A 66118-2020 FSC-klagomål.docx", "A 66118-2020")</f>
        <v/>
      </c>
      <c r="W77">
        <f>HYPERLINK("https://klasma.github.io/Logging_2313/klagomålsmail/A 66118-2020 FSC-klagomål mail.docx", "A 66118-2020")</f>
        <v/>
      </c>
      <c r="X77">
        <f>HYPERLINK("https://klasma.github.io/Logging_2313/tillsyn/A 66118-2020 tillsynsbegäran.docx", "A 66118-2020")</f>
        <v/>
      </c>
      <c r="Y77">
        <f>HYPERLINK("https://klasma.github.io/Logging_2313/tillsynsmail/A 66118-2020 tillsynsbegäran mail.docx", "A 66118-2020")</f>
        <v/>
      </c>
      <c r="Z77">
        <f>HYPERLINK("https://klasma.github.io/Logging_2313/fåglar/A 66118-2020 prioriterade fågelarter.docx", "A 66118-2020")</f>
        <v/>
      </c>
    </row>
    <row r="78" ht="15" customHeight="1">
      <c r="A78" t="inlineStr">
        <is>
          <t>A 718-2021</t>
        </is>
      </c>
      <c r="B78" s="1" t="n">
        <v>44204</v>
      </c>
      <c r="C78" s="1" t="n">
        <v>45749</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45749</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45749</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45749</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45749</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45749</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45749</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45749</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45749</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45749</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45749</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45749</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45749</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45749</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45749</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45749</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45749</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45749</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45749</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45749</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45749</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45749</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45749</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45749</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45749</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45749</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45749</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45749</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45749</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45749</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45749</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45749</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45749</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45749</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45749</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45749</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45749</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45749</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45749</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45749</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45749</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45749</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45749</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45749</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45749</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45749</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45749</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45749</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45749</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45749</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45749</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45749</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45749</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45749</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45749</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45749</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45749</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45749</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45749</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45749</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45749</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45749</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45749</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45749</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45749</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45749</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45749</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45749</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45749</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45749</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45749</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45749</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45749</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45749</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45749</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45749</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45749</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45749</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45749</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45749</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45749</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45749</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45749</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45749</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45749</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45749</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45749</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45749</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45749</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45749</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45749</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45749</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45749</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45749</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45749</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45749</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45749</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45749</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45749</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45749</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45749</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45749</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45749</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45749</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45749</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45749</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45749</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45749</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45749</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45749</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45749</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45749</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45749</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45749</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45749</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45749</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45749</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45749</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45749</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45749</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HYPERLINK("https://klasma.github.io/Logging_232313/artfynd/A 13607-2025 artfynd.xlsx", "A 13607-2025")</f>
        <v/>
      </c>
      <c r="T197">
        <f>HYPERLINK("https://klasma.github.io/Logging_232313/kartor/A 13607-2025 karta.png", "A 13607-2025")</f>
        <v/>
      </c>
      <c r="V197">
        <f>HYPERLINK("https://klasma.github.io/Logging_232313/klagomål/A 13607-2025 FSC-klagomål.docx", "A 13607-2025")</f>
        <v/>
      </c>
      <c r="W197">
        <f>HYPERLINK("https://klasma.github.io/Logging_232313/klagomålsmail/A 13607-2025 FSC-klagomål mail.docx", "A 13607-2025")</f>
        <v/>
      </c>
      <c r="X197">
        <f>HYPERLINK("https://klasma.github.io/Logging_232313/tillsyn/A 13607-2025 tillsynsbegäran.docx", "A 13607-2025")</f>
        <v/>
      </c>
      <c r="Y197">
        <f>HYPERLINK("https://klasma.github.io/Logging_232313/tillsynsmail/A 13607-2025 tillsynsbegäran mail.docx", "A 13607-2025")</f>
        <v/>
      </c>
    </row>
    <row r="198" ht="15" customHeight="1">
      <c r="A198" t="inlineStr">
        <is>
          <t>A 30381-2019</t>
        </is>
      </c>
      <c r="B198" s="1" t="n">
        <v>43634</v>
      </c>
      <c r="C198" s="1" t="n">
        <v>45749</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45749</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45749</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45749</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45749</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45749</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45749</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45749</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45749</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45749</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45749</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45749</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45749</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45749</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45749</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45749</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45749</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45749</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45749</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45749</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45749</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45749</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45749</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45749</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45749</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45749</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45749</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45749</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45749</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45749</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45749</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45749</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45749</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45749</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45749</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45749</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45749</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45749</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45749</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45749</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45749</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45749</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45749</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45749</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45749</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45749</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45749</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45749</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45749</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45749</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45749</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45749</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45749</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45749</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45749</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45749</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45749</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45749</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45749</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45749</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45749</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45749</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45749</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45749</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HYPERLINK("https://klasma.github.io/Logging_232313/artfynd/A 14533-2025 artfynd.xlsx", "A 14533-2025")</f>
        <v/>
      </c>
      <c r="T261">
        <f>HYPERLINK("https://klasma.github.io/Logging_232313/kartor/A 14533-2025 karta.png", "A 14533-2025")</f>
        <v/>
      </c>
      <c r="V261">
        <f>HYPERLINK("https://klasma.github.io/Logging_232313/klagomål/A 14533-2025 FSC-klagomål.docx", "A 14533-2025")</f>
        <v/>
      </c>
      <c r="W261">
        <f>HYPERLINK("https://klasma.github.io/Logging_232313/klagomålsmail/A 14533-2025 FSC-klagomål mail.docx", "A 14533-2025")</f>
        <v/>
      </c>
      <c r="X261">
        <f>HYPERLINK("https://klasma.github.io/Logging_232313/tillsyn/A 14533-2025 tillsynsbegäran.docx", "A 14533-2025")</f>
        <v/>
      </c>
      <c r="Y261">
        <f>HYPERLINK("https://klasma.github.io/Logging_232313/tillsynsmail/A 14533-2025 tillsynsbegäran mail.docx", "A 14533-2025")</f>
        <v/>
      </c>
    </row>
    <row r="262" ht="15" customHeight="1">
      <c r="A262" t="inlineStr">
        <is>
          <t>A 39924-2019</t>
        </is>
      </c>
      <c r="B262" s="1" t="n">
        <v>43692</v>
      </c>
      <c r="C262" s="1" t="n">
        <v>45749</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45749</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45749</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45749</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45749</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45749</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45749</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45749</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45749</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45749</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45749</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45749</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45749</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45749</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45749</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45749</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45749</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45749</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45749</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45749</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45749</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45749</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45749</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45749</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45749</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45749</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45749</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45749</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45749</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45749</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45749</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45749</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45749</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45749</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45749</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45749</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45749</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45749</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45749</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45749</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45749</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45749</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45749</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45749</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45749</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45749</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45749</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45749</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45749</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45749</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45749</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45749</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45749</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45749</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45749</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45749</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45749</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45749</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45749</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45749</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45749</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45749</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45749</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45749</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45749</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45749</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45749</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45749</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45749</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45749</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45749</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45749</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45749</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45749</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45749</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45749</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45749</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45749</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45749</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45749</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45749</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45749</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45749</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45749</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45749</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45749</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45749</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45749</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45749</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45749</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45749</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45749</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45749</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45749</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45749</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45749</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45749</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45749</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45749</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45749</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45749</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45749</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45749</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45749</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45749</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45749</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45749</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45749</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45749</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45749</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45749</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45749</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45749</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45749</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45749</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45749</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45749</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45749</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45749</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45749</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45749</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45749</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45749</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45749</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45749</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45749</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45749</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45749</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45749</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45749</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45749</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45749</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45749</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45749</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45749</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45749</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45749</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45749</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45749</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45749</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45749</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45749</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45749</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45749</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45749</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45749</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45749</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45749</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45749</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45749</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45749</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45749</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45749</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45749</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45749</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45749</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45749</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45749</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45749</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45749</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45749</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45749</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45749</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45749</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45749</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45749</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45749</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45749</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45749</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45749</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45749</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45749</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45749</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45749</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45749</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45749</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45749</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45749</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45749</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45749</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45749</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45749</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45749</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45749</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45749</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45749</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45749</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45749</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45749</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45749</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45749</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45749</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45749</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45749</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45749</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45749</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45749</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45749</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45749</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45749</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45749</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45749</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45749</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45749</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45749</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45749</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45749</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45749</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45749</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45749</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45749</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45749</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45749</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45749</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45749</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45749</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45749</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45749</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45749</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45749</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45749</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45749</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45749</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45749</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45749</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45749</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45749</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45749</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45749</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45749</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45749</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45749</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45749</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45749</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45749</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HYPERLINK("https://klasma.github.io/Logging_232313/artfynd/A 10401-2025 artfynd.xlsx", "A 10401-2025")</f>
        <v/>
      </c>
      <c r="T496">
        <f>HYPERLINK("https://klasma.github.io/Logging_232313/kartor/A 10401-2025 karta.png", "A 10401-2025")</f>
        <v/>
      </c>
      <c r="V496">
        <f>HYPERLINK("https://klasma.github.io/Logging_232313/klagomål/A 10401-2025 FSC-klagomål.docx", "A 10401-2025")</f>
        <v/>
      </c>
      <c r="W496">
        <f>HYPERLINK("https://klasma.github.io/Logging_232313/klagomålsmail/A 10401-2025 FSC-klagomål mail.docx", "A 10401-2025")</f>
        <v/>
      </c>
      <c r="X496">
        <f>HYPERLINK("https://klasma.github.io/Logging_232313/tillsyn/A 10401-2025 tillsynsbegäran.docx", "A 10401-2025")</f>
        <v/>
      </c>
      <c r="Y496">
        <f>HYPERLINK("https://klasma.github.io/Logging_232313/tillsynsmail/A 10401-2025 tillsynsbegäran mail.docx", "A 10401-2025")</f>
        <v/>
      </c>
    </row>
    <row r="497" ht="15" customHeight="1">
      <c r="A497" t="inlineStr">
        <is>
          <t>A 14322-2025</t>
        </is>
      </c>
      <c r="B497" s="1" t="n">
        <v>45740</v>
      </c>
      <c r="C497" s="1" t="n">
        <v>45749</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HYPERLINK("https://klasma.github.io/Logging_232313/artfynd/A 14322-2025 artfynd.xlsx", "A 14322-2025")</f>
        <v/>
      </c>
      <c r="T497">
        <f>HYPERLINK("https://klasma.github.io/Logging_232313/kartor/A 14322-2025 karta.png", "A 14322-2025")</f>
        <v/>
      </c>
      <c r="V497">
        <f>HYPERLINK("https://klasma.github.io/Logging_232313/klagomål/A 14322-2025 FSC-klagomål.docx", "A 14322-2025")</f>
        <v/>
      </c>
      <c r="W497">
        <f>HYPERLINK("https://klasma.github.io/Logging_232313/klagomålsmail/A 14322-2025 FSC-klagomål mail.docx", "A 14322-2025")</f>
        <v/>
      </c>
      <c r="X497">
        <f>HYPERLINK("https://klasma.github.io/Logging_232313/tillsyn/A 14322-2025 tillsynsbegäran.docx", "A 14322-2025")</f>
        <v/>
      </c>
      <c r="Y497">
        <f>HYPERLINK("https://klasma.github.io/Logging_232313/tillsynsmail/A 14322-2025 tillsynsbegäran mail.docx", "A 14322-2025")</f>
        <v/>
      </c>
    </row>
    <row r="498" ht="15" customHeight="1">
      <c r="A498" t="inlineStr">
        <is>
          <t>A 15625-2025</t>
        </is>
      </c>
      <c r="B498" s="1" t="n">
        <v>45748</v>
      </c>
      <c r="C498" s="1" t="n">
        <v>45749</v>
      </c>
      <c r="D498" t="inlineStr">
        <is>
          <t>JÄMTLANDS LÄN</t>
        </is>
      </c>
      <c r="E498" t="inlineStr">
        <is>
          <t>STRÖMSUND</t>
        </is>
      </c>
      <c r="F498" t="inlineStr">
        <is>
          <t>SCA</t>
        </is>
      </c>
      <c r="G498" t="n">
        <v>1.5</v>
      </c>
      <c r="H498" t="n">
        <v>0</v>
      </c>
      <c r="I498" t="n">
        <v>0</v>
      </c>
      <c r="J498" t="n">
        <v>0</v>
      </c>
      <c r="K498" t="n">
        <v>1</v>
      </c>
      <c r="L498" t="n">
        <v>0</v>
      </c>
      <c r="M498" t="n">
        <v>0</v>
      </c>
      <c r="N498" t="n">
        <v>0</v>
      </c>
      <c r="O498" t="n">
        <v>1</v>
      </c>
      <c r="P498" t="n">
        <v>1</v>
      </c>
      <c r="Q498" t="n">
        <v>1</v>
      </c>
      <c r="R498" s="2" t="inlineStr">
        <is>
          <t>Fläckporing</t>
        </is>
      </c>
      <c r="S498">
        <f>HYPERLINK("https://klasma.github.io/Logging_232313/artfynd/A 15625-2025 artfynd.xlsx", "A 15625-2025")</f>
        <v/>
      </c>
      <c r="T498">
        <f>HYPERLINK("https://klasma.github.io/Logging_232313/kartor/A 15625-2025 karta.png", "A 15625-2025")</f>
        <v/>
      </c>
      <c r="V498">
        <f>HYPERLINK("https://klasma.github.io/Logging_232313/klagomål/A 15625-2025 FSC-klagomål.docx", "A 15625-2025")</f>
        <v/>
      </c>
      <c r="W498">
        <f>HYPERLINK("https://klasma.github.io/Logging_232313/klagomålsmail/A 15625-2025 FSC-klagomål mail.docx", "A 15625-2025")</f>
        <v/>
      </c>
      <c r="X498">
        <f>HYPERLINK("https://klasma.github.io/Logging_232313/tillsyn/A 15625-2025 tillsynsbegäran.docx", "A 15625-2025")</f>
        <v/>
      </c>
      <c r="Y498">
        <f>HYPERLINK("https://klasma.github.io/Logging_232313/tillsynsmail/A 15625-2025 tillsynsbegäran mail.docx", "A 15625-2025")</f>
        <v/>
      </c>
    </row>
    <row r="499" ht="15" customHeight="1">
      <c r="A499" t="inlineStr">
        <is>
          <t>A 18058-2019</t>
        </is>
      </c>
      <c r="B499" s="1" t="n">
        <v>43557</v>
      </c>
      <c r="C499" s="1" t="n">
        <v>45749</v>
      </c>
      <c r="D499" t="inlineStr">
        <is>
          <t>JÄMTLANDS LÄN</t>
        </is>
      </c>
      <c r="E499" t="inlineStr">
        <is>
          <t>STRÖMSUND</t>
        </is>
      </c>
      <c r="G499" t="n">
        <v>0.7</v>
      </c>
      <c r="H499" t="n">
        <v>0</v>
      </c>
      <c r="I499" t="n">
        <v>0</v>
      </c>
      <c r="J499" t="n">
        <v>0</v>
      </c>
      <c r="K499" t="n">
        <v>0</v>
      </c>
      <c r="L499" t="n">
        <v>0</v>
      </c>
      <c r="M499" t="n">
        <v>0</v>
      </c>
      <c r="N499" t="n">
        <v>0</v>
      </c>
      <c r="O499" t="n">
        <v>0</v>
      </c>
      <c r="P499" t="n">
        <v>0</v>
      </c>
      <c r="Q499" t="n">
        <v>0</v>
      </c>
      <c r="R499" s="2" t="inlineStr"/>
    </row>
    <row r="500" ht="15" customHeight="1">
      <c r="A500" t="inlineStr">
        <is>
          <t>A 18057-2019</t>
        </is>
      </c>
      <c r="B500" s="1" t="n">
        <v>43557</v>
      </c>
      <c r="C500" s="1" t="n">
        <v>45749</v>
      </c>
      <c r="D500" t="inlineStr">
        <is>
          <t>JÄMTLANDS LÄN</t>
        </is>
      </c>
      <c r="E500" t="inlineStr">
        <is>
          <t>STRÖMSUND</t>
        </is>
      </c>
      <c r="G500" t="n">
        <v>1.3</v>
      </c>
      <c r="H500" t="n">
        <v>0</v>
      </c>
      <c r="I500" t="n">
        <v>0</v>
      </c>
      <c r="J500" t="n">
        <v>0</v>
      </c>
      <c r="K500" t="n">
        <v>0</v>
      </c>
      <c r="L500" t="n">
        <v>0</v>
      </c>
      <c r="M500" t="n">
        <v>0</v>
      </c>
      <c r="N500" t="n">
        <v>0</v>
      </c>
      <c r="O500" t="n">
        <v>0</v>
      </c>
      <c r="P500" t="n">
        <v>0</v>
      </c>
      <c r="Q500" t="n">
        <v>0</v>
      </c>
      <c r="R500" s="2" t="inlineStr"/>
    </row>
    <row r="501" ht="15" customHeight="1">
      <c r="A501" t="inlineStr">
        <is>
          <t>A 20569-2019</t>
        </is>
      </c>
      <c r="B501" s="1" t="n">
        <v>43572</v>
      </c>
      <c r="C501" s="1" t="n">
        <v>45749</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21702-2019</t>
        </is>
      </c>
      <c r="B502" s="1" t="n">
        <v>43581</v>
      </c>
      <c r="C502" s="1" t="n">
        <v>45749</v>
      </c>
      <c r="D502" t="inlineStr">
        <is>
          <t>JÄMTLANDS LÄN</t>
        </is>
      </c>
      <c r="E502" t="inlineStr">
        <is>
          <t>STRÖMSUND</t>
        </is>
      </c>
      <c r="G502" t="n">
        <v>1.6</v>
      </c>
      <c r="H502" t="n">
        <v>0</v>
      </c>
      <c r="I502" t="n">
        <v>0</v>
      </c>
      <c r="J502" t="n">
        <v>0</v>
      </c>
      <c r="K502" t="n">
        <v>0</v>
      </c>
      <c r="L502" t="n">
        <v>0</v>
      </c>
      <c r="M502" t="n">
        <v>0</v>
      </c>
      <c r="N502" t="n">
        <v>0</v>
      </c>
      <c r="O502" t="n">
        <v>0</v>
      </c>
      <c r="P502" t="n">
        <v>0</v>
      </c>
      <c r="Q502" t="n">
        <v>0</v>
      </c>
      <c r="R502" s="2" t="inlineStr"/>
    </row>
    <row r="503" ht="15" customHeight="1">
      <c r="A503" t="inlineStr">
        <is>
          <t>A 21676-2019</t>
        </is>
      </c>
      <c r="B503" s="1" t="n">
        <v>43581</v>
      </c>
      <c r="C503" s="1" t="n">
        <v>45749</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21696-2019</t>
        </is>
      </c>
      <c r="B504" s="1" t="n">
        <v>43581</v>
      </c>
      <c r="C504" s="1" t="n">
        <v>45749</v>
      </c>
      <c r="D504" t="inlineStr">
        <is>
          <t>JÄMTLANDS LÄN</t>
        </is>
      </c>
      <c r="E504" t="inlineStr">
        <is>
          <t>STRÖMSUND</t>
        </is>
      </c>
      <c r="G504" t="n">
        <v>1.5</v>
      </c>
      <c r="H504" t="n">
        <v>0</v>
      </c>
      <c r="I504" t="n">
        <v>0</v>
      </c>
      <c r="J504" t="n">
        <v>0</v>
      </c>
      <c r="K504" t="n">
        <v>0</v>
      </c>
      <c r="L504" t="n">
        <v>0</v>
      </c>
      <c r="M504" t="n">
        <v>0</v>
      </c>
      <c r="N504" t="n">
        <v>0</v>
      </c>
      <c r="O504" t="n">
        <v>0</v>
      </c>
      <c r="P504" t="n">
        <v>0</v>
      </c>
      <c r="Q504" t="n">
        <v>0</v>
      </c>
      <c r="R504" s="2" t="inlineStr"/>
    </row>
    <row r="505" ht="15" customHeight="1">
      <c r="A505" t="inlineStr">
        <is>
          <t>A 21763-2019</t>
        </is>
      </c>
      <c r="B505" s="1" t="n">
        <v>43581</v>
      </c>
      <c r="C505" s="1" t="n">
        <v>45749</v>
      </c>
      <c r="D505" t="inlineStr">
        <is>
          <t>JÄMTLANDS LÄN</t>
        </is>
      </c>
      <c r="E505" t="inlineStr">
        <is>
          <t>STRÖMSUND</t>
        </is>
      </c>
      <c r="G505" t="n">
        <v>12.7</v>
      </c>
      <c r="H505" t="n">
        <v>0</v>
      </c>
      <c r="I505" t="n">
        <v>0</v>
      </c>
      <c r="J505" t="n">
        <v>0</v>
      </c>
      <c r="K505" t="n">
        <v>0</v>
      </c>
      <c r="L505" t="n">
        <v>0</v>
      </c>
      <c r="M505" t="n">
        <v>0</v>
      </c>
      <c r="N505" t="n">
        <v>0</v>
      </c>
      <c r="O505" t="n">
        <v>0</v>
      </c>
      <c r="P505" t="n">
        <v>0</v>
      </c>
      <c r="Q505" t="n">
        <v>0</v>
      </c>
      <c r="R505" s="2" t="inlineStr"/>
    </row>
    <row r="506" ht="15" customHeight="1">
      <c r="A506" t="inlineStr">
        <is>
          <t>A 22113-2019</t>
        </is>
      </c>
      <c r="B506" s="1" t="n">
        <v>43584</v>
      </c>
      <c r="C506" s="1" t="n">
        <v>45749</v>
      </c>
      <c r="D506" t="inlineStr">
        <is>
          <t>JÄMTLANDS LÄN</t>
        </is>
      </c>
      <c r="E506" t="inlineStr">
        <is>
          <t>STRÖMSUND</t>
        </is>
      </c>
      <c r="G506" t="n">
        <v>3.3</v>
      </c>
      <c r="H506" t="n">
        <v>0</v>
      </c>
      <c r="I506" t="n">
        <v>0</v>
      </c>
      <c r="J506" t="n">
        <v>0</v>
      </c>
      <c r="K506" t="n">
        <v>0</v>
      </c>
      <c r="L506" t="n">
        <v>0</v>
      </c>
      <c r="M506" t="n">
        <v>0</v>
      </c>
      <c r="N506" t="n">
        <v>0</v>
      </c>
      <c r="O506" t="n">
        <v>0</v>
      </c>
      <c r="P506" t="n">
        <v>0</v>
      </c>
      <c r="Q506" t="n">
        <v>0</v>
      </c>
      <c r="R506" s="2" t="inlineStr"/>
      <c r="U506">
        <f>HYPERLINK("https://klasma.github.io/Logging_2313/knärot/A 22113-2019 karta knärot.png", "A 22113-2019")</f>
        <v/>
      </c>
      <c r="V506">
        <f>HYPERLINK("https://klasma.github.io/Logging_2313/klagomål/A 22113-2019 FSC-klagomål.docx", "A 22113-2019")</f>
        <v/>
      </c>
      <c r="W506">
        <f>HYPERLINK("https://klasma.github.io/Logging_2313/klagomålsmail/A 22113-2019 FSC-klagomål mail.docx", "A 22113-2019")</f>
        <v/>
      </c>
      <c r="X506">
        <f>HYPERLINK("https://klasma.github.io/Logging_2313/tillsyn/A 22113-2019 tillsynsbegäran.docx", "A 22113-2019")</f>
        <v/>
      </c>
      <c r="Y506">
        <f>HYPERLINK("https://klasma.github.io/Logging_2313/tillsynsmail/A 22113-2019 tillsynsbegäran mail.docx", "A 22113-2019")</f>
        <v/>
      </c>
    </row>
    <row r="507" ht="15" customHeight="1">
      <c r="A507" t="inlineStr">
        <is>
          <t>A 22293-2019</t>
        </is>
      </c>
      <c r="B507" s="1" t="n">
        <v>43585</v>
      </c>
      <c r="C507" s="1" t="n">
        <v>45749</v>
      </c>
      <c r="D507" t="inlineStr">
        <is>
          <t>JÄMTLANDS LÄN</t>
        </is>
      </c>
      <c r="E507" t="inlineStr">
        <is>
          <t>STRÖMSUND</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22305-2019</t>
        </is>
      </c>
      <c r="B508" s="1" t="n">
        <v>43585</v>
      </c>
      <c r="C508" s="1" t="n">
        <v>45749</v>
      </c>
      <c r="D508" t="inlineStr">
        <is>
          <t>JÄMTLANDS LÄN</t>
        </is>
      </c>
      <c r="E508" t="inlineStr">
        <is>
          <t>STRÖMSUND</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22291-2019</t>
        </is>
      </c>
      <c r="B509" s="1" t="n">
        <v>43585</v>
      </c>
      <c r="C509" s="1" t="n">
        <v>45749</v>
      </c>
      <c r="D509" t="inlineStr">
        <is>
          <t>JÄMTLANDS LÄN</t>
        </is>
      </c>
      <c r="E509" t="inlineStr">
        <is>
          <t>STRÖMSUND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22777-2019</t>
        </is>
      </c>
      <c r="B510" s="1" t="n">
        <v>43589</v>
      </c>
      <c r="C510" s="1" t="n">
        <v>45749</v>
      </c>
      <c r="D510" t="inlineStr">
        <is>
          <t>JÄMTLANDS LÄN</t>
        </is>
      </c>
      <c r="E510" t="inlineStr">
        <is>
          <t>STRÖMSUND</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23040-2019</t>
        </is>
      </c>
      <c r="B511" s="1" t="n">
        <v>43591</v>
      </c>
      <c r="C511" s="1" t="n">
        <v>45749</v>
      </c>
      <c r="D511" t="inlineStr">
        <is>
          <t>JÄMTLANDS LÄN</t>
        </is>
      </c>
      <c r="E511" t="inlineStr">
        <is>
          <t>STRÖMSUND</t>
        </is>
      </c>
      <c r="G511" t="n">
        <v>30.4</v>
      </c>
      <c r="H511" t="n">
        <v>0</v>
      </c>
      <c r="I511" t="n">
        <v>0</v>
      </c>
      <c r="J511" t="n">
        <v>0</v>
      </c>
      <c r="K511" t="n">
        <v>0</v>
      </c>
      <c r="L511" t="n">
        <v>0</v>
      </c>
      <c r="M511" t="n">
        <v>0</v>
      </c>
      <c r="N511" t="n">
        <v>0</v>
      </c>
      <c r="O511" t="n">
        <v>0</v>
      </c>
      <c r="P511" t="n">
        <v>0</v>
      </c>
      <c r="Q511" t="n">
        <v>0</v>
      </c>
      <c r="R511" s="2" t="inlineStr"/>
    </row>
    <row r="512" ht="15" customHeight="1">
      <c r="A512" t="inlineStr">
        <is>
          <t>A 23481-2019</t>
        </is>
      </c>
      <c r="B512" s="1" t="n">
        <v>43593</v>
      </c>
      <c r="C512" s="1" t="n">
        <v>45749</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23941-2019</t>
        </is>
      </c>
      <c r="B513" s="1" t="n">
        <v>43595</v>
      </c>
      <c r="C513" s="1" t="n">
        <v>45749</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23945-2019</t>
        </is>
      </c>
      <c r="B514" s="1" t="n">
        <v>43596</v>
      </c>
      <c r="C514" s="1" t="n">
        <v>45749</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23958-2019</t>
        </is>
      </c>
      <c r="B515" s="1" t="n">
        <v>43597</v>
      </c>
      <c r="C515" s="1" t="n">
        <v>45749</v>
      </c>
      <c r="D515" t="inlineStr">
        <is>
          <t>JÄMTLANDS LÄN</t>
        </is>
      </c>
      <c r="E515" t="inlineStr">
        <is>
          <t>STRÖMSUND</t>
        </is>
      </c>
      <c r="G515" t="n">
        <v>20.7</v>
      </c>
      <c r="H515" t="n">
        <v>0</v>
      </c>
      <c r="I515" t="n">
        <v>0</v>
      </c>
      <c r="J515" t="n">
        <v>0</v>
      </c>
      <c r="K515" t="n">
        <v>0</v>
      </c>
      <c r="L515" t="n">
        <v>0</v>
      </c>
      <c r="M515" t="n">
        <v>0</v>
      </c>
      <c r="N515" t="n">
        <v>0</v>
      </c>
      <c r="O515" t="n">
        <v>0</v>
      </c>
      <c r="P515" t="n">
        <v>0</v>
      </c>
      <c r="Q515" t="n">
        <v>0</v>
      </c>
      <c r="R515" s="2" t="inlineStr"/>
    </row>
    <row r="516" ht="15" customHeight="1">
      <c r="A516" t="inlineStr">
        <is>
          <t>A 24525-2019</t>
        </is>
      </c>
      <c r="B516" s="1" t="n">
        <v>43598</v>
      </c>
      <c r="C516" s="1" t="n">
        <v>45749</v>
      </c>
      <c r="D516" t="inlineStr">
        <is>
          <t>JÄMTLANDS LÄN</t>
        </is>
      </c>
      <c r="E516" t="inlineStr">
        <is>
          <t>STRÖMSUND</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24162-2019</t>
        </is>
      </c>
      <c r="B517" s="1" t="n">
        <v>43598</v>
      </c>
      <c r="C517" s="1" t="n">
        <v>45749</v>
      </c>
      <c r="D517" t="inlineStr">
        <is>
          <t>JÄMTLANDS LÄN</t>
        </is>
      </c>
      <c r="E517" t="inlineStr">
        <is>
          <t>STRÖMSUND</t>
        </is>
      </c>
      <c r="F517" t="inlineStr">
        <is>
          <t>SCA</t>
        </is>
      </c>
      <c r="G517" t="n">
        <v>18.9</v>
      </c>
      <c r="H517" t="n">
        <v>0</v>
      </c>
      <c r="I517" t="n">
        <v>0</v>
      </c>
      <c r="J517" t="n">
        <v>0</v>
      </c>
      <c r="K517" t="n">
        <v>0</v>
      </c>
      <c r="L517" t="n">
        <v>0</v>
      </c>
      <c r="M517" t="n">
        <v>0</v>
      </c>
      <c r="N517" t="n">
        <v>0</v>
      </c>
      <c r="O517" t="n">
        <v>0</v>
      </c>
      <c r="P517" t="n">
        <v>0</v>
      </c>
      <c r="Q517" t="n">
        <v>0</v>
      </c>
      <c r="R517" s="2" t="inlineStr"/>
    </row>
    <row r="518" ht="15" customHeight="1">
      <c r="A518" t="inlineStr">
        <is>
          <t>A 24787-2019</t>
        </is>
      </c>
      <c r="B518" s="1" t="n">
        <v>43601</v>
      </c>
      <c r="C518" s="1" t="n">
        <v>45749</v>
      </c>
      <c r="D518" t="inlineStr">
        <is>
          <t>JÄMTLANDS LÄN</t>
        </is>
      </c>
      <c r="E518" t="inlineStr">
        <is>
          <t>STRÖMSUND</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25923-2019</t>
        </is>
      </c>
      <c r="B519" s="1" t="n">
        <v>43608</v>
      </c>
      <c r="C519" s="1" t="n">
        <v>45749</v>
      </c>
      <c r="D519" t="inlineStr">
        <is>
          <t>JÄMTLANDS LÄN</t>
        </is>
      </c>
      <c r="E519" t="inlineStr">
        <is>
          <t>STRÖMSUND</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25915-2019</t>
        </is>
      </c>
      <c r="B520" s="1" t="n">
        <v>43608</v>
      </c>
      <c r="C520" s="1" t="n">
        <v>45749</v>
      </c>
      <c r="D520" t="inlineStr">
        <is>
          <t>JÄMTLANDS LÄN</t>
        </is>
      </c>
      <c r="E520" t="inlineStr">
        <is>
          <t>STRÖMSUND</t>
        </is>
      </c>
      <c r="F520" t="inlineStr">
        <is>
          <t>Kommuner</t>
        </is>
      </c>
      <c r="G520" t="n">
        <v>5.7</v>
      </c>
      <c r="H520" t="n">
        <v>0</v>
      </c>
      <c r="I520" t="n">
        <v>0</v>
      </c>
      <c r="J520" t="n">
        <v>0</v>
      </c>
      <c r="K520" t="n">
        <v>0</v>
      </c>
      <c r="L520" t="n">
        <v>0</v>
      </c>
      <c r="M520" t="n">
        <v>0</v>
      </c>
      <c r="N520" t="n">
        <v>0</v>
      </c>
      <c r="O520" t="n">
        <v>0</v>
      </c>
      <c r="P520" t="n">
        <v>0</v>
      </c>
      <c r="Q520" t="n">
        <v>0</v>
      </c>
      <c r="R520" s="2" t="inlineStr"/>
    </row>
    <row r="521" ht="15" customHeight="1">
      <c r="A521" t="inlineStr">
        <is>
          <t>A 25925-2019</t>
        </is>
      </c>
      <c r="B521" s="1" t="n">
        <v>43608</v>
      </c>
      <c r="C521" s="1" t="n">
        <v>45749</v>
      </c>
      <c r="D521" t="inlineStr">
        <is>
          <t>JÄMTLANDS LÄN</t>
        </is>
      </c>
      <c r="E521" t="inlineStr">
        <is>
          <t>STRÖMSUND</t>
        </is>
      </c>
      <c r="F521" t="inlineStr">
        <is>
          <t>Kommuner</t>
        </is>
      </c>
      <c r="G521" t="n">
        <v>12.6</v>
      </c>
      <c r="H521" t="n">
        <v>0</v>
      </c>
      <c r="I521" t="n">
        <v>0</v>
      </c>
      <c r="J521" t="n">
        <v>0</v>
      </c>
      <c r="K521" t="n">
        <v>0</v>
      </c>
      <c r="L521" t="n">
        <v>0</v>
      </c>
      <c r="M521" t="n">
        <v>0</v>
      </c>
      <c r="N521" t="n">
        <v>0</v>
      </c>
      <c r="O521" t="n">
        <v>0</v>
      </c>
      <c r="P521" t="n">
        <v>0</v>
      </c>
      <c r="Q521" t="n">
        <v>0</v>
      </c>
      <c r="R521" s="2" t="inlineStr"/>
    </row>
    <row r="522" ht="15" customHeight="1">
      <c r="A522" t="inlineStr">
        <is>
          <t>A 25910-2019</t>
        </is>
      </c>
      <c r="B522" s="1" t="n">
        <v>43608</v>
      </c>
      <c r="C522" s="1" t="n">
        <v>45749</v>
      </c>
      <c r="D522" t="inlineStr">
        <is>
          <t>JÄMTLANDS LÄN</t>
        </is>
      </c>
      <c r="E522" t="inlineStr">
        <is>
          <t>STRÖMSUND</t>
        </is>
      </c>
      <c r="F522" t="inlineStr">
        <is>
          <t>Kommuner</t>
        </is>
      </c>
      <c r="G522" t="n">
        <v>7</v>
      </c>
      <c r="H522" t="n">
        <v>0</v>
      </c>
      <c r="I522" t="n">
        <v>0</v>
      </c>
      <c r="J522" t="n">
        <v>0</v>
      </c>
      <c r="K522" t="n">
        <v>0</v>
      </c>
      <c r="L522" t="n">
        <v>0</v>
      </c>
      <c r="M522" t="n">
        <v>0</v>
      </c>
      <c r="N522" t="n">
        <v>0</v>
      </c>
      <c r="O522" t="n">
        <v>0</v>
      </c>
      <c r="P522" t="n">
        <v>0</v>
      </c>
      <c r="Q522" t="n">
        <v>0</v>
      </c>
      <c r="R522" s="2" t="inlineStr"/>
    </row>
    <row r="523" ht="15" customHeight="1">
      <c r="A523" t="inlineStr">
        <is>
          <t>A 25918-2019</t>
        </is>
      </c>
      <c r="B523" s="1" t="n">
        <v>43608</v>
      </c>
      <c r="C523" s="1" t="n">
        <v>45749</v>
      </c>
      <c r="D523" t="inlineStr">
        <is>
          <t>JÄMTLANDS LÄN</t>
        </is>
      </c>
      <c r="E523" t="inlineStr">
        <is>
          <t>STRÖMSUND</t>
        </is>
      </c>
      <c r="F523" t="inlineStr">
        <is>
          <t>Kommuner</t>
        </is>
      </c>
      <c r="G523" t="n">
        <v>1.4</v>
      </c>
      <c r="H523" t="n">
        <v>0</v>
      </c>
      <c r="I523" t="n">
        <v>0</v>
      </c>
      <c r="J523" t="n">
        <v>0</v>
      </c>
      <c r="K523" t="n">
        <v>0</v>
      </c>
      <c r="L523" t="n">
        <v>0</v>
      </c>
      <c r="M523" t="n">
        <v>0</v>
      </c>
      <c r="N523" t="n">
        <v>0</v>
      </c>
      <c r="O523" t="n">
        <v>0</v>
      </c>
      <c r="P523" t="n">
        <v>0</v>
      </c>
      <c r="Q523" t="n">
        <v>0</v>
      </c>
      <c r="R523" s="2" t="inlineStr"/>
    </row>
    <row r="524" ht="15" customHeight="1">
      <c r="A524" t="inlineStr">
        <is>
          <t>A 25950-2019</t>
        </is>
      </c>
      <c r="B524" s="1" t="n">
        <v>43608</v>
      </c>
      <c r="C524" s="1" t="n">
        <v>45749</v>
      </c>
      <c r="D524" t="inlineStr">
        <is>
          <t>JÄMTLANDS LÄN</t>
        </is>
      </c>
      <c r="E524" t="inlineStr">
        <is>
          <t>STRÖMSUND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26012-2019</t>
        </is>
      </c>
      <c r="B525" s="1" t="n">
        <v>43608</v>
      </c>
      <c r="C525" s="1" t="n">
        <v>45749</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25921-2019</t>
        </is>
      </c>
      <c r="B526" s="1" t="n">
        <v>43608</v>
      </c>
      <c r="C526" s="1" t="n">
        <v>45749</v>
      </c>
      <c r="D526" t="inlineStr">
        <is>
          <t>JÄMTLANDS LÄN</t>
        </is>
      </c>
      <c r="E526" t="inlineStr">
        <is>
          <t>STRÖMSUND</t>
        </is>
      </c>
      <c r="F526" t="inlineStr">
        <is>
          <t>Kommuner</t>
        </is>
      </c>
      <c r="G526" t="n">
        <v>23.9</v>
      </c>
      <c r="H526" t="n">
        <v>0</v>
      </c>
      <c r="I526" t="n">
        <v>0</v>
      </c>
      <c r="J526" t="n">
        <v>0</v>
      </c>
      <c r="K526" t="n">
        <v>0</v>
      </c>
      <c r="L526" t="n">
        <v>0</v>
      </c>
      <c r="M526" t="n">
        <v>0</v>
      </c>
      <c r="N526" t="n">
        <v>0</v>
      </c>
      <c r="O526" t="n">
        <v>0</v>
      </c>
      <c r="P526" t="n">
        <v>0</v>
      </c>
      <c r="Q526" t="n">
        <v>0</v>
      </c>
      <c r="R526" s="2" t="inlineStr"/>
    </row>
    <row r="527" ht="15" customHeight="1">
      <c r="A527" t="inlineStr">
        <is>
          <t>A 25984-2019</t>
        </is>
      </c>
      <c r="B527" s="1" t="n">
        <v>43608</v>
      </c>
      <c r="C527" s="1" t="n">
        <v>45749</v>
      </c>
      <c r="D527" t="inlineStr">
        <is>
          <t>JÄMTLANDS LÄN</t>
        </is>
      </c>
      <c r="E527" t="inlineStr">
        <is>
          <t>STRÖMSUND</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26252-2019</t>
        </is>
      </c>
      <c r="B528" s="1" t="n">
        <v>43609</v>
      </c>
      <c r="C528" s="1" t="n">
        <v>45749</v>
      </c>
      <c r="D528" t="inlineStr">
        <is>
          <t>JÄMTLANDS LÄN</t>
        </is>
      </c>
      <c r="E528" t="inlineStr">
        <is>
          <t>STRÖMSUND</t>
        </is>
      </c>
      <c r="F528" t="inlineStr">
        <is>
          <t>SCA</t>
        </is>
      </c>
      <c r="G528" t="n">
        <v>10.5</v>
      </c>
      <c r="H528" t="n">
        <v>0</v>
      </c>
      <c r="I528" t="n">
        <v>0</v>
      </c>
      <c r="J528" t="n">
        <v>0</v>
      </c>
      <c r="K528" t="n">
        <v>0</v>
      </c>
      <c r="L528" t="n">
        <v>0</v>
      </c>
      <c r="M528" t="n">
        <v>0</v>
      </c>
      <c r="N528" t="n">
        <v>0</v>
      </c>
      <c r="O528" t="n">
        <v>0</v>
      </c>
      <c r="P528" t="n">
        <v>0</v>
      </c>
      <c r="Q528" t="n">
        <v>0</v>
      </c>
      <c r="R528" s="2" t="inlineStr"/>
    </row>
    <row r="529" ht="15" customHeight="1">
      <c r="A529" t="inlineStr">
        <is>
          <t>A 26251-2019</t>
        </is>
      </c>
      <c r="B529" s="1" t="n">
        <v>43609</v>
      </c>
      <c r="C529" s="1" t="n">
        <v>45749</v>
      </c>
      <c r="D529" t="inlineStr">
        <is>
          <t>JÄMTLANDS LÄN</t>
        </is>
      </c>
      <c r="E529" t="inlineStr">
        <is>
          <t>STRÖMSUND</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27536-2019</t>
        </is>
      </c>
      <c r="B530" s="1" t="n">
        <v>43612</v>
      </c>
      <c r="C530" s="1" t="n">
        <v>45749</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26937-2019</t>
        </is>
      </c>
      <c r="B531" s="1" t="n">
        <v>43613</v>
      </c>
      <c r="C531" s="1" t="n">
        <v>45749</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27249-2019</t>
        </is>
      </c>
      <c r="B532" s="1" t="n">
        <v>43614</v>
      </c>
      <c r="C532" s="1" t="n">
        <v>45749</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27367-2019</t>
        </is>
      </c>
      <c r="B533" s="1" t="n">
        <v>43616</v>
      </c>
      <c r="C533" s="1" t="n">
        <v>45749</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row>
    <row r="534" ht="15" customHeight="1">
      <c r="A534" t="inlineStr">
        <is>
          <t>A 27514-2019</t>
        </is>
      </c>
      <c r="B534" s="1" t="n">
        <v>43619</v>
      </c>
      <c r="C534" s="1" t="n">
        <v>45749</v>
      </c>
      <c r="D534" t="inlineStr">
        <is>
          <t>JÄMTLANDS LÄN</t>
        </is>
      </c>
      <c r="E534" t="inlineStr">
        <is>
          <t>STRÖMSUND</t>
        </is>
      </c>
      <c r="G534" t="n">
        <v>3.6</v>
      </c>
      <c r="H534" t="n">
        <v>0</v>
      </c>
      <c r="I534" t="n">
        <v>0</v>
      </c>
      <c r="J534" t="n">
        <v>0</v>
      </c>
      <c r="K534" t="n">
        <v>0</v>
      </c>
      <c r="L534" t="n">
        <v>0</v>
      </c>
      <c r="M534" t="n">
        <v>0</v>
      </c>
      <c r="N534" t="n">
        <v>0</v>
      </c>
      <c r="O534" t="n">
        <v>0</v>
      </c>
      <c r="P534" t="n">
        <v>0</v>
      </c>
      <c r="Q534" t="n">
        <v>0</v>
      </c>
      <c r="R534" s="2" t="inlineStr"/>
    </row>
    <row r="535" ht="15" customHeight="1">
      <c r="A535" t="inlineStr">
        <is>
          <t>A 27817-2019</t>
        </is>
      </c>
      <c r="B535" s="1" t="n">
        <v>43620</v>
      </c>
      <c r="C535" s="1" t="n">
        <v>45749</v>
      </c>
      <c r="D535" t="inlineStr">
        <is>
          <t>JÄMTLANDS LÄN</t>
        </is>
      </c>
      <c r="E535" t="inlineStr">
        <is>
          <t>STRÖMSUND</t>
        </is>
      </c>
      <c r="G535" t="n">
        <v>0.7</v>
      </c>
      <c r="H535" t="n">
        <v>0</v>
      </c>
      <c r="I535" t="n">
        <v>0</v>
      </c>
      <c r="J535" t="n">
        <v>0</v>
      </c>
      <c r="K535" t="n">
        <v>0</v>
      </c>
      <c r="L535" t="n">
        <v>0</v>
      </c>
      <c r="M535" t="n">
        <v>0</v>
      </c>
      <c r="N535" t="n">
        <v>0</v>
      </c>
      <c r="O535" t="n">
        <v>0</v>
      </c>
      <c r="P535" t="n">
        <v>0</v>
      </c>
      <c r="Q535" t="n">
        <v>0</v>
      </c>
      <c r="R535" s="2" t="inlineStr"/>
    </row>
    <row r="536" ht="15" customHeight="1">
      <c r="A536" t="inlineStr">
        <is>
          <t>A 28215-2019</t>
        </is>
      </c>
      <c r="B536" s="1" t="n">
        <v>43622</v>
      </c>
      <c r="C536" s="1" t="n">
        <v>45749</v>
      </c>
      <c r="D536" t="inlineStr">
        <is>
          <t>JÄMTLANDS LÄN</t>
        </is>
      </c>
      <c r="E536" t="inlineStr">
        <is>
          <t>STRÖMSUND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28766-2019</t>
        </is>
      </c>
      <c r="B537" s="1" t="n">
        <v>43627</v>
      </c>
      <c r="C537" s="1" t="n">
        <v>45749</v>
      </c>
      <c r="D537" t="inlineStr">
        <is>
          <t>JÄMTLANDS LÄN</t>
        </is>
      </c>
      <c r="E537" t="inlineStr">
        <is>
          <t>STRÖMSUND</t>
        </is>
      </c>
      <c r="G537" t="n">
        <v>19.8</v>
      </c>
      <c r="H537" t="n">
        <v>0</v>
      </c>
      <c r="I537" t="n">
        <v>0</v>
      </c>
      <c r="J537" t="n">
        <v>0</v>
      </c>
      <c r="K537" t="n">
        <v>0</v>
      </c>
      <c r="L537" t="n">
        <v>0</v>
      </c>
      <c r="M537" t="n">
        <v>0</v>
      </c>
      <c r="N537" t="n">
        <v>0</v>
      </c>
      <c r="O537" t="n">
        <v>0</v>
      </c>
      <c r="P537" t="n">
        <v>0</v>
      </c>
      <c r="Q537" t="n">
        <v>0</v>
      </c>
      <c r="R537" s="2" t="inlineStr"/>
    </row>
    <row r="538" ht="15" customHeight="1">
      <c r="A538" t="inlineStr">
        <is>
          <t>A 28671-2019</t>
        </is>
      </c>
      <c r="B538" s="1" t="n">
        <v>43627</v>
      </c>
      <c r="C538" s="1" t="n">
        <v>45749</v>
      </c>
      <c r="D538" t="inlineStr">
        <is>
          <t>JÄMTLANDS LÄN</t>
        </is>
      </c>
      <c r="E538" t="inlineStr">
        <is>
          <t>STRÖMSUND</t>
        </is>
      </c>
      <c r="G538" t="n">
        <v>21.3</v>
      </c>
      <c r="H538" t="n">
        <v>0</v>
      </c>
      <c r="I538" t="n">
        <v>0</v>
      </c>
      <c r="J538" t="n">
        <v>0</v>
      </c>
      <c r="K538" t="n">
        <v>0</v>
      </c>
      <c r="L538" t="n">
        <v>0</v>
      </c>
      <c r="M538" t="n">
        <v>0</v>
      </c>
      <c r="N538" t="n">
        <v>0</v>
      </c>
      <c r="O538" t="n">
        <v>0</v>
      </c>
      <c r="P538" t="n">
        <v>0</v>
      </c>
      <c r="Q538" t="n">
        <v>0</v>
      </c>
      <c r="R538" s="2" t="inlineStr"/>
    </row>
    <row r="539" ht="15" customHeight="1">
      <c r="A539" t="inlineStr">
        <is>
          <t>A 29166-2019</t>
        </is>
      </c>
      <c r="B539" s="1" t="n">
        <v>43628</v>
      </c>
      <c r="C539" s="1" t="n">
        <v>45749</v>
      </c>
      <c r="D539" t="inlineStr">
        <is>
          <t>JÄMTLANDS LÄN</t>
        </is>
      </c>
      <c r="E539" t="inlineStr">
        <is>
          <t>STRÖMSUND</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29359-2019</t>
        </is>
      </c>
      <c r="B540" s="1" t="n">
        <v>43629</v>
      </c>
      <c r="C540" s="1" t="n">
        <v>45749</v>
      </c>
      <c r="D540" t="inlineStr">
        <is>
          <t>JÄMTLANDS LÄN</t>
        </is>
      </c>
      <c r="E540" t="inlineStr">
        <is>
          <t>STRÖMSUND</t>
        </is>
      </c>
      <c r="G540" t="n">
        <v>3</v>
      </c>
      <c r="H540" t="n">
        <v>0</v>
      </c>
      <c r="I540" t="n">
        <v>0</v>
      </c>
      <c r="J540" t="n">
        <v>0</v>
      </c>
      <c r="K540" t="n">
        <v>0</v>
      </c>
      <c r="L540" t="n">
        <v>0</v>
      </c>
      <c r="M540" t="n">
        <v>0</v>
      </c>
      <c r="N540" t="n">
        <v>0</v>
      </c>
      <c r="O540" t="n">
        <v>0</v>
      </c>
      <c r="P540" t="n">
        <v>0</v>
      </c>
      <c r="Q540" t="n">
        <v>0</v>
      </c>
      <c r="R540" s="2" t="inlineStr"/>
    </row>
    <row r="541" ht="15" customHeight="1">
      <c r="A541" t="inlineStr">
        <is>
          <t>A 29378-2019</t>
        </is>
      </c>
      <c r="B541" s="1" t="n">
        <v>43629</v>
      </c>
      <c r="C541" s="1" t="n">
        <v>45749</v>
      </c>
      <c r="D541" t="inlineStr">
        <is>
          <t>JÄMTLANDS LÄN</t>
        </is>
      </c>
      <c r="E541" t="inlineStr">
        <is>
          <t>STRÖMSUND</t>
        </is>
      </c>
      <c r="G541" t="n">
        <v>33.5</v>
      </c>
      <c r="H541" t="n">
        <v>0</v>
      </c>
      <c r="I541" t="n">
        <v>0</v>
      </c>
      <c r="J541" t="n">
        <v>0</v>
      </c>
      <c r="K541" t="n">
        <v>0</v>
      </c>
      <c r="L541" t="n">
        <v>0</v>
      </c>
      <c r="M541" t="n">
        <v>0</v>
      </c>
      <c r="N541" t="n">
        <v>0</v>
      </c>
      <c r="O541" t="n">
        <v>0</v>
      </c>
      <c r="P541" t="n">
        <v>0</v>
      </c>
      <c r="Q541" t="n">
        <v>0</v>
      </c>
      <c r="R541" s="2" t="inlineStr"/>
    </row>
    <row r="542" ht="15" customHeight="1">
      <c r="A542" t="inlineStr">
        <is>
          <t>A 29740-2019</t>
        </is>
      </c>
      <c r="B542" s="1" t="n">
        <v>43630</v>
      </c>
      <c r="C542" s="1" t="n">
        <v>45749</v>
      </c>
      <c r="D542" t="inlineStr">
        <is>
          <t>JÄMTLANDS LÄN</t>
        </is>
      </c>
      <c r="E542" t="inlineStr">
        <is>
          <t>STRÖMSUND</t>
        </is>
      </c>
      <c r="F542" t="inlineStr">
        <is>
          <t>SCA</t>
        </is>
      </c>
      <c r="G542" t="n">
        <v>62.8</v>
      </c>
      <c r="H542" t="n">
        <v>0</v>
      </c>
      <c r="I542" t="n">
        <v>0</v>
      </c>
      <c r="J542" t="n">
        <v>0</v>
      </c>
      <c r="K542" t="n">
        <v>0</v>
      </c>
      <c r="L542" t="n">
        <v>0</v>
      </c>
      <c r="M542" t="n">
        <v>0</v>
      </c>
      <c r="N542" t="n">
        <v>0</v>
      </c>
      <c r="O542" t="n">
        <v>0</v>
      </c>
      <c r="P542" t="n">
        <v>0</v>
      </c>
      <c r="Q542" t="n">
        <v>0</v>
      </c>
      <c r="R542" s="2" t="inlineStr"/>
    </row>
    <row r="543" ht="15" customHeight="1">
      <c r="A543" t="inlineStr">
        <is>
          <t>A 30136-2019</t>
        </is>
      </c>
      <c r="B543" s="1" t="n">
        <v>43634</v>
      </c>
      <c r="C543" s="1" t="n">
        <v>45749</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30378-2019</t>
        </is>
      </c>
      <c r="B544" s="1" t="n">
        <v>43634</v>
      </c>
      <c r="C544" s="1" t="n">
        <v>45749</v>
      </c>
      <c r="D544" t="inlineStr">
        <is>
          <t>JÄMTLANDS LÄN</t>
        </is>
      </c>
      <c r="E544" t="inlineStr">
        <is>
          <t>STRÖMSUND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30139-2019</t>
        </is>
      </c>
      <c r="B545" s="1" t="n">
        <v>43634</v>
      </c>
      <c r="C545" s="1" t="n">
        <v>45749</v>
      </c>
      <c r="D545" t="inlineStr">
        <is>
          <t>JÄMTLANDS LÄN</t>
        </is>
      </c>
      <c r="E545" t="inlineStr">
        <is>
          <t>STRÖMSUND</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30915-2019</t>
        </is>
      </c>
      <c r="B546" s="1" t="n">
        <v>43636</v>
      </c>
      <c r="C546" s="1" t="n">
        <v>45749</v>
      </c>
      <c r="D546" t="inlineStr">
        <is>
          <t>JÄMTLANDS LÄN</t>
        </is>
      </c>
      <c r="E546" t="inlineStr">
        <is>
          <t>STRÖMSUND</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32482-2019</t>
        </is>
      </c>
      <c r="B547" s="1" t="n">
        <v>43644</v>
      </c>
      <c r="C547" s="1" t="n">
        <v>45749</v>
      </c>
      <c r="D547" t="inlineStr">
        <is>
          <t>JÄMTLANDS LÄN</t>
        </is>
      </c>
      <c r="E547" t="inlineStr">
        <is>
          <t>STRÖMSUND</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32739-2019</t>
        </is>
      </c>
      <c r="B548" s="1" t="n">
        <v>43647</v>
      </c>
      <c r="C548" s="1" t="n">
        <v>45749</v>
      </c>
      <c r="D548" t="inlineStr">
        <is>
          <t>JÄMTLANDS LÄN</t>
        </is>
      </c>
      <c r="E548" t="inlineStr">
        <is>
          <t>STRÖMSUND</t>
        </is>
      </c>
      <c r="F548" t="inlineStr">
        <is>
          <t>SCA</t>
        </is>
      </c>
      <c r="G548" t="n">
        <v>174.6</v>
      </c>
      <c r="H548" t="n">
        <v>0</v>
      </c>
      <c r="I548" t="n">
        <v>0</v>
      </c>
      <c r="J548" t="n">
        <v>0</v>
      </c>
      <c r="K548" t="n">
        <v>0</v>
      </c>
      <c r="L548" t="n">
        <v>0</v>
      </c>
      <c r="M548" t="n">
        <v>0</v>
      </c>
      <c r="N548" t="n">
        <v>0</v>
      </c>
      <c r="O548" t="n">
        <v>0</v>
      </c>
      <c r="P548" t="n">
        <v>0</v>
      </c>
      <c r="Q548" t="n">
        <v>0</v>
      </c>
      <c r="R548" s="2" t="inlineStr"/>
    </row>
    <row r="549" ht="15" customHeight="1">
      <c r="A549" t="inlineStr">
        <is>
          <t>A 32748-2019</t>
        </is>
      </c>
      <c r="B549" s="1" t="n">
        <v>43647</v>
      </c>
      <c r="C549" s="1" t="n">
        <v>45749</v>
      </c>
      <c r="D549" t="inlineStr">
        <is>
          <t>JÄMTLANDS LÄN</t>
        </is>
      </c>
      <c r="E549" t="inlineStr">
        <is>
          <t>STRÖMSUND</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32974-2019</t>
        </is>
      </c>
      <c r="B550" s="1" t="n">
        <v>43648</v>
      </c>
      <c r="C550" s="1" t="n">
        <v>45749</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32973-2019</t>
        </is>
      </c>
      <c r="B551" s="1" t="n">
        <v>43648</v>
      </c>
      <c r="C551" s="1" t="n">
        <v>45749</v>
      </c>
      <c r="D551" t="inlineStr">
        <is>
          <t>JÄMTLANDS LÄN</t>
        </is>
      </c>
      <c r="E551" t="inlineStr">
        <is>
          <t>STRÖMSUND</t>
        </is>
      </c>
      <c r="G551" t="n">
        <v>3.5</v>
      </c>
      <c r="H551" t="n">
        <v>0</v>
      </c>
      <c r="I551" t="n">
        <v>0</v>
      </c>
      <c r="J551" t="n">
        <v>0</v>
      </c>
      <c r="K551" t="n">
        <v>0</v>
      </c>
      <c r="L551" t="n">
        <v>0</v>
      </c>
      <c r="M551" t="n">
        <v>0</v>
      </c>
      <c r="N551" t="n">
        <v>0</v>
      </c>
      <c r="O551" t="n">
        <v>0</v>
      </c>
      <c r="P551" t="n">
        <v>0</v>
      </c>
      <c r="Q551" t="n">
        <v>0</v>
      </c>
      <c r="R551" s="2" t="inlineStr"/>
    </row>
    <row r="552" ht="15" customHeight="1">
      <c r="A552" t="inlineStr">
        <is>
          <t>A 32971-2019</t>
        </is>
      </c>
      <c r="B552" s="1" t="n">
        <v>43648</v>
      </c>
      <c r="C552" s="1" t="n">
        <v>45749</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32975-2019</t>
        </is>
      </c>
      <c r="B553" s="1" t="n">
        <v>43648</v>
      </c>
      <c r="C553" s="1" t="n">
        <v>45749</v>
      </c>
      <c r="D553" t="inlineStr">
        <is>
          <t>JÄMTLANDS LÄN</t>
        </is>
      </c>
      <c r="E553" t="inlineStr">
        <is>
          <t>STRÖMSUND</t>
        </is>
      </c>
      <c r="G553" t="n">
        <v>2.3</v>
      </c>
      <c r="H553" t="n">
        <v>0</v>
      </c>
      <c r="I553" t="n">
        <v>0</v>
      </c>
      <c r="J553" t="n">
        <v>0</v>
      </c>
      <c r="K553" t="n">
        <v>0</v>
      </c>
      <c r="L553" t="n">
        <v>0</v>
      </c>
      <c r="M553" t="n">
        <v>0</v>
      </c>
      <c r="N553" t="n">
        <v>0</v>
      </c>
      <c r="O553" t="n">
        <v>0</v>
      </c>
      <c r="P553" t="n">
        <v>0</v>
      </c>
      <c r="Q553" t="n">
        <v>0</v>
      </c>
      <c r="R553" s="2" t="inlineStr"/>
    </row>
    <row r="554" ht="15" customHeight="1">
      <c r="A554" t="inlineStr">
        <is>
          <t>A 34758-2019</t>
        </is>
      </c>
      <c r="B554" s="1" t="n">
        <v>43649</v>
      </c>
      <c r="C554" s="1" t="n">
        <v>45749</v>
      </c>
      <c r="D554" t="inlineStr">
        <is>
          <t>JÄMTLANDS LÄN</t>
        </is>
      </c>
      <c r="E554" t="inlineStr">
        <is>
          <t>STRÖMSUND</t>
        </is>
      </c>
      <c r="G554" t="n">
        <v>2.2</v>
      </c>
      <c r="H554" t="n">
        <v>0</v>
      </c>
      <c r="I554" t="n">
        <v>0</v>
      </c>
      <c r="J554" t="n">
        <v>0</v>
      </c>
      <c r="K554" t="n">
        <v>0</v>
      </c>
      <c r="L554" t="n">
        <v>0</v>
      </c>
      <c r="M554" t="n">
        <v>0</v>
      </c>
      <c r="N554" t="n">
        <v>0</v>
      </c>
      <c r="O554" t="n">
        <v>0</v>
      </c>
      <c r="P554" t="n">
        <v>0</v>
      </c>
      <c r="Q554" t="n">
        <v>0</v>
      </c>
      <c r="R554" s="2" t="inlineStr"/>
    </row>
    <row r="555" ht="15" customHeight="1">
      <c r="A555" t="inlineStr">
        <is>
          <t>A 33538-2019</t>
        </is>
      </c>
      <c r="B555" s="1" t="n">
        <v>43651</v>
      </c>
      <c r="C555" s="1" t="n">
        <v>45749</v>
      </c>
      <c r="D555" t="inlineStr">
        <is>
          <t>JÄMTLANDS LÄN</t>
        </is>
      </c>
      <c r="E555" t="inlineStr">
        <is>
          <t>STRÖMSUND</t>
        </is>
      </c>
      <c r="F555" t="inlineStr">
        <is>
          <t>Holmen skog AB</t>
        </is>
      </c>
      <c r="G555" t="n">
        <v>15.6</v>
      </c>
      <c r="H555" t="n">
        <v>0</v>
      </c>
      <c r="I555" t="n">
        <v>0</v>
      </c>
      <c r="J555" t="n">
        <v>0</v>
      </c>
      <c r="K555" t="n">
        <v>0</v>
      </c>
      <c r="L555" t="n">
        <v>0</v>
      </c>
      <c r="M555" t="n">
        <v>0</v>
      </c>
      <c r="N555" t="n">
        <v>0</v>
      </c>
      <c r="O555" t="n">
        <v>0</v>
      </c>
      <c r="P555" t="n">
        <v>0</v>
      </c>
      <c r="Q555" t="n">
        <v>0</v>
      </c>
      <c r="R555" s="2" t="inlineStr"/>
    </row>
    <row r="556" ht="15" customHeight="1">
      <c r="A556" t="inlineStr">
        <is>
          <t>A 33701-2019</t>
        </is>
      </c>
      <c r="B556" s="1" t="n">
        <v>43651</v>
      </c>
      <c r="C556" s="1" t="n">
        <v>45749</v>
      </c>
      <c r="D556" t="inlineStr">
        <is>
          <t>JÄMTLANDS LÄN</t>
        </is>
      </c>
      <c r="E556" t="inlineStr">
        <is>
          <t>STRÖMSUND</t>
        </is>
      </c>
      <c r="F556" t="inlineStr">
        <is>
          <t>Holmen skog AB</t>
        </is>
      </c>
      <c r="G556" t="n">
        <v>21.7</v>
      </c>
      <c r="H556" t="n">
        <v>0</v>
      </c>
      <c r="I556" t="n">
        <v>0</v>
      </c>
      <c r="J556" t="n">
        <v>0</v>
      </c>
      <c r="K556" t="n">
        <v>0</v>
      </c>
      <c r="L556" t="n">
        <v>0</v>
      </c>
      <c r="M556" t="n">
        <v>0</v>
      </c>
      <c r="N556" t="n">
        <v>0</v>
      </c>
      <c r="O556" t="n">
        <v>0</v>
      </c>
      <c r="P556" t="n">
        <v>0</v>
      </c>
      <c r="Q556" t="n">
        <v>0</v>
      </c>
      <c r="R556" s="2" t="inlineStr"/>
    </row>
    <row r="557" ht="15" customHeight="1">
      <c r="A557" t="inlineStr">
        <is>
          <t>A 33825-2019</t>
        </is>
      </c>
      <c r="B557" s="1" t="n">
        <v>43651</v>
      </c>
      <c r="C557" s="1" t="n">
        <v>45749</v>
      </c>
      <c r="D557" t="inlineStr">
        <is>
          <t>JÄMTLANDS LÄN</t>
        </is>
      </c>
      <c r="E557" t="inlineStr">
        <is>
          <t>STRÖMSUND</t>
        </is>
      </c>
      <c r="F557" t="inlineStr">
        <is>
          <t>SCA</t>
        </is>
      </c>
      <c r="G557" t="n">
        <v>15.6</v>
      </c>
      <c r="H557" t="n">
        <v>0</v>
      </c>
      <c r="I557" t="n">
        <v>0</v>
      </c>
      <c r="J557" t="n">
        <v>0</v>
      </c>
      <c r="K557" t="n">
        <v>0</v>
      </c>
      <c r="L557" t="n">
        <v>0</v>
      </c>
      <c r="M557" t="n">
        <v>0</v>
      </c>
      <c r="N557" t="n">
        <v>0</v>
      </c>
      <c r="O557" t="n">
        <v>0</v>
      </c>
      <c r="P557" t="n">
        <v>0</v>
      </c>
      <c r="Q557" t="n">
        <v>0</v>
      </c>
      <c r="R557" s="2" t="inlineStr"/>
    </row>
    <row r="558" ht="15" customHeight="1">
      <c r="A558" t="inlineStr">
        <is>
          <t>A 33552-2019</t>
        </is>
      </c>
      <c r="B558" s="1" t="n">
        <v>43651</v>
      </c>
      <c r="C558" s="1" t="n">
        <v>45749</v>
      </c>
      <c r="D558" t="inlineStr">
        <is>
          <t>JÄMTLANDS LÄN</t>
        </is>
      </c>
      <c r="E558" t="inlineStr">
        <is>
          <t>STRÖMSUND</t>
        </is>
      </c>
      <c r="F558" t="inlineStr">
        <is>
          <t>Holmen skog AB</t>
        </is>
      </c>
      <c r="G558" t="n">
        <v>15.9</v>
      </c>
      <c r="H558" t="n">
        <v>0</v>
      </c>
      <c r="I558" t="n">
        <v>0</v>
      </c>
      <c r="J558" t="n">
        <v>0</v>
      </c>
      <c r="K558" t="n">
        <v>0</v>
      </c>
      <c r="L558" t="n">
        <v>0</v>
      </c>
      <c r="M558" t="n">
        <v>0</v>
      </c>
      <c r="N558" t="n">
        <v>0</v>
      </c>
      <c r="O558" t="n">
        <v>0</v>
      </c>
      <c r="P558" t="n">
        <v>0</v>
      </c>
      <c r="Q558" t="n">
        <v>0</v>
      </c>
      <c r="R558" s="2" t="inlineStr"/>
    </row>
    <row r="559" ht="15" customHeight="1">
      <c r="A559" t="inlineStr">
        <is>
          <t>A 34125-2019</t>
        </is>
      </c>
      <c r="B559" s="1" t="n">
        <v>43654</v>
      </c>
      <c r="C559" s="1" t="n">
        <v>45749</v>
      </c>
      <c r="D559" t="inlineStr">
        <is>
          <t>JÄMTLANDS LÄN</t>
        </is>
      </c>
      <c r="E559" t="inlineStr">
        <is>
          <t>STRÖMSUND</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34144-2019</t>
        </is>
      </c>
      <c r="B560" s="1" t="n">
        <v>43655</v>
      </c>
      <c r="C560" s="1" t="n">
        <v>45749</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34156-2019</t>
        </is>
      </c>
      <c r="B561" s="1" t="n">
        <v>43655</v>
      </c>
      <c r="C561" s="1" t="n">
        <v>45749</v>
      </c>
      <c r="D561" t="inlineStr">
        <is>
          <t>JÄMTLANDS LÄN</t>
        </is>
      </c>
      <c r="E561" t="inlineStr">
        <is>
          <t>STRÖMSUND</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34152-2019</t>
        </is>
      </c>
      <c r="B562" s="1" t="n">
        <v>43655</v>
      </c>
      <c r="C562" s="1" t="n">
        <v>45749</v>
      </c>
      <c r="D562" t="inlineStr">
        <is>
          <t>JÄMTLANDS LÄN</t>
        </is>
      </c>
      <c r="E562" t="inlineStr">
        <is>
          <t>STRÖMSUND</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34233-2019</t>
        </is>
      </c>
      <c r="B563" s="1" t="n">
        <v>43655</v>
      </c>
      <c r="C563" s="1" t="n">
        <v>45749</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34146-2019</t>
        </is>
      </c>
      <c r="B564" s="1" t="n">
        <v>43655</v>
      </c>
      <c r="C564" s="1" t="n">
        <v>45749</v>
      </c>
      <c r="D564" t="inlineStr">
        <is>
          <t>JÄMTLANDS LÄN</t>
        </is>
      </c>
      <c r="E564" t="inlineStr">
        <is>
          <t>STRÖMSUND</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35674-2019</t>
        </is>
      </c>
      <c r="B565" s="1" t="n">
        <v>43655</v>
      </c>
      <c r="C565" s="1" t="n">
        <v>45749</v>
      </c>
      <c r="D565" t="inlineStr">
        <is>
          <t>JÄMTLANDS LÄN</t>
        </is>
      </c>
      <c r="E565" t="inlineStr">
        <is>
          <t>STRÖMSUND</t>
        </is>
      </c>
      <c r="G565" t="n">
        <v>2.8</v>
      </c>
      <c r="H565" t="n">
        <v>0</v>
      </c>
      <c r="I565" t="n">
        <v>0</v>
      </c>
      <c r="J565" t="n">
        <v>0</v>
      </c>
      <c r="K565" t="n">
        <v>0</v>
      </c>
      <c r="L565" t="n">
        <v>0</v>
      </c>
      <c r="M565" t="n">
        <v>0</v>
      </c>
      <c r="N565" t="n">
        <v>0</v>
      </c>
      <c r="O565" t="n">
        <v>0</v>
      </c>
      <c r="P565" t="n">
        <v>0</v>
      </c>
      <c r="Q565" t="n">
        <v>0</v>
      </c>
      <c r="R565" s="2" t="inlineStr"/>
    </row>
    <row r="566" ht="15" customHeight="1">
      <c r="A566" t="inlineStr">
        <is>
          <t>A 34219-2019</t>
        </is>
      </c>
      <c r="B566" s="1" t="n">
        <v>43655</v>
      </c>
      <c r="C566" s="1" t="n">
        <v>45749</v>
      </c>
      <c r="D566" t="inlineStr">
        <is>
          <t>JÄMTLANDS LÄN</t>
        </is>
      </c>
      <c r="E566" t="inlineStr">
        <is>
          <t>STRÖMSUND</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34741-2019</t>
        </is>
      </c>
      <c r="B567" s="1" t="n">
        <v>43657</v>
      </c>
      <c r="C567" s="1" t="n">
        <v>45749</v>
      </c>
      <c r="D567" t="inlineStr">
        <is>
          <t>JÄMTLANDS LÄN</t>
        </is>
      </c>
      <c r="E567" t="inlineStr">
        <is>
          <t>STRÖMSUND</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36193-2019</t>
        </is>
      </c>
      <c r="B568" s="1" t="n">
        <v>43657</v>
      </c>
      <c r="C568" s="1" t="n">
        <v>45749</v>
      </c>
      <c r="D568" t="inlineStr">
        <is>
          <t>JÄMTLANDS LÄN</t>
        </is>
      </c>
      <c r="E568" t="inlineStr">
        <is>
          <t>STRÖMSUND</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34794-2019</t>
        </is>
      </c>
      <c r="B569" s="1" t="n">
        <v>43658</v>
      </c>
      <c r="C569" s="1" t="n">
        <v>45749</v>
      </c>
      <c r="D569" t="inlineStr">
        <is>
          <t>JÄMTLANDS LÄN</t>
        </is>
      </c>
      <c r="E569" t="inlineStr">
        <is>
          <t>STRÖMSUND</t>
        </is>
      </c>
      <c r="F569" t="inlineStr">
        <is>
          <t>Sveaskog</t>
        </is>
      </c>
      <c r="G569" t="n">
        <v>9.5</v>
      </c>
      <c r="H569" t="n">
        <v>0</v>
      </c>
      <c r="I569" t="n">
        <v>0</v>
      </c>
      <c r="J569" t="n">
        <v>0</v>
      </c>
      <c r="K569" t="n">
        <v>0</v>
      </c>
      <c r="L569" t="n">
        <v>0</v>
      </c>
      <c r="M569" t="n">
        <v>0</v>
      </c>
      <c r="N569" t="n">
        <v>0</v>
      </c>
      <c r="O569" t="n">
        <v>0</v>
      </c>
      <c r="P569" t="n">
        <v>0</v>
      </c>
      <c r="Q569" t="n">
        <v>0</v>
      </c>
      <c r="R569" s="2" t="inlineStr"/>
    </row>
    <row r="570" ht="15" customHeight="1">
      <c r="A570" t="inlineStr">
        <is>
          <t>A 35323-2019</t>
        </is>
      </c>
      <c r="B570" s="1" t="n">
        <v>43662</v>
      </c>
      <c r="C570" s="1" t="n">
        <v>45749</v>
      </c>
      <c r="D570" t="inlineStr">
        <is>
          <t>JÄMTLANDS LÄN</t>
        </is>
      </c>
      <c r="E570" t="inlineStr">
        <is>
          <t>STRÖMSUND</t>
        </is>
      </c>
      <c r="F570" t="inlineStr">
        <is>
          <t>SCA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35472-2019</t>
        </is>
      </c>
      <c r="B571" s="1" t="n">
        <v>43663</v>
      </c>
      <c r="C571" s="1" t="n">
        <v>45749</v>
      </c>
      <c r="D571" t="inlineStr">
        <is>
          <t>JÄMTLANDS LÄN</t>
        </is>
      </c>
      <c r="E571" t="inlineStr">
        <is>
          <t>STRÖMSUND</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35442-2019</t>
        </is>
      </c>
      <c r="B572" s="1" t="n">
        <v>43663</v>
      </c>
      <c r="C572" s="1" t="n">
        <v>45749</v>
      </c>
      <c r="D572" t="inlineStr">
        <is>
          <t>JÄMTLANDS LÄN</t>
        </is>
      </c>
      <c r="E572" t="inlineStr">
        <is>
          <t>STRÖMSUND</t>
        </is>
      </c>
      <c r="F572" t="inlineStr">
        <is>
          <t>Holmen skog AB</t>
        </is>
      </c>
      <c r="G572" t="n">
        <v>5</v>
      </c>
      <c r="H572" t="n">
        <v>0</v>
      </c>
      <c r="I572" t="n">
        <v>0</v>
      </c>
      <c r="J572" t="n">
        <v>0</v>
      </c>
      <c r="K572" t="n">
        <v>0</v>
      </c>
      <c r="L572" t="n">
        <v>0</v>
      </c>
      <c r="M572" t="n">
        <v>0</v>
      </c>
      <c r="N572" t="n">
        <v>0</v>
      </c>
      <c r="O572" t="n">
        <v>0</v>
      </c>
      <c r="P572" t="n">
        <v>0</v>
      </c>
      <c r="Q572" t="n">
        <v>0</v>
      </c>
      <c r="R572" s="2" t="inlineStr"/>
    </row>
    <row r="573" ht="15" customHeight="1">
      <c r="A573" t="inlineStr">
        <is>
          <t>A 35621-2019</t>
        </is>
      </c>
      <c r="B573" s="1" t="n">
        <v>43664</v>
      </c>
      <c r="C573" s="1" t="n">
        <v>45749</v>
      </c>
      <c r="D573" t="inlineStr">
        <is>
          <t>JÄMTLANDS LÄN</t>
        </is>
      </c>
      <c r="E573" t="inlineStr">
        <is>
          <t>STRÖMSUND</t>
        </is>
      </c>
      <c r="G573" t="n">
        <v>35.5</v>
      </c>
      <c r="H573" t="n">
        <v>0</v>
      </c>
      <c r="I573" t="n">
        <v>0</v>
      </c>
      <c r="J573" t="n">
        <v>0</v>
      </c>
      <c r="K573" t="n">
        <v>0</v>
      </c>
      <c r="L573" t="n">
        <v>0</v>
      </c>
      <c r="M573" t="n">
        <v>0</v>
      </c>
      <c r="N573" t="n">
        <v>0</v>
      </c>
      <c r="O573" t="n">
        <v>0</v>
      </c>
      <c r="P573" t="n">
        <v>0</v>
      </c>
      <c r="Q573" t="n">
        <v>0</v>
      </c>
      <c r="R573" s="2" t="inlineStr"/>
    </row>
    <row r="574" ht="15" customHeight="1">
      <c r="A574" t="inlineStr">
        <is>
          <t>A 37879-2019</t>
        </is>
      </c>
      <c r="B574" s="1" t="n">
        <v>43682</v>
      </c>
      <c r="C574" s="1" t="n">
        <v>45749</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37880-2019</t>
        </is>
      </c>
      <c r="B575" s="1" t="n">
        <v>43682</v>
      </c>
      <c r="C575" s="1" t="n">
        <v>45749</v>
      </c>
      <c r="D575" t="inlineStr">
        <is>
          <t>JÄMTLANDS LÄN</t>
        </is>
      </c>
      <c r="E575" t="inlineStr">
        <is>
          <t>STRÖMSUND</t>
        </is>
      </c>
      <c r="G575" t="n">
        <v>3.9</v>
      </c>
      <c r="H575" t="n">
        <v>0</v>
      </c>
      <c r="I575" t="n">
        <v>0</v>
      </c>
      <c r="J575" t="n">
        <v>0</v>
      </c>
      <c r="K575" t="n">
        <v>0</v>
      </c>
      <c r="L575" t="n">
        <v>0</v>
      </c>
      <c r="M575" t="n">
        <v>0</v>
      </c>
      <c r="N575" t="n">
        <v>0</v>
      </c>
      <c r="O575" t="n">
        <v>0</v>
      </c>
      <c r="P575" t="n">
        <v>0</v>
      </c>
      <c r="Q575" t="n">
        <v>0</v>
      </c>
      <c r="R575" s="2" t="inlineStr"/>
    </row>
    <row r="576" ht="15" customHeight="1">
      <c r="A576" t="inlineStr">
        <is>
          <t>A 38122-2019</t>
        </is>
      </c>
      <c r="B576" s="1" t="n">
        <v>43683</v>
      </c>
      <c r="C576" s="1" t="n">
        <v>45749</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38312-2019</t>
        </is>
      </c>
      <c r="B577" s="1" t="n">
        <v>43684</v>
      </c>
      <c r="C577" s="1" t="n">
        <v>45749</v>
      </c>
      <c r="D577" t="inlineStr">
        <is>
          <t>JÄMTLANDS LÄN</t>
        </is>
      </c>
      <c r="E577" t="inlineStr">
        <is>
          <t>STRÖMSUND</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38578-2019</t>
        </is>
      </c>
      <c r="B578" s="1" t="n">
        <v>43685</v>
      </c>
      <c r="C578" s="1" t="n">
        <v>45749</v>
      </c>
      <c r="D578" t="inlineStr">
        <is>
          <t>JÄMTLANDS LÄN</t>
        </is>
      </c>
      <c r="E578" t="inlineStr">
        <is>
          <t>STRÖMSUND</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38577-2019</t>
        </is>
      </c>
      <c r="B579" s="1" t="n">
        <v>43685</v>
      </c>
      <c r="C579" s="1" t="n">
        <v>45749</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39129-2019</t>
        </is>
      </c>
      <c r="B580" s="1" t="n">
        <v>43689</v>
      </c>
      <c r="C580" s="1" t="n">
        <v>45749</v>
      </c>
      <c r="D580" t="inlineStr">
        <is>
          <t>JÄMTLANDS LÄN</t>
        </is>
      </c>
      <c r="E580" t="inlineStr">
        <is>
          <t>STRÖMSUND</t>
        </is>
      </c>
      <c r="F580" t="inlineStr">
        <is>
          <t>SCA</t>
        </is>
      </c>
      <c r="G580" t="n">
        <v>67.2</v>
      </c>
      <c r="H580" t="n">
        <v>0</v>
      </c>
      <c r="I580" t="n">
        <v>0</v>
      </c>
      <c r="J580" t="n">
        <v>0</v>
      </c>
      <c r="K580" t="n">
        <v>0</v>
      </c>
      <c r="L580" t="n">
        <v>0</v>
      </c>
      <c r="M580" t="n">
        <v>0</v>
      </c>
      <c r="N580" t="n">
        <v>0</v>
      </c>
      <c r="O580" t="n">
        <v>0</v>
      </c>
      <c r="P580" t="n">
        <v>0</v>
      </c>
      <c r="Q580" t="n">
        <v>0</v>
      </c>
      <c r="R580" s="2" t="inlineStr"/>
    </row>
    <row r="581" ht="15" customHeight="1">
      <c r="A581" t="inlineStr">
        <is>
          <t>A 39226-2019</t>
        </is>
      </c>
      <c r="B581" s="1" t="n">
        <v>43690</v>
      </c>
      <c r="C581" s="1" t="n">
        <v>45749</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39282-2019</t>
        </is>
      </c>
      <c r="B582" s="1" t="n">
        <v>43690</v>
      </c>
      <c r="C582" s="1" t="n">
        <v>45749</v>
      </c>
      <c r="D582" t="inlineStr">
        <is>
          <t>JÄMTLANDS LÄN</t>
        </is>
      </c>
      <c r="E582" t="inlineStr">
        <is>
          <t>STRÖMSUND</t>
        </is>
      </c>
      <c r="F582" t="inlineStr">
        <is>
          <t>Holmen skog AB</t>
        </is>
      </c>
      <c r="G582" t="n">
        <v>21.2</v>
      </c>
      <c r="H582" t="n">
        <v>0</v>
      </c>
      <c r="I582" t="n">
        <v>0</v>
      </c>
      <c r="J582" t="n">
        <v>0</v>
      </c>
      <c r="K582" t="n">
        <v>0</v>
      </c>
      <c r="L582" t="n">
        <v>0</v>
      </c>
      <c r="M582" t="n">
        <v>0</v>
      </c>
      <c r="N582" t="n">
        <v>0</v>
      </c>
      <c r="O582" t="n">
        <v>0</v>
      </c>
      <c r="P582" t="n">
        <v>0</v>
      </c>
      <c r="Q582" t="n">
        <v>0</v>
      </c>
      <c r="R582" s="2" t="inlineStr"/>
    </row>
    <row r="583" ht="15" customHeight="1">
      <c r="A583" t="inlineStr">
        <is>
          <t>A 40509-2019</t>
        </is>
      </c>
      <c r="B583" s="1" t="n">
        <v>43696</v>
      </c>
      <c r="C583" s="1" t="n">
        <v>45749</v>
      </c>
      <c r="D583" t="inlineStr">
        <is>
          <t>JÄMTLANDS LÄN</t>
        </is>
      </c>
      <c r="E583" t="inlineStr">
        <is>
          <t>STRÖMSUND</t>
        </is>
      </c>
      <c r="G583" t="n">
        <v>16.4</v>
      </c>
      <c r="H583" t="n">
        <v>0</v>
      </c>
      <c r="I583" t="n">
        <v>0</v>
      </c>
      <c r="J583" t="n">
        <v>0</v>
      </c>
      <c r="K583" t="n">
        <v>0</v>
      </c>
      <c r="L583" t="n">
        <v>0</v>
      </c>
      <c r="M583" t="n">
        <v>0</v>
      </c>
      <c r="N583" t="n">
        <v>0</v>
      </c>
      <c r="O583" t="n">
        <v>0</v>
      </c>
      <c r="P583" t="n">
        <v>0</v>
      </c>
      <c r="Q583" t="n">
        <v>0</v>
      </c>
      <c r="R583" s="2" t="inlineStr"/>
    </row>
    <row r="584" ht="15" customHeight="1">
      <c r="A584" t="inlineStr">
        <is>
          <t>A 40661-2019</t>
        </is>
      </c>
      <c r="B584" s="1" t="n">
        <v>43696</v>
      </c>
      <c r="C584" s="1" t="n">
        <v>45749</v>
      </c>
      <c r="D584" t="inlineStr">
        <is>
          <t>JÄMTLANDS LÄN</t>
        </is>
      </c>
      <c r="E584" t="inlineStr">
        <is>
          <t>STRÖMSUND</t>
        </is>
      </c>
      <c r="G584" t="n">
        <v>2.9</v>
      </c>
      <c r="H584" t="n">
        <v>0</v>
      </c>
      <c r="I584" t="n">
        <v>0</v>
      </c>
      <c r="J584" t="n">
        <v>0</v>
      </c>
      <c r="K584" t="n">
        <v>0</v>
      </c>
      <c r="L584" t="n">
        <v>0</v>
      </c>
      <c r="M584" t="n">
        <v>0</v>
      </c>
      <c r="N584" t="n">
        <v>0</v>
      </c>
      <c r="O584" t="n">
        <v>0</v>
      </c>
      <c r="P584" t="n">
        <v>0</v>
      </c>
      <c r="Q584" t="n">
        <v>0</v>
      </c>
      <c r="R584" s="2" t="inlineStr"/>
    </row>
    <row r="585" ht="15" customHeight="1">
      <c r="A585" t="inlineStr">
        <is>
          <t>A 40670-2019</t>
        </is>
      </c>
      <c r="B585" s="1" t="n">
        <v>43696</v>
      </c>
      <c r="C585" s="1" t="n">
        <v>45749</v>
      </c>
      <c r="D585" t="inlineStr">
        <is>
          <t>JÄMTLANDS LÄN</t>
        </is>
      </c>
      <c r="E585" t="inlineStr">
        <is>
          <t>STRÖMSUND</t>
        </is>
      </c>
      <c r="F585" t="inlineStr">
        <is>
          <t>SCA</t>
        </is>
      </c>
      <c r="G585" t="n">
        <v>8.9</v>
      </c>
      <c r="H585" t="n">
        <v>0</v>
      </c>
      <c r="I585" t="n">
        <v>0</v>
      </c>
      <c r="J585" t="n">
        <v>0</v>
      </c>
      <c r="K585" t="n">
        <v>0</v>
      </c>
      <c r="L585" t="n">
        <v>0</v>
      </c>
      <c r="M585" t="n">
        <v>0</v>
      </c>
      <c r="N585" t="n">
        <v>0</v>
      </c>
      <c r="O585" t="n">
        <v>0</v>
      </c>
      <c r="P585" t="n">
        <v>0</v>
      </c>
      <c r="Q585" t="n">
        <v>0</v>
      </c>
      <c r="R585" s="2" t="inlineStr"/>
    </row>
    <row r="586" ht="15" customHeight="1">
      <c r="A586" t="inlineStr">
        <is>
          <t>A 40508-2019</t>
        </is>
      </c>
      <c r="B586" s="1" t="n">
        <v>43696</v>
      </c>
      <c r="C586" s="1" t="n">
        <v>45749</v>
      </c>
      <c r="D586" t="inlineStr">
        <is>
          <t>JÄMTLANDS LÄN</t>
        </is>
      </c>
      <c r="E586" t="inlineStr">
        <is>
          <t>STRÖMSUND</t>
        </is>
      </c>
      <c r="G586" t="n">
        <v>3.3</v>
      </c>
      <c r="H586" t="n">
        <v>0</v>
      </c>
      <c r="I586" t="n">
        <v>0</v>
      </c>
      <c r="J586" t="n">
        <v>0</v>
      </c>
      <c r="K586" t="n">
        <v>0</v>
      </c>
      <c r="L586" t="n">
        <v>0</v>
      </c>
      <c r="M586" t="n">
        <v>0</v>
      </c>
      <c r="N586" t="n">
        <v>0</v>
      </c>
      <c r="O586" t="n">
        <v>0</v>
      </c>
      <c r="P586" t="n">
        <v>0</v>
      </c>
      <c r="Q586" t="n">
        <v>0</v>
      </c>
      <c r="R586" s="2" t="inlineStr"/>
    </row>
    <row r="587" ht="15" customHeight="1">
      <c r="A587" t="inlineStr">
        <is>
          <t>A 41007-2019</t>
        </is>
      </c>
      <c r="B587" s="1" t="n">
        <v>43697</v>
      </c>
      <c r="C587" s="1" t="n">
        <v>45749</v>
      </c>
      <c r="D587" t="inlineStr">
        <is>
          <t>JÄMTLANDS LÄN</t>
        </is>
      </c>
      <c r="E587" t="inlineStr">
        <is>
          <t>STRÖMSUND</t>
        </is>
      </c>
      <c r="G587" t="n">
        <v>7.2</v>
      </c>
      <c r="H587" t="n">
        <v>0</v>
      </c>
      <c r="I587" t="n">
        <v>0</v>
      </c>
      <c r="J587" t="n">
        <v>0</v>
      </c>
      <c r="K587" t="n">
        <v>0</v>
      </c>
      <c r="L587" t="n">
        <v>0</v>
      </c>
      <c r="M587" t="n">
        <v>0</v>
      </c>
      <c r="N587" t="n">
        <v>0</v>
      </c>
      <c r="O587" t="n">
        <v>0</v>
      </c>
      <c r="P587" t="n">
        <v>0</v>
      </c>
      <c r="Q587" t="n">
        <v>0</v>
      </c>
      <c r="R587" s="2" t="inlineStr"/>
    </row>
    <row r="588" ht="15" customHeight="1">
      <c r="A588" t="inlineStr">
        <is>
          <t>A 41042-2019</t>
        </is>
      </c>
      <c r="B588" s="1" t="n">
        <v>43697</v>
      </c>
      <c r="C588" s="1" t="n">
        <v>45749</v>
      </c>
      <c r="D588" t="inlineStr">
        <is>
          <t>JÄMTLANDS LÄN</t>
        </is>
      </c>
      <c r="E588" t="inlineStr">
        <is>
          <t>STRÖMSUND</t>
        </is>
      </c>
      <c r="F588" t="inlineStr">
        <is>
          <t>SCA</t>
        </is>
      </c>
      <c r="G588" t="n">
        <v>58.2</v>
      </c>
      <c r="H588" t="n">
        <v>0</v>
      </c>
      <c r="I588" t="n">
        <v>0</v>
      </c>
      <c r="J588" t="n">
        <v>0</v>
      </c>
      <c r="K588" t="n">
        <v>0</v>
      </c>
      <c r="L588" t="n">
        <v>0</v>
      </c>
      <c r="M588" t="n">
        <v>0</v>
      </c>
      <c r="N588" t="n">
        <v>0</v>
      </c>
      <c r="O588" t="n">
        <v>0</v>
      </c>
      <c r="P588" t="n">
        <v>0</v>
      </c>
      <c r="Q588" t="n">
        <v>0</v>
      </c>
      <c r="R588" s="2" t="inlineStr"/>
    </row>
    <row r="589" ht="15" customHeight="1">
      <c r="A589" t="inlineStr">
        <is>
          <t>A 42420-2019</t>
        </is>
      </c>
      <c r="B589" s="1" t="n">
        <v>43703</v>
      </c>
      <c r="C589" s="1" t="n">
        <v>45749</v>
      </c>
      <c r="D589" t="inlineStr">
        <is>
          <t>JÄMTLANDS LÄN</t>
        </is>
      </c>
      <c r="E589" t="inlineStr">
        <is>
          <t>STRÖMSUND</t>
        </is>
      </c>
      <c r="G589" t="n">
        <v>8.4</v>
      </c>
      <c r="H589" t="n">
        <v>0</v>
      </c>
      <c r="I589" t="n">
        <v>0</v>
      </c>
      <c r="J589" t="n">
        <v>0</v>
      </c>
      <c r="K589" t="n">
        <v>0</v>
      </c>
      <c r="L589" t="n">
        <v>0</v>
      </c>
      <c r="M589" t="n">
        <v>0</v>
      </c>
      <c r="N589" t="n">
        <v>0</v>
      </c>
      <c r="O589" t="n">
        <v>0</v>
      </c>
      <c r="P589" t="n">
        <v>0</v>
      </c>
      <c r="Q589" t="n">
        <v>0</v>
      </c>
      <c r="R589" s="2" t="inlineStr"/>
    </row>
    <row r="590" ht="15" customHeight="1">
      <c r="A590" t="inlineStr">
        <is>
          <t>A 43180-2019</t>
        </is>
      </c>
      <c r="B590" s="1" t="n">
        <v>43705</v>
      </c>
      <c r="C590" s="1" t="n">
        <v>45749</v>
      </c>
      <c r="D590" t="inlineStr">
        <is>
          <t>JÄMTLANDS LÄN</t>
        </is>
      </c>
      <c r="E590" t="inlineStr">
        <is>
          <t>STRÖMSUND</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43707-2019</t>
        </is>
      </c>
      <c r="B591" s="1" t="n">
        <v>43707</v>
      </c>
      <c r="C591" s="1" t="n">
        <v>45749</v>
      </c>
      <c r="D591" t="inlineStr">
        <is>
          <t>JÄMTLANDS LÄN</t>
        </is>
      </c>
      <c r="E591" t="inlineStr">
        <is>
          <t>STRÖMSUND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43943-2019</t>
        </is>
      </c>
      <c r="B592" s="1" t="n">
        <v>43707</v>
      </c>
      <c r="C592" s="1" t="n">
        <v>45749</v>
      </c>
      <c r="D592" t="inlineStr">
        <is>
          <t>JÄMTLANDS LÄN</t>
        </is>
      </c>
      <c r="E592" t="inlineStr">
        <is>
          <t>STRÖMSUND</t>
        </is>
      </c>
      <c r="F592" t="inlineStr">
        <is>
          <t>SCA</t>
        </is>
      </c>
      <c r="G592" t="n">
        <v>11.9</v>
      </c>
      <c r="H592" t="n">
        <v>0</v>
      </c>
      <c r="I592" t="n">
        <v>0</v>
      </c>
      <c r="J592" t="n">
        <v>0</v>
      </c>
      <c r="K592" t="n">
        <v>0</v>
      </c>
      <c r="L592" t="n">
        <v>0</v>
      </c>
      <c r="M592" t="n">
        <v>0</v>
      </c>
      <c r="N592" t="n">
        <v>0</v>
      </c>
      <c r="O592" t="n">
        <v>0</v>
      </c>
      <c r="P592" t="n">
        <v>0</v>
      </c>
      <c r="Q592" t="n">
        <v>0</v>
      </c>
      <c r="R592" s="2" t="inlineStr"/>
    </row>
    <row r="593" ht="15" customHeight="1">
      <c r="A593" t="inlineStr">
        <is>
          <t>A 43793-2019</t>
        </is>
      </c>
      <c r="B593" s="1" t="n">
        <v>43707</v>
      </c>
      <c r="C593" s="1" t="n">
        <v>45749</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45171-2019</t>
        </is>
      </c>
      <c r="B594" s="1" t="n">
        <v>43707</v>
      </c>
      <c r="C594" s="1" t="n">
        <v>45749</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44010-2019</t>
        </is>
      </c>
      <c r="B595" s="1" t="n">
        <v>43709</v>
      </c>
      <c r="C595" s="1" t="n">
        <v>45749</v>
      </c>
      <c r="D595" t="inlineStr">
        <is>
          <t>JÄMTLANDS LÄN</t>
        </is>
      </c>
      <c r="E595" t="inlineStr">
        <is>
          <t>STRÖMSUND</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44535-2019</t>
        </is>
      </c>
      <c r="B596" s="1" t="n">
        <v>43711</v>
      </c>
      <c r="C596" s="1" t="n">
        <v>45749</v>
      </c>
      <c r="D596" t="inlineStr">
        <is>
          <t>JÄMTLANDS LÄN</t>
        </is>
      </c>
      <c r="E596" t="inlineStr">
        <is>
          <t>STRÖMSUND</t>
        </is>
      </c>
      <c r="G596" t="n">
        <v>23.8</v>
      </c>
      <c r="H596" t="n">
        <v>0</v>
      </c>
      <c r="I596" t="n">
        <v>0</v>
      </c>
      <c r="J596" t="n">
        <v>0</v>
      </c>
      <c r="K596" t="n">
        <v>0</v>
      </c>
      <c r="L596" t="n">
        <v>0</v>
      </c>
      <c r="M596" t="n">
        <v>0</v>
      </c>
      <c r="N596" t="n">
        <v>0</v>
      </c>
      <c r="O596" t="n">
        <v>0</v>
      </c>
      <c r="P596" t="n">
        <v>0</v>
      </c>
      <c r="Q596" t="n">
        <v>0</v>
      </c>
      <c r="R596" s="2" t="inlineStr"/>
    </row>
    <row r="597" ht="15" customHeight="1">
      <c r="A597" t="inlineStr">
        <is>
          <t>A 44604-2019</t>
        </is>
      </c>
      <c r="B597" s="1" t="n">
        <v>43711</v>
      </c>
      <c r="C597" s="1" t="n">
        <v>45749</v>
      </c>
      <c r="D597" t="inlineStr">
        <is>
          <t>JÄMTLANDS LÄN</t>
        </is>
      </c>
      <c r="E597" t="inlineStr">
        <is>
          <t>STRÖMSUND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45773-2019</t>
        </is>
      </c>
      <c r="B598" s="1" t="n">
        <v>43711</v>
      </c>
      <c r="C598" s="1" t="n">
        <v>45749</v>
      </c>
      <c r="D598" t="inlineStr">
        <is>
          <t>JÄMTLANDS LÄN</t>
        </is>
      </c>
      <c r="E598" t="inlineStr">
        <is>
          <t>STRÖMSUND</t>
        </is>
      </c>
      <c r="G598" t="n">
        <v>3.2</v>
      </c>
      <c r="H598" t="n">
        <v>0</v>
      </c>
      <c r="I598" t="n">
        <v>0</v>
      </c>
      <c r="J598" t="n">
        <v>0</v>
      </c>
      <c r="K598" t="n">
        <v>0</v>
      </c>
      <c r="L598" t="n">
        <v>0</v>
      </c>
      <c r="M598" t="n">
        <v>0</v>
      </c>
      <c r="N598" t="n">
        <v>0</v>
      </c>
      <c r="O598" t="n">
        <v>0</v>
      </c>
      <c r="P598" t="n">
        <v>0</v>
      </c>
      <c r="Q598" t="n">
        <v>0</v>
      </c>
      <c r="R598" s="2" t="inlineStr"/>
    </row>
    <row r="599" ht="15" customHeight="1">
      <c r="A599" t="inlineStr">
        <is>
          <t>A 44605-2019</t>
        </is>
      </c>
      <c r="B599" s="1" t="n">
        <v>43711</v>
      </c>
      <c r="C599" s="1" t="n">
        <v>45749</v>
      </c>
      <c r="D599" t="inlineStr">
        <is>
          <t>JÄMTLANDS LÄN</t>
        </is>
      </c>
      <c r="E599" t="inlineStr">
        <is>
          <t>STRÖMSUND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45737-2019</t>
        </is>
      </c>
      <c r="B600" s="1" t="n">
        <v>43711</v>
      </c>
      <c r="C600" s="1" t="n">
        <v>45749</v>
      </c>
      <c r="D600" t="inlineStr">
        <is>
          <t>JÄMTLANDS LÄN</t>
        </is>
      </c>
      <c r="E600" t="inlineStr">
        <is>
          <t>STRÖMSUND</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45776-2019</t>
        </is>
      </c>
      <c r="B601" s="1" t="n">
        <v>43711</v>
      </c>
      <c r="C601" s="1" t="n">
        <v>45749</v>
      </c>
      <c r="D601" t="inlineStr">
        <is>
          <t>JÄMTLANDS LÄN</t>
        </is>
      </c>
      <c r="E601" t="inlineStr">
        <is>
          <t>STRÖMSUND</t>
        </is>
      </c>
      <c r="G601" t="n">
        <v>3.6</v>
      </c>
      <c r="H601" t="n">
        <v>0</v>
      </c>
      <c r="I601" t="n">
        <v>0</v>
      </c>
      <c r="J601" t="n">
        <v>0</v>
      </c>
      <c r="K601" t="n">
        <v>0</v>
      </c>
      <c r="L601" t="n">
        <v>0</v>
      </c>
      <c r="M601" t="n">
        <v>0</v>
      </c>
      <c r="N601" t="n">
        <v>0</v>
      </c>
      <c r="O601" t="n">
        <v>0</v>
      </c>
      <c r="P601" t="n">
        <v>0</v>
      </c>
      <c r="Q601" t="n">
        <v>0</v>
      </c>
      <c r="R601" s="2" t="inlineStr"/>
    </row>
    <row r="602" ht="15" customHeight="1">
      <c r="A602" t="inlineStr">
        <is>
          <t>A 44774-2019</t>
        </is>
      </c>
      <c r="B602" s="1" t="n">
        <v>43712</v>
      </c>
      <c r="C602" s="1" t="n">
        <v>45749</v>
      </c>
      <c r="D602" t="inlineStr">
        <is>
          <t>JÄMTLANDS LÄN</t>
        </is>
      </c>
      <c r="E602" t="inlineStr">
        <is>
          <t>STRÖMSUND</t>
        </is>
      </c>
      <c r="G602" t="n">
        <v>4.6</v>
      </c>
      <c r="H602" t="n">
        <v>0</v>
      </c>
      <c r="I602" t="n">
        <v>0</v>
      </c>
      <c r="J602" t="n">
        <v>0</v>
      </c>
      <c r="K602" t="n">
        <v>0</v>
      </c>
      <c r="L602" t="n">
        <v>0</v>
      </c>
      <c r="M602" t="n">
        <v>0</v>
      </c>
      <c r="N602" t="n">
        <v>0</v>
      </c>
      <c r="O602" t="n">
        <v>0</v>
      </c>
      <c r="P602" t="n">
        <v>0</v>
      </c>
      <c r="Q602" t="n">
        <v>0</v>
      </c>
      <c r="R602" s="2" t="inlineStr"/>
    </row>
    <row r="603" ht="15" customHeight="1">
      <c r="A603" t="inlineStr">
        <is>
          <t>A 44809-2019</t>
        </is>
      </c>
      <c r="B603" s="1" t="n">
        <v>43712</v>
      </c>
      <c r="C603" s="1" t="n">
        <v>45749</v>
      </c>
      <c r="D603" t="inlineStr">
        <is>
          <t>JÄMTLANDS LÄN</t>
        </is>
      </c>
      <c r="E603" t="inlineStr">
        <is>
          <t>STRÖMSUND</t>
        </is>
      </c>
      <c r="F603" t="inlineStr">
        <is>
          <t>Kommuner</t>
        </is>
      </c>
      <c r="G603" t="n">
        <v>13.4</v>
      </c>
      <c r="H603" t="n">
        <v>0</v>
      </c>
      <c r="I603" t="n">
        <v>0</v>
      </c>
      <c r="J603" t="n">
        <v>0</v>
      </c>
      <c r="K603" t="n">
        <v>0</v>
      </c>
      <c r="L603" t="n">
        <v>0</v>
      </c>
      <c r="M603" t="n">
        <v>0</v>
      </c>
      <c r="N603" t="n">
        <v>0</v>
      </c>
      <c r="O603" t="n">
        <v>0</v>
      </c>
      <c r="P603" t="n">
        <v>0</v>
      </c>
      <c r="Q603" t="n">
        <v>0</v>
      </c>
      <c r="R603" s="2" t="inlineStr"/>
    </row>
    <row r="604" ht="15" customHeight="1">
      <c r="A604" t="inlineStr">
        <is>
          <t>A 44882-2019</t>
        </is>
      </c>
      <c r="B604" s="1" t="n">
        <v>43712</v>
      </c>
      <c r="C604" s="1" t="n">
        <v>45749</v>
      </c>
      <c r="D604" t="inlineStr">
        <is>
          <t>JÄMTLANDS LÄN</t>
        </is>
      </c>
      <c r="E604" t="inlineStr">
        <is>
          <t>STRÖMSUND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44956-2019</t>
        </is>
      </c>
      <c r="B605" s="1" t="n">
        <v>43713</v>
      </c>
      <c r="C605" s="1" t="n">
        <v>45749</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45165-2019</t>
        </is>
      </c>
      <c r="B606" s="1" t="n">
        <v>43713</v>
      </c>
      <c r="C606" s="1" t="n">
        <v>45749</v>
      </c>
      <c r="D606" t="inlineStr">
        <is>
          <t>JÄMTLANDS LÄN</t>
        </is>
      </c>
      <c r="E606" t="inlineStr">
        <is>
          <t>STRÖMSUND</t>
        </is>
      </c>
      <c r="F606" t="inlineStr">
        <is>
          <t>Holmen skog AB</t>
        </is>
      </c>
      <c r="G606" t="n">
        <v>25.4</v>
      </c>
      <c r="H606" t="n">
        <v>0</v>
      </c>
      <c r="I606" t="n">
        <v>0</v>
      </c>
      <c r="J606" t="n">
        <v>0</v>
      </c>
      <c r="K606" t="n">
        <v>0</v>
      </c>
      <c r="L606" t="n">
        <v>0</v>
      </c>
      <c r="M606" t="n">
        <v>0</v>
      </c>
      <c r="N606" t="n">
        <v>0</v>
      </c>
      <c r="O606" t="n">
        <v>0</v>
      </c>
      <c r="P606" t="n">
        <v>0</v>
      </c>
      <c r="Q606" t="n">
        <v>0</v>
      </c>
      <c r="R606" s="2" t="inlineStr"/>
    </row>
    <row r="607" ht="15" customHeight="1">
      <c r="A607" t="inlineStr">
        <is>
          <t>A 45362-2019</t>
        </is>
      </c>
      <c r="B607" s="1" t="n">
        <v>43714</v>
      </c>
      <c r="C607" s="1" t="n">
        <v>45749</v>
      </c>
      <c r="D607" t="inlineStr">
        <is>
          <t>JÄMTLANDS LÄN</t>
        </is>
      </c>
      <c r="E607" t="inlineStr">
        <is>
          <t>STRÖMSUND</t>
        </is>
      </c>
      <c r="G607" t="n">
        <v>4.2</v>
      </c>
      <c r="H607" t="n">
        <v>0</v>
      </c>
      <c r="I607" t="n">
        <v>0</v>
      </c>
      <c r="J607" t="n">
        <v>0</v>
      </c>
      <c r="K607" t="n">
        <v>0</v>
      </c>
      <c r="L607" t="n">
        <v>0</v>
      </c>
      <c r="M607" t="n">
        <v>0</v>
      </c>
      <c r="N607" t="n">
        <v>0</v>
      </c>
      <c r="O607" t="n">
        <v>0</v>
      </c>
      <c r="P607" t="n">
        <v>0</v>
      </c>
      <c r="Q607" t="n">
        <v>0</v>
      </c>
      <c r="R607" s="2" t="inlineStr"/>
    </row>
    <row r="608" ht="15" customHeight="1">
      <c r="A608" t="inlineStr">
        <is>
          <t>A 45649-2019</t>
        </is>
      </c>
      <c r="B608" s="1" t="n">
        <v>43717</v>
      </c>
      <c r="C608" s="1" t="n">
        <v>45749</v>
      </c>
      <c r="D608" t="inlineStr">
        <is>
          <t>JÄMTLANDS LÄN</t>
        </is>
      </c>
      <c r="E608" t="inlineStr">
        <is>
          <t>STRÖMSUND</t>
        </is>
      </c>
      <c r="F608" t="inlineStr">
        <is>
          <t>Holmen skog AB</t>
        </is>
      </c>
      <c r="G608" t="n">
        <v>24.2</v>
      </c>
      <c r="H608" t="n">
        <v>0</v>
      </c>
      <c r="I608" t="n">
        <v>0</v>
      </c>
      <c r="J608" t="n">
        <v>0</v>
      </c>
      <c r="K608" t="n">
        <v>0</v>
      </c>
      <c r="L608" t="n">
        <v>0</v>
      </c>
      <c r="M608" t="n">
        <v>0</v>
      </c>
      <c r="N608" t="n">
        <v>0</v>
      </c>
      <c r="O608" t="n">
        <v>0</v>
      </c>
      <c r="P608" t="n">
        <v>0</v>
      </c>
      <c r="Q608" t="n">
        <v>0</v>
      </c>
      <c r="R608" s="2" t="inlineStr"/>
    </row>
    <row r="609" ht="15" customHeight="1">
      <c r="A609" t="inlineStr">
        <is>
          <t>A 45918-2019</t>
        </is>
      </c>
      <c r="B609" s="1" t="n">
        <v>43717</v>
      </c>
      <c r="C609" s="1" t="n">
        <v>45749</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45917-2019</t>
        </is>
      </c>
      <c r="B610" s="1" t="n">
        <v>43717</v>
      </c>
      <c r="C610" s="1" t="n">
        <v>45749</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45835-2019</t>
        </is>
      </c>
      <c r="B611" s="1" t="n">
        <v>43717</v>
      </c>
      <c r="C611" s="1" t="n">
        <v>45749</v>
      </c>
      <c r="D611" t="inlineStr">
        <is>
          <t>JÄMTLANDS LÄN</t>
        </is>
      </c>
      <c r="E611" t="inlineStr">
        <is>
          <t>STRÖMSUND</t>
        </is>
      </c>
      <c r="F611" t="inlineStr">
        <is>
          <t>Holmen skog AB</t>
        </is>
      </c>
      <c r="G611" t="n">
        <v>5.9</v>
      </c>
      <c r="H611" t="n">
        <v>0</v>
      </c>
      <c r="I611" t="n">
        <v>0</v>
      </c>
      <c r="J611" t="n">
        <v>0</v>
      </c>
      <c r="K611" t="n">
        <v>0</v>
      </c>
      <c r="L611" t="n">
        <v>0</v>
      </c>
      <c r="M611" t="n">
        <v>0</v>
      </c>
      <c r="N611" t="n">
        <v>0</v>
      </c>
      <c r="O611" t="n">
        <v>0</v>
      </c>
      <c r="P611" t="n">
        <v>0</v>
      </c>
      <c r="Q611" t="n">
        <v>0</v>
      </c>
      <c r="R611" s="2" t="inlineStr"/>
    </row>
    <row r="612" ht="15" customHeight="1">
      <c r="A612" t="inlineStr">
        <is>
          <t>A 45963-2019</t>
        </is>
      </c>
      <c r="B612" s="1" t="n">
        <v>43718</v>
      </c>
      <c r="C612" s="1" t="n">
        <v>45749</v>
      </c>
      <c r="D612" t="inlineStr">
        <is>
          <t>JÄMTLANDS LÄN</t>
        </is>
      </c>
      <c r="E612" t="inlineStr">
        <is>
          <t>STRÖMSUND</t>
        </is>
      </c>
      <c r="F612" t="inlineStr">
        <is>
          <t>Holmen skog AB</t>
        </is>
      </c>
      <c r="G612" t="n">
        <v>11.8</v>
      </c>
      <c r="H612" t="n">
        <v>0</v>
      </c>
      <c r="I612" t="n">
        <v>0</v>
      </c>
      <c r="J612" t="n">
        <v>0</v>
      </c>
      <c r="K612" t="n">
        <v>0</v>
      </c>
      <c r="L612" t="n">
        <v>0</v>
      </c>
      <c r="M612" t="n">
        <v>0</v>
      </c>
      <c r="N612" t="n">
        <v>0</v>
      </c>
      <c r="O612" t="n">
        <v>0</v>
      </c>
      <c r="P612" t="n">
        <v>0</v>
      </c>
      <c r="Q612" t="n">
        <v>0</v>
      </c>
      <c r="R612" s="2" t="inlineStr"/>
    </row>
    <row r="613" ht="15" customHeight="1">
      <c r="A613" t="inlineStr">
        <is>
          <t>A 47082-2019</t>
        </is>
      </c>
      <c r="B613" s="1" t="n">
        <v>43720</v>
      </c>
      <c r="C613" s="1" t="n">
        <v>45749</v>
      </c>
      <c r="D613" t="inlineStr">
        <is>
          <t>JÄMTLANDS LÄN</t>
        </is>
      </c>
      <c r="E613" t="inlineStr">
        <is>
          <t>STRÖMSUND</t>
        </is>
      </c>
      <c r="F613" t="inlineStr">
        <is>
          <t>SCA</t>
        </is>
      </c>
      <c r="G613" t="n">
        <v>11.6</v>
      </c>
      <c r="H613" t="n">
        <v>0</v>
      </c>
      <c r="I613" t="n">
        <v>0</v>
      </c>
      <c r="J613" t="n">
        <v>0</v>
      </c>
      <c r="K613" t="n">
        <v>0</v>
      </c>
      <c r="L613" t="n">
        <v>0</v>
      </c>
      <c r="M613" t="n">
        <v>0</v>
      </c>
      <c r="N613" t="n">
        <v>0</v>
      </c>
      <c r="O613" t="n">
        <v>0</v>
      </c>
      <c r="P613" t="n">
        <v>0</v>
      </c>
      <c r="Q613" t="n">
        <v>0</v>
      </c>
      <c r="R613" s="2" t="inlineStr"/>
    </row>
    <row r="614" ht="15" customHeight="1">
      <c r="A614" t="inlineStr">
        <is>
          <t>A 47410-2019</t>
        </is>
      </c>
      <c r="B614" s="1" t="n">
        <v>43723</v>
      </c>
      <c r="C614" s="1" t="n">
        <v>45749</v>
      </c>
      <c r="D614" t="inlineStr">
        <is>
          <t>JÄMTLANDS LÄN</t>
        </is>
      </c>
      <c r="E614" t="inlineStr">
        <is>
          <t>STRÖMSUND</t>
        </is>
      </c>
      <c r="G614" t="n">
        <v>5.4</v>
      </c>
      <c r="H614" t="n">
        <v>0</v>
      </c>
      <c r="I614" t="n">
        <v>0</v>
      </c>
      <c r="J614" t="n">
        <v>0</v>
      </c>
      <c r="K614" t="n">
        <v>0</v>
      </c>
      <c r="L614" t="n">
        <v>0</v>
      </c>
      <c r="M614" t="n">
        <v>0</v>
      </c>
      <c r="N614" t="n">
        <v>0</v>
      </c>
      <c r="O614" t="n">
        <v>0</v>
      </c>
      <c r="P614" t="n">
        <v>0</v>
      </c>
      <c r="Q614" t="n">
        <v>0</v>
      </c>
      <c r="R614" s="2" t="inlineStr"/>
    </row>
    <row r="615" ht="15" customHeight="1">
      <c r="A615" t="inlineStr">
        <is>
          <t>A 47531-2019</t>
        </is>
      </c>
      <c r="B615" s="1" t="n">
        <v>43724</v>
      </c>
      <c r="C615" s="1" t="n">
        <v>45749</v>
      </c>
      <c r="D615" t="inlineStr">
        <is>
          <t>JÄMTLANDS LÄN</t>
        </is>
      </c>
      <c r="E615" t="inlineStr">
        <is>
          <t>STRÖMSUND</t>
        </is>
      </c>
      <c r="G615" t="n">
        <v>30.4</v>
      </c>
      <c r="H615" t="n">
        <v>0</v>
      </c>
      <c r="I615" t="n">
        <v>0</v>
      </c>
      <c r="J615" t="n">
        <v>0</v>
      </c>
      <c r="K615" t="n">
        <v>0</v>
      </c>
      <c r="L615" t="n">
        <v>0</v>
      </c>
      <c r="M615" t="n">
        <v>0</v>
      </c>
      <c r="N615" t="n">
        <v>0</v>
      </c>
      <c r="O615" t="n">
        <v>0</v>
      </c>
      <c r="P615" t="n">
        <v>0</v>
      </c>
      <c r="Q615" t="n">
        <v>0</v>
      </c>
      <c r="R615" s="2" t="inlineStr"/>
    </row>
    <row r="616" ht="15" customHeight="1">
      <c r="A616" t="inlineStr">
        <is>
          <t>A 47811-2019</t>
        </is>
      </c>
      <c r="B616" s="1" t="n">
        <v>43724</v>
      </c>
      <c r="C616" s="1" t="n">
        <v>45749</v>
      </c>
      <c r="D616" t="inlineStr">
        <is>
          <t>JÄMTLANDS LÄN</t>
        </is>
      </c>
      <c r="E616" t="inlineStr">
        <is>
          <t>STRÖMSUND</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48052-2019</t>
        </is>
      </c>
      <c r="B617" s="1" t="n">
        <v>43725</v>
      </c>
      <c r="C617" s="1" t="n">
        <v>45749</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48578-2019</t>
        </is>
      </c>
      <c r="B618" s="1" t="n">
        <v>43727</v>
      </c>
      <c r="C618" s="1" t="n">
        <v>45749</v>
      </c>
      <c r="D618" t="inlineStr">
        <is>
          <t>JÄMTLANDS LÄN</t>
        </is>
      </c>
      <c r="E618" t="inlineStr">
        <is>
          <t>STRÖMSUND</t>
        </is>
      </c>
      <c r="G618" t="n">
        <v>20.8</v>
      </c>
      <c r="H618" t="n">
        <v>0</v>
      </c>
      <c r="I618" t="n">
        <v>0</v>
      </c>
      <c r="J618" t="n">
        <v>0</v>
      </c>
      <c r="K618" t="n">
        <v>0</v>
      </c>
      <c r="L618" t="n">
        <v>0</v>
      </c>
      <c r="M618" t="n">
        <v>0</v>
      </c>
      <c r="N618" t="n">
        <v>0</v>
      </c>
      <c r="O618" t="n">
        <v>0</v>
      </c>
      <c r="P618" t="n">
        <v>0</v>
      </c>
      <c r="Q618" t="n">
        <v>0</v>
      </c>
      <c r="R618" s="2" t="inlineStr"/>
    </row>
    <row r="619" ht="15" customHeight="1">
      <c r="A619" t="inlineStr">
        <is>
          <t>A 48565-2019</t>
        </is>
      </c>
      <c r="B619" s="1" t="n">
        <v>43727</v>
      </c>
      <c r="C619" s="1" t="n">
        <v>45749</v>
      </c>
      <c r="D619" t="inlineStr">
        <is>
          <t>JÄMTLANDS LÄN</t>
        </is>
      </c>
      <c r="E619" t="inlineStr">
        <is>
          <t>STRÖMSUND</t>
        </is>
      </c>
      <c r="G619" t="n">
        <v>2.8</v>
      </c>
      <c r="H619" t="n">
        <v>0</v>
      </c>
      <c r="I619" t="n">
        <v>0</v>
      </c>
      <c r="J619" t="n">
        <v>0</v>
      </c>
      <c r="K619" t="n">
        <v>0</v>
      </c>
      <c r="L619" t="n">
        <v>0</v>
      </c>
      <c r="M619" t="n">
        <v>0</v>
      </c>
      <c r="N619" t="n">
        <v>0</v>
      </c>
      <c r="O619" t="n">
        <v>0</v>
      </c>
      <c r="P619" t="n">
        <v>0</v>
      </c>
      <c r="Q619" t="n">
        <v>0</v>
      </c>
      <c r="R619" s="2" t="inlineStr"/>
    </row>
    <row r="620" ht="15" customHeight="1">
      <c r="A620" t="inlineStr">
        <is>
          <t>A 48620-2019</t>
        </is>
      </c>
      <c r="B620" s="1" t="n">
        <v>43727</v>
      </c>
      <c r="C620" s="1" t="n">
        <v>45749</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48573-2019</t>
        </is>
      </c>
      <c r="B621" s="1" t="n">
        <v>43727</v>
      </c>
      <c r="C621" s="1" t="n">
        <v>45749</v>
      </c>
      <c r="D621" t="inlineStr">
        <is>
          <t>JÄMTLANDS LÄN</t>
        </is>
      </c>
      <c r="E621" t="inlineStr">
        <is>
          <t>STRÖMSUND</t>
        </is>
      </c>
      <c r="G621" t="n">
        <v>7.5</v>
      </c>
      <c r="H621" t="n">
        <v>0</v>
      </c>
      <c r="I621" t="n">
        <v>0</v>
      </c>
      <c r="J621" t="n">
        <v>0</v>
      </c>
      <c r="K621" t="n">
        <v>0</v>
      </c>
      <c r="L621" t="n">
        <v>0</v>
      </c>
      <c r="M621" t="n">
        <v>0</v>
      </c>
      <c r="N621" t="n">
        <v>0</v>
      </c>
      <c r="O621" t="n">
        <v>0</v>
      </c>
      <c r="P621" t="n">
        <v>0</v>
      </c>
      <c r="Q621" t="n">
        <v>0</v>
      </c>
      <c r="R621" s="2" t="inlineStr"/>
    </row>
    <row r="622" ht="15" customHeight="1">
      <c r="A622" t="inlineStr">
        <is>
          <t>A 48951-2019</t>
        </is>
      </c>
      <c r="B622" s="1" t="n">
        <v>43728</v>
      </c>
      <c r="C622" s="1" t="n">
        <v>45749</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48965-2019</t>
        </is>
      </c>
      <c r="B623" s="1" t="n">
        <v>43728</v>
      </c>
      <c r="C623" s="1" t="n">
        <v>45749</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49291-2019</t>
        </is>
      </c>
      <c r="B624" s="1" t="n">
        <v>43731</v>
      </c>
      <c r="C624" s="1" t="n">
        <v>45749</v>
      </c>
      <c r="D624" t="inlineStr">
        <is>
          <t>JÄMTLANDS LÄN</t>
        </is>
      </c>
      <c r="E624" t="inlineStr">
        <is>
          <t>STRÖMSUND</t>
        </is>
      </c>
      <c r="G624" t="n">
        <v>20.7</v>
      </c>
      <c r="H624" t="n">
        <v>0</v>
      </c>
      <c r="I624" t="n">
        <v>0</v>
      </c>
      <c r="J624" t="n">
        <v>0</v>
      </c>
      <c r="K624" t="n">
        <v>0</v>
      </c>
      <c r="L624" t="n">
        <v>0</v>
      </c>
      <c r="M624" t="n">
        <v>0</v>
      </c>
      <c r="N624" t="n">
        <v>0</v>
      </c>
      <c r="O624" t="n">
        <v>0</v>
      </c>
      <c r="P624" t="n">
        <v>0</v>
      </c>
      <c r="Q624" t="n">
        <v>0</v>
      </c>
      <c r="R624" s="2" t="inlineStr"/>
    </row>
    <row r="625" ht="15" customHeight="1">
      <c r="A625" t="inlineStr">
        <is>
          <t>A 49316-2019</t>
        </is>
      </c>
      <c r="B625" s="1" t="n">
        <v>43731</v>
      </c>
      <c r="C625" s="1" t="n">
        <v>45749</v>
      </c>
      <c r="D625" t="inlineStr">
        <is>
          <t>JÄMTLANDS LÄN</t>
        </is>
      </c>
      <c r="E625" t="inlineStr">
        <is>
          <t>STRÖMSUND</t>
        </is>
      </c>
      <c r="G625" t="n">
        <v>1</v>
      </c>
      <c r="H625" t="n">
        <v>0</v>
      </c>
      <c r="I625" t="n">
        <v>0</v>
      </c>
      <c r="J625" t="n">
        <v>0</v>
      </c>
      <c r="K625" t="n">
        <v>0</v>
      </c>
      <c r="L625" t="n">
        <v>0</v>
      </c>
      <c r="M625" t="n">
        <v>0</v>
      </c>
      <c r="N625" t="n">
        <v>0</v>
      </c>
      <c r="O625" t="n">
        <v>0</v>
      </c>
      <c r="P625" t="n">
        <v>0</v>
      </c>
      <c r="Q625" t="n">
        <v>0</v>
      </c>
      <c r="R625" s="2" t="inlineStr"/>
    </row>
    <row r="626" ht="15" customHeight="1">
      <c r="A626" t="inlineStr">
        <is>
          <t>A 50001-2019</t>
        </is>
      </c>
      <c r="B626" s="1" t="n">
        <v>43733</v>
      </c>
      <c r="C626" s="1" t="n">
        <v>45749</v>
      </c>
      <c r="D626" t="inlineStr">
        <is>
          <t>JÄMTLANDS LÄN</t>
        </is>
      </c>
      <c r="E626" t="inlineStr">
        <is>
          <t>STRÖMSUND</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50305-2019</t>
        </is>
      </c>
      <c r="B627" s="1" t="n">
        <v>43734</v>
      </c>
      <c r="C627" s="1" t="n">
        <v>45749</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50302-2019</t>
        </is>
      </c>
      <c r="B628" s="1" t="n">
        <v>43734</v>
      </c>
      <c r="C628" s="1" t="n">
        <v>45749</v>
      </c>
      <c r="D628" t="inlineStr">
        <is>
          <t>JÄMTLANDS LÄN</t>
        </is>
      </c>
      <c r="E628" t="inlineStr">
        <is>
          <t>STRÖMSUND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51008-2019</t>
        </is>
      </c>
      <c r="B629" s="1" t="n">
        <v>43738</v>
      </c>
      <c r="C629" s="1" t="n">
        <v>45749</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51183-2019</t>
        </is>
      </c>
      <c r="B630" s="1" t="n">
        <v>43739</v>
      </c>
      <c r="C630" s="1" t="n">
        <v>45749</v>
      </c>
      <c r="D630" t="inlineStr">
        <is>
          <t>JÄMTLANDS LÄN</t>
        </is>
      </c>
      <c r="E630" t="inlineStr">
        <is>
          <t>STRÖMSUND</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51015-2019</t>
        </is>
      </c>
      <c r="B631" s="1" t="n">
        <v>43739</v>
      </c>
      <c r="C631" s="1" t="n">
        <v>45749</v>
      </c>
      <c r="D631" t="inlineStr">
        <is>
          <t>JÄMTLANDS LÄN</t>
        </is>
      </c>
      <c r="E631" t="inlineStr">
        <is>
          <t>STRÖMSUND</t>
        </is>
      </c>
      <c r="G631" t="n">
        <v>2.1</v>
      </c>
      <c r="H631" t="n">
        <v>0</v>
      </c>
      <c r="I631" t="n">
        <v>0</v>
      </c>
      <c r="J631" t="n">
        <v>0</v>
      </c>
      <c r="K631" t="n">
        <v>0</v>
      </c>
      <c r="L631" t="n">
        <v>0</v>
      </c>
      <c r="M631" t="n">
        <v>0</v>
      </c>
      <c r="N631" t="n">
        <v>0</v>
      </c>
      <c r="O631" t="n">
        <v>0</v>
      </c>
      <c r="P631" t="n">
        <v>0</v>
      </c>
      <c r="Q631" t="n">
        <v>0</v>
      </c>
      <c r="R631" s="2" t="inlineStr"/>
    </row>
    <row r="632" ht="15" customHeight="1">
      <c r="A632" t="inlineStr">
        <is>
          <t>A 51951-2019</t>
        </is>
      </c>
      <c r="B632" s="1" t="n">
        <v>43741</v>
      </c>
      <c r="C632" s="1" t="n">
        <v>45749</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52258-2019</t>
        </is>
      </c>
      <c r="B633" s="1" t="n">
        <v>43742</v>
      </c>
      <c r="C633" s="1" t="n">
        <v>45749</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52384-2019</t>
        </is>
      </c>
      <c r="B634" s="1" t="n">
        <v>43745</v>
      </c>
      <c r="C634" s="1" t="n">
        <v>45749</v>
      </c>
      <c r="D634" t="inlineStr">
        <is>
          <t>JÄMTLANDS LÄN</t>
        </is>
      </c>
      <c r="E634" t="inlineStr">
        <is>
          <t>STRÖMSUND</t>
        </is>
      </c>
      <c r="G634" t="n">
        <v>3.7</v>
      </c>
      <c r="H634" t="n">
        <v>0</v>
      </c>
      <c r="I634" t="n">
        <v>0</v>
      </c>
      <c r="J634" t="n">
        <v>0</v>
      </c>
      <c r="K634" t="n">
        <v>0</v>
      </c>
      <c r="L634" t="n">
        <v>0</v>
      </c>
      <c r="M634" t="n">
        <v>0</v>
      </c>
      <c r="N634" t="n">
        <v>0</v>
      </c>
      <c r="O634" t="n">
        <v>0</v>
      </c>
      <c r="P634" t="n">
        <v>0</v>
      </c>
      <c r="Q634" t="n">
        <v>0</v>
      </c>
      <c r="R634" s="2" t="inlineStr"/>
    </row>
    <row r="635" ht="15" customHeight="1">
      <c r="A635" t="inlineStr">
        <is>
          <t>A 53874-2019</t>
        </is>
      </c>
      <c r="B635" s="1" t="n">
        <v>43745</v>
      </c>
      <c r="C635" s="1" t="n">
        <v>45749</v>
      </c>
      <c r="D635" t="inlineStr">
        <is>
          <t>JÄMTLANDS LÄN</t>
        </is>
      </c>
      <c r="E635" t="inlineStr">
        <is>
          <t>STRÖMSUND</t>
        </is>
      </c>
      <c r="G635" t="n">
        <v>10.1</v>
      </c>
      <c r="H635" t="n">
        <v>0</v>
      </c>
      <c r="I635" t="n">
        <v>0</v>
      </c>
      <c r="J635" t="n">
        <v>0</v>
      </c>
      <c r="K635" t="n">
        <v>0</v>
      </c>
      <c r="L635" t="n">
        <v>0</v>
      </c>
      <c r="M635" t="n">
        <v>0</v>
      </c>
      <c r="N635" t="n">
        <v>0</v>
      </c>
      <c r="O635" t="n">
        <v>0</v>
      </c>
      <c r="P635" t="n">
        <v>0</v>
      </c>
      <c r="Q635" t="n">
        <v>0</v>
      </c>
      <c r="R635" s="2" t="inlineStr"/>
    </row>
    <row r="636" ht="15" customHeight="1">
      <c r="A636" t="inlineStr">
        <is>
          <t>A 53886-2019</t>
        </is>
      </c>
      <c r="B636" s="1" t="n">
        <v>43745</v>
      </c>
      <c r="C636" s="1" t="n">
        <v>45749</v>
      </c>
      <c r="D636" t="inlineStr">
        <is>
          <t>JÄMTLANDS LÄN</t>
        </is>
      </c>
      <c r="E636" t="inlineStr">
        <is>
          <t>STRÖMSUND</t>
        </is>
      </c>
      <c r="G636" t="n">
        <v>15.2</v>
      </c>
      <c r="H636" t="n">
        <v>0</v>
      </c>
      <c r="I636" t="n">
        <v>0</v>
      </c>
      <c r="J636" t="n">
        <v>0</v>
      </c>
      <c r="K636" t="n">
        <v>0</v>
      </c>
      <c r="L636" t="n">
        <v>0</v>
      </c>
      <c r="M636" t="n">
        <v>0</v>
      </c>
      <c r="N636" t="n">
        <v>0</v>
      </c>
      <c r="O636" t="n">
        <v>0</v>
      </c>
      <c r="P636" t="n">
        <v>0</v>
      </c>
      <c r="Q636" t="n">
        <v>0</v>
      </c>
      <c r="R636" s="2" t="inlineStr"/>
    </row>
    <row r="637" ht="15" customHeight="1">
      <c r="A637" t="inlineStr">
        <is>
          <t>A 53483-2019</t>
        </is>
      </c>
      <c r="B637" s="1" t="n">
        <v>43748</v>
      </c>
      <c r="C637" s="1" t="n">
        <v>45749</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54235-2019</t>
        </is>
      </c>
      <c r="B638" s="1" t="n">
        <v>43748</v>
      </c>
      <c r="C638" s="1" t="n">
        <v>45749</v>
      </c>
      <c r="D638" t="inlineStr">
        <is>
          <t>JÄMTLANDS LÄN</t>
        </is>
      </c>
      <c r="E638" t="inlineStr">
        <is>
          <t>STRÖMSUND</t>
        </is>
      </c>
      <c r="G638" t="n">
        <v>0.9</v>
      </c>
      <c r="H638" t="n">
        <v>0</v>
      </c>
      <c r="I638" t="n">
        <v>0</v>
      </c>
      <c r="J638" t="n">
        <v>0</v>
      </c>
      <c r="K638" t="n">
        <v>0</v>
      </c>
      <c r="L638" t="n">
        <v>0</v>
      </c>
      <c r="M638" t="n">
        <v>0</v>
      </c>
      <c r="N638" t="n">
        <v>0</v>
      </c>
      <c r="O638" t="n">
        <v>0</v>
      </c>
      <c r="P638" t="n">
        <v>0</v>
      </c>
      <c r="Q638" t="n">
        <v>0</v>
      </c>
      <c r="R638" s="2" t="inlineStr"/>
    </row>
    <row r="639" ht="15" customHeight="1">
      <c r="A639" t="inlineStr">
        <is>
          <t>A 57227-2019</t>
        </is>
      </c>
      <c r="B639" s="1" t="n">
        <v>43748</v>
      </c>
      <c r="C639" s="1" t="n">
        <v>45749</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53898-2019</t>
        </is>
      </c>
      <c r="B640" s="1" t="n">
        <v>43748</v>
      </c>
      <c r="C640" s="1" t="n">
        <v>45749</v>
      </c>
      <c r="D640" t="inlineStr">
        <is>
          <t>JÄMTLANDS LÄN</t>
        </is>
      </c>
      <c r="E640" t="inlineStr">
        <is>
          <t>STRÖMSUND</t>
        </is>
      </c>
      <c r="G640" t="n">
        <v>4.2</v>
      </c>
      <c r="H640" t="n">
        <v>0</v>
      </c>
      <c r="I640" t="n">
        <v>0</v>
      </c>
      <c r="J640" t="n">
        <v>0</v>
      </c>
      <c r="K640" t="n">
        <v>0</v>
      </c>
      <c r="L640" t="n">
        <v>0</v>
      </c>
      <c r="M640" t="n">
        <v>0</v>
      </c>
      <c r="N640" t="n">
        <v>0</v>
      </c>
      <c r="O640" t="n">
        <v>0</v>
      </c>
      <c r="P640" t="n">
        <v>0</v>
      </c>
      <c r="Q640" t="n">
        <v>0</v>
      </c>
      <c r="R640" s="2" t="inlineStr"/>
    </row>
    <row r="641" ht="15" customHeight="1">
      <c r="A641" t="inlineStr">
        <is>
          <t>A 53482-2019</t>
        </is>
      </c>
      <c r="B641" s="1" t="n">
        <v>43748</v>
      </c>
      <c r="C641" s="1" t="n">
        <v>45749</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53895-2019</t>
        </is>
      </c>
      <c r="B642" s="1" t="n">
        <v>43748</v>
      </c>
      <c r="C642" s="1" t="n">
        <v>45749</v>
      </c>
      <c r="D642" t="inlineStr">
        <is>
          <t>JÄMTLANDS LÄN</t>
        </is>
      </c>
      <c r="E642" t="inlineStr">
        <is>
          <t>STRÖMSUND</t>
        </is>
      </c>
      <c r="G642" t="n">
        <v>2.8</v>
      </c>
      <c r="H642" t="n">
        <v>0</v>
      </c>
      <c r="I642" t="n">
        <v>0</v>
      </c>
      <c r="J642" t="n">
        <v>0</v>
      </c>
      <c r="K642" t="n">
        <v>0</v>
      </c>
      <c r="L642" t="n">
        <v>0</v>
      </c>
      <c r="M642" t="n">
        <v>0</v>
      </c>
      <c r="N642" t="n">
        <v>0</v>
      </c>
      <c r="O642" t="n">
        <v>0</v>
      </c>
      <c r="P642" t="n">
        <v>0</v>
      </c>
      <c r="Q642" t="n">
        <v>0</v>
      </c>
      <c r="R642" s="2" t="inlineStr"/>
    </row>
    <row r="643" ht="15" customHeight="1">
      <c r="A643" t="inlineStr">
        <is>
          <t>A 54672-2019</t>
        </is>
      </c>
      <c r="B643" s="1" t="n">
        <v>43754</v>
      </c>
      <c r="C643" s="1" t="n">
        <v>45749</v>
      </c>
      <c r="D643" t="inlineStr">
        <is>
          <t>JÄMTLANDS LÄN</t>
        </is>
      </c>
      <c r="E643" t="inlineStr">
        <is>
          <t>STRÖMSUND</t>
        </is>
      </c>
      <c r="F643" t="inlineStr">
        <is>
          <t>SCA</t>
        </is>
      </c>
      <c r="G643" t="n">
        <v>15.7</v>
      </c>
      <c r="H643" t="n">
        <v>0</v>
      </c>
      <c r="I643" t="n">
        <v>0</v>
      </c>
      <c r="J643" t="n">
        <v>0</v>
      </c>
      <c r="K643" t="n">
        <v>0</v>
      </c>
      <c r="L643" t="n">
        <v>0</v>
      </c>
      <c r="M643" t="n">
        <v>0</v>
      </c>
      <c r="N643" t="n">
        <v>0</v>
      </c>
      <c r="O643" t="n">
        <v>0</v>
      </c>
      <c r="P643" t="n">
        <v>0</v>
      </c>
      <c r="Q643" t="n">
        <v>0</v>
      </c>
      <c r="R643" s="2" t="inlineStr"/>
    </row>
    <row r="644" ht="15" customHeight="1">
      <c r="A644" t="inlineStr">
        <is>
          <t>A 55028-2019</t>
        </is>
      </c>
      <c r="B644" s="1" t="n">
        <v>43755</v>
      </c>
      <c r="C644" s="1" t="n">
        <v>45749</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56155-2019</t>
        </is>
      </c>
      <c r="B645" s="1" t="n">
        <v>43756</v>
      </c>
      <c r="C645" s="1" t="n">
        <v>45749</v>
      </c>
      <c r="D645" t="inlineStr">
        <is>
          <t>JÄMTLANDS LÄN</t>
        </is>
      </c>
      <c r="E645" t="inlineStr">
        <is>
          <t>STRÖMSUND</t>
        </is>
      </c>
      <c r="G645" t="n">
        <v>4.7</v>
      </c>
      <c r="H645" t="n">
        <v>0</v>
      </c>
      <c r="I645" t="n">
        <v>0</v>
      </c>
      <c r="J645" t="n">
        <v>0</v>
      </c>
      <c r="K645" t="n">
        <v>0</v>
      </c>
      <c r="L645" t="n">
        <v>0</v>
      </c>
      <c r="M645" t="n">
        <v>0</v>
      </c>
      <c r="N645" t="n">
        <v>0</v>
      </c>
      <c r="O645" t="n">
        <v>0</v>
      </c>
      <c r="P645" t="n">
        <v>0</v>
      </c>
      <c r="Q645" t="n">
        <v>0</v>
      </c>
      <c r="R645" s="2" t="inlineStr"/>
    </row>
    <row r="646" ht="15" customHeight="1">
      <c r="A646" t="inlineStr">
        <is>
          <t>A 23225-2020</t>
        </is>
      </c>
      <c r="B646" s="1" t="n">
        <v>43756</v>
      </c>
      <c r="C646" s="1" t="n">
        <v>45749</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55663-2019</t>
        </is>
      </c>
      <c r="B647" s="1" t="n">
        <v>43760</v>
      </c>
      <c r="C647" s="1" t="n">
        <v>45749</v>
      </c>
      <c r="D647" t="inlineStr">
        <is>
          <t>JÄMTLANDS LÄN</t>
        </is>
      </c>
      <c r="E647" t="inlineStr">
        <is>
          <t>STRÖMSUND</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55675-2019</t>
        </is>
      </c>
      <c r="B648" s="1" t="n">
        <v>43760</v>
      </c>
      <c r="C648" s="1" t="n">
        <v>45749</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55728-2019</t>
        </is>
      </c>
      <c r="B649" s="1" t="n">
        <v>43760</v>
      </c>
      <c r="C649" s="1" t="n">
        <v>45749</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55725-2019</t>
        </is>
      </c>
      <c r="B650" s="1" t="n">
        <v>43760</v>
      </c>
      <c r="C650" s="1" t="n">
        <v>45749</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56798-2019</t>
        </is>
      </c>
      <c r="B651" s="1" t="n">
        <v>43763</v>
      </c>
      <c r="C651" s="1" t="n">
        <v>45749</v>
      </c>
      <c r="D651" t="inlineStr">
        <is>
          <t>JÄMTLANDS LÄN</t>
        </is>
      </c>
      <c r="E651" t="inlineStr">
        <is>
          <t>STRÖMSUND</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56797-2019</t>
        </is>
      </c>
      <c r="B652" s="1" t="n">
        <v>43763</v>
      </c>
      <c r="C652" s="1" t="n">
        <v>45749</v>
      </c>
      <c r="D652" t="inlineStr">
        <is>
          <t>JÄMTLANDS LÄN</t>
        </is>
      </c>
      <c r="E652" t="inlineStr">
        <is>
          <t>STRÖMSUND</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56801-2019</t>
        </is>
      </c>
      <c r="B653" s="1" t="n">
        <v>43763</v>
      </c>
      <c r="C653" s="1" t="n">
        <v>45749</v>
      </c>
      <c r="D653" t="inlineStr">
        <is>
          <t>JÄMTLANDS LÄN</t>
        </is>
      </c>
      <c r="E653" t="inlineStr">
        <is>
          <t>STRÖMSUND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56800-2019</t>
        </is>
      </c>
      <c r="B654" s="1" t="n">
        <v>43763</v>
      </c>
      <c r="C654" s="1" t="n">
        <v>45749</v>
      </c>
      <c r="D654" t="inlineStr">
        <is>
          <t>JÄMTLANDS LÄN</t>
        </is>
      </c>
      <c r="E654" t="inlineStr">
        <is>
          <t>STRÖMSUND</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56799-2019</t>
        </is>
      </c>
      <c r="B655" s="1" t="n">
        <v>43763</v>
      </c>
      <c r="C655" s="1" t="n">
        <v>45749</v>
      </c>
      <c r="D655" t="inlineStr">
        <is>
          <t>JÄMTLANDS LÄN</t>
        </is>
      </c>
      <c r="E655" t="inlineStr">
        <is>
          <t>STRÖMSUND</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56692-2019</t>
        </is>
      </c>
      <c r="B656" s="1" t="n">
        <v>43763</v>
      </c>
      <c r="C656" s="1" t="n">
        <v>45749</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56808-2019</t>
        </is>
      </c>
      <c r="B657" s="1" t="n">
        <v>43763</v>
      </c>
      <c r="C657" s="1" t="n">
        <v>45749</v>
      </c>
      <c r="D657" t="inlineStr">
        <is>
          <t>JÄMTLANDS LÄN</t>
        </is>
      </c>
      <c r="E657" t="inlineStr">
        <is>
          <t>STRÖMSUND</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56809-2019</t>
        </is>
      </c>
      <c r="B658" s="1" t="n">
        <v>43763</v>
      </c>
      <c r="C658" s="1" t="n">
        <v>45749</v>
      </c>
      <c r="D658" t="inlineStr">
        <is>
          <t>JÄMTLANDS LÄN</t>
        </is>
      </c>
      <c r="E658" t="inlineStr">
        <is>
          <t>STRÖMSUND</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57546-2019</t>
        </is>
      </c>
      <c r="B659" s="1" t="n">
        <v>43767</v>
      </c>
      <c r="C659" s="1" t="n">
        <v>45749</v>
      </c>
      <c r="D659" t="inlineStr">
        <is>
          <t>JÄMTLANDS LÄN</t>
        </is>
      </c>
      <c r="E659" t="inlineStr">
        <is>
          <t>STRÖMSUND</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58662-2019</t>
        </is>
      </c>
      <c r="B660" s="1" t="n">
        <v>43767</v>
      </c>
      <c r="C660" s="1" t="n">
        <v>45749</v>
      </c>
      <c r="D660" t="inlineStr">
        <is>
          <t>JÄMTLANDS LÄN</t>
        </is>
      </c>
      <c r="E660" t="inlineStr">
        <is>
          <t>STRÖMSUND</t>
        </is>
      </c>
      <c r="G660" t="n">
        <v>18.4</v>
      </c>
      <c r="H660" t="n">
        <v>0</v>
      </c>
      <c r="I660" t="n">
        <v>0</v>
      </c>
      <c r="J660" t="n">
        <v>0</v>
      </c>
      <c r="K660" t="n">
        <v>0</v>
      </c>
      <c r="L660" t="n">
        <v>0</v>
      </c>
      <c r="M660" t="n">
        <v>0</v>
      </c>
      <c r="N660" t="n">
        <v>0</v>
      </c>
      <c r="O660" t="n">
        <v>0</v>
      </c>
      <c r="P660" t="n">
        <v>0</v>
      </c>
      <c r="Q660" t="n">
        <v>0</v>
      </c>
      <c r="R660" s="2" t="inlineStr"/>
    </row>
    <row r="661" ht="15" customHeight="1">
      <c r="A661" t="inlineStr">
        <is>
          <t>A 57547-2019</t>
        </is>
      </c>
      <c r="B661" s="1" t="n">
        <v>43767</v>
      </c>
      <c r="C661" s="1" t="n">
        <v>45749</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57552-2019</t>
        </is>
      </c>
      <c r="B662" s="1" t="n">
        <v>43767</v>
      </c>
      <c r="C662" s="1" t="n">
        <v>45749</v>
      </c>
      <c r="D662" t="inlineStr">
        <is>
          <t>JÄMTLANDS LÄN</t>
        </is>
      </c>
      <c r="E662" t="inlineStr">
        <is>
          <t>STRÖMSUND</t>
        </is>
      </c>
      <c r="G662" t="n">
        <v>1.4</v>
      </c>
      <c r="H662" t="n">
        <v>0</v>
      </c>
      <c r="I662" t="n">
        <v>0</v>
      </c>
      <c r="J662" t="n">
        <v>0</v>
      </c>
      <c r="K662" t="n">
        <v>0</v>
      </c>
      <c r="L662" t="n">
        <v>0</v>
      </c>
      <c r="M662" t="n">
        <v>0</v>
      </c>
      <c r="N662" t="n">
        <v>0</v>
      </c>
      <c r="O662" t="n">
        <v>0</v>
      </c>
      <c r="P662" t="n">
        <v>0</v>
      </c>
      <c r="Q662" t="n">
        <v>0</v>
      </c>
      <c r="R662" s="2" t="inlineStr"/>
    </row>
    <row r="663" ht="15" customHeight="1">
      <c r="A663" t="inlineStr">
        <is>
          <t>A 57873-2019</t>
        </is>
      </c>
      <c r="B663" s="1" t="n">
        <v>43768</v>
      </c>
      <c r="C663" s="1" t="n">
        <v>45749</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57872-2019</t>
        </is>
      </c>
      <c r="B664" s="1" t="n">
        <v>43768</v>
      </c>
      <c r="C664" s="1" t="n">
        <v>45749</v>
      </c>
      <c r="D664" t="inlineStr">
        <is>
          <t>JÄMTLANDS LÄN</t>
        </is>
      </c>
      <c r="E664" t="inlineStr">
        <is>
          <t>STRÖMSUND</t>
        </is>
      </c>
      <c r="G664" t="n">
        <v>47.2</v>
      </c>
      <c r="H664" t="n">
        <v>0</v>
      </c>
      <c r="I664" t="n">
        <v>0</v>
      </c>
      <c r="J664" t="n">
        <v>0</v>
      </c>
      <c r="K664" t="n">
        <v>0</v>
      </c>
      <c r="L664" t="n">
        <v>0</v>
      </c>
      <c r="M664" t="n">
        <v>0</v>
      </c>
      <c r="N664" t="n">
        <v>0</v>
      </c>
      <c r="O664" t="n">
        <v>0</v>
      </c>
      <c r="P664" t="n">
        <v>0</v>
      </c>
      <c r="Q664" t="n">
        <v>0</v>
      </c>
      <c r="R664" s="2" t="inlineStr"/>
    </row>
    <row r="665" ht="15" customHeight="1">
      <c r="A665" t="inlineStr">
        <is>
          <t>A 58844-2019</t>
        </is>
      </c>
      <c r="B665" s="1" t="n">
        <v>43768</v>
      </c>
      <c r="C665" s="1" t="n">
        <v>45749</v>
      </c>
      <c r="D665" t="inlineStr">
        <is>
          <t>JÄMTLANDS LÄN</t>
        </is>
      </c>
      <c r="E665" t="inlineStr">
        <is>
          <t>STRÖMSUND</t>
        </is>
      </c>
      <c r="G665" t="n">
        <v>4.8</v>
      </c>
      <c r="H665" t="n">
        <v>0</v>
      </c>
      <c r="I665" t="n">
        <v>0</v>
      </c>
      <c r="J665" t="n">
        <v>0</v>
      </c>
      <c r="K665" t="n">
        <v>0</v>
      </c>
      <c r="L665" t="n">
        <v>0</v>
      </c>
      <c r="M665" t="n">
        <v>0</v>
      </c>
      <c r="N665" t="n">
        <v>0</v>
      </c>
      <c r="O665" t="n">
        <v>0</v>
      </c>
      <c r="P665" t="n">
        <v>0</v>
      </c>
      <c r="Q665" t="n">
        <v>0</v>
      </c>
      <c r="R665" s="2" t="inlineStr"/>
    </row>
    <row r="666" ht="15" customHeight="1">
      <c r="A666" t="inlineStr">
        <is>
          <t>A 58172-2019</t>
        </is>
      </c>
      <c r="B666" s="1" t="n">
        <v>43769</v>
      </c>
      <c r="C666" s="1" t="n">
        <v>45749</v>
      </c>
      <c r="D666" t="inlineStr">
        <is>
          <t>JÄMTLANDS LÄN</t>
        </is>
      </c>
      <c r="E666" t="inlineStr">
        <is>
          <t>STRÖMSUND</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59543-2019</t>
        </is>
      </c>
      <c r="B667" s="1" t="n">
        <v>43773</v>
      </c>
      <c r="C667" s="1" t="n">
        <v>45749</v>
      </c>
      <c r="D667" t="inlineStr">
        <is>
          <t>JÄMTLANDS LÄN</t>
        </is>
      </c>
      <c r="E667" t="inlineStr">
        <is>
          <t>STRÖMSUND</t>
        </is>
      </c>
      <c r="G667" t="n">
        <v>6.3</v>
      </c>
      <c r="H667" t="n">
        <v>0</v>
      </c>
      <c r="I667" t="n">
        <v>0</v>
      </c>
      <c r="J667" t="n">
        <v>0</v>
      </c>
      <c r="K667" t="n">
        <v>0</v>
      </c>
      <c r="L667" t="n">
        <v>0</v>
      </c>
      <c r="M667" t="n">
        <v>0</v>
      </c>
      <c r="N667" t="n">
        <v>0</v>
      </c>
      <c r="O667" t="n">
        <v>0</v>
      </c>
      <c r="P667" t="n">
        <v>0</v>
      </c>
      <c r="Q667" t="n">
        <v>0</v>
      </c>
      <c r="R667" s="2" t="inlineStr"/>
    </row>
    <row r="668" ht="15" customHeight="1">
      <c r="A668" t="inlineStr">
        <is>
          <t>A 59425-2019</t>
        </is>
      </c>
      <c r="B668" s="1" t="n">
        <v>43775</v>
      </c>
      <c r="C668" s="1" t="n">
        <v>45749</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59456-2019</t>
        </is>
      </c>
      <c r="B669" s="1" t="n">
        <v>43776</v>
      </c>
      <c r="C669" s="1" t="n">
        <v>45749</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61411-2019</t>
        </is>
      </c>
      <c r="B670" s="1" t="n">
        <v>43780</v>
      </c>
      <c r="C670" s="1" t="n">
        <v>45749</v>
      </c>
      <c r="D670" t="inlineStr">
        <is>
          <t>JÄMTLANDS LÄN</t>
        </is>
      </c>
      <c r="E670" t="inlineStr">
        <is>
          <t>STRÖMSUND</t>
        </is>
      </c>
      <c r="G670" t="n">
        <v>2.3</v>
      </c>
      <c r="H670" t="n">
        <v>0</v>
      </c>
      <c r="I670" t="n">
        <v>0</v>
      </c>
      <c r="J670" t="n">
        <v>0</v>
      </c>
      <c r="K670" t="n">
        <v>0</v>
      </c>
      <c r="L670" t="n">
        <v>0</v>
      </c>
      <c r="M670" t="n">
        <v>0</v>
      </c>
      <c r="N670" t="n">
        <v>0</v>
      </c>
      <c r="O670" t="n">
        <v>0</v>
      </c>
      <c r="P670" t="n">
        <v>0</v>
      </c>
      <c r="Q670" t="n">
        <v>0</v>
      </c>
      <c r="R670" s="2" t="inlineStr"/>
    </row>
    <row r="671" ht="15" customHeight="1">
      <c r="A671" t="inlineStr">
        <is>
          <t>A 61703-2019</t>
        </is>
      </c>
      <c r="B671" s="1" t="n">
        <v>43780</v>
      </c>
      <c r="C671" s="1" t="n">
        <v>45749</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61705-2019</t>
        </is>
      </c>
      <c r="B672" s="1" t="n">
        <v>43780</v>
      </c>
      <c r="C672" s="1" t="n">
        <v>45749</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60569-2019</t>
        </is>
      </c>
      <c r="B673" s="1" t="n">
        <v>43781</v>
      </c>
      <c r="C673" s="1" t="n">
        <v>45749</v>
      </c>
      <c r="D673" t="inlineStr">
        <is>
          <t>JÄMTLANDS LÄN</t>
        </is>
      </c>
      <c r="E673" t="inlineStr">
        <is>
          <t>STRÖMSUND</t>
        </is>
      </c>
      <c r="G673" t="n">
        <v>1</v>
      </c>
      <c r="H673" t="n">
        <v>0</v>
      </c>
      <c r="I673" t="n">
        <v>0</v>
      </c>
      <c r="J673" t="n">
        <v>0</v>
      </c>
      <c r="K673" t="n">
        <v>0</v>
      </c>
      <c r="L673" t="n">
        <v>0</v>
      </c>
      <c r="M673" t="n">
        <v>0</v>
      </c>
      <c r="N673" t="n">
        <v>0</v>
      </c>
      <c r="O673" t="n">
        <v>0</v>
      </c>
      <c r="P673" t="n">
        <v>0</v>
      </c>
      <c r="Q673" t="n">
        <v>0</v>
      </c>
      <c r="R673" s="2" t="inlineStr"/>
    </row>
    <row r="674" ht="15" customHeight="1">
      <c r="A674" t="inlineStr">
        <is>
          <t>A 60536-2019</t>
        </is>
      </c>
      <c r="B674" s="1" t="n">
        <v>43781</v>
      </c>
      <c r="C674" s="1" t="n">
        <v>45749</v>
      </c>
      <c r="D674" t="inlineStr">
        <is>
          <t>JÄMTLANDS LÄN</t>
        </is>
      </c>
      <c r="E674" t="inlineStr">
        <is>
          <t>STRÖMSUND</t>
        </is>
      </c>
      <c r="G674" t="n">
        <v>0.2</v>
      </c>
      <c r="H674" t="n">
        <v>0</v>
      </c>
      <c r="I674" t="n">
        <v>0</v>
      </c>
      <c r="J674" t="n">
        <v>0</v>
      </c>
      <c r="K674" t="n">
        <v>0</v>
      </c>
      <c r="L674" t="n">
        <v>0</v>
      </c>
      <c r="M674" t="n">
        <v>0</v>
      </c>
      <c r="N674" t="n">
        <v>0</v>
      </c>
      <c r="O674" t="n">
        <v>0</v>
      </c>
      <c r="P674" t="n">
        <v>0</v>
      </c>
      <c r="Q674" t="n">
        <v>0</v>
      </c>
      <c r="R674" s="2" t="inlineStr"/>
    </row>
    <row r="675" ht="15" customHeight="1">
      <c r="A675" t="inlineStr">
        <is>
          <t>A 61122-2019</t>
        </is>
      </c>
      <c r="B675" s="1" t="n">
        <v>43782</v>
      </c>
      <c r="C675" s="1" t="n">
        <v>45749</v>
      </c>
      <c r="D675" t="inlineStr">
        <is>
          <t>JÄMTLANDS LÄN</t>
        </is>
      </c>
      <c r="E675" t="inlineStr">
        <is>
          <t>STRÖMSUND</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62256-2019</t>
        </is>
      </c>
      <c r="B676" s="1" t="n">
        <v>43782</v>
      </c>
      <c r="C676" s="1" t="n">
        <v>45749</v>
      </c>
      <c r="D676" t="inlineStr">
        <is>
          <t>JÄMTLANDS LÄN</t>
        </is>
      </c>
      <c r="E676" t="inlineStr">
        <is>
          <t>STRÖMSUND</t>
        </is>
      </c>
      <c r="G676" t="n">
        <v>1.6</v>
      </c>
      <c r="H676" t="n">
        <v>0</v>
      </c>
      <c r="I676" t="n">
        <v>0</v>
      </c>
      <c r="J676" t="n">
        <v>0</v>
      </c>
      <c r="K676" t="n">
        <v>0</v>
      </c>
      <c r="L676" t="n">
        <v>0</v>
      </c>
      <c r="M676" t="n">
        <v>0</v>
      </c>
      <c r="N676" t="n">
        <v>0</v>
      </c>
      <c r="O676" t="n">
        <v>0</v>
      </c>
      <c r="P676" t="n">
        <v>0</v>
      </c>
      <c r="Q676" t="n">
        <v>0</v>
      </c>
      <c r="R676" s="2" t="inlineStr"/>
    </row>
    <row r="677" ht="15" customHeight="1">
      <c r="A677" t="inlineStr">
        <is>
          <t>A 60955-2019</t>
        </is>
      </c>
      <c r="B677" s="1" t="n">
        <v>43782</v>
      </c>
      <c r="C677" s="1" t="n">
        <v>45749</v>
      </c>
      <c r="D677" t="inlineStr">
        <is>
          <t>JÄMTLANDS LÄN</t>
        </is>
      </c>
      <c r="E677" t="inlineStr">
        <is>
          <t>STRÖMSUND</t>
        </is>
      </c>
      <c r="F677" t="inlineStr">
        <is>
          <t>Holmen skog AB</t>
        </is>
      </c>
      <c r="G677" t="n">
        <v>6.6</v>
      </c>
      <c r="H677" t="n">
        <v>0</v>
      </c>
      <c r="I677" t="n">
        <v>0</v>
      </c>
      <c r="J677" t="n">
        <v>0</v>
      </c>
      <c r="K677" t="n">
        <v>0</v>
      </c>
      <c r="L677" t="n">
        <v>0</v>
      </c>
      <c r="M677" t="n">
        <v>0</v>
      </c>
      <c r="N677" t="n">
        <v>0</v>
      </c>
      <c r="O677" t="n">
        <v>0</v>
      </c>
      <c r="P677" t="n">
        <v>0</v>
      </c>
      <c r="Q677" t="n">
        <v>0</v>
      </c>
      <c r="R677" s="2" t="inlineStr"/>
    </row>
    <row r="678" ht="15" customHeight="1">
      <c r="A678" t="inlineStr">
        <is>
          <t>A 61690-2019</t>
        </is>
      </c>
      <c r="B678" s="1" t="n">
        <v>43784</v>
      </c>
      <c r="C678" s="1" t="n">
        <v>45749</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61778-2019</t>
        </is>
      </c>
      <c r="B679" s="1" t="n">
        <v>43784</v>
      </c>
      <c r="C679" s="1" t="n">
        <v>45749</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61833-2019</t>
        </is>
      </c>
      <c r="B680" s="1" t="n">
        <v>43786</v>
      </c>
      <c r="C680" s="1" t="n">
        <v>45749</v>
      </c>
      <c r="D680" t="inlineStr">
        <is>
          <t>JÄMTLANDS LÄN</t>
        </is>
      </c>
      <c r="E680" t="inlineStr">
        <is>
          <t>STRÖMSUND</t>
        </is>
      </c>
      <c r="G680" t="n">
        <v>11.5</v>
      </c>
      <c r="H680" t="n">
        <v>0</v>
      </c>
      <c r="I680" t="n">
        <v>0</v>
      </c>
      <c r="J680" t="n">
        <v>0</v>
      </c>
      <c r="K680" t="n">
        <v>0</v>
      </c>
      <c r="L680" t="n">
        <v>0</v>
      </c>
      <c r="M680" t="n">
        <v>0</v>
      </c>
      <c r="N680" t="n">
        <v>0</v>
      </c>
      <c r="O680" t="n">
        <v>0</v>
      </c>
      <c r="P680" t="n">
        <v>0</v>
      </c>
      <c r="Q680" t="n">
        <v>0</v>
      </c>
      <c r="R680" s="2" t="inlineStr"/>
    </row>
    <row r="681" ht="15" customHeight="1">
      <c r="A681" t="inlineStr">
        <is>
          <t>A 61838-2019</t>
        </is>
      </c>
      <c r="B681" s="1" t="n">
        <v>43786</v>
      </c>
      <c r="C681" s="1" t="n">
        <v>45749</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61830-2019</t>
        </is>
      </c>
      <c r="B682" s="1" t="n">
        <v>43786</v>
      </c>
      <c r="C682" s="1" t="n">
        <v>45749</v>
      </c>
      <c r="D682" t="inlineStr">
        <is>
          <t>JÄMTLANDS LÄN</t>
        </is>
      </c>
      <c r="E682" t="inlineStr">
        <is>
          <t>STRÖMSUND</t>
        </is>
      </c>
      <c r="G682" t="n">
        <v>8</v>
      </c>
      <c r="H682" t="n">
        <v>0</v>
      </c>
      <c r="I682" t="n">
        <v>0</v>
      </c>
      <c r="J682" t="n">
        <v>0</v>
      </c>
      <c r="K682" t="n">
        <v>0</v>
      </c>
      <c r="L682" t="n">
        <v>0</v>
      </c>
      <c r="M682" t="n">
        <v>0</v>
      </c>
      <c r="N682" t="n">
        <v>0</v>
      </c>
      <c r="O682" t="n">
        <v>0</v>
      </c>
      <c r="P682" t="n">
        <v>0</v>
      </c>
      <c r="Q682" t="n">
        <v>0</v>
      </c>
      <c r="R682" s="2" t="inlineStr"/>
    </row>
    <row r="683" ht="15" customHeight="1">
      <c r="A683" t="inlineStr">
        <is>
          <t>A 61835-2019</t>
        </is>
      </c>
      <c r="B683" s="1" t="n">
        <v>43786</v>
      </c>
      <c r="C683" s="1" t="n">
        <v>45749</v>
      </c>
      <c r="D683" t="inlineStr">
        <is>
          <t>JÄMTLANDS LÄN</t>
        </is>
      </c>
      <c r="E683" t="inlineStr">
        <is>
          <t>STRÖMSUND</t>
        </is>
      </c>
      <c r="G683" t="n">
        <v>6</v>
      </c>
      <c r="H683" t="n">
        <v>0</v>
      </c>
      <c r="I683" t="n">
        <v>0</v>
      </c>
      <c r="J683" t="n">
        <v>0</v>
      </c>
      <c r="K683" t="n">
        <v>0</v>
      </c>
      <c r="L683" t="n">
        <v>0</v>
      </c>
      <c r="M683" t="n">
        <v>0</v>
      </c>
      <c r="N683" t="n">
        <v>0</v>
      </c>
      <c r="O683" t="n">
        <v>0</v>
      </c>
      <c r="P683" t="n">
        <v>0</v>
      </c>
      <c r="Q683" t="n">
        <v>0</v>
      </c>
      <c r="R683" s="2" t="inlineStr"/>
    </row>
    <row r="684" ht="15" customHeight="1">
      <c r="A684" t="inlineStr">
        <is>
          <t>A 61829-2019</t>
        </is>
      </c>
      <c r="B684" s="1" t="n">
        <v>43786</v>
      </c>
      <c r="C684" s="1" t="n">
        <v>45749</v>
      </c>
      <c r="D684" t="inlineStr">
        <is>
          <t>JÄMTLANDS LÄN</t>
        </is>
      </c>
      <c r="E684" t="inlineStr">
        <is>
          <t>STRÖMSUND</t>
        </is>
      </c>
      <c r="G684" t="n">
        <v>4.3</v>
      </c>
      <c r="H684" t="n">
        <v>0</v>
      </c>
      <c r="I684" t="n">
        <v>0</v>
      </c>
      <c r="J684" t="n">
        <v>0</v>
      </c>
      <c r="K684" t="n">
        <v>0</v>
      </c>
      <c r="L684" t="n">
        <v>0</v>
      </c>
      <c r="M684" t="n">
        <v>0</v>
      </c>
      <c r="N684" t="n">
        <v>0</v>
      </c>
      <c r="O684" t="n">
        <v>0</v>
      </c>
      <c r="P684" t="n">
        <v>0</v>
      </c>
      <c r="Q684" t="n">
        <v>0</v>
      </c>
      <c r="R684" s="2" t="inlineStr"/>
    </row>
    <row r="685" ht="15" customHeight="1">
      <c r="A685" t="inlineStr">
        <is>
          <t>A 61834-2019</t>
        </is>
      </c>
      <c r="B685" s="1" t="n">
        <v>43786</v>
      </c>
      <c r="C685" s="1" t="n">
        <v>45749</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61836-2019</t>
        </is>
      </c>
      <c r="B686" s="1" t="n">
        <v>43786</v>
      </c>
      <c r="C686" s="1" t="n">
        <v>45749</v>
      </c>
      <c r="D686" t="inlineStr">
        <is>
          <t>JÄMTLANDS LÄN</t>
        </is>
      </c>
      <c r="E686" t="inlineStr">
        <is>
          <t>STRÖMSUND</t>
        </is>
      </c>
      <c r="G686" t="n">
        <v>3.1</v>
      </c>
      <c r="H686" t="n">
        <v>0</v>
      </c>
      <c r="I686" t="n">
        <v>0</v>
      </c>
      <c r="J686" t="n">
        <v>0</v>
      </c>
      <c r="K686" t="n">
        <v>0</v>
      </c>
      <c r="L686" t="n">
        <v>0</v>
      </c>
      <c r="M686" t="n">
        <v>0</v>
      </c>
      <c r="N686" t="n">
        <v>0</v>
      </c>
      <c r="O686" t="n">
        <v>0</v>
      </c>
      <c r="P686" t="n">
        <v>0</v>
      </c>
      <c r="Q686" t="n">
        <v>0</v>
      </c>
      <c r="R686" s="2" t="inlineStr"/>
    </row>
    <row r="687" ht="15" customHeight="1">
      <c r="A687" t="inlineStr">
        <is>
          <t>A 61832-2019</t>
        </is>
      </c>
      <c r="B687" s="1" t="n">
        <v>43786</v>
      </c>
      <c r="C687" s="1" t="n">
        <v>45749</v>
      </c>
      <c r="D687" t="inlineStr">
        <is>
          <t>JÄMTLANDS LÄN</t>
        </is>
      </c>
      <c r="E687" t="inlineStr">
        <is>
          <t>STRÖMSUND</t>
        </is>
      </c>
      <c r="G687" t="n">
        <v>19.9</v>
      </c>
      <c r="H687" t="n">
        <v>0</v>
      </c>
      <c r="I687" t="n">
        <v>0</v>
      </c>
      <c r="J687" t="n">
        <v>0</v>
      </c>
      <c r="K687" t="n">
        <v>0</v>
      </c>
      <c r="L687" t="n">
        <v>0</v>
      </c>
      <c r="M687" t="n">
        <v>0</v>
      </c>
      <c r="N687" t="n">
        <v>0</v>
      </c>
      <c r="O687" t="n">
        <v>0</v>
      </c>
      <c r="P687" t="n">
        <v>0</v>
      </c>
      <c r="Q687" t="n">
        <v>0</v>
      </c>
      <c r="R687" s="2" t="inlineStr"/>
    </row>
    <row r="688" ht="15" customHeight="1">
      <c r="A688" t="inlineStr">
        <is>
          <t>A 62492-2019</t>
        </is>
      </c>
      <c r="B688" s="1" t="n">
        <v>43788</v>
      </c>
      <c r="C688" s="1" t="n">
        <v>45749</v>
      </c>
      <c r="D688" t="inlineStr">
        <is>
          <t>JÄMTLANDS LÄN</t>
        </is>
      </c>
      <c r="E688" t="inlineStr">
        <is>
          <t>STRÖMSUND</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63715-2019</t>
        </is>
      </c>
      <c r="B689" s="1" t="n">
        <v>43789</v>
      </c>
      <c r="C689" s="1" t="n">
        <v>45749</v>
      </c>
      <c r="D689" t="inlineStr">
        <is>
          <t>JÄMTLANDS LÄN</t>
        </is>
      </c>
      <c r="E689" t="inlineStr">
        <is>
          <t>STRÖMSUND</t>
        </is>
      </c>
      <c r="G689" t="n">
        <v>5.8</v>
      </c>
      <c r="H689" t="n">
        <v>0</v>
      </c>
      <c r="I689" t="n">
        <v>0</v>
      </c>
      <c r="J689" t="n">
        <v>0</v>
      </c>
      <c r="K689" t="n">
        <v>0</v>
      </c>
      <c r="L689" t="n">
        <v>0</v>
      </c>
      <c r="M689" t="n">
        <v>0</v>
      </c>
      <c r="N689" t="n">
        <v>0</v>
      </c>
      <c r="O689" t="n">
        <v>0</v>
      </c>
      <c r="P689" t="n">
        <v>0</v>
      </c>
      <c r="Q689" t="n">
        <v>0</v>
      </c>
      <c r="R689" s="2" t="inlineStr"/>
    </row>
    <row r="690" ht="15" customHeight="1">
      <c r="A690" t="inlineStr">
        <is>
          <t>A 62511-2019</t>
        </is>
      </c>
      <c r="B690" s="1" t="n">
        <v>43789</v>
      </c>
      <c r="C690" s="1" t="n">
        <v>45749</v>
      </c>
      <c r="D690" t="inlineStr">
        <is>
          <t>JÄMTLANDS LÄN</t>
        </is>
      </c>
      <c r="E690" t="inlineStr">
        <is>
          <t>STRÖMSUND</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63927-2019</t>
        </is>
      </c>
      <c r="B691" s="1" t="n">
        <v>43790</v>
      </c>
      <c r="C691" s="1" t="n">
        <v>45749</v>
      </c>
      <c r="D691" t="inlineStr">
        <is>
          <t>JÄMTLANDS LÄN</t>
        </is>
      </c>
      <c r="E691" t="inlineStr">
        <is>
          <t>STRÖMSUND</t>
        </is>
      </c>
      <c r="G691" t="n">
        <v>1</v>
      </c>
      <c r="H691" t="n">
        <v>0</v>
      </c>
      <c r="I691" t="n">
        <v>0</v>
      </c>
      <c r="J691" t="n">
        <v>0</v>
      </c>
      <c r="K691" t="n">
        <v>0</v>
      </c>
      <c r="L691" t="n">
        <v>0</v>
      </c>
      <c r="M691" t="n">
        <v>0</v>
      </c>
      <c r="N691" t="n">
        <v>0</v>
      </c>
      <c r="O691" t="n">
        <v>0</v>
      </c>
      <c r="P691" t="n">
        <v>0</v>
      </c>
      <c r="Q691" t="n">
        <v>0</v>
      </c>
      <c r="R691" s="2" t="inlineStr"/>
    </row>
    <row r="692" ht="15" customHeight="1">
      <c r="A692" t="inlineStr">
        <is>
          <t>A 63918-2019</t>
        </is>
      </c>
      <c r="B692" s="1" t="n">
        <v>43790</v>
      </c>
      <c r="C692" s="1" t="n">
        <v>45749</v>
      </c>
      <c r="D692" t="inlineStr">
        <is>
          <t>JÄMTLANDS LÄN</t>
        </is>
      </c>
      <c r="E692" t="inlineStr">
        <is>
          <t>STRÖMSUND</t>
        </is>
      </c>
      <c r="G692" t="n">
        <v>1.5</v>
      </c>
      <c r="H692" t="n">
        <v>0</v>
      </c>
      <c r="I692" t="n">
        <v>0</v>
      </c>
      <c r="J692" t="n">
        <v>0</v>
      </c>
      <c r="K692" t="n">
        <v>0</v>
      </c>
      <c r="L692" t="n">
        <v>0</v>
      </c>
      <c r="M692" t="n">
        <v>0</v>
      </c>
      <c r="N692" t="n">
        <v>0</v>
      </c>
      <c r="O692" t="n">
        <v>0</v>
      </c>
      <c r="P692" t="n">
        <v>0</v>
      </c>
      <c r="Q692" t="n">
        <v>0</v>
      </c>
      <c r="R692" s="2" t="inlineStr"/>
    </row>
    <row r="693" ht="15" customHeight="1">
      <c r="A693" t="inlineStr">
        <is>
          <t>A 63429-2019</t>
        </is>
      </c>
      <c r="B693" s="1" t="n">
        <v>43794</v>
      </c>
      <c r="C693" s="1" t="n">
        <v>45749</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63443-2019</t>
        </is>
      </c>
      <c r="B694" s="1" t="n">
        <v>43794</v>
      </c>
      <c r="C694" s="1" t="n">
        <v>45749</v>
      </c>
      <c r="D694" t="inlineStr">
        <is>
          <t>JÄMTLANDS LÄN</t>
        </is>
      </c>
      <c r="E694" t="inlineStr">
        <is>
          <t>STRÖMSUND</t>
        </is>
      </c>
      <c r="G694" t="n">
        <v>13.8</v>
      </c>
      <c r="H694" t="n">
        <v>0</v>
      </c>
      <c r="I694" t="n">
        <v>0</v>
      </c>
      <c r="J694" t="n">
        <v>0</v>
      </c>
      <c r="K694" t="n">
        <v>0</v>
      </c>
      <c r="L694" t="n">
        <v>0</v>
      </c>
      <c r="M694" t="n">
        <v>0</v>
      </c>
      <c r="N694" t="n">
        <v>0</v>
      </c>
      <c r="O694" t="n">
        <v>0</v>
      </c>
      <c r="P694" t="n">
        <v>0</v>
      </c>
      <c r="Q694" t="n">
        <v>0</v>
      </c>
      <c r="R694" s="2" t="inlineStr"/>
    </row>
    <row r="695" ht="15" customHeight="1">
      <c r="A695" t="inlineStr">
        <is>
          <t>A 63426-2019</t>
        </is>
      </c>
      <c r="B695" s="1" t="n">
        <v>43794</v>
      </c>
      <c r="C695" s="1" t="n">
        <v>45749</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63444-2019</t>
        </is>
      </c>
      <c r="B696" s="1" t="n">
        <v>43794</v>
      </c>
      <c r="C696" s="1" t="n">
        <v>45749</v>
      </c>
      <c r="D696" t="inlineStr">
        <is>
          <t>JÄMTLANDS LÄN</t>
        </is>
      </c>
      <c r="E696" t="inlineStr">
        <is>
          <t>STRÖMSUND</t>
        </is>
      </c>
      <c r="G696" t="n">
        <v>5.6</v>
      </c>
      <c r="H696" t="n">
        <v>0</v>
      </c>
      <c r="I696" t="n">
        <v>0</v>
      </c>
      <c r="J696" t="n">
        <v>0</v>
      </c>
      <c r="K696" t="n">
        <v>0</v>
      </c>
      <c r="L696" t="n">
        <v>0</v>
      </c>
      <c r="M696" t="n">
        <v>0</v>
      </c>
      <c r="N696" t="n">
        <v>0</v>
      </c>
      <c r="O696" t="n">
        <v>0</v>
      </c>
      <c r="P696" t="n">
        <v>0</v>
      </c>
      <c r="Q696" t="n">
        <v>0</v>
      </c>
      <c r="R696" s="2" t="inlineStr"/>
    </row>
    <row r="697" ht="15" customHeight="1">
      <c r="A697" t="inlineStr">
        <is>
          <t>A 64138-2019</t>
        </is>
      </c>
      <c r="B697" s="1" t="n">
        <v>43796</v>
      </c>
      <c r="C697" s="1" t="n">
        <v>45749</v>
      </c>
      <c r="D697" t="inlineStr">
        <is>
          <t>JÄMTLANDS LÄN</t>
        </is>
      </c>
      <c r="E697" t="inlineStr">
        <is>
          <t>STRÖMSUND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64463-2019</t>
        </is>
      </c>
      <c r="B698" s="1" t="n">
        <v>43797</v>
      </c>
      <c r="C698" s="1" t="n">
        <v>45749</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65415-2019</t>
        </is>
      </c>
      <c r="B699" s="1" t="n">
        <v>43797</v>
      </c>
      <c r="C699" s="1" t="n">
        <v>45749</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65390-2019</t>
        </is>
      </c>
      <c r="B700" s="1" t="n">
        <v>43797</v>
      </c>
      <c r="C700" s="1" t="n">
        <v>45749</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66574-2019</t>
        </is>
      </c>
      <c r="B701" s="1" t="n">
        <v>43803</v>
      </c>
      <c r="C701" s="1" t="n">
        <v>45749</v>
      </c>
      <c r="D701" t="inlineStr">
        <is>
          <t>JÄMTLANDS LÄN</t>
        </is>
      </c>
      <c r="E701" t="inlineStr">
        <is>
          <t>STRÖMSUND</t>
        </is>
      </c>
      <c r="G701" t="n">
        <v>0.7</v>
      </c>
      <c r="H701" t="n">
        <v>0</v>
      </c>
      <c r="I701" t="n">
        <v>0</v>
      </c>
      <c r="J701" t="n">
        <v>0</v>
      </c>
      <c r="K701" t="n">
        <v>0</v>
      </c>
      <c r="L701" t="n">
        <v>0</v>
      </c>
      <c r="M701" t="n">
        <v>0</v>
      </c>
      <c r="N701" t="n">
        <v>0</v>
      </c>
      <c r="O701" t="n">
        <v>0</v>
      </c>
      <c r="P701" t="n">
        <v>0</v>
      </c>
      <c r="Q701" t="n">
        <v>0</v>
      </c>
      <c r="R701" s="2" t="inlineStr"/>
    </row>
    <row r="702" ht="15" customHeight="1">
      <c r="A702" t="inlineStr">
        <is>
          <t>A 65781-2019</t>
        </is>
      </c>
      <c r="B702" s="1" t="n">
        <v>43804</v>
      </c>
      <c r="C702" s="1" t="n">
        <v>45749</v>
      </c>
      <c r="D702" t="inlineStr">
        <is>
          <t>JÄMTLANDS LÄN</t>
        </is>
      </c>
      <c r="E702" t="inlineStr">
        <is>
          <t>STRÖMSUND</t>
        </is>
      </c>
      <c r="G702" t="n">
        <v>4.3</v>
      </c>
      <c r="H702" t="n">
        <v>0</v>
      </c>
      <c r="I702" t="n">
        <v>0</v>
      </c>
      <c r="J702" t="n">
        <v>0</v>
      </c>
      <c r="K702" t="n">
        <v>0</v>
      </c>
      <c r="L702" t="n">
        <v>0</v>
      </c>
      <c r="M702" t="n">
        <v>0</v>
      </c>
      <c r="N702" t="n">
        <v>0</v>
      </c>
      <c r="O702" t="n">
        <v>0</v>
      </c>
      <c r="P702" t="n">
        <v>0</v>
      </c>
      <c r="Q702" t="n">
        <v>0</v>
      </c>
      <c r="R702" s="2" t="inlineStr"/>
    </row>
    <row r="703" ht="15" customHeight="1">
      <c r="A703" t="inlineStr">
        <is>
          <t>A 67064-2019</t>
        </is>
      </c>
      <c r="B703" s="1" t="n">
        <v>43805</v>
      </c>
      <c r="C703" s="1" t="n">
        <v>45749</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66349-2019</t>
        </is>
      </c>
      <c r="B704" s="1" t="n">
        <v>43808</v>
      </c>
      <c r="C704" s="1" t="n">
        <v>45749</v>
      </c>
      <c r="D704" t="inlineStr">
        <is>
          <t>JÄMTLANDS LÄN</t>
        </is>
      </c>
      <c r="E704" t="inlineStr">
        <is>
          <t>STRÖMSUND</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67820-2019</t>
        </is>
      </c>
      <c r="B705" s="1" t="n">
        <v>43815</v>
      </c>
      <c r="C705" s="1" t="n">
        <v>45749</v>
      </c>
      <c r="D705" t="inlineStr">
        <is>
          <t>JÄMTLANDS LÄN</t>
        </is>
      </c>
      <c r="E705" t="inlineStr">
        <is>
          <t>STRÖMSUND</t>
        </is>
      </c>
      <c r="F705" t="inlineStr">
        <is>
          <t>SCA</t>
        </is>
      </c>
      <c r="G705" t="n">
        <v>28.7</v>
      </c>
      <c r="H705" t="n">
        <v>0</v>
      </c>
      <c r="I705" t="n">
        <v>0</v>
      </c>
      <c r="J705" t="n">
        <v>0</v>
      </c>
      <c r="K705" t="n">
        <v>0</v>
      </c>
      <c r="L705" t="n">
        <v>0</v>
      </c>
      <c r="M705" t="n">
        <v>0</v>
      </c>
      <c r="N705" t="n">
        <v>0</v>
      </c>
      <c r="O705" t="n">
        <v>0</v>
      </c>
      <c r="P705" t="n">
        <v>0</v>
      </c>
      <c r="Q705" t="n">
        <v>0</v>
      </c>
      <c r="R705" s="2" t="inlineStr"/>
    </row>
    <row r="706" ht="15" customHeight="1">
      <c r="A706" t="inlineStr">
        <is>
          <t>A 67914-2019</t>
        </is>
      </c>
      <c r="B706" s="1" t="n">
        <v>43816</v>
      </c>
      <c r="C706" s="1" t="n">
        <v>45749</v>
      </c>
      <c r="D706" t="inlineStr">
        <is>
          <t>JÄMTLANDS LÄN</t>
        </is>
      </c>
      <c r="E706" t="inlineStr">
        <is>
          <t>STRÖMSUND</t>
        </is>
      </c>
      <c r="F706" t="inlineStr">
        <is>
          <t>Holmen skog AB</t>
        </is>
      </c>
      <c r="G706" t="n">
        <v>27.7</v>
      </c>
      <c r="H706" t="n">
        <v>0</v>
      </c>
      <c r="I706" t="n">
        <v>0</v>
      </c>
      <c r="J706" t="n">
        <v>0</v>
      </c>
      <c r="K706" t="n">
        <v>0</v>
      </c>
      <c r="L706" t="n">
        <v>0</v>
      </c>
      <c r="M706" t="n">
        <v>0</v>
      </c>
      <c r="N706" t="n">
        <v>0</v>
      </c>
      <c r="O706" t="n">
        <v>0</v>
      </c>
      <c r="P706" t="n">
        <v>0</v>
      </c>
      <c r="Q706" t="n">
        <v>0</v>
      </c>
      <c r="R706" s="2" t="inlineStr"/>
    </row>
    <row r="707" ht="15" customHeight="1">
      <c r="A707" t="inlineStr">
        <is>
          <t>A 68080-2019</t>
        </is>
      </c>
      <c r="B707" s="1" t="n">
        <v>43816</v>
      </c>
      <c r="C707" s="1" t="n">
        <v>45749</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68607-2019</t>
        </is>
      </c>
      <c r="B708" s="1" t="n">
        <v>43818</v>
      </c>
      <c r="C708" s="1" t="n">
        <v>45749</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68335-2019</t>
        </is>
      </c>
      <c r="B709" s="1" t="n">
        <v>43818</v>
      </c>
      <c r="C709" s="1" t="n">
        <v>45749</v>
      </c>
      <c r="D709" t="inlineStr">
        <is>
          <t>JÄMTLANDS LÄN</t>
        </is>
      </c>
      <c r="E709" t="inlineStr">
        <is>
          <t>STRÖMSUND</t>
        </is>
      </c>
      <c r="G709" t="n">
        <v>3.4</v>
      </c>
      <c r="H709" t="n">
        <v>0</v>
      </c>
      <c r="I709" t="n">
        <v>0</v>
      </c>
      <c r="J709" t="n">
        <v>0</v>
      </c>
      <c r="K709" t="n">
        <v>0</v>
      </c>
      <c r="L709" t="n">
        <v>0</v>
      </c>
      <c r="M709" t="n">
        <v>0</v>
      </c>
      <c r="N709" t="n">
        <v>0</v>
      </c>
      <c r="O709" t="n">
        <v>0</v>
      </c>
      <c r="P709" t="n">
        <v>0</v>
      </c>
      <c r="Q709" t="n">
        <v>0</v>
      </c>
      <c r="R709" s="2" t="inlineStr"/>
    </row>
    <row r="710" ht="15" customHeight="1">
      <c r="A710" t="inlineStr">
        <is>
          <t>A 861-2020</t>
        </is>
      </c>
      <c r="B710" s="1" t="n">
        <v>43838</v>
      </c>
      <c r="C710" s="1" t="n">
        <v>45749</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1034-2020</t>
        </is>
      </c>
      <c r="B711" s="1" t="n">
        <v>43839</v>
      </c>
      <c r="C711" s="1" t="n">
        <v>45749</v>
      </c>
      <c r="D711" t="inlineStr">
        <is>
          <t>JÄMTLANDS LÄN</t>
        </is>
      </c>
      <c r="E711" t="inlineStr">
        <is>
          <t>STRÖMSUND</t>
        </is>
      </c>
      <c r="G711" t="n">
        <v>1.7</v>
      </c>
      <c r="H711" t="n">
        <v>0</v>
      </c>
      <c r="I711" t="n">
        <v>0</v>
      </c>
      <c r="J711" t="n">
        <v>0</v>
      </c>
      <c r="K711" t="n">
        <v>0</v>
      </c>
      <c r="L711" t="n">
        <v>0</v>
      </c>
      <c r="M711" t="n">
        <v>0</v>
      </c>
      <c r="N711" t="n">
        <v>0</v>
      </c>
      <c r="O711" t="n">
        <v>0</v>
      </c>
      <c r="P711" t="n">
        <v>0</v>
      </c>
      <c r="Q711" t="n">
        <v>0</v>
      </c>
      <c r="R711" s="2" t="inlineStr"/>
    </row>
    <row r="712" ht="15" customHeight="1">
      <c r="A712" t="inlineStr">
        <is>
          <t>A 1134-2020</t>
        </is>
      </c>
      <c r="B712" s="1" t="n">
        <v>43840</v>
      </c>
      <c r="C712" s="1" t="n">
        <v>45749</v>
      </c>
      <c r="D712" t="inlineStr">
        <is>
          <t>JÄMTLANDS LÄN</t>
        </is>
      </c>
      <c r="E712" t="inlineStr">
        <is>
          <t>STRÖMSUND</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1138-2020</t>
        </is>
      </c>
      <c r="B713" s="1" t="n">
        <v>43840</v>
      </c>
      <c r="C713" s="1" t="n">
        <v>45749</v>
      </c>
      <c r="D713" t="inlineStr">
        <is>
          <t>JÄMTLANDS LÄN</t>
        </is>
      </c>
      <c r="E713" t="inlineStr">
        <is>
          <t>STRÖMSUND</t>
        </is>
      </c>
      <c r="G713" t="n">
        <v>6.5</v>
      </c>
      <c r="H713" t="n">
        <v>0</v>
      </c>
      <c r="I713" t="n">
        <v>0</v>
      </c>
      <c r="J713" t="n">
        <v>0</v>
      </c>
      <c r="K713" t="n">
        <v>0</v>
      </c>
      <c r="L713" t="n">
        <v>0</v>
      </c>
      <c r="M713" t="n">
        <v>0</v>
      </c>
      <c r="N713" t="n">
        <v>0</v>
      </c>
      <c r="O713" t="n">
        <v>0</v>
      </c>
      <c r="P713" t="n">
        <v>0</v>
      </c>
      <c r="Q713" t="n">
        <v>0</v>
      </c>
      <c r="R713" s="2" t="inlineStr"/>
    </row>
    <row r="714" ht="15" customHeight="1">
      <c r="A714" t="inlineStr">
        <is>
          <t>A 1238-2020</t>
        </is>
      </c>
      <c r="B714" s="1" t="n">
        <v>43840</v>
      </c>
      <c r="C714" s="1" t="n">
        <v>45749</v>
      </c>
      <c r="D714" t="inlineStr">
        <is>
          <t>JÄMTLANDS LÄN</t>
        </is>
      </c>
      <c r="E714" t="inlineStr">
        <is>
          <t>STRÖMSUND</t>
        </is>
      </c>
      <c r="G714" t="n">
        <v>20.3</v>
      </c>
      <c r="H714" t="n">
        <v>0</v>
      </c>
      <c r="I714" t="n">
        <v>0</v>
      </c>
      <c r="J714" t="n">
        <v>0</v>
      </c>
      <c r="K714" t="n">
        <v>0</v>
      </c>
      <c r="L714" t="n">
        <v>0</v>
      </c>
      <c r="M714" t="n">
        <v>0</v>
      </c>
      <c r="N714" t="n">
        <v>0</v>
      </c>
      <c r="O714" t="n">
        <v>0</v>
      </c>
      <c r="P714" t="n">
        <v>0</v>
      </c>
      <c r="Q714" t="n">
        <v>0</v>
      </c>
      <c r="R714" s="2" t="inlineStr"/>
    </row>
    <row r="715" ht="15" customHeight="1">
      <c r="A715" t="inlineStr">
        <is>
          <t>A 2250-2020</t>
        </is>
      </c>
      <c r="B715" s="1" t="n">
        <v>43846</v>
      </c>
      <c r="C715" s="1" t="n">
        <v>45749</v>
      </c>
      <c r="D715" t="inlineStr">
        <is>
          <t>JÄMTLANDS LÄN</t>
        </is>
      </c>
      <c r="E715" t="inlineStr">
        <is>
          <t>STRÖMSUND</t>
        </is>
      </c>
      <c r="G715" t="n">
        <v>0.1</v>
      </c>
      <c r="H715" t="n">
        <v>0</v>
      </c>
      <c r="I715" t="n">
        <v>0</v>
      </c>
      <c r="J715" t="n">
        <v>0</v>
      </c>
      <c r="K715" t="n">
        <v>0</v>
      </c>
      <c r="L715" t="n">
        <v>0</v>
      </c>
      <c r="M715" t="n">
        <v>0</v>
      </c>
      <c r="N715" t="n">
        <v>0</v>
      </c>
      <c r="O715" t="n">
        <v>0</v>
      </c>
      <c r="P715" t="n">
        <v>0</v>
      </c>
      <c r="Q715" t="n">
        <v>0</v>
      </c>
      <c r="R715" s="2" t="inlineStr"/>
    </row>
    <row r="716" ht="15" customHeight="1">
      <c r="A716" t="inlineStr">
        <is>
          <t>A 2184-2020</t>
        </is>
      </c>
      <c r="B716" s="1" t="n">
        <v>43846</v>
      </c>
      <c r="C716" s="1" t="n">
        <v>45749</v>
      </c>
      <c r="D716" t="inlineStr">
        <is>
          <t>JÄMTLANDS LÄN</t>
        </is>
      </c>
      <c r="E716" t="inlineStr">
        <is>
          <t>STRÖMSUND</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2705-2020</t>
        </is>
      </c>
      <c r="B717" s="1" t="n">
        <v>43850</v>
      </c>
      <c r="C717" s="1" t="n">
        <v>45749</v>
      </c>
      <c r="D717" t="inlineStr">
        <is>
          <t>JÄMTLANDS LÄN</t>
        </is>
      </c>
      <c r="E717" t="inlineStr">
        <is>
          <t>STRÖMSUND</t>
        </is>
      </c>
      <c r="G717" t="n">
        <v>11.2</v>
      </c>
      <c r="H717" t="n">
        <v>0</v>
      </c>
      <c r="I717" t="n">
        <v>0</v>
      </c>
      <c r="J717" t="n">
        <v>0</v>
      </c>
      <c r="K717" t="n">
        <v>0</v>
      </c>
      <c r="L717" t="n">
        <v>0</v>
      </c>
      <c r="M717" t="n">
        <v>0</v>
      </c>
      <c r="N717" t="n">
        <v>0</v>
      </c>
      <c r="O717" t="n">
        <v>0</v>
      </c>
      <c r="P717" t="n">
        <v>0</v>
      </c>
      <c r="Q717" t="n">
        <v>0</v>
      </c>
      <c r="R717" s="2" t="inlineStr"/>
    </row>
    <row r="718" ht="15" customHeight="1">
      <c r="A718" t="inlineStr">
        <is>
          <t>A 2911-2020</t>
        </is>
      </c>
      <c r="B718" s="1" t="n">
        <v>43850</v>
      </c>
      <c r="C718" s="1" t="n">
        <v>45749</v>
      </c>
      <c r="D718" t="inlineStr">
        <is>
          <t>JÄMTLANDS LÄN</t>
        </is>
      </c>
      <c r="E718" t="inlineStr">
        <is>
          <t>STRÖMSUND</t>
        </is>
      </c>
      <c r="G718" t="n">
        <v>6.4</v>
      </c>
      <c r="H718" t="n">
        <v>0</v>
      </c>
      <c r="I718" t="n">
        <v>0</v>
      </c>
      <c r="J718" t="n">
        <v>0</v>
      </c>
      <c r="K718" t="n">
        <v>0</v>
      </c>
      <c r="L718" t="n">
        <v>0</v>
      </c>
      <c r="M718" t="n">
        <v>0</v>
      </c>
      <c r="N718" t="n">
        <v>0</v>
      </c>
      <c r="O718" t="n">
        <v>0</v>
      </c>
      <c r="P718" t="n">
        <v>0</v>
      </c>
      <c r="Q718" t="n">
        <v>0</v>
      </c>
      <c r="R718" s="2" t="inlineStr"/>
    </row>
    <row r="719" ht="15" customHeight="1">
      <c r="A719" t="inlineStr">
        <is>
          <t>A 5127-2020</t>
        </is>
      </c>
      <c r="B719" s="1" t="n">
        <v>43850</v>
      </c>
      <c r="C719" s="1" t="n">
        <v>45749</v>
      </c>
      <c r="D719" t="inlineStr">
        <is>
          <t>JÄMTLANDS LÄN</t>
        </is>
      </c>
      <c r="E719" t="inlineStr">
        <is>
          <t>STRÖMSUND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5119-2020</t>
        </is>
      </c>
      <c r="B720" s="1" t="n">
        <v>43850</v>
      </c>
      <c r="C720" s="1" t="n">
        <v>45749</v>
      </c>
      <c r="D720" t="inlineStr">
        <is>
          <t>JÄMTLANDS LÄN</t>
        </is>
      </c>
      <c r="E720" t="inlineStr">
        <is>
          <t>STRÖMSUND</t>
        </is>
      </c>
      <c r="G720" t="n">
        <v>0.7</v>
      </c>
      <c r="H720" t="n">
        <v>0</v>
      </c>
      <c r="I720" t="n">
        <v>0</v>
      </c>
      <c r="J720" t="n">
        <v>0</v>
      </c>
      <c r="K720" t="n">
        <v>0</v>
      </c>
      <c r="L720" t="n">
        <v>0</v>
      </c>
      <c r="M720" t="n">
        <v>0</v>
      </c>
      <c r="N720" t="n">
        <v>0</v>
      </c>
      <c r="O720" t="n">
        <v>0</v>
      </c>
      <c r="P720" t="n">
        <v>0</v>
      </c>
      <c r="Q720" t="n">
        <v>0</v>
      </c>
      <c r="R720" s="2" t="inlineStr"/>
    </row>
    <row r="721" ht="15" customHeight="1">
      <c r="A721" t="inlineStr">
        <is>
          <t>A 2987-2020</t>
        </is>
      </c>
      <c r="B721" s="1" t="n">
        <v>43850</v>
      </c>
      <c r="C721" s="1" t="n">
        <v>45749</v>
      </c>
      <c r="D721" t="inlineStr">
        <is>
          <t>JÄMTLANDS LÄN</t>
        </is>
      </c>
      <c r="E721" t="inlineStr">
        <is>
          <t>STRÖMSUND</t>
        </is>
      </c>
      <c r="G721" t="n">
        <v>7.3</v>
      </c>
      <c r="H721" t="n">
        <v>0</v>
      </c>
      <c r="I721" t="n">
        <v>0</v>
      </c>
      <c r="J721" t="n">
        <v>0</v>
      </c>
      <c r="K721" t="n">
        <v>0</v>
      </c>
      <c r="L721" t="n">
        <v>0</v>
      </c>
      <c r="M721" t="n">
        <v>0</v>
      </c>
      <c r="N721" t="n">
        <v>0</v>
      </c>
      <c r="O721" t="n">
        <v>0</v>
      </c>
      <c r="P721" t="n">
        <v>0</v>
      </c>
      <c r="Q721" t="n">
        <v>0</v>
      </c>
      <c r="R721" s="2" t="inlineStr"/>
    </row>
    <row r="722" ht="15" customHeight="1">
      <c r="A722" t="inlineStr">
        <is>
          <t>A 5147-2020</t>
        </is>
      </c>
      <c r="B722" s="1" t="n">
        <v>43850</v>
      </c>
      <c r="C722" s="1" t="n">
        <v>45749</v>
      </c>
      <c r="D722" t="inlineStr">
        <is>
          <t>JÄMTLANDS LÄN</t>
        </is>
      </c>
      <c r="E722" t="inlineStr">
        <is>
          <t>STRÖMSUND</t>
        </is>
      </c>
      <c r="G722" t="n">
        <v>10.8</v>
      </c>
      <c r="H722" t="n">
        <v>0</v>
      </c>
      <c r="I722" t="n">
        <v>0</v>
      </c>
      <c r="J722" t="n">
        <v>0</v>
      </c>
      <c r="K722" t="n">
        <v>0</v>
      </c>
      <c r="L722" t="n">
        <v>0</v>
      </c>
      <c r="M722" t="n">
        <v>0</v>
      </c>
      <c r="N722" t="n">
        <v>0</v>
      </c>
      <c r="O722" t="n">
        <v>0</v>
      </c>
      <c r="P722" t="n">
        <v>0</v>
      </c>
      <c r="Q722" t="n">
        <v>0</v>
      </c>
      <c r="R722" s="2" t="inlineStr"/>
    </row>
    <row r="723" ht="15" customHeight="1">
      <c r="A723" t="inlineStr">
        <is>
          <t>A 4654-2020</t>
        </is>
      </c>
      <c r="B723" s="1" t="n">
        <v>43851</v>
      </c>
      <c r="C723" s="1" t="n">
        <v>45749</v>
      </c>
      <c r="D723" t="inlineStr">
        <is>
          <t>JÄMTLANDS LÄN</t>
        </is>
      </c>
      <c r="E723" t="inlineStr">
        <is>
          <t>STRÖMSUND</t>
        </is>
      </c>
      <c r="G723" t="n">
        <v>4</v>
      </c>
      <c r="H723" t="n">
        <v>0</v>
      </c>
      <c r="I723" t="n">
        <v>0</v>
      </c>
      <c r="J723" t="n">
        <v>0</v>
      </c>
      <c r="K723" t="n">
        <v>0</v>
      </c>
      <c r="L723" t="n">
        <v>0</v>
      </c>
      <c r="M723" t="n">
        <v>0</v>
      </c>
      <c r="N723" t="n">
        <v>0</v>
      </c>
      <c r="O723" t="n">
        <v>0</v>
      </c>
      <c r="P723" t="n">
        <v>0</v>
      </c>
      <c r="Q723" t="n">
        <v>0</v>
      </c>
      <c r="R723" s="2" t="inlineStr"/>
    </row>
    <row r="724" ht="15" customHeight="1">
      <c r="A724" t="inlineStr">
        <is>
          <t>A 4898-2020</t>
        </is>
      </c>
      <c r="B724" s="1" t="n">
        <v>43852</v>
      </c>
      <c r="C724" s="1" t="n">
        <v>45749</v>
      </c>
      <c r="D724" t="inlineStr">
        <is>
          <t>JÄMTLANDS LÄN</t>
        </is>
      </c>
      <c r="E724" t="inlineStr">
        <is>
          <t>STRÖMSUND</t>
        </is>
      </c>
      <c r="G724" t="n">
        <v>6.7</v>
      </c>
      <c r="H724" t="n">
        <v>0</v>
      </c>
      <c r="I724" t="n">
        <v>0</v>
      </c>
      <c r="J724" t="n">
        <v>0</v>
      </c>
      <c r="K724" t="n">
        <v>0</v>
      </c>
      <c r="L724" t="n">
        <v>0</v>
      </c>
      <c r="M724" t="n">
        <v>0</v>
      </c>
      <c r="N724" t="n">
        <v>0</v>
      </c>
      <c r="O724" t="n">
        <v>0</v>
      </c>
      <c r="P724" t="n">
        <v>0</v>
      </c>
      <c r="Q724" t="n">
        <v>0</v>
      </c>
      <c r="R724" s="2" t="inlineStr"/>
    </row>
    <row r="725" ht="15" customHeight="1">
      <c r="A725" t="inlineStr">
        <is>
          <t>A 3862-2020</t>
        </is>
      </c>
      <c r="B725" s="1" t="n">
        <v>43854</v>
      </c>
      <c r="C725" s="1" t="n">
        <v>45749</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3895-2020</t>
        </is>
      </c>
      <c r="B726" s="1" t="n">
        <v>43854</v>
      </c>
      <c r="C726" s="1" t="n">
        <v>45749</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3988-2020</t>
        </is>
      </c>
      <c r="B727" s="1" t="n">
        <v>43856</v>
      </c>
      <c r="C727" s="1" t="n">
        <v>45749</v>
      </c>
      <c r="D727" t="inlineStr">
        <is>
          <t>JÄMTLANDS LÄN</t>
        </is>
      </c>
      <c r="E727" t="inlineStr">
        <is>
          <t>STRÖMSUND</t>
        </is>
      </c>
      <c r="G727" t="n">
        <v>12.4</v>
      </c>
      <c r="H727" t="n">
        <v>0</v>
      </c>
      <c r="I727" t="n">
        <v>0</v>
      </c>
      <c r="J727" t="n">
        <v>0</v>
      </c>
      <c r="K727" t="n">
        <v>0</v>
      </c>
      <c r="L727" t="n">
        <v>0</v>
      </c>
      <c r="M727" t="n">
        <v>0</v>
      </c>
      <c r="N727" t="n">
        <v>0</v>
      </c>
      <c r="O727" t="n">
        <v>0</v>
      </c>
      <c r="P727" t="n">
        <v>0</v>
      </c>
      <c r="Q727" t="n">
        <v>0</v>
      </c>
      <c r="R727" s="2" t="inlineStr"/>
    </row>
    <row r="728" ht="15" customHeight="1">
      <c r="A728" t="inlineStr">
        <is>
          <t>A 4905-2020</t>
        </is>
      </c>
      <c r="B728" s="1" t="n">
        <v>43859</v>
      </c>
      <c r="C728" s="1" t="n">
        <v>45749</v>
      </c>
      <c r="D728" t="inlineStr">
        <is>
          <t>JÄMTLANDS LÄN</t>
        </is>
      </c>
      <c r="E728" t="inlineStr">
        <is>
          <t>STRÖMSUND</t>
        </is>
      </c>
      <c r="G728" t="n">
        <v>22.3</v>
      </c>
      <c r="H728" t="n">
        <v>0</v>
      </c>
      <c r="I728" t="n">
        <v>0</v>
      </c>
      <c r="J728" t="n">
        <v>0</v>
      </c>
      <c r="K728" t="n">
        <v>0</v>
      </c>
      <c r="L728" t="n">
        <v>0</v>
      </c>
      <c r="M728" t="n">
        <v>0</v>
      </c>
      <c r="N728" t="n">
        <v>0</v>
      </c>
      <c r="O728" t="n">
        <v>0</v>
      </c>
      <c r="P728" t="n">
        <v>0</v>
      </c>
      <c r="Q728" t="n">
        <v>0</v>
      </c>
      <c r="R728" s="2" t="inlineStr"/>
    </row>
    <row r="729" ht="15" customHeight="1">
      <c r="A729" t="inlineStr">
        <is>
          <t>A 5915-2020</t>
        </is>
      </c>
      <c r="B729" s="1" t="n">
        <v>43861</v>
      </c>
      <c r="C729" s="1" t="n">
        <v>45749</v>
      </c>
      <c r="D729" t="inlineStr">
        <is>
          <t>JÄMTLANDS LÄN</t>
        </is>
      </c>
      <c r="E729" t="inlineStr">
        <is>
          <t>STRÖMSUND</t>
        </is>
      </c>
      <c r="G729" t="n">
        <v>10.3</v>
      </c>
      <c r="H729" t="n">
        <v>0</v>
      </c>
      <c r="I729" t="n">
        <v>0</v>
      </c>
      <c r="J729" t="n">
        <v>0</v>
      </c>
      <c r="K729" t="n">
        <v>0</v>
      </c>
      <c r="L729" t="n">
        <v>0</v>
      </c>
      <c r="M729" t="n">
        <v>0</v>
      </c>
      <c r="N729" t="n">
        <v>0</v>
      </c>
      <c r="O729" t="n">
        <v>0</v>
      </c>
      <c r="P729" t="n">
        <v>0</v>
      </c>
      <c r="Q729" t="n">
        <v>0</v>
      </c>
      <c r="R729" s="2" t="inlineStr"/>
    </row>
    <row r="730" ht="15" customHeight="1">
      <c r="A730" t="inlineStr">
        <is>
          <t>A 6146-2020</t>
        </is>
      </c>
      <c r="B730" s="1" t="n">
        <v>43865</v>
      </c>
      <c r="C730" s="1" t="n">
        <v>45749</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7192-2020</t>
        </is>
      </c>
      <c r="B731" s="1" t="n">
        <v>43871</v>
      </c>
      <c r="C731" s="1" t="n">
        <v>45749</v>
      </c>
      <c r="D731" t="inlineStr">
        <is>
          <t>JÄMTLANDS LÄN</t>
        </is>
      </c>
      <c r="E731" t="inlineStr">
        <is>
          <t>STRÖMSUND</t>
        </is>
      </c>
      <c r="G731" t="n">
        <v>11.4</v>
      </c>
      <c r="H731" t="n">
        <v>0</v>
      </c>
      <c r="I731" t="n">
        <v>0</v>
      </c>
      <c r="J731" t="n">
        <v>0</v>
      </c>
      <c r="K731" t="n">
        <v>0</v>
      </c>
      <c r="L731" t="n">
        <v>0</v>
      </c>
      <c r="M731" t="n">
        <v>0</v>
      </c>
      <c r="N731" t="n">
        <v>0</v>
      </c>
      <c r="O731" t="n">
        <v>0</v>
      </c>
      <c r="P731" t="n">
        <v>0</v>
      </c>
      <c r="Q731" t="n">
        <v>0</v>
      </c>
      <c r="R731" s="2" t="inlineStr"/>
    </row>
    <row r="732" ht="15" customHeight="1">
      <c r="A732" t="inlineStr">
        <is>
          <t>A 7630-2020</t>
        </is>
      </c>
      <c r="B732" s="1" t="n">
        <v>43871</v>
      </c>
      <c r="C732" s="1" t="n">
        <v>45749</v>
      </c>
      <c r="D732" t="inlineStr">
        <is>
          <t>JÄMTLANDS LÄN</t>
        </is>
      </c>
      <c r="E732" t="inlineStr">
        <is>
          <t>STRÖMSUND</t>
        </is>
      </c>
      <c r="G732" t="n">
        <v>3</v>
      </c>
      <c r="H732" t="n">
        <v>0</v>
      </c>
      <c r="I732" t="n">
        <v>0</v>
      </c>
      <c r="J732" t="n">
        <v>0</v>
      </c>
      <c r="K732" t="n">
        <v>0</v>
      </c>
      <c r="L732" t="n">
        <v>0</v>
      </c>
      <c r="M732" t="n">
        <v>0</v>
      </c>
      <c r="N732" t="n">
        <v>0</v>
      </c>
      <c r="O732" t="n">
        <v>0</v>
      </c>
      <c r="P732" t="n">
        <v>0</v>
      </c>
      <c r="Q732" t="n">
        <v>0</v>
      </c>
      <c r="R732" s="2" t="inlineStr"/>
    </row>
    <row r="733" ht="15" customHeight="1">
      <c r="A733" t="inlineStr">
        <is>
          <t>A 7963-2020</t>
        </is>
      </c>
      <c r="B733" s="1" t="n">
        <v>43872</v>
      </c>
      <c r="C733" s="1" t="n">
        <v>45749</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7974-2020</t>
        </is>
      </c>
      <c r="B734" s="1" t="n">
        <v>43873</v>
      </c>
      <c r="C734" s="1" t="n">
        <v>45749</v>
      </c>
      <c r="D734" t="inlineStr">
        <is>
          <t>JÄMTLANDS LÄN</t>
        </is>
      </c>
      <c r="E734" t="inlineStr">
        <is>
          <t>STRÖMSUND</t>
        </is>
      </c>
      <c r="G734" t="n">
        <v>24.1</v>
      </c>
      <c r="H734" t="n">
        <v>0</v>
      </c>
      <c r="I734" t="n">
        <v>0</v>
      </c>
      <c r="J734" t="n">
        <v>0</v>
      </c>
      <c r="K734" t="n">
        <v>0</v>
      </c>
      <c r="L734" t="n">
        <v>0</v>
      </c>
      <c r="M734" t="n">
        <v>0</v>
      </c>
      <c r="N734" t="n">
        <v>0</v>
      </c>
      <c r="O734" t="n">
        <v>0</v>
      </c>
      <c r="P734" t="n">
        <v>0</v>
      </c>
      <c r="Q734" t="n">
        <v>0</v>
      </c>
      <c r="R734" s="2" t="inlineStr"/>
    </row>
    <row r="735" ht="15" customHeight="1">
      <c r="A735" t="inlineStr">
        <is>
          <t>A 8482-2020</t>
        </is>
      </c>
      <c r="B735" s="1" t="n">
        <v>43875</v>
      </c>
      <c r="C735" s="1" t="n">
        <v>45749</v>
      </c>
      <c r="D735" t="inlineStr">
        <is>
          <t>JÄMTLANDS LÄN</t>
        </is>
      </c>
      <c r="E735" t="inlineStr">
        <is>
          <t>STRÖMSUND</t>
        </is>
      </c>
      <c r="G735" t="n">
        <v>25.5</v>
      </c>
      <c r="H735" t="n">
        <v>0</v>
      </c>
      <c r="I735" t="n">
        <v>0</v>
      </c>
      <c r="J735" t="n">
        <v>0</v>
      </c>
      <c r="K735" t="n">
        <v>0</v>
      </c>
      <c r="L735" t="n">
        <v>0</v>
      </c>
      <c r="M735" t="n">
        <v>0</v>
      </c>
      <c r="N735" t="n">
        <v>0</v>
      </c>
      <c r="O735" t="n">
        <v>0</v>
      </c>
      <c r="P735" t="n">
        <v>0</v>
      </c>
      <c r="Q735" t="n">
        <v>0</v>
      </c>
      <c r="R735" s="2" t="inlineStr"/>
    </row>
    <row r="736" ht="15" customHeight="1">
      <c r="A736" t="inlineStr">
        <is>
          <t>A 8775-2020</t>
        </is>
      </c>
      <c r="B736" s="1" t="n">
        <v>43878</v>
      </c>
      <c r="C736" s="1" t="n">
        <v>45749</v>
      </c>
      <c r="D736" t="inlineStr">
        <is>
          <t>JÄMTLANDS LÄN</t>
        </is>
      </c>
      <c r="E736" t="inlineStr">
        <is>
          <t>STRÖMSUND</t>
        </is>
      </c>
      <c r="G736" t="n">
        <v>4.2</v>
      </c>
      <c r="H736" t="n">
        <v>0</v>
      </c>
      <c r="I736" t="n">
        <v>0</v>
      </c>
      <c r="J736" t="n">
        <v>0</v>
      </c>
      <c r="K736" t="n">
        <v>0</v>
      </c>
      <c r="L736" t="n">
        <v>0</v>
      </c>
      <c r="M736" t="n">
        <v>0</v>
      </c>
      <c r="N736" t="n">
        <v>0</v>
      </c>
      <c r="O736" t="n">
        <v>0</v>
      </c>
      <c r="P736" t="n">
        <v>0</v>
      </c>
      <c r="Q736" t="n">
        <v>0</v>
      </c>
      <c r="R736" s="2" t="inlineStr"/>
    </row>
    <row r="737" ht="15" customHeight="1">
      <c r="A737" t="inlineStr">
        <is>
          <t>A 12609-2020</t>
        </is>
      </c>
      <c r="B737" s="1" t="n">
        <v>43899</v>
      </c>
      <c r="C737" s="1" t="n">
        <v>45749</v>
      </c>
      <c r="D737" t="inlineStr">
        <is>
          <t>JÄMTLANDS LÄN</t>
        </is>
      </c>
      <c r="E737" t="inlineStr">
        <is>
          <t>STRÖMSUND</t>
        </is>
      </c>
      <c r="F737" t="inlineStr">
        <is>
          <t>Kyrkan</t>
        </is>
      </c>
      <c r="G737" t="n">
        <v>1.6</v>
      </c>
      <c r="H737" t="n">
        <v>0</v>
      </c>
      <c r="I737" t="n">
        <v>0</v>
      </c>
      <c r="J737" t="n">
        <v>0</v>
      </c>
      <c r="K737" t="n">
        <v>0</v>
      </c>
      <c r="L737" t="n">
        <v>0</v>
      </c>
      <c r="M737" t="n">
        <v>0</v>
      </c>
      <c r="N737" t="n">
        <v>0</v>
      </c>
      <c r="O737" t="n">
        <v>0</v>
      </c>
      <c r="P737" t="n">
        <v>0</v>
      </c>
      <c r="Q737" t="n">
        <v>0</v>
      </c>
      <c r="R737" s="2" t="inlineStr"/>
    </row>
    <row r="738" ht="15" customHeight="1">
      <c r="A738" t="inlineStr">
        <is>
          <t>A 13233-2020</t>
        </is>
      </c>
      <c r="B738" s="1" t="n">
        <v>43901</v>
      </c>
      <c r="C738" s="1" t="n">
        <v>45749</v>
      </c>
      <c r="D738" t="inlineStr">
        <is>
          <t>JÄMTLANDS LÄN</t>
        </is>
      </c>
      <c r="E738" t="inlineStr">
        <is>
          <t>STRÖMSUND</t>
        </is>
      </c>
      <c r="G738" t="n">
        <v>6.9</v>
      </c>
      <c r="H738" t="n">
        <v>0</v>
      </c>
      <c r="I738" t="n">
        <v>0</v>
      </c>
      <c r="J738" t="n">
        <v>0</v>
      </c>
      <c r="K738" t="n">
        <v>0</v>
      </c>
      <c r="L738" t="n">
        <v>0</v>
      </c>
      <c r="M738" t="n">
        <v>0</v>
      </c>
      <c r="N738" t="n">
        <v>0</v>
      </c>
      <c r="O738" t="n">
        <v>0</v>
      </c>
      <c r="P738" t="n">
        <v>0</v>
      </c>
      <c r="Q738" t="n">
        <v>0</v>
      </c>
      <c r="R738" s="2" t="inlineStr"/>
    </row>
    <row r="739" ht="15" customHeight="1">
      <c r="A739" t="inlineStr">
        <is>
          <t>A 13241-2020</t>
        </is>
      </c>
      <c r="B739" s="1" t="n">
        <v>43901</v>
      </c>
      <c r="C739" s="1" t="n">
        <v>45749</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14259-2020</t>
        </is>
      </c>
      <c r="B740" s="1" t="n">
        <v>43901</v>
      </c>
      <c r="C740" s="1" t="n">
        <v>45749</v>
      </c>
      <c r="D740" t="inlineStr">
        <is>
          <t>JÄMTLANDS LÄN</t>
        </is>
      </c>
      <c r="E740" t="inlineStr">
        <is>
          <t>STRÖMSUND</t>
        </is>
      </c>
      <c r="G740" t="n">
        <v>17.8</v>
      </c>
      <c r="H740" t="n">
        <v>0</v>
      </c>
      <c r="I740" t="n">
        <v>0</v>
      </c>
      <c r="J740" t="n">
        <v>0</v>
      </c>
      <c r="K740" t="n">
        <v>0</v>
      </c>
      <c r="L740" t="n">
        <v>0</v>
      </c>
      <c r="M740" t="n">
        <v>0</v>
      </c>
      <c r="N740" t="n">
        <v>0</v>
      </c>
      <c r="O740" t="n">
        <v>0</v>
      </c>
      <c r="P740" t="n">
        <v>0</v>
      </c>
      <c r="Q740" t="n">
        <v>0</v>
      </c>
      <c r="R740" s="2" t="inlineStr"/>
    </row>
    <row r="741" ht="15" customHeight="1">
      <c r="A741" t="inlineStr">
        <is>
          <t>A 14904-2020</t>
        </is>
      </c>
      <c r="B741" s="1" t="n">
        <v>43906</v>
      </c>
      <c r="C741" s="1" t="n">
        <v>45749</v>
      </c>
      <c r="D741" t="inlineStr">
        <is>
          <t>JÄMTLANDS LÄN</t>
        </is>
      </c>
      <c r="E741" t="inlineStr">
        <is>
          <t>STRÖMSUND</t>
        </is>
      </c>
      <c r="G741" t="n">
        <v>7.5</v>
      </c>
      <c r="H741" t="n">
        <v>0</v>
      </c>
      <c r="I741" t="n">
        <v>0</v>
      </c>
      <c r="J741" t="n">
        <v>0</v>
      </c>
      <c r="K741" t="n">
        <v>0</v>
      </c>
      <c r="L741" t="n">
        <v>0</v>
      </c>
      <c r="M741" t="n">
        <v>0</v>
      </c>
      <c r="N741" t="n">
        <v>0</v>
      </c>
      <c r="O741" t="n">
        <v>0</v>
      </c>
      <c r="P741" t="n">
        <v>0</v>
      </c>
      <c r="Q741" t="n">
        <v>0</v>
      </c>
      <c r="R741" s="2" t="inlineStr"/>
    </row>
    <row r="742" ht="15" customHeight="1">
      <c r="A742" t="inlineStr">
        <is>
          <t>A 16335-2020</t>
        </is>
      </c>
      <c r="B742" s="1" t="n">
        <v>43917</v>
      </c>
      <c r="C742" s="1" t="n">
        <v>45749</v>
      </c>
      <c r="D742" t="inlineStr">
        <is>
          <t>JÄMTLANDS LÄN</t>
        </is>
      </c>
      <c r="E742" t="inlineStr">
        <is>
          <t>STRÖMSUND</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17063-2020</t>
        </is>
      </c>
      <c r="B743" s="1" t="n">
        <v>43921</v>
      </c>
      <c r="C743" s="1" t="n">
        <v>45749</v>
      </c>
      <c r="D743" t="inlineStr">
        <is>
          <t>JÄMTLANDS LÄN</t>
        </is>
      </c>
      <c r="E743" t="inlineStr">
        <is>
          <t>STRÖMSUND</t>
        </is>
      </c>
      <c r="G743" t="n">
        <v>3.4</v>
      </c>
      <c r="H743" t="n">
        <v>0</v>
      </c>
      <c r="I743" t="n">
        <v>0</v>
      </c>
      <c r="J743" t="n">
        <v>0</v>
      </c>
      <c r="K743" t="n">
        <v>0</v>
      </c>
      <c r="L743" t="n">
        <v>0</v>
      </c>
      <c r="M743" t="n">
        <v>0</v>
      </c>
      <c r="N743" t="n">
        <v>0</v>
      </c>
      <c r="O743" t="n">
        <v>0</v>
      </c>
      <c r="P743" t="n">
        <v>0</v>
      </c>
      <c r="Q743" t="n">
        <v>0</v>
      </c>
      <c r="R743" s="2" t="inlineStr"/>
    </row>
    <row r="744" ht="15" customHeight="1">
      <c r="A744" t="inlineStr">
        <is>
          <t>A 18731-2020</t>
        </is>
      </c>
      <c r="B744" s="1" t="n">
        <v>43930</v>
      </c>
      <c r="C744" s="1" t="n">
        <v>45749</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18780-2020</t>
        </is>
      </c>
      <c r="B745" s="1" t="n">
        <v>43930</v>
      </c>
      <c r="C745" s="1" t="n">
        <v>45749</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19089-2020</t>
        </is>
      </c>
      <c r="B746" s="1" t="n">
        <v>43935</v>
      </c>
      <c r="C746" s="1" t="n">
        <v>45749</v>
      </c>
      <c r="D746" t="inlineStr">
        <is>
          <t>JÄMTLANDS LÄN</t>
        </is>
      </c>
      <c r="E746" t="inlineStr">
        <is>
          <t>STRÖMSUND</t>
        </is>
      </c>
      <c r="G746" t="n">
        <v>15</v>
      </c>
      <c r="H746" t="n">
        <v>0</v>
      </c>
      <c r="I746" t="n">
        <v>0</v>
      </c>
      <c r="J746" t="n">
        <v>0</v>
      </c>
      <c r="K746" t="n">
        <v>0</v>
      </c>
      <c r="L746" t="n">
        <v>0</v>
      </c>
      <c r="M746" t="n">
        <v>0</v>
      </c>
      <c r="N746" t="n">
        <v>0</v>
      </c>
      <c r="O746" t="n">
        <v>0</v>
      </c>
      <c r="P746" t="n">
        <v>0</v>
      </c>
      <c r="Q746" t="n">
        <v>0</v>
      </c>
      <c r="R746" s="2" t="inlineStr"/>
    </row>
    <row r="747" ht="15" customHeight="1">
      <c r="A747" t="inlineStr">
        <is>
          <t>A 19842-2020</t>
        </is>
      </c>
      <c r="B747" s="1" t="n">
        <v>43942</v>
      </c>
      <c r="C747" s="1" t="n">
        <v>45749</v>
      </c>
      <c r="D747" t="inlineStr">
        <is>
          <t>JÄMTLANDS LÄN</t>
        </is>
      </c>
      <c r="E747" t="inlineStr">
        <is>
          <t>STRÖMSUND</t>
        </is>
      </c>
      <c r="G747" t="n">
        <v>20.3</v>
      </c>
      <c r="H747" t="n">
        <v>0</v>
      </c>
      <c r="I747" t="n">
        <v>0</v>
      </c>
      <c r="J747" t="n">
        <v>0</v>
      </c>
      <c r="K747" t="n">
        <v>0</v>
      </c>
      <c r="L747" t="n">
        <v>0</v>
      </c>
      <c r="M747" t="n">
        <v>0</v>
      </c>
      <c r="N747" t="n">
        <v>0</v>
      </c>
      <c r="O747" t="n">
        <v>0</v>
      </c>
      <c r="P747" t="n">
        <v>0</v>
      </c>
      <c r="Q747" t="n">
        <v>0</v>
      </c>
      <c r="R747" s="2" t="inlineStr"/>
    </row>
    <row r="748" ht="15" customHeight="1">
      <c r="A748" t="inlineStr">
        <is>
          <t>A 20816-2020</t>
        </is>
      </c>
      <c r="B748" s="1" t="n">
        <v>43949</v>
      </c>
      <c r="C748" s="1" t="n">
        <v>45749</v>
      </c>
      <c r="D748" t="inlineStr">
        <is>
          <t>JÄMTLANDS LÄN</t>
        </is>
      </c>
      <c r="E748" t="inlineStr">
        <is>
          <t>STRÖMSUND</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20812-2020</t>
        </is>
      </c>
      <c r="B749" s="1" t="n">
        <v>43950</v>
      </c>
      <c r="C749" s="1" t="n">
        <v>45749</v>
      </c>
      <c r="D749" t="inlineStr">
        <is>
          <t>JÄMTLANDS LÄN</t>
        </is>
      </c>
      <c r="E749" t="inlineStr">
        <is>
          <t>STRÖMSUND</t>
        </is>
      </c>
      <c r="G749" t="n">
        <v>6.1</v>
      </c>
      <c r="H749" t="n">
        <v>0</v>
      </c>
      <c r="I749" t="n">
        <v>0</v>
      </c>
      <c r="J749" t="n">
        <v>0</v>
      </c>
      <c r="K749" t="n">
        <v>0</v>
      </c>
      <c r="L749" t="n">
        <v>0</v>
      </c>
      <c r="M749" t="n">
        <v>0</v>
      </c>
      <c r="N749" t="n">
        <v>0</v>
      </c>
      <c r="O749" t="n">
        <v>0</v>
      </c>
      <c r="P749" t="n">
        <v>0</v>
      </c>
      <c r="Q749" t="n">
        <v>0</v>
      </c>
      <c r="R749" s="2" t="inlineStr"/>
    </row>
    <row r="750" ht="15" customHeight="1">
      <c r="A750" t="inlineStr">
        <is>
          <t>A 21939-2020</t>
        </is>
      </c>
      <c r="B750" s="1" t="n">
        <v>43955</v>
      </c>
      <c r="C750" s="1" t="n">
        <v>45749</v>
      </c>
      <c r="D750" t="inlineStr">
        <is>
          <t>JÄMTLANDS LÄN</t>
        </is>
      </c>
      <c r="E750" t="inlineStr">
        <is>
          <t>STRÖMSUND</t>
        </is>
      </c>
      <c r="G750" t="n">
        <v>4.5</v>
      </c>
      <c r="H750" t="n">
        <v>0</v>
      </c>
      <c r="I750" t="n">
        <v>0</v>
      </c>
      <c r="J750" t="n">
        <v>0</v>
      </c>
      <c r="K750" t="n">
        <v>0</v>
      </c>
      <c r="L750" t="n">
        <v>0</v>
      </c>
      <c r="M750" t="n">
        <v>0</v>
      </c>
      <c r="N750" t="n">
        <v>0</v>
      </c>
      <c r="O750" t="n">
        <v>0</v>
      </c>
      <c r="P750" t="n">
        <v>0</v>
      </c>
      <c r="Q750" t="n">
        <v>0</v>
      </c>
      <c r="R750" s="2" t="inlineStr"/>
    </row>
    <row r="751" ht="15" customHeight="1">
      <c r="A751" t="inlineStr">
        <is>
          <t>A 21602-2020</t>
        </is>
      </c>
      <c r="B751" s="1" t="n">
        <v>43957</v>
      </c>
      <c r="C751" s="1" t="n">
        <v>45749</v>
      </c>
      <c r="D751" t="inlineStr">
        <is>
          <t>JÄMTLANDS LÄN</t>
        </is>
      </c>
      <c r="E751" t="inlineStr">
        <is>
          <t>STRÖMSUND</t>
        </is>
      </c>
      <c r="G751" t="n">
        <v>15.4</v>
      </c>
      <c r="H751" t="n">
        <v>0</v>
      </c>
      <c r="I751" t="n">
        <v>0</v>
      </c>
      <c r="J751" t="n">
        <v>0</v>
      </c>
      <c r="K751" t="n">
        <v>0</v>
      </c>
      <c r="L751" t="n">
        <v>0</v>
      </c>
      <c r="M751" t="n">
        <v>0</v>
      </c>
      <c r="N751" t="n">
        <v>0</v>
      </c>
      <c r="O751" t="n">
        <v>0</v>
      </c>
      <c r="P751" t="n">
        <v>0</v>
      </c>
      <c r="Q751" t="n">
        <v>0</v>
      </c>
      <c r="R751" s="2" t="inlineStr"/>
    </row>
    <row r="752" ht="15" customHeight="1">
      <c r="A752" t="inlineStr">
        <is>
          <t>A 21773-2020</t>
        </is>
      </c>
      <c r="B752" s="1" t="n">
        <v>43957</v>
      </c>
      <c r="C752" s="1" t="n">
        <v>45749</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21971-2020</t>
        </is>
      </c>
      <c r="B753" s="1" t="n">
        <v>43958</v>
      </c>
      <c r="C753" s="1" t="n">
        <v>45749</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22092-2020</t>
        </is>
      </c>
      <c r="B754" s="1" t="n">
        <v>43959</v>
      </c>
      <c r="C754" s="1" t="n">
        <v>45749</v>
      </c>
      <c r="D754" t="inlineStr">
        <is>
          <t>JÄMTLANDS LÄN</t>
        </is>
      </c>
      <c r="E754" t="inlineStr">
        <is>
          <t>STRÖMSUND</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22699-2020</t>
        </is>
      </c>
      <c r="B755" s="1" t="n">
        <v>43963</v>
      </c>
      <c r="C755" s="1" t="n">
        <v>45749</v>
      </c>
      <c r="D755" t="inlineStr">
        <is>
          <t>JÄMTLANDS LÄN</t>
        </is>
      </c>
      <c r="E755" t="inlineStr">
        <is>
          <t>STRÖMSUND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22905-2020</t>
        </is>
      </c>
      <c r="B756" s="1" t="n">
        <v>43964</v>
      </c>
      <c r="C756" s="1" t="n">
        <v>45749</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22906-2020</t>
        </is>
      </c>
      <c r="B757" s="1" t="n">
        <v>43964</v>
      </c>
      <c r="C757" s="1" t="n">
        <v>45749</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22912-2020</t>
        </is>
      </c>
      <c r="B758" s="1" t="n">
        <v>43964</v>
      </c>
      <c r="C758" s="1" t="n">
        <v>45749</v>
      </c>
      <c r="D758" t="inlineStr">
        <is>
          <t>JÄMTLANDS LÄN</t>
        </is>
      </c>
      <c r="E758" t="inlineStr">
        <is>
          <t>STRÖMSUND</t>
        </is>
      </c>
      <c r="F758" t="inlineStr">
        <is>
          <t>SCA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23412-2020</t>
        </is>
      </c>
      <c r="B759" s="1" t="n">
        <v>43969</v>
      </c>
      <c r="C759" s="1" t="n">
        <v>45749</v>
      </c>
      <c r="D759" t="inlineStr">
        <is>
          <t>JÄMTLANDS LÄN</t>
        </is>
      </c>
      <c r="E759" t="inlineStr">
        <is>
          <t>STRÖMSUND</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23647-2020</t>
        </is>
      </c>
      <c r="B760" s="1" t="n">
        <v>43969</v>
      </c>
      <c r="C760" s="1" t="n">
        <v>45749</v>
      </c>
      <c r="D760" t="inlineStr">
        <is>
          <t>JÄMTLANDS LÄN</t>
        </is>
      </c>
      <c r="E760" t="inlineStr">
        <is>
          <t>STRÖMSUND</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24054-2020</t>
        </is>
      </c>
      <c r="B761" s="1" t="n">
        <v>43971</v>
      </c>
      <c r="C761" s="1" t="n">
        <v>45749</v>
      </c>
      <c r="D761" t="inlineStr">
        <is>
          <t>JÄMTLANDS LÄN</t>
        </is>
      </c>
      <c r="E761" t="inlineStr">
        <is>
          <t>STRÖMSUND</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24064-2020</t>
        </is>
      </c>
      <c r="B762" s="1" t="n">
        <v>43971</v>
      </c>
      <c r="C762" s="1" t="n">
        <v>45749</v>
      </c>
      <c r="D762" t="inlineStr">
        <is>
          <t>JÄMTLANDS LÄN</t>
        </is>
      </c>
      <c r="E762" t="inlineStr">
        <is>
          <t>STRÖMSUND</t>
        </is>
      </c>
      <c r="F762" t="inlineStr">
        <is>
          <t>SCA</t>
        </is>
      </c>
      <c r="G762" t="n">
        <v>15.3</v>
      </c>
      <c r="H762" t="n">
        <v>0</v>
      </c>
      <c r="I762" t="n">
        <v>0</v>
      </c>
      <c r="J762" t="n">
        <v>0</v>
      </c>
      <c r="K762" t="n">
        <v>0</v>
      </c>
      <c r="L762" t="n">
        <v>0</v>
      </c>
      <c r="M762" t="n">
        <v>0</v>
      </c>
      <c r="N762" t="n">
        <v>0</v>
      </c>
      <c r="O762" t="n">
        <v>0</v>
      </c>
      <c r="P762" t="n">
        <v>0</v>
      </c>
      <c r="Q762" t="n">
        <v>0</v>
      </c>
      <c r="R762" s="2" t="inlineStr"/>
    </row>
    <row r="763" ht="15" customHeight="1">
      <c r="A763" t="inlineStr">
        <is>
          <t>A 24335-2020</t>
        </is>
      </c>
      <c r="B763" s="1" t="n">
        <v>43971</v>
      </c>
      <c r="C763" s="1" t="n">
        <v>45749</v>
      </c>
      <c r="D763" t="inlineStr">
        <is>
          <t>JÄMTLANDS LÄN</t>
        </is>
      </c>
      <c r="E763" t="inlineStr">
        <is>
          <t>STRÖMSUND</t>
        </is>
      </c>
      <c r="G763" t="n">
        <v>14.3</v>
      </c>
      <c r="H763" t="n">
        <v>0</v>
      </c>
      <c r="I763" t="n">
        <v>0</v>
      </c>
      <c r="J763" t="n">
        <v>0</v>
      </c>
      <c r="K763" t="n">
        <v>0</v>
      </c>
      <c r="L763" t="n">
        <v>0</v>
      </c>
      <c r="M763" t="n">
        <v>0</v>
      </c>
      <c r="N763" t="n">
        <v>0</v>
      </c>
      <c r="O763" t="n">
        <v>0</v>
      </c>
      <c r="P763" t="n">
        <v>0</v>
      </c>
      <c r="Q763" t="n">
        <v>0</v>
      </c>
      <c r="R763" s="2" t="inlineStr"/>
    </row>
    <row r="764" ht="15" customHeight="1">
      <c r="A764" t="inlineStr">
        <is>
          <t>A 24117-2020</t>
        </is>
      </c>
      <c r="B764" s="1" t="n">
        <v>43973</v>
      </c>
      <c r="C764" s="1" t="n">
        <v>45749</v>
      </c>
      <c r="D764" t="inlineStr">
        <is>
          <t>JÄMTLANDS LÄN</t>
        </is>
      </c>
      <c r="E764" t="inlineStr">
        <is>
          <t>STRÖMSUND</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24414-2020</t>
        </is>
      </c>
      <c r="B765" s="1" t="n">
        <v>43976</v>
      </c>
      <c r="C765" s="1" t="n">
        <v>45749</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24379-2020</t>
        </is>
      </c>
      <c r="B766" s="1" t="n">
        <v>43976</v>
      </c>
      <c r="C766" s="1" t="n">
        <v>45749</v>
      </c>
      <c r="D766" t="inlineStr">
        <is>
          <t>JÄMTLANDS LÄN</t>
        </is>
      </c>
      <c r="E766" t="inlineStr">
        <is>
          <t>STRÖMSUND</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24415-2020</t>
        </is>
      </c>
      <c r="B767" s="1" t="n">
        <v>43976</v>
      </c>
      <c r="C767" s="1" t="n">
        <v>45749</v>
      </c>
      <c r="D767" t="inlineStr">
        <is>
          <t>JÄMTLANDS LÄN</t>
        </is>
      </c>
      <c r="E767" t="inlineStr">
        <is>
          <t>STRÖMSUND</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24384-2020</t>
        </is>
      </c>
      <c r="B768" s="1" t="n">
        <v>43976</v>
      </c>
      <c r="C768" s="1" t="n">
        <v>45749</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24413-2020</t>
        </is>
      </c>
      <c r="B769" s="1" t="n">
        <v>43976</v>
      </c>
      <c r="C769" s="1" t="n">
        <v>45749</v>
      </c>
      <c r="D769" t="inlineStr">
        <is>
          <t>JÄMTLANDS LÄN</t>
        </is>
      </c>
      <c r="E769" t="inlineStr">
        <is>
          <t>STRÖMSUND</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25109-2020</t>
        </is>
      </c>
      <c r="B770" s="1" t="n">
        <v>43979</v>
      </c>
      <c r="C770" s="1" t="n">
        <v>45749</v>
      </c>
      <c r="D770" t="inlineStr">
        <is>
          <t>JÄMTLANDS LÄN</t>
        </is>
      </c>
      <c r="E770" t="inlineStr">
        <is>
          <t>STRÖMSUND</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25107-2020</t>
        </is>
      </c>
      <c r="B771" s="1" t="n">
        <v>43979</v>
      </c>
      <c r="C771" s="1" t="n">
        <v>45749</v>
      </c>
      <c r="D771" t="inlineStr">
        <is>
          <t>JÄMTLANDS LÄN</t>
        </is>
      </c>
      <c r="E771" t="inlineStr">
        <is>
          <t>STRÖMSUND</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25396-2020</t>
        </is>
      </c>
      <c r="B772" s="1" t="n">
        <v>43980</v>
      </c>
      <c r="C772" s="1" t="n">
        <v>45749</v>
      </c>
      <c r="D772" t="inlineStr">
        <is>
          <t>JÄMTLANDS LÄN</t>
        </is>
      </c>
      <c r="E772" t="inlineStr">
        <is>
          <t>STRÖMSUND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25375-2020</t>
        </is>
      </c>
      <c r="B773" s="1" t="n">
        <v>43980</v>
      </c>
      <c r="C773" s="1" t="n">
        <v>45749</v>
      </c>
      <c r="D773" t="inlineStr">
        <is>
          <t>JÄMTLANDS LÄN</t>
        </is>
      </c>
      <c r="E773" t="inlineStr">
        <is>
          <t>STRÖMSUND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25390-2020</t>
        </is>
      </c>
      <c r="B774" s="1" t="n">
        <v>43980</v>
      </c>
      <c r="C774" s="1" t="n">
        <v>45749</v>
      </c>
      <c r="D774" t="inlineStr">
        <is>
          <t>JÄMTLANDS LÄN</t>
        </is>
      </c>
      <c r="E774" t="inlineStr">
        <is>
          <t>STRÖMSUND</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25388-2020</t>
        </is>
      </c>
      <c r="B775" s="1" t="n">
        <v>43980</v>
      </c>
      <c r="C775" s="1" t="n">
        <v>45749</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25398-2020</t>
        </is>
      </c>
      <c r="B776" s="1" t="n">
        <v>43980</v>
      </c>
      <c r="C776" s="1" t="n">
        <v>45749</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25381-2020</t>
        </is>
      </c>
      <c r="B777" s="1" t="n">
        <v>43980</v>
      </c>
      <c r="C777" s="1" t="n">
        <v>45749</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25392-2020</t>
        </is>
      </c>
      <c r="B778" s="1" t="n">
        <v>43980</v>
      </c>
      <c r="C778" s="1" t="n">
        <v>45749</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25680-2020</t>
        </is>
      </c>
      <c r="B779" s="1" t="n">
        <v>43983</v>
      </c>
      <c r="C779" s="1" t="n">
        <v>45749</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25892-2020</t>
        </is>
      </c>
      <c r="B780" s="1" t="n">
        <v>43984</v>
      </c>
      <c r="C780" s="1" t="n">
        <v>45749</v>
      </c>
      <c r="D780" t="inlineStr">
        <is>
          <t>JÄMTLANDS LÄN</t>
        </is>
      </c>
      <c r="E780" t="inlineStr">
        <is>
          <t>STRÖMSUND</t>
        </is>
      </c>
      <c r="G780" t="n">
        <v>3.5</v>
      </c>
      <c r="H780" t="n">
        <v>0</v>
      </c>
      <c r="I780" t="n">
        <v>0</v>
      </c>
      <c r="J780" t="n">
        <v>0</v>
      </c>
      <c r="K780" t="n">
        <v>0</v>
      </c>
      <c r="L780" t="n">
        <v>0</v>
      </c>
      <c r="M780" t="n">
        <v>0</v>
      </c>
      <c r="N780" t="n">
        <v>0</v>
      </c>
      <c r="O780" t="n">
        <v>0</v>
      </c>
      <c r="P780" t="n">
        <v>0</v>
      </c>
      <c r="Q780" t="n">
        <v>0</v>
      </c>
      <c r="R780" s="2" t="inlineStr"/>
    </row>
    <row r="781" ht="15" customHeight="1">
      <c r="A781" t="inlineStr">
        <is>
          <t>A 25913-2020</t>
        </is>
      </c>
      <c r="B781" s="1" t="n">
        <v>43984</v>
      </c>
      <c r="C781" s="1" t="n">
        <v>45749</v>
      </c>
      <c r="D781" t="inlineStr">
        <is>
          <t>JÄMTLANDS LÄN</t>
        </is>
      </c>
      <c r="E781" t="inlineStr">
        <is>
          <t>STRÖMSUND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25997-2020</t>
        </is>
      </c>
      <c r="B782" s="1" t="n">
        <v>43985</v>
      </c>
      <c r="C782" s="1" t="n">
        <v>45749</v>
      </c>
      <c r="D782" t="inlineStr">
        <is>
          <t>JÄMTLANDS LÄN</t>
        </is>
      </c>
      <c r="E782" t="inlineStr">
        <is>
          <t>STRÖMSUND</t>
        </is>
      </c>
      <c r="G782" t="n">
        <v>2.4</v>
      </c>
      <c r="H782" t="n">
        <v>0</v>
      </c>
      <c r="I782" t="n">
        <v>0</v>
      </c>
      <c r="J782" t="n">
        <v>0</v>
      </c>
      <c r="K782" t="n">
        <v>0</v>
      </c>
      <c r="L782" t="n">
        <v>0</v>
      </c>
      <c r="M782" t="n">
        <v>0</v>
      </c>
      <c r="N782" t="n">
        <v>0</v>
      </c>
      <c r="O782" t="n">
        <v>0</v>
      </c>
      <c r="P782" t="n">
        <v>0</v>
      </c>
      <c r="Q782" t="n">
        <v>0</v>
      </c>
      <c r="R782" s="2" t="inlineStr"/>
    </row>
    <row r="783" ht="15" customHeight="1">
      <c r="A783" t="inlineStr">
        <is>
          <t>A 26190-2020</t>
        </is>
      </c>
      <c r="B783" s="1" t="n">
        <v>43985</v>
      </c>
      <c r="C783" s="1" t="n">
        <v>45749</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26669-2020</t>
        </is>
      </c>
      <c r="B784" s="1" t="n">
        <v>43989</v>
      </c>
      <c r="C784" s="1" t="n">
        <v>45749</v>
      </c>
      <c r="D784" t="inlineStr">
        <is>
          <t>JÄMTLANDS LÄN</t>
        </is>
      </c>
      <c r="E784" t="inlineStr">
        <is>
          <t>STRÖMSUND</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26670-2020</t>
        </is>
      </c>
      <c r="B785" s="1" t="n">
        <v>43989</v>
      </c>
      <c r="C785" s="1" t="n">
        <v>45749</v>
      </c>
      <c r="D785" t="inlineStr">
        <is>
          <t>JÄMTLANDS LÄN</t>
        </is>
      </c>
      <c r="E785" t="inlineStr">
        <is>
          <t>STRÖMSUND</t>
        </is>
      </c>
      <c r="G785" t="n">
        <v>2.3</v>
      </c>
      <c r="H785" t="n">
        <v>0</v>
      </c>
      <c r="I785" t="n">
        <v>0</v>
      </c>
      <c r="J785" t="n">
        <v>0</v>
      </c>
      <c r="K785" t="n">
        <v>0</v>
      </c>
      <c r="L785" t="n">
        <v>0</v>
      </c>
      <c r="M785" t="n">
        <v>0</v>
      </c>
      <c r="N785" t="n">
        <v>0</v>
      </c>
      <c r="O785" t="n">
        <v>0</v>
      </c>
      <c r="P785" t="n">
        <v>0</v>
      </c>
      <c r="Q785" t="n">
        <v>0</v>
      </c>
      <c r="R785" s="2" t="inlineStr"/>
    </row>
    <row r="786" ht="15" customHeight="1">
      <c r="A786" t="inlineStr">
        <is>
          <t>A 27415-2020</t>
        </is>
      </c>
      <c r="B786" s="1" t="n">
        <v>43992</v>
      </c>
      <c r="C786" s="1" t="n">
        <v>45749</v>
      </c>
      <c r="D786" t="inlineStr">
        <is>
          <t>JÄMTLANDS LÄN</t>
        </is>
      </c>
      <c r="E786" t="inlineStr">
        <is>
          <t>STRÖMSUND</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27709-2020</t>
        </is>
      </c>
      <c r="B787" s="1" t="n">
        <v>43994</v>
      </c>
      <c r="C787" s="1" t="n">
        <v>45749</v>
      </c>
      <c r="D787" t="inlineStr">
        <is>
          <t>JÄMTLANDS LÄN</t>
        </is>
      </c>
      <c r="E787" t="inlineStr">
        <is>
          <t>STRÖMSUND</t>
        </is>
      </c>
      <c r="G787" t="n">
        <v>2.9</v>
      </c>
      <c r="H787" t="n">
        <v>0</v>
      </c>
      <c r="I787" t="n">
        <v>0</v>
      </c>
      <c r="J787" t="n">
        <v>0</v>
      </c>
      <c r="K787" t="n">
        <v>0</v>
      </c>
      <c r="L787" t="n">
        <v>0</v>
      </c>
      <c r="M787" t="n">
        <v>0</v>
      </c>
      <c r="N787" t="n">
        <v>0</v>
      </c>
      <c r="O787" t="n">
        <v>0</v>
      </c>
      <c r="P787" t="n">
        <v>0</v>
      </c>
      <c r="Q787" t="n">
        <v>0</v>
      </c>
      <c r="R787" s="2" t="inlineStr"/>
    </row>
    <row r="788" ht="15" customHeight="1">
      <c r="A788" t="inlineStr">
        <is>
          <t>A 28196-2020</t>
        </is>
      </c>
      <c r="B788" s="1" t="n">
        <v>43997</v>
      </c>
      <c r="C788" s="1" t="n">
        <v>45749</v>
      </c>
      <c r="D788" t="inlineStr">
        <is>
          <t>JÄMTLANDS LÄN</t>
        </is>
      </c>
      <c r="E788" t="inlineStr">
        <is>
          <t>STRÖMSUND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28765-2020</t>
        </is>
      </c>
      <c r="B789" s="1" t="n">
        <v>43999</v>
      </c>
      <c r="C789" s="1" t="n">
        <v>45749</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29046-2020</t>
        </is>
      </c>
      <c r="B790" s="1" t="n">
        <v>44000</v>
      </c>
      <c r="C790" s="1" t="n">
        <v>45749</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30804-2020</t>
        </is>
      </c>
      <c r="B791" s="1" t="n">
        <v>44010</v>
      </c>
      <c r="C791" s="1" t="n">
        <v>45749</v>
      </c>
      <c r="D791" t="inlineStr">
        <is>
          <t>JÄMTLANDS LÄN</t>
        </is>
      </c>
      <c r="E791" t="inlineStr">
        <is>
          <t>STRÖMSUND</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30981-2020</t>
        </is>
      </c>
      <c r="B792" s="1" t="n">
        <v>44011</v>
      </c>
      <c r="C792" s="1" t="n">
        <v>45749</v>
      </c>
      <c r="D792" t="inlineStr">
        <is>
          <t>JÄMTLANDS LÄN</t>
        </is>
      </c>
      <c r="E792" t="inlineStr">
        <is>
          <t>STRÖMSUND</t>
        </is>
      </c>
      <c r="G792" t="n">
        <v>6.7</v>
      </c>
      <c r="H792" t="n">
        <v>0</v>
      </c>
      <c r="I792" t="n">
        <v>0</v>
      </c>
      <c r="J792" t="n">
        <v>0</v>
      </c>
      <c r="K792" t="n">
        <v>0</v>
      </c>
      <c r="L792" t="n">
        <v>0</v>
      </c>
      <c r="M792" t="n">
        <v>0</v>
      </c>
      <c r="N792" t="n">
        <v>0</v>
      </c>
      <c r="O792" t="n">
        <v>0</v>
      </c>
      <c r="P792" t="n">
        <v>0</v>
      </c>
      <c r="Q792" t="n">
        <v>0</v>
      </c>
      <c r="R792" s="2" t="inlineStr"/>
    </row>
    <row r="793" ht="15" customHeight="1">
      <c r="A793" t="inlineStr">
        <is>
          <t>A 31077-2020</t>
        </is>
      </c>
      <c r="B793" s="1" t="n">
        <v>44011</v>
      </c>
      <c r="C793" s="1" t="n">
        <v>45749</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31337-2020</t>
        </is>
      </c>
      <c r="B794" s="1" t="n">
        <v>44012</v>
      </c>
      <c r="C794" s="1" t="n">
        <v>45749</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31465-2020</t>
        </is>
      </c>
      <c r="B795" s="1" t="n">
        <v>44013</v>
      </c>
      <c r="C795" s="1" t="n">
        <v>45749</v>
      </c>
      <c r="D795" t="inlineStr">
        <is>
          <t>JÄMTLANDS LÄN</t>
        </is>
      </c>
      <c r="E795" t="inlineStr">
        <is>
          <t>STRÖMSUND</t>
        </is>
      </c>
      <c r="G795" t="n">
        <v>0.2</v>
      </c>
      <c r="H795" t="n">
        <v>0</v>
      </c>
      <c r="I795" t="n">
        <v>0</v>
      </c>
      <c r="J795" t="n">
        <v>0</v>
      </c>
      <c r="K795" t="n">
        <v>0</v>
      </c>
      <c r="L795" t="n">
        <v>0</v>
      </c>
      <c r="M795" t="n">
        <v>0</v>
      </c>
      <c r="N795" t="n">
        <v>0</v>
      </c>
      <c r="O795" t="n">
        <v>0</v>
      </c>
      <c r="P795" t="n">
        <v>0</v>
      </c>
      <c r="Q795" t="n">
        <v>0</v>
      </c>
      <c r="R795" s="2" t="inlineStr"/>
    </row>
    <row r="796" ht="15" customHeight="1">
      <c r="A796" t="inlineStr">
        <is>
          <t>A 31663-2020</t>
        </is>
      </c>
      <c r="B796" s="1" t="n">
        <v>44013</v>
      </c>
      <c r="C796" s="1" t="n">
        <v>45749</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31634-2020</t>
        </is>
      </c>
      <c r="B797" s="1" t="n">
        <v>44013</v>
      </c>
      <c r="C797" s="1" t="n">
        <v>45749</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31658-2020</t>
        </is>
      </c>
      <c r="B798" s="1" t="n">
        <v>44013</v>
      </c>
      <c r="C798" s="1" t="n">
        <v>45749</v>
      </c>
      <c r="D798" t="inlineStr">
        <is>
          <t>JÄMTLANDS LÄN</t>
        </is>
      </c>
      <c r="E798" t="inlineStr">
        <is>
          <t>STRÖMSUND</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31990-2020</t>
        </is>
      </c>
      <c r="B799" s="1" t="n">
        <v>44014</v>
      </c>
      <c r="C799" s="1" t="n">
        <v>45749</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31991-2020</t>
        </is>
      </c>
      <c r="B800" s="1" t="n">
        <v>44014</v>
      </c>
      <c r="C800" s="1" t="n">
        <v>45749</v>
      </c>
      <c r="D800" t="inlineStr">
        <is>
          <t>JÄMTLANDS LÄN</t>
        </is>
      </c>
      <c r="E800" t="inlineStr">
        <is>
          <t>STRÖMSUND</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32315-2020</t>
        </is>
      </c>
      <c r="B801" s="1" t="n">
        <v>44015</v>
      </c>
      <c r="C801" s="1" t="n">
        <v>45749</v>
      </c>
      <c r="D801" t="inlineStr">
        <is>
          <t>JÄMTLANDS LÄN</t>
        </is>
      </c>
      <c r="E801" t="inlineStr">
        <is>
          <t>STRÖMSUND</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32307-2020</t>
        </is>
      </c>
      <c r="B802" s="1" t="n">
        <v>44015</v>
      </c>
      <c r="C802" s="1" t="n">
        <v>45749</v>
      </c>
      <c r="D802" t="inlineStr">
        <is>
          <t>JÄMTLANDS LÄN</t>
        </is>
      </c>
      <c r="E802" t="inlineStr">
        <is>
          <t>STRÖMSUND</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32316-2020</t>
        </is>
      </c>
      <c r="B803" s="1" t="n">
        <v>44015</v>
      </c>
      <c r="C803" s="1" t="n">
        <v>45749</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32326-2020</t>
        </is>
      </c>
      <c r="B804" s="1" t="n">
        <v>44015</v>
      </c>
      <c r="C804" s="1" t="n">
        <v>45749</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32199-2020</t>
        </is>
      </c>
      <c r="B805" s="1" t="n">
        <v>44015</v>
      </c>
      <c r="C805" s="1" t="n">
        <v>45749</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32783-2020</t>
        </is>
      </c>
      <c r="B806" s="1" t="n">
        <v>44019</v>
      </c>
      <c r="C806" s="1" t="n">
        <v>45749</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33135-2020</t>
        </is>
      </c>
      <c r="B807" s="1" t="n">
        <v>44019</v>
      </c>
      <c r="C807" s="1" t="n">
        <v>45749</v>
      </c>
      <c r="D807" t="inlineStr">
        <is>
          <t>JÄMTLANDS LÄN</t>
        </is>
      </c>
      <c r="E807" t="inlineStr">
        <is>
          <t>STRÖMSUND</t>
        </is>
      </c>
      <c r="G807" t="n">
        <v>0.4</v>
      </c>
      <c r="H807" t="n">
        <v>0</v>
      </c>
      <c r="I807" t="n">
        <v>0</v>
      </c>
      <c r="J807" t="n">
        <v>0</v>
      </c>
      <c r="K807" t="n">
        <v>0</v>
      </c>
      <c r="L807" t="n">
        <v>0</v>
      </c>
      <c r="M807" t="n">
        <v>0</v>
      </c>
      <c r="N807" t="n">
        <v>0</v>
      </c>
      <c r="O807" t="n">
        <v>0</v>
      </c>
      <c r="P807" t="n">
        <v>0</v>
      </c>
      <c r="Q807" t="n">
        <v>0</v>
      </c>
      <c r="R807" s="2" t="inlineStr"/>
    </row>
    <row r="808" ht="15" customHeight="1">
      <c r="A808" t="inlineStr">
        <is>
          <t>A 32763-2020</t>
        </is>
      </c>
      <c r="B808" s="1" t="n">
        <v>44019</v>
      </c>
      <c r="C808" s="1" t="n">
        <v>45749</v>
      </c>
      <c r="D808" t="inlineStr">
        <is>
          <t>JÄMTLANDS LÄN</t>
        </is>
      </c>
      <c r="E808" t="inlineStr">
        <is>
          <t>STRÖMSUND</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33006-2020</t>
        </is>
      </c>
      <c r="B809" s="1" t="n">
        <v>44020</v>
      </c>
      <c r="C809" s="1" t="n">
        <v>45749</v>
      </c>
      <c r="D809" t="inlineStr">
        <is>
          <t>JÄMTLANDS LÄN</t>
        </is>
      </c>
      <c r="E809" t="inlineStr">
        <is>
          <t>STRÖMSUND</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33017-2020</t>
        </is>
      </c>
      <c r="B810" s="1" t="n">
        <v>44020</v>
      </c>
      <c r="C810" s="1" t="n">
        <v>45749</v>
      </c>
      <c r="D810" t="inlineStr">
        <is>
          <t>JÄMTLANDS LÄN</t>
        </is>
      </c>
      <c r="E810" t="inlineStr">
        <is>
          <t>STRÖMSUND</t>
        </is>
      </c>
      <c r="F810" t="inlineStr">
        <is>
          <t>Sveaskog</t>
        </is>
      </c>
      <c r="G810" t="n">
        <v>20.8</v>
      </c>
      <c r="H810" t="n">
        <v>0</v>
      </c>
      <c r="I810" t="n">
        <v>0</v>
      </c>
      <c r="J810" t="n">
        <v>0</v>
      </c>
      <c r="K810" t="n">
        <v>0</v>
      </c>
      <c r="L810" t="n">
        <v>0</v>
      </c>
      <c r="M810" t="n">
        <v>0</v>
      </c>
      <c r="N810" t="n">
        <v>0</v>
      </c>
      <c r="O810" t="n">
        <v>0</v>
      </c>
      <c r="P810" t="n">
        <v>0</v>
      </c>
      <c r="Q810" t="n">
        <v>0</v>
      </c>
      <c r="R810" s="2" t="inlineStr"/>
    </row>
    <row r="811" ht="15" customHeight="1">
      <c r="A811" t="inlineStr">
        <is>
          <t>A 33007-2020</t>
        </is>
      </c>
      <c r="B811" s="1" t="n">
        <v>44020</v>
      </c>
      <c r="C811" s="1" t="n">
        <v>45749</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33205-2020</t>
        </is>
      </c>
      <c r="B812" s="1" t="n">
        <v>44021</v>
      </c>
      <c r="C812" s="1" t="n">
        <v>45749</v>
      </c>
      <c r="D812" t="inlineStr">
        <is>
          <t>JÄMTLANDS LÄN</t>
        </is>
      </c>
      <c r="E812" t="inlineStr">
        <is>
          <t>STRÖMSUND</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33207-2020</t>
        </is>
      </c>
      <c r="B813" s="1" t="n">
        <v>44021</v>
      </c>
      <c r="C813" s="1" t="n">
        <v>45749</v>
      </c>
      <c r="D813" t="inlineStr">
        <is>
          <t>JÄMTLANDS LÄN</t>
        </is>
      </c>
      <c r="E813" t="inlineStr">
        <is>
          <t>STRÖMSUND</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33460-2020</t>
        </is>
      </c>
      <c r="B814" s="1" t="n">
        <v>44022</v>
      </c>
      <c r="C814" s="1" t="n">
        <v>45749</v>
      </c>
      <c r="D814" t="inlineStr">
        <is>
          <t>JÄMTLANDS LÄN</t>
        </is>
      </c>
      <c r="E814" t="inlineStr">
        <is>
          <t>STRÖMSUND</t>
        </is>
      </c>
      <c r="F814" t="inlineStr">
        <is>
          <t>SCA</t>
        </is>
      </c>
      <c r="G814" t="n">
        <v>10.5</v>
      </c>
      <c r="H814" t="n">
        <v>0</v>
      </c>
      <c r="I814" t="n">
        <v>0</v>
      </c>
      <c r="J814" t="n">
        <v>0</v>
      </c>
      <c r="K814" t="n">
        <v>0</v>
      </c>
      <c r="L814" t="n">
        <v>0</v>
      </c>
      <c r="M814" t="n">
        <v>0</v>
      </c>
      <c r="N814" t="n">
        <v>0</v>
      </c>
      <c r="O814" t="n">
        <v>0</v>
      </c>
      <c r="P814" t="n">
        <v>0</v>
      </c>
      <c r="Q814" t="n">
        <v>0</v>
      </c>
      <c r="R814" s="2" t="inlineStr"/>
    </row>
    <row r="815" ht="15" customHeight="1">
      <c r="A815" t="inlineStr">
        <is>
          <t>A 33439-2020</t>
        </is>
      </c>
      <c r="B815" s="1" t="n">
        <v>44022</v>
      </c>
      <c r="C815" s="1" t="n">
        <v>45749</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33446-2020</t>
        </is>
      </c>
      <c r="B816" s="1" t="n">
        <v>44022</v>
      </c>
      <c r="C816" s="1" t="n">
        <v>45749</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33632-2020</t>
        </is>
      </c>
      <c r="B817" s="1" t="n">
        <v>44025</v>
      </c>
      <c r="C817" s="1" t="n">
        <v>45749</v>
      </c>
      <c r="D817" t="inlineStr">
        <is>
          <t>JÄMTLANDS LÄN</t>
        </is>
      </c>
      <c r="E817" t="inlineStr">
        <is>
          <t>STRÖMSUND</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33617-2020</t>
        </is>
      </c>
      <c r="B818" s="1" t="n">
        <v>44025</v>
      </c>
      <c r="C818" s="1" t="n">
        <v>45749</v>
      </c>
      <c r="D818" t="inlineStr">
        <is>
          <t>JÄMTLANDS LÄN</t>
        </is>
      </c>
      <c r="E818" t="inlineStr">
        <is>
          <t>STRÖMSUND</t>
        </is>
      </c>
      <c r="F818" t="inlineStr">
        <is>
          <t>SCA</t>
        </is>
      </c>
      <c r="G818" t="n">
        <v>135.3</v>
      </c>
      <c r="H818" t="n">
        <v>0</v>
      </c>
      <c r="I818" t="n">
        <v>0</v>
      </c>
      <c r="J818" t="n">
        <v>0</v>
      </c>
      <c r="K818" t="n">
        <v>0</v>
      </c>
      <c r="L818" t="n">
        <v>0</v>
      </c>
      <c r="M818" t="n">
        <v>0</v>
      </c>
      <c r="N818" t="n">
        <v>0</v>
      </c>
      <c r="O818" t="n">
        <v>0</v>
      </c>
      <c r="P818" t="n">
        <v>0</v>
      </c>
      <c r="Q818" t="n">
        <v>0</v>
      </c>
      <c r="R818" s="2" t="inlineStr"/>
    </row>
    <row r="819" ht="15" customHeight="1">
      <c r="A819" t="inlineStr">
        <is>
          <t>A 34079-2020</t>
        </is>
      </c>
      <c r="B819" s="1" t="n">
        <v>44028</v>
      </c>
      <c r="C819" s="1" t="n">
        <v>45749</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34084-2020</t>
        </is>
      </c>
      <c r="B820" s="1" t="n">
        <v>44028</v>
      </c>
      <c r="C820" s="1" t="n">
        <v>45749</v>
      </c>
      <c r="D820" t="inlineStr">
        <is>
          <t>JÄMTLANDS LÄN</t>
        </is>
      </c>
      <c r="E820" t="inlineStr">
        <is>
          <t>STRÖMSUND</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34080-2020</t>
        </is>
      </c>
      <c r="B821" s="1" t="n">
        <v>44028</v>
      </c>
      <c r="C821" s="1" t="n">
        <v>45749</v>
      </c>
      <c r="D821" t="inlineStr">
        <is>
          <t>JÄMTLANDS LÄN</t>
        </is>
      </c>
      <c r="E821" t="inlineStr">
        <is>
          <t>STRÖMSUND</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33959-2020</t>
        </is>
      </c>
      <c r="B822" s="1" t="n">
        <v>44028</v>
      </c>
      <c r="C822" s="1" t="n">
        <v>45749</v>
      </c>
      <c r="D822" t="inlineStr">
        <is>
          <t>JÄMTLANDS LÄN</t>
        </is>
      </c>
      <c r="E822" t="inlineStr">
        <is>
          <t>STRÖMSUND</t>
        </is>
      </c>
      <c r="G822" t="n">
        <v>1.7</v>
      </c>
      <c r="H822" t="n">
        <v>0</v>
      </c>
      <c r="I822" t="n">
        <v>0</v>
      </c>
      <c r="J822" t="n">
        <v>0</v>
      </c>
      <c r="K822" t="n">
        <v>0</v>
      </c>
      <c r="L822" t="n">
        <v>0</v>
      </c>
      <c r="M822" t="n">
        <v>0</v>
      </c>
      <c r="N822" t="n">
        <v>0</v>
      </c>
      <c r="O822" t="n">
        <v>0</v>
      </c>
      <c r="P822" t="n">
        <v>0</v>
      </c>
      <c r="Q822" t="n">
        <v>0</v>
      </c>
      <c r="R822" s="2" t="inlineStr"/>
    </row>
    <row r="823" ht="15" customHeight="1">
      <c r="A823" t="inlineStr">
        <is>
          <t>A 34082-2020</t>
        </is>
      </c>
      <c r="B823" s="1" t="n">
        <v>44028</v>
      </c>
      <c r="C823" s="1" t="n">
        <v>45749</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34086-2020</t>
        </is>
      </c>
      <c r="B824" s="1" t="n">
        <v>44028</v>
      </c>
      <c r="C824" s="1" t="n">
        <v>45749</v>
      </c>
      <c r="D824" t="inlineStr">
        <is>
          <t>JÄMTLANDS LÄN</t>
        </is>
      </c>
      <c r="E824" t="inlineStr">
        <is>
          <t>STRÖMSUND</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34078-2020</t>
        </is>
      </c>
      <c r="B825" s="1" t="n">
        <v>44028</v>
      </c>
      <c r="C825" s="1" t="n">
        <v>45749</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34083-2020</t>
        </is>
      </c>
      <c r="B826" s="1" t="n">
        <v>44028</v>
      </c>
      <c r="C826" s="1" t="n">
        <v>45749</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34162-2020</t>
        </is>
      </c>
      <c r="B827" s="1" t="n">
        <v>44029</v>
      </c>
      <c r="C827" s="1" t="n">
        <v>45749</v>
      </c>
      <c r="D827" t="inlineStr">
        <is>
          <t>JÄMTLANDS LÄN</t>
        </is>
      </c>
      <c r="E827" t="inlineStr">
        <is>
          <t>STRÖMSUND</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34280-2020</t>
        </is>
      </c>
      <c r="B828" s="1" t="n">
        <v>44029</v>
      </c>
      <c r="C828" s="1" t="n">
        <v>45749</v>
      </c>
      <c r="D828" t="inlineStr">
        <is>
          <t>JÄMTLANDS LÄN</t>
        </is>
      </c>
      <c r="E828" t="inlineStr">
        <is>
          <t>STRÖMSUND</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34292-2020</t>
        </is>
      </c>
      <c r="B829" s="1" t="n">
        <v>44029</v>
      </c>
      <c r="C829" s="1" t="n">
        <v>45749</v>
      </c>
      <c r="D829" t="inlineStr">
        <is>
          <t>JÄMTLANDS LÄN</t>
        </is>
      </c>
      <c r="E829" t="inlineStr">
        <is>
          <t>STRÖMSUND</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34289-2020</t>
        </is>
      </c>
      <c r="B830" s="1" t="n">
        <v>44029</v>
      </c>
      <c r="C830" s="1" t="n">
        <v>45749</v>
      </c>
      <c r="D830" t="inlineStr">
        <is>
          <t>JÄMTLANDS LÄN</t>
        </is>
      </c>
      <c r="E830" t="inlineStr">
        <is>
          <t>STRÖMSUND</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34658-2020</t>
        </is>
      </c>
      <c r="B831" s="1" t="n">
        <v>44034</v>
      </c>
      <c r="C831" s="1" t="n">
        <v>45749</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34796-2020</t>
        </is>
      </c>
      <c r="B832" s="1" t="n">
        <v>44035</v>
      </c>
      <c r="C832" s="1" t="n">
        <v>45749</v>
      </c>
      <c r="D832" t="inlineStr">
        <is>
          <t>JÄMTLANDS LÄN</t>
        </is>
      </c>
      <c r="E832" t="inlineStr">
        <is>
          <t>STRÖMSUND</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34855-2020</t>
        </is>
      </c>
      <c r="B833" s="1" t="n">
        <v>44036</v>
      </c>
      <c r="C833" s="1" t="n">
        <v>45749</v>
      </c>
      <c r="D833" t="inlineStr">
        <is>
          <t>JÄMTLANDS LÄN</t>
        </is>
      </c>
      <c r="E833" t="inlineStr">
        <is>
          <t>STRÖMSUND</t>
        </is>
      </c>
      <c r="G833" t="n">
        <v>20.2</v>
      </c>
      <c r="H833" t="n">
        <v>0</v>
      </c>
      <c r="I833" t="n">
        <v>0</v>
      </c>
      <c r="J833" t="n">
        <v>0</v>
      </c>
      <c r="K833" t="n">
        <v>0</v>
      </c>
      <c r="L833" t="n">
        <v>0</v>
      </c>
      <c r="M833" t="n">
        <v>0</v>
      </c>
      <c r="N833" t="n">
        <v>0</v>
      </c>
      <c r="O833" t="n">
        <v>0</v>
      </c>
      <c r="P833" t="n">
        <v>0</v>
      </c>
      <c r="Q833" t="n">
        <v>0</v>
      </c>
      <c r="R833" s="2" t="inlineStr"/>
    </row>
    <row r="834" ht="15" customHeight="1">
      <c r="A834" t="inlineStr">
        <is>
          <t>A 34952-2020</t>
        </is>
      </c>
      <c r="B834" s="1" t="n">
        <v>44038</v>
      </c>
      <c r="C834" s="1" t="n">
        <v>45749</v>
      </c>
      <c r="D834" t="inlineStr">
        <is>
          <t>JÄMTLANDS LÄN</t>
        </is>
      </c>
      <c r="E834" t="inlineStr">
        <is>
          <t>STRÖMSUND</t>
        </is>
      </c>
      <c r="G834" t="n">
        <v>26.1</v>
      </c>
      <c r="H834" t="n">
        <v>0</v>
      </c>
      <c r="I834" t="n">
        <v>0</v>
      </c>
      <c r="J834" t="n">
        <v>0</v>
      </c>
      <c r="K834" t="n">
        <v>0</v>
      </c>
      <c r="L834" t="n">
        <v>0</v>
      </c>
      <c r="M834" t="n">
        <v>0</v>
      </c>
      <c r="N834" t="n">
        <v>0</v>
      </c>
      <c r="O834" t="n">
        <v>0</v>
      </c>
      <c r="P834" t="n">
        <v>0</v>
      </c>
      <c r="Q834" t="n">
        <v>0</v>
      </c>
      <c r="R834" s="2" t="inlineStr"/>
    </row>
    <row r="835" ht="15" customHeight="1">
      <c r="A835" t="inlineStr">
        <is>
          <t>A 35393-2020</t>
        </is>
      </c>
      <c r="B835" s="1" t="n">
        <v>44042</v>
      </c>
      <c r="C835" s="1" t="n">
        <v>45749</v>
      </c>
      <c r="D835" t="inlineStr">
        <is>
          <t>JÄMTLANDS LÄN</t>
        </is>
      </c>
      <c r="E835" t="inlineStr">
        <is>
          <t>STRÖMSUND</t>
        </is>
      </c>
      <c r="G835" t="n">
        <v>0.8</v>
      </c>
      <c r="H835" t="n">
        <v>0</v>
      </c>
      <c r="I835" t="n">
        <v>0</v>
      </c>
      <c r="J835" t="n">
        <v>0</v>
      </c>
      <c r="K835" t="n">
        <v>0</v>
      </c>
      <c r="L835" t="n">
        <v>0</v>
      </c>
      <c r="M835" t="n">
        <v>0</v>
      </c>
      <c r="N835" t="n">
        <v>0</v>
      </c>
      <c r="O835" t="n">
        <v>0</v>
      </c>
      <c r="P835" t="n">
        <v>0</v>
      </c>
      <c r="Q835" t="n">
        <v>0</v>
      </c>
      <c r="R835" s="2" t="inlineStr"/>
    </row>
    <row r="836" ht="15" customHeight="1">
      <c r="A836" t="inlineStr">
        <is>
          <t>A 35605-2020</t>
        </is>
      </c>
      <c r="B836" s="1" t="n">
        <v>44043</v>
      </c>
      <c r="C836" s="1" t="n">
        <v>45749</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35658-2020</t>
        </is>
      </c>
      <c r="B837" s="1" t="n">
        <v>44046</v>
      </c>
      <c r="C837" s="1" t="n">
        <v>45749</v>
      </c>
      <c r="D837" t="inlineStr">
        <is>
          <t>JÄMTLANDS LÄN</t>
        </is>
      </c>
      <c r="E837" t="inlineStr">
        <is>
          <t>STRÖMSUND</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36504-2020</t>
        </is>
      </c>
      <c r="B838" s="1" t="n">
        <v>44050</v>
      </c>
      <c r="C838" s="1" t="n">
        <v>45749</v>
      </c>
      <c r="D838" t="inlineStr">
        <is>
          <t>JÄMTLANDS LÄN</t>
        </is>
      </c>
      <c r="E838" t="inlineStr">
        <is>
          <t>STRÖMSUND</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36574-2020</t>
        </is>
      </c>
      <c r="B839" s="1" t="n">
        <v>44050</v>
      </c>
      <c r="C839" s="1" t="n">
        <v>45749</v>
      </c>
      <c r="D839" t="inlineStr">
        <is>
          <t>JÄMTLANDS LÄN</t>
        </is>
      </c>
      <c r="E839" t="inlineStr">
        <is>
          <t>STRÖMSUND</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36787-2020</t>
        </is>
      </c>
      <c r="B840" s="1" t="n">
        <v>44053</v>
      </c>
      <c r="C840" s="1" t="n">
        <v>45749</v>
      </c>
      <c r="D840" t="inlineStr">
        <is>
          <t>JÄMTLANDS LÄN</t>
        </is>
      </c>
      <c r="E840" t="inlineStr">
        <is>
          <t>STRÖMSUND</t>
        </is>
      </c>
      <c r="F840" t="inlineStr">
        <is>
          <t>Holmen skog AB</t>
        </is>
      </c>
      <c r="G840" t="n">
        <v>5.3</v>
      </c>
      <c r="H840" t="n">
        <v>0</v>
      </c>
      <c r="I840" t="n">
        <v>0</v>
      </c>
      <c r="J840" t="n">
        <v>0</v>
      </c>
      <c r="K840" t="n">
        <v>0</v>
      </c>
      <c r="L840" t="n">
        <v>0</v>
      </c>
      <c r="M840" t="n">
        <v>0</v>
      </c>
      <c r="N840" t="n">
        <v>0</v>
      </c>
      <c r="O840" t="n">
        <v>0</v>
      </c>
      <c r="P840" t="n">
        <v>0</v>
      </c>
      <c r="Q840" t="n">
        <v>0</v>
      </c>
      <c r="R840" s="2" t="inlineStr"/>
    </row>
    <row r="841" ht="15" customHeight="1">
      <c r="A841" t="inlineStr">
        <is>
          <t>A 36963-2020</t>
        </is>
      </c>
      <c r="B841" s="1" t="n">
        <v>44053</v>
      </c>
      <c r="C841" s="1" t="n">
        <v>45749</v>
      </c>
      <c r="D841" t="inlineStr">
        <is>
          <t>JÄMTLANDS LÄN</t>
        </is>
      </c>
      <c r="E841" t="inlineStr">
        <is>
          <t>STRÖMSUND</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37308-2020</t>
        </is>
      </c>
      <c r="B842" s="1" t="n">
        <v>44055</v>
      </c>
      <c r="C842" s="1" t="n">
        <v>45749</v>
      </c>
      <c r="D842" t="inlineStr">
        <is>
          <t>JÄMTLANDS LÄN</t>
        </is>
      </c>
      <c r="E842" t="inlineStr">
        <is>
          <t>STRÖMSUND</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37501-2020</t>
        </is>
      </c>
      <c r="B843" s="1" t="n">
        <v>44055</v>
      </c>
      <c r="C843" s="1" t="n">
        <v>45749</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37878-2020</t>
        </is>
      </c>
      <c r="B844" s="1" t="n">
        <v>44057</v>
      </c>
      <c r="C844" s="1" t="n">
        <v>45749</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38019-2020</t>
        </is>
      </c>
      <c r="B845" s="1" t="n">
        <v>44057</v>
      </c>
      <c r="C845" s="1" t="n">
        <v>45749</v>
      </c>
      <c r="D845" t="inlineStr">
        <is>
          <t>JÄMTLANDS LÄN</t>
        </is>
      </c>
      <c r="E845" t="inlineStr">
        <is>
          <t>STRÖMSUND</t>
        </is>
      </c>
      <c r="G845" t="n">
        <v>0.2</v>
      </c>
      <c r="H845" t="n">
        <v>0</v>
      </c>
      <c r="I845" t="n">
        <v>0</v>
      </c>
      <c r="J845" t="n">
        <v>0</v>
      </c>
      <c r="K845" t="n">
        <v>0</v>
      </c>
      <c r="L845" t="n">
        <v>0</v>
      </c>
      <c r="M845" t="n">
        <v>0</v>
      </c>
      <c r="N845" t="n">
        <v>0</v>
      </c>
      <c r="O845" t="n">
        <v>0</v>
      </c>
      <c r="P845" t="n">
        <v>0</v>
      </c>
      <c r="Q845" t="n">
        <v>0</v>
      </c>
      <c r="R845" s="2" t="inlineStr"/>
    </row>
    <row r="846" ht="15" customHeight="1">
      <c r="A846" t="inlineStr">
        <is>
          <t>A 38029-2020</t>
        </is>
      </c>
      <c r="B846" s="1" t="n">
        <v>44057</v>
      </c>
      <c r="C846" s="1" t="n">
        <v>45749</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38070-2020</t>
        </is>
      </c>
      <c r="B847" s="1" t="n">
        <v>44057</v>
      </c>
      <c r="C847" s="1" t="n">
        <v>45749</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38071-2020</t>
        </is>
      </c>
      <c r="B848" s="1" t="n">
        <v>44057</v>
      </c>
      <c r="C848" s="1" t="n">
        <v>45749</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38266-2020</t>
        </is>
      </c>
      <c r="B849" s="1" t="n">
        <v>44060</v>
      </c>
      <c r="C849" s="1" t="n">
        <v>45749</v>
      </c>
      <c r="D849" t="inlineStr">
        <is>
          <t>JÄMTLANDS LÄN</t>
        </is>
      </c>
      <c r="E849" t="inlineStr">
        <is>
          <t>STRÖMSUND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38261-2020</t>
        </is>
      </c>
      <c r="B850" s="1" t="n">
        <v>44060</v>
      </c>
      <c r="C850" s="1" t="n">
        <v>45749</v>
      </c>
      <c r="D850" t="inlineStr">
        <is>
          <t>JÄMTLANDS LÄN</t>
        </is>
      </c>
      <c r="E850" t="inlineStr">
        <is>
          <t>STRÖMSUND</t>
        </is>
      </c>
      <c r="G850" t="n">
        <v>2.8</v>
      </c>
      <c r="H850" t="n">
        <v>0</v>
      </c>
      <c r="I850" t="n">
        <v>0</v>
      </c>
      <c r="J850" t="n">
        <v>0</v>
      </c>
      <c r="K850" t="n">
        <v>0</v>
      </c>
      <c r="L850" t="n">
        <v>0</v>
      </c>
      <c r="M850" t="n">
        <v>0</v>
      </c>
      <c r="N850" t="n">
        <v>0</v>
      </c>
      <c r="O850" t="n">
        <v>0</v>
      </c>
      <c r="P850" t="n">
        <v>0</v>
      </c>
      <c r="Q850" t="n">
        <v>0</v>
      </c>
      <c r="R850" s="2" t="inlineStr"/>
    </row>
    <row r="851" ht="15" customHeight="1">
      <c r="A851" t="inlineStr">
        <is>
          <t>A 38268-2020</t>
        </is>
      </c>
      <c r="B851" s="1" t="n">
        <v>44060</v>
      </c>
      <c r="C851" s="1" t="n">
        <v>45749</v>
      </c>
      <c r="D851" t="inlineStr">
        <is>
          <t>JÄMTLANDS LÄN</t>
        </is>
      </c>
      <c r="E851" t="inlineStr">
        <is>
          <t>STRÖMSUND</t>
        </is>
      </c>
      <c r="G851" t="n">
        <v>6.4</v>
      </c>
      <c r="H851" t="n">
        <v>0</v>
      </c>
      <c r="I851" t="n">
        <v>0</v>
      </c>
      <c r="J851" t="n">
        <v>0</v>
      </c>
      <c r="K851" t="n">
        <v>0</v>
      </c>
      <c r="L851" t="n">
        <v>0</v>
      </c>
      <c r="M851" t="n">
        <v>0</v>
      </c>
      <c r="N851" t="n">
        <v>0</v>
      </c>
      <c r="O851" t="n">
        <v>0</v>
      </c>
      <c r="P851" t="n">
        <v>0</v>
      </c>
      <c r="Q851" t="n">
        <v>0</v>
      </c>
      <c r="R851" s="2" t="inlineStr"/>
    </row>
    <row r="852" ht="15" customHeight="1">
      <c r="A852" t="inlineStr">
        <is>
          <t>A 38484-2020</t>
        </is>
      </c>
      <c r="B852" s="1" t="n">
        <v>44060</v>
      </c>
      <c r="C852" s="1" t="n">
        <v>45749</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38467-2020</t>
        </is>
      </c>
      <c r="B853" s="1" t="n">
        <v>44060</v>
      </c>
      <c r="C853" s="1" t="n">
        <v>45749</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38485-2020</t>
        </is>
      </c>
      <c r="B854" s="1" t="n">
        <v>44060</v>
      </c>
      <c r="C854" s="1" t="n">
        <v>45749</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38779-2020</t>
        </is>
      </c>
      <c r="B855" s="1" t="n">
        <v>44061</v>
      </c>
      <c r="C855" s="1" t="n">
        <v>45749</v>
      </c>
      <c r="D855" t="inlineStr">
        <is>
          <t>JÄMTLANDS LÄN</t>
        </is>
      </c>
      <c r="E855" t="inlineStr">
        <is>
          <t>STRÖMSUND</t>
        </is>
      </c>
      <c r="F855" t="inlineStr">
        <is>
          <t>SCA</t>
        </is>
      </c>
      <c r="G855" t="n">
        <v>34.2</v>
      </c>
      <c r="H855" t="n">
        <v>0</v>
      </c>
      <c r="I855" t="n">
        <v>0</v>
      </c>
      <c r="J855" t="n">
        <v>0</v>
      </c>
      <c r="K855" t="n">
        <v>0</v>
      </c>
      <c r="L855" t="n">
        <v>0</v>
      </c>
      <c r="M855" t="n">
        <v>0</v>
      </c>
      <c r="N855" t="n">
        <v>0</v>
      </c>
      <c r="O855" t="n">
        <v>0</v>
      </c>
      <c r="P855" t="n">
        <v>0</v>
      </c>
      <c r="Q855" t="n">
        <v>0</v>
      </c>
      <c r="R855" s="2" t="inlineStr"/>
    </row>
    <row r="856" ht="15" customHeight="1">
      <c r="A856" t="inlineStr">
        <is>
          <t>A 38781-2020</t>
        </is>
      </c>
      <c r="B856" s="1" t="n">
        <v>44061</v>
      </c>
      <c r="C856" s="1" t="n">
        <v>45749</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38780-2020</t>
        </is>
      </c>
      <c r="B857" s="1" t="n">
        <v>44061</v>
      </c>
      <c r="C857" s="1" t="n">
        <v>45749</v>
      </c>
      <c r="D857" t="inlineStr">
        <is>
          <t>JÄMTLANDS LÄN</t>
        </is>
      </c>
      <c r="E857" t="inlineStr">
        <is>
          <t>STRÖMSUND</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38782-2020</t>
        </is>
      </c>
      <c r="B858" s="1" t="n">
        <v>44061</v>
      </c>
      <c r="C858" s="1" t="n">
        <v>45749</v>
      </c>
      <c r="D858" t="inlineStr">
        <is>
          <t>JÄMTLANDS LÄN</t>
        </is>
      </c>
      <c r="E858" t="inlineStr">
        <is>
          <t>STRÖMSUND</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39396-2020</t>
        </is>
      </c>
      <c r="B859" s="1" t="n">
        <v>44064</v>
      </c>
      <c r="C859" s="1" t="n">
        <v>45749</v>
      </c>
      <c r="D859" t="inlineStr">
        <is>
          <t>JÄMTLANDS LÄN</t>
        </is>
      </c>
      <c r="E859" t="inlineStr">
        <is>
          <t>STRÖMSUND</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39390-2020</t>
        </is>
      </c>
      <c r="B860" s="1" t="n">
        <v>44064</v>
      </c>
      <c r="C860" s="1" t="n">
        <v>45749</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39397-2020</t>
        </is>
      </c>
      <c r="B861" s="1" t="n">
        <v>44064</v>
      </c>
      <c r="C861" s="1" t="n">
        <v>45749</v>
      </c>
      <c r="D861" t="inlineStr">
        <is>
          <t>JÄMTLANDS LÄN</t>
        </is>
      </c>
      <c r="E861" t="inlineStr">
        <is>
          <t>STRÖMSUND</t>
        </is>
      </c>
      <c r="G861" t="n">
        <v>6.1</v>
      </c>
      <c r="H861" t="n">
        <v>0</v>
      </c>
      <c r="I861" t="n">
        <v>0</v>
      </c>
      <c r="J861" t="n">
        <v>0</v>
      </c>
      <c r="K861" t="n">
        <v>0</v>
      </c>
      <c r="L861" t="n">
        <v>0</v>
      </c>
      <c r="M861" t="n">
        <v>0</v>
      </c>
      <c r="N861" t="n">
        <v>0</v>
      </c>
      <c r="O861" t="n">
        <v>0</v>
      </c>
      <c r="P861" t="n">
        <v>0</v>
      </c>
      <c r="Q861" t="n">
        <v>0</v>
      </c>
      <c r="R861" s="2" t="inlineStr"/>
    </row>
    <row r="862" ht="15" customHeight="1">
      <c r="A862" t="inlineStr">
        <is>
          <t>A 39648-2020</t>
        </is>
      </c>
      <c r="B862" s="1" t="n">
        <v>44065</v>
      </c>
      <c r="C862" s="1" t="n">
        <v>45749</v>
      </c>
      <c r="D862" t="inlineStr">
        <is>
          <t>JÄMTLANDS LÄN</t>
        </is>
      </c>
      <c r="E862" t="inlineStr">
        <is>
          <t>STRÖMSUND</t>
        </is>
      </c>
      <c r="G862" t="n">
        <v>1</v>
      </c>
      <c r="H862" t="n">
        <v>0</v>
      </c>
      <c r="I862" t="n">
        <v>0</v>
      </c>
      <c r="J862" t="n">
        <v>0</v>
      </c>
      <c r="K862" t="n">
        <v>0</v>
      </c>
      <c r="L862" t="n">
        <v>0</v>
      </c>
      <c r="M862" t="n">
        <v>0</v>
      </c>
      <c r="N862" t="n">
        <v>0</v>
      </c>
      <c r="O862" t="n">
        <v>0</v>
      </c>
      <c r="P862" t="n">
        <v>0</v>
      </c>
      <c r="Q862" t="n">
        <v>0</v>
      </c>
      <c r="R862" s="2" t="inlineStr"/>
    </row>
    <row r="863" ht="15" customHeight="1">
      <c r="A863" t="inlineStr">
        <is>
          <t>A 40080-2020</t>
        </is>
      </c>
      <c r="B863" s="1" t="n">
        <v>44067</v>
      </c>
      <c r="C863" s="1" t="n">
        <v>45749</v>
      </c>
      <c r="D863" t="inlineStr">
        <is>
          <t>JÄMTLANDS LÄN</t>
        </is>
      </c>
      <c r="E863" t="inlineStr">
        <is>
          <t>STRÖMSUND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40519-2020</t>
        </is>
      </c>
      <c r="B864" s="1" t="n">
        <v>44069</v>
      </c>
      <c r="C864" s="1" t="n">
        <v>45749</v>
      </c>
      <c r="D864" t="inlineStr">
        <is>
          <t>JÄMTLANDS LÄN</t>
        </is>
      </c>
      <c r="E864" t="inlineStr">
        <is>
          <t>STRÖMSUND</t>
        </is>
      </c>
      <c r="G864" t="n">
        <v>11.7</v>
      </c>
      <c r="H864" t="n">
        <v>0</v>
      </c>
      <c r="I864" t="n">
        <v>0</v>
      </c>
      <c r="J864" t="n">
        <v>0</v>
      </c>
      <c r="K864" t="n">
        <v>0</v>
      </c>
      <c r="L864" t="n">
        <v>0</v>
      </c>
      <c r="M864" t="n">
        <v>0</v>
      </c>
      <c r="N864" t="n">
        <v>0</v>
      </c>
      <c r="O864" t="n">
        <v>0</v>
      </c>
      <c r="P864" t="n">
        <v>0</v>
      </c>
      <c r="Q864" t="n">
        <v>0</v>
      </c>
      <c r="R864" s="2" t="inlineStr"/>
    </row>
    <row r="865" ht="15" customHeight="1">
      <c r="A865" t="inlineStr">
        <is>
          <t>A 41368-2020</t>
        </is>
      </c>
      <c r="B865" s="1" t="n">
        <v>44071</v>
      </c>
      <c r="C865" s="1" t="n">
        <v>45749</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41451-2020</t>
        </is>
      </c>
      <c r="B866" s="1" t="n">
        <v>44073</v>
      </c>
      <c r="C866" s="1" t="n">
        <v>45749</v>
      </c>
      <c r="D866" t="inlineStr">
        <is>
          <t>JÄMTLANDS LÄN</t>
        </is>
      </c>
      <c r="E866" t="inlineStr">
        <is>
          <t>STRÖMSUND</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41450-2020</t>
        </is>
      </c>
      <c r="B867" s="1" t="n">
        <v>44073</v>
      </c>
      <c r="C867" s="1" t="n">
        <v>45749</v>
      </c>
      <c r="D867" t="inlineStr">
        <is>
          <t>JÄMTLANDS LÄN</t>
        </is>
      </c>
      <c r="E867" t="inlineStr">
        <is>
          <t>STRÖMSUND</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41454-2020</t>
        </is>
      </c>
      <c r="B868" s="1" t="n">
        <v>44073</v>
      </c>
      <c r="C868" s="1" t="n">
        <v>45749</v>
      </c>
      <c r="D868" t="inlineStr">
        <is>
          <t>JÄMTLANDS LÄN</t>
        </is>
      </c>
      <c r="E868" t="inlineStr">
        <is>
          <t>STRÖMSUND</t>
        </is>
      </c>
      <c r="F868" t="inlineStr">
        <is>
          <t>SCA</t>
        </is>
      </c>
      <c r="G868" t="n">
        <v>11.8</v>
      </c>
      <c r="H868" t="n">
        <v>0</v>
      </c>
      <c r="I868" t="n">
        <v>0</v>
      </c>
      <c r="J868" t="n">
        <v>0</v>
      </c>
      <c r="K868" t="n">
        <v>0</v>
      </c>
      <c r="L868" t="n">
        <v>0</v>
      </c>
      <c r="M868" t="n">
        <v>0</v>
      </c>
      <c r="N868" t="n">
        <v>0</v>
      </c>
      <c r="O868" t="n">
        <v>0</v>
      </c>
      <c r="P868" t="n">
        <v>0</v>
      </c>
      <c r="Q868" t="n">
        <v>0</v>
      </c>
      <c r="R868" s="2" t="inlineStr"/>
    </row>
    <row r="869" ht="15" customHeight="1">
      <c r="A869" t="inlineStr">
        <is>
          <t>A 41892-2020</t>
        </is>
      </c>
      <c r="B869" s="1" t="n">
        <v>44074</v>
      </c>
      <c r="C869" s="1" t="n">
        <v>45749</v>
      </c>
      <c r="D869" t="inlineStr">
        <is>
          <t>JÄMTLANDS LÄN</t>
        </is>
      </c>
      <c r="E869" t="inlineStr">
        <is>
          <t>STRÖMSUND</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41490-2020</t>
        </is>
      </c>
      <c r="B870" s="1" t="n">
        <v>44074</v>
      </c>
      <c r="C870" s="1" t="n">
        <v>45749</v>
      </c>
      <c r="D870" t="inlineStr">
        <is>
          <t>JÄMTLANDS LÄN</t>
        </is>
      </c>
      <c r="E870" t="inlineStr">
        <is>
          <t>STRÖMSUND</t>
        </is>
      </c>
      <c r="F870" t="inlineStr">
        <is>
          <t>SCA</t>
        </is>
      </c>
      <c r="G870" t="n">
        <v>0.1</v>
      </c>
      <c r="H870" t="n">
        <v>0</v>
      </c>
      <c r="I870" t="n">
        <v>0</v>
      </c>
      <c r="J870" t="n">
        <v>0</v>
      </c>
      <c r="K870" t="n">
        <v>0</v>
      </c>
      <c r="L870" t="n">
        <v>0</v>
      </c>
      <c r="M870" t="n">
        <v>0</v>
      </c>
      <c r="N870" t="n">
        <v>0</v>
      </c>
      <c r="O870" t="n">
        <v>0</v>
      </c>
      <c r="P870" t="n">
        <v>0</v>
      </c>
      <c r="Q870" t="n">
        <v>0</v>
      </c>
      <c r="R870" s="2" t="inlineStr"/>
    </row>
    <row r="871" ht="15" customHeight="1">
      <c r="A871" t="inlineStr">
        <is>
          <t>A 43447-2020</t>
        </is>
      </c>
      <c r="B871" s="1" t="n">
        <v>44081</v>
      </c>
      <c r="C871" s="1" t="n">
        <v>45749</v>
      </c>
      <c r="D871" t="inlineStr">
        <is>
          <t>JÄMTLANDS LÄN</t>
        </is>
      </c>
      <c r="E871" t="inlineStr">
        <is>
          <t>STRÖMSUND</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43448-2020</t>
        </is>
      </c>
      <c r="B872" s="1" t="n">
        <v>44081</v>
      </c>
      <c r="C872" s="1" t="n">
        <v>45749</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44009-2020</t>
        </is>
      </c>
      <c r="B873" s="1" t="n">
        <v>44083</v>
      </c>
      <c r="C873" s="1" t="n">
        <v>45749</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44197-2020</t>
        </is>
      </c>
      <c r="B874" s="1" t="n">
        <v>44083</v>
      </c>
      <c r="C874" s="1" t="n">
        <v>45749</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44989-2020</t>
        </is>
      </c>
      <c r="B875" s="1" t="n">
        <v>44083</v>
      </c>
      <c r="C875" s="1" t="n">
        <v>45749</v>
      </c>
      <c r="D875" t="inlineStr">
        <is>
          <t>JÄMTLANDS LÄN</t>
        </is>
      </c>
      <c r="E875" t="inlineStr">
        <is>
          <t>STRÖMSUND</t>
        </is>
      </c>
      <c r="G875" t="n">
        <v>8</v>
      </c>
      <c r="H875" t="n">
        <v>0</v>
      </c>
      <c r="I875" t="n">
        <v>0</v>
      </c>
      <c r="J875" t="n">
        <v>0</v>
      </c>
      <c r="K875" t="n">
        <v>0</v>
      </c>
      <c r="L875" t="n">
        <v>0</v>
      </c>
      <c r="M875" t="n">
        <v>0</v>
      </c>
      <c r="N875" t="n">
        <v>0</v>
      </c>
      <c r="O875" t="n">
        <v>0</v>
      </c>
      <c r="P875" t="n">
        <v>0</v>
      </c>
      <c r="Q875" t="n">
        <v>0</v>
      </c>
      <c r="R875" s="2" t="inlineStr"/>
    </row>
    <row r="876" ht="15" customHeight="1">
      <c r="A876" t="inlineStr">
        <is>
          <t>A 44992-2020</t>
        </is>
      </c>
      <c r="B876" s="1" t="n">
        <v>44083</v>
      </c>
      <c r="C876" s="1" t="n">
        <v>45749</v>
      </c>
      <c r="D876" t="inlineStr">
        <is>
          <t>JÄMTLANDS LÄN</t>
        </is>
      </c>
      <c r="E876" t="inlineStr">
        <is>
          <t>STRÖMSUND</t>
        </is>
      </c>
      <c r="G876" t="n">
        <v>20.3</v>
      </c>
      <c r="H876" t="n">
        <v>0</v>
      </c>
      <c r="I876" t="n">
        <v>0</v>
      </c>
      <c r="J876" t="n">
        <v>0</v>
      </c>
      <c r="K876" t="n">
        <v>0</v>
      </c>
      <c r="L876" t="n">
        <v>0</v>
      </c>
      <c r="M876" t="n">
        <v>0</v>
      </c>
      <c r="N876" t="n">
        <v>0</v>
      </c>
      <c r="O876" t="n">
        <v>0</v>
      </c>
      <c r="P876" t="n">
        <v>0</v>
      </c>
      <c r="Q876" t="n">
        <v>0</v>
      </c>
      <c r="R876" s="2" t="inlineStr"/>
    </row>
    <row r="877" ht="15" customHeight="1">
      <c r="A877" t="inlineStr">
        <is>
          <t>A 46425-2020</t>
        </is>
      </c>
      <c r="B877" s="1" t="n">
        <v>44095</v>
      </c>
      <c r="C877" s="1" t="n">
        <v>45749</v>
      </c>
      <c r="D877" t="inlineStr">
        <is>
          <t>JÄMTLANDS LÄN</t>
        </is>
      </c>
      <c r="E877" t="inlineStr">
        <is>
          <t>STRÖMSUND</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46540-2020</t>
        </is>
      </c>
      <c r="B878" s="1" t="n">
        <v>44095</v>
      </c>
      <c r="C878" s="1" t="n">
        <v>45749</v>
      </c>
      <c r="D878" t="inlineStr">
        <is>
          <t>JÄMTLANDS LÄN</t>
        </is>
      </c>
      <c r="E878" t="inlineStr">
        <is>
          <t>STRÖMSUND</t>
        </is>
      </c>
      <c r="F878" t="inlineStr">
        <is>
          <t>Holmen skog AB</t>
        </is>
      </c>
      <c r="G878" t="n">
        <v>10.8</v>
      </c>
      <c r="H878" t="n">
        <v>0</v>
      </c>
      <c r="I878" t="n">
        <v>0</v>
      </c>
      <c r="J878" t="n">
        <v>0</v>
      </c>
      <c r="K878" t="n">
        <v>0</v>
      </c>
      <c r="L878" t="n">
        <v>0</v>
      </c>
      <c r="M878" t="n">
        <v>0</v>
      </c>
      <c r="N878" t="n">
        <v>0</v>
      </c>
      <c r="O878" t="n">
        <v>0</v>
      </c>
      <c r="P878" t="n">
        <v>0</v>
      </c>
      <c r="Q878" t="n">
        <v>0</v>
      </c>
      <c r="R878" s="2" t="inlineStr"/>
    </row>
    <row r="879" ht="15" customHeight="1">
      <c r="A879" t="inlineStr">
        <is>
          <t>A 46426-2020</t>
        </is>
      </c>
      <c r="B879" s="1" t="n">
        <v>44095</v>
      </c>
      <c r="C879" s="1" t="n">
        <v>45749</v>
      </c>
      <c r="D879" t="inlineStr">
        <is>
          <t>JÄMTLANDS LÄN</t>
        </is>
      </c>
      <c r="E879" t="inlineStr">
        <is>
          <t>STRÖMSUND</t>
        </is>
      </c>
      <c r="F879" t="inlineStr">
        <is>
          <t>Sveaskog</t>
        </is>
      </c>
      <c r="G879" t="n">
        <v>7.9</v>
      </c>
      <c r="H879" t="n">
        <v>0</v>
      </c>
      <c r="I879" t="n">
        <v>0</v>
      </c>
      <c r="J879" t="n">
        <v>0</v>
      </c>
      <c r="K879" t="n">
        <v>0</v>
      </c>
      <c r="L879" t="n">
        <v>0</v>
      </c>
      <c r="M879" t="n">
        <v>0</v>
      </c>
      <c r="N879" t="n">
        <v>0</v>
      </c>
      <c r="O879" t="n">
        <v>0</v>
      </c>
      <c r="P879" t="n">
        <v>0</v>
      </c>
      <c r="Q879" t="n">
        <v>0</v>
      </c>
      <c r="R879" s="2" t="inlineStr"/>
    </row>
    <row r="880" ht="15" customHeight="1">
      <c r="A880" t="inlineStr">
        <is>
          <t>A 47126-2020</t>
        </is>
      </c>
      <c r="B880" s="1" t="n">
        <v>44096</v>
      </c>
      <c r="C880" s="1" t="n">
        <v>45749</v>
      </c>
      <c r="D880" t="inlineStr">
        <is>
          <t>JÄMTLANDS LÄN</t>
        </is>
      </c>
      <c r="E880" t="inlineStr">
        <is>
          <t>STRÖMSUND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47504-2020</t>
        </is>
      </c>
      <c r="B881" s="1" t="n">
        <v>44098</v>
      </c>
      <c r="C881" s="1" t="n">
        <v>45749</v>
      </c>
      <c r="D881" t="inlineStr">
        <is>
          <t>JÄMTLANDS LÄN</t>
        </is>
      </c>
      <c r="E881" t="inlineStr">
        <is>
          <t>STRÖMSUND</t>
        </is>
      </c>
      <c r="F881" t="inlineStr">
        <is>
          <t>Holmen skog AB</t>
        </is>
      </c>
      <c r="G881" t="n">
        <v>6.6</v>
      </c>
      <c r="H881" t="n">
        <v>0</v>
      </c>
      <c r="I881" t="n">
        <v>0</v>
      </c>
      <c r="J881" t="n">
        <v>0</v>
      </c>
      <c r="K881" t="n">
        <v>0</v>
      </c>
      <c r="L881" t="n">
        <v>0</v>
      </c>
      <c r="M881" t="n">
        <v>0</v>
      </c>
      <c r="N881" t="n">
        <v>0</v>
      </c>
      <c r="O881" t="n">
        <v>0</v>
      </c>
      <c r="P881" t="n">
        <v>0</v>
      </c>
      <c r="Q881" t="n">
        <v>0</v>
      </c>
      <c r="R881" s="2" t="inlineStr"/>
    </row>
    <row r="882" ht="15" customHeight="1">
      <c r="A882" t="inlineStr">
        <is>
          <t>A 48227-2020</t>
        </is>
      </c>
      <c r="B882" s="1" t="n">
        <v>44102</v>
      </c>
      <c r="C882" s="1" t="n">
        <v>45749</v>
      </c>
      <c r="D882" t="inlineStr">
        <is>
          <t>JÄMTLANDS LÄN</t>
        </is>
      </c>
      <c r="E882" t="inlineStr">
        <is>
          <t>STRÖMSUND</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48224-2020</t>
        </is>
      </c>
      <c r="B883" s="1" t="n">
        <v>44102</v>
      </c>
      <c r="C883" s="1" t="n">
        <v>45749</v>
      </c>
      <c r="D883" t="inlineStr">
        <is>
          <t>JÄMTLANDS LÄN</t>
        </is>
      </c>
      <c r="E883" t="inlineStr">
        <is>
          <t>STRÖMSUND</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49772-2020</t>
        </is>
      </c>
      <c r="B884" s="1" t="n">
        <v>44103</v>
      </c>
      <c r="C884" s="1" t="n">
        <v>45749</v>
      </c>
      <c r="D884" t="inlineStr">
        <is>
          <t>JÄMTLANDS LÄN</t>
        </is>
      </c>
      <c r="E884" t="inlineStr">
        <is>
          <t>STRÖMSUND</t>
        </is>
      </c>
      <c r="G884" t="n">
        <v>7.6</v>
      </c>
      <c r="H884" t="n">
        <v>0</v>
      </c>
      <c r="I884" t="n">
        <v>0</v>
      </c>
      <c r="J884" t="n">
        <v>0</v>
      </c>
      <c r="K884" t="n">
        <v>0</v>
      </c>
      <c r="L884" t="n">
        <v>0</v>
      </c>
      <c r="M884" t="n">
        <v>0</v>
      </c>
      <c r="N884" t="n">
        <v>0</v>
      </c>
      <c r="O884" t="n">
        <v>0</v>
      </c>
      <c r="P884" t="n">
        <v>0</v>
      </c>
      <c r="Q884" t="n">
        <v>0</v>
      </c>
      <c r="R884" s="2" t="inlineStr"/>
    </row>
    <row r="885" ht="15" customHeight="1">
      <c r="A885" t="inlineStr">
        <is>
          <t>A 49156-2020</t>
        </is>
      </c>
      <c r="B885" s="1" t="n">
        <v>44104</v>
      </c>
      <c r="C885" s="1" t="n">
        <v>45749</v>
      </c>
      <c r="D885" t="inlineStr">
        <is>
          <t>JÄMTLANDS LÄN</t>
        </is>
      </c>
      <c r="E885" t="inlineStr">
        <is>
          <t>STRÖMSUND</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49161-2020</t>
        </is>
      </c>
      <c r="B886" s="1" t="n">
        <v>44104</v>
      </c>
      <c r="C886" s="1" t="n">
        <v>45749</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49152-2020</t>
        </is>
      </c>
      <c r="B887" s="1" t="n">
        <v>44104</v>
      </c>
      <c r="C887" s="1" t="n">
        <v>45749</v>
      </c>
      <c r="D887" t="inlineStr">
        <is>
          <t>JÄMTLANDS LÄN</t>
        </is>
      </c>
      <c r="E887" t="inlineStr">
        <is>
          <t>STRÖMSUND</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49167-2020</t>
        </is>
      </c>
      <c r="B888" s="1" t="n">
        <v>44104</v>
      </c>
      <c r="C888" s="1" t="n">
        <v>45749</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49511-2020</t>
        </is>
      </c>
      <c r="B889" s="1" t="n">
        <v>44105</v>
      </c>
      <c r="C889" s="1" t="n">
        <v>45749</v>
      </c>
      <c r="D889" t="inlineStr">
        <is>
          <t>JÄMTLANDS LÄN</t>
        </is>
      </c>
      <c r="E889" t="inlineStr">
        <is>
          <t>STRÖMSUND</t>
        </is>
      </c>
      <c r="F889" t="inlineStr">
        <is>
          <t>SCA</t>
        </is>
      </c>
      <c r="G889" t="n">
        <v>13.6</v>
      </c>
      <c r="H889" t="n">
        <v>0</v>
      </c>
      <c r="I889" t="n">
        <v>0</v>
      </c>
      <c r="J889" t="n">
        <v>0</v>
      </c>
      <c r="K889" t="n">
        <v>0</v>
      </c>
      <c r="L889" t="n">
        <v>0</v>
      </c>
      <c r="M889" t="n">
        <v>0</v>
      </c>
      <c r="N889" t="n">
        <v>0</v>
      </c>
      <c r="O889" t="n">
        <v>0</v>
      </c>
      <c r="P889" t="n">
        <v>0</v>
      </c>
      <c r="Q889" t="n">
        <v>0</v>
      </c>
      <c r="R889" s="2" t="inlineStr"/>
    </row>
    <row r="890" ht="15" customHeight="1">
      <c r="A890" t="inlineStr">
        <is>
          <t>A 49510-2020</t>
        </is>
      </c>
      <c r="B890" s="1" t="n">
        <v>44105</v>
      </c>
      <c r="C890" s="1" t="n">
        <v>45749</v>
      </c>
      <c r="D890" t="inlineStr">
        <is>
          <t>JÄMTLANDS LÄN</t>
        </is>
      </c>
      <c r="E890" t="inlineStr">
        <is>
          <t>STRÖMSUND</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49997-2020</t>
        </is>
      </c>
      <c r="B891" s="1" t="n">
        <v>44109</v>
      </c>
      <c r="C891" s="1" t="n">
        <v>45749</v>
      </c>
      <c r="D891" t="inlineStr">
        <is>
          <t>JÄMTLANDS LÄN</t>
        </is>
      </c>
      <c r="E891" t="inlineStr">
        <is>
          <t>STRÖMSUND</t>
        </is>
      </c>
      <c r="G891" t="n">
        <v>1.2</v>
      </c>
      <c r="H891" t="n">
        <v>0</v>
      </c>
      <c r="I891" t="n">
        <v>0</v>
      </c>
      <c r="J891" t="n">
        <v>0</v>
      </c>
      <c r="K891" t="n">
        <v>0</v>
      </c>
      <c r="L891" t="n">
        <v>0</v>
      </c>
      <c r="M891" t="n">
        <v>0</v>
      </c>
      <c r="N891" t="n">
        <v>0</v>
      </c>
      <c r="O891" t="n">
        <v>0</v>
      </c>
      <c r="P891" t="n">
        <v>0</v>
      </c>
      <c r="Q891" t="n">
        <v>0</v>
      </c>
      <c r="R891" s="2" t="inlineStr"/>
    </row>
    <row r="892" ht="15" customHeight="1">
      <c r="A892" t="inlineStr">
        <is>
          <t>A 50645-2020</t>
        </is>
      </c>
      <c r="B892" s="1" t="n">
        <v>44110</v>
      </c>
      <c r="C892" s="1" t="n">
        <v>45749</v>
      </c>
      <c r="D892" t="inlineStr">
        <is>
          <t>JÄMTLANDS LÄN</t>
        </is>
      </c>
      <c r="E892" t="inlineStr">
        <is>
          <t>STRÖMSUND</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51042-2020</t>
        </is>
      </c>
      <c r="B893" s="1" t="n">
        <v>44112</v>
      </c>
      <c r="C893" s="1" t="n">
        <v>45749</v>
      </c>
      <c r="D893" t="inlineStr">
        <is>
          <t>JÄMTLANDS LÄN</t>
        </is>
      </c>
      <c r="E893" t="inlineStr">
        <is>
          <t>STRÖMSUND</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51670-2020</t>
        </is>
      </c>
      <c r="B894" s="1" t="n">
        <v>44113</v>
      </c>
      <c r="C894" s="1" t="n">
        <v>45749</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51689-2020</t>
        </is>
      </c>
      <c r="B895" s="1" t="n">
        <v>44113</v>
      </c>
      <c r="C895" s="1" t="n">
        <v>45749</v>
      </c>
      <c r="D895" t="inlineStr">
        <is>
          <t>JÄMTLANDS LÄN</t>
        </is>
      </c>
      <c r="E895" t="inlineStr">
        <is>
          <t>STRÖMSUND</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52030-2020</t>
        </is>
      </c>
      <c r="B896" s="1" t="n">
        <v>44116</v>
      </c>
      <c r="C896" s="1" t="n">
        <v>45749</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52622-2020</t>
        </is>
      </c>
      <c r="B897" s="1" t="n">
        <v>44118</v>
      </c>
      <c r="C897" s="1" t="n">
        <v>45749</v>
      </c>
      <c r="D897" t="inlineStr">
        <is>
          <t>JÄMTLANDS LÄN</t>
        </is>
      </c>
      <c r="E897" t="inlineStr">
        <is>
          <t>STRÖMSUND</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53293-2020</t>
        </is>
      </c>
      <c r="B898" s="1" t="n">
        <v>44123</v>
      </c>
      <c r="C898" s="1" t="n">
        <v>45749</v>
      </c>
      <c r="D898" t="inlineStr">
        <is>
          <t>JÄMTLANDS LÄN</t>
        </is>
      </c>
      <c r="E898" t="inlineStr">
        <is>
          <t>STRÖMSUND</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55342-2020</t>
        </is>
      </c>
      <c r="B899" s="1" t="n">
        <v>44130</v>
      </c>
      <c r="C899" s="1" t="n">
        <v>45749</v>
      </c>
      <c r="D899" t="inlineStr">
        <is>
          <t>JÄMTLANDS LÄN</t>
        </is>
      </c>
      <c r="E899" t="inlineStr">
        <is>
          <t>STRÖMSUND</t>
        </is>
      </c>
      <c r="G899" t="n">
        <v>2.9</v>
      </c>
      <c r="H899" t="n">
        <v>0</v>
      </c>
      <c r="I899" t="n">
        <v>0</v>
      </c>
      <c r="J899" t="n">
        <v>0</v>
      </c>
      <c r="K899" t="n">
        <v>0</v>
      </c>
      <c r="L899" t="n">
        <v>0</v>
      </c>
      <c r="M899" t="n">
        <v>0</v>
      </c>
      <c r="N899" t="n">
        <v>0</v>
      </c>
      <c r="O899" t="n">
        <v>0</v>
      </c>
      <c r="P899" t="n">
        <v>0</v>
      </c>
      <c r="Q899" t="n">
        <v>0</v>
      </c>
      <c r="R899" s="2" t="inlineStr"/>
    </row>
    <row r="900" ht="15" customHeight="1">
      <c r="A900" t="inlineStr">
        <is>
          <t>A 55708-2020</t>
        </is>
      </c>
      <c r="B900" s="1" t="n">
        <v>44131</v>
      </c>
      <c r="C900" s="1" t="n">
        <v>45749</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56251-2020</t>
        </is>
      </c>
      <c r="B901" s="1" t="n">
        <v>44134</v>
      </c>
      <c r="C901" s="1" t="n">
        <v>45749</v>
      </c>
      <c r="D901" t="inlineStr">
        <is>
          <t>JÄMTLANDS LÄN</t>
        </is>
      </c>
      <c r="E901" t="inlineStr">
        <is>
          <t>STRÖMSUND</t>
        </is>
      </c>
      <c r="F901" t="inlineStr">
        <is>
          <t>Holmen skog AB</t>
        </is>
      </c>
      <c r="G901" t="n">
        <v>7.3</v>
      </c>
      <c r="H901" t="n">
        <v>0</v>
      </c>
      <c r="I901" t="n">
        <v>0</v>
      </c>
      <c r="J901" t="n">
        <v>0</v>
      </c>
      <c r="K901" t="n">
        <v>0</v>
      </c>
      <c r="L901" t="n">
        <v>0</v>
      </c>
      <c r="M901" t="n">
        <v>0</v>
      </c>
      <c r="N901" t="n">
        <v>0</v>
      </c>
      <c r="O901" t="n">
        <v>0</v>
      </c>
      <c r="P901" t="n">
        <v>0</v>
      </c>
      <c r="Q901" t="n">
        <v>0</v>
      </c>
      <c r="R901" s="2" t="inlineStr"/>
    </row>
    <row r="902" ht="15" customHeight="1">
      <c r="A902" t="inlineStr">
        <is>
          <t>A 56290-2020</t>
        </is>
      </c>
      <c r="B902" s="1" t="n">
        <v>44134</v>
      </c>
      <c r="C902" s="1" t="n">
        <v>45749</v>
      </c>
      <c r="D902" t="inlineStr">
        <is>
          <t>JÄMTLANDS LÄN</t>
        </is>
      </c>
      <c r="E902" t="inlineStr">
        <is>
          <t>STRÖMSUND</t>
        </is>
      </c>
      <c r="F902" t="inlineStr">
        <is>
          <t>Holmen skog AB</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56493-2020</t>
        </is>
      </c>
      <c r="B903" s="1" t="n">
        <v>44137</v>
      </c>
      <c r="C903" s="1" t="n">
        <v>45749</v>
      </c>
      <c r="D903" t="inlineStr">
        <is>
          <t>JÄMTLANDS LÄN</t>
        </is>
      </c>
      <c r="E903" t="inlineStr">
        <is>
          <t>STRÖMSUND</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56966-2020</t>
        </is>
      </c>
      <c r="B904" s="1" t="n">
        <v>44137</v>
      </c>
      <c r="C904" s="1" t="n">
        <v>45749</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57336-2020</t>
        </is>
      </c>
      <c r="B905" s="1" t="n">
        <v>44139</v>
      </c>
      <c r="C905" s="1" t="n">
        <v>45749</v>
      </c>
      <c r="D905" t="inlineStr">
        <is>
          <t>JÄMTLANDS LÄN</t>
        </is>
      </c>
      <c r="E905" t="inlineStr">
        <is>
          <t>STRÖMSUND</t>
        </is>
      </c>
      <c r="G905" t="n">
        <v>2</v>
      </c>
      <c r="H905" t="n">
        <v>0</v>
      </c>
      <c r="I905" t="n">
        <v>0</v>
      </c>
      <c r="J905" t="n">
        <v>0</v>
      </c>
      <c r="K905" t="n">
        <v>0</v>
      </c>
      <c r="L905" t="n">
        <v>0</v>
      </c>
      <c r="M905" t="n">
        <v>0</v>
      </c>
      <c r="N905" t="n">
        <v>0</v>
      </c>
      <c r="O905" t="n">
        <v>0</v>
      </c>
      <c r="P905" t="n">
        <v>0</v>
      </c>
      <c r="Q905" t="n">
        <v>0</v>
      </c>
      <c r="R905" s="2" t="inlineStr"/>
    </row>
    <row r="906" ht="15" customHeight="1">
      <c r="A906" t="inlineStr">
        <is>
          <t>A 57511-2020</t>
        </is>
      </c>
      <c r="B906" s="1" t="n">
        <v>44140</v>
      </c>
      <c r="C906" s="1" t="n">
        <v>45749</v>
      </c>
      <c r="D906" t="inlineStr">
        <is>
          <t>JÄMTLANDS LÄN</t>
        </is>
      </c>
      <c r="E906" t="inlineStr">
        <is>
          <t>STRÖMSUND</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57550-2020</t>
        </is>
      </c>
      <c r="B907" s="1" t="n">
        <v>44140</v>
      </c>
      <c r="C907" s="1" t="n">
        <v>45749</v>
      </c>
      <c r="D907" t="inlineStr">
        <is>
          <t>JÄMTLANDS LÄN</t>
        </is>
      </c>
      <c r="E907" t="inlineStr">
        <is>
          <t>STRÖMSUND</t>
        </is>
      </c>
      <c r="F907" t="inlineStr">
        <is>
          <t>Holmen skog AB</t>
        </is>
      </c>
      <c r="G907" t="n">
        <v>7.1</v>
      </c>
      <c r="H907" t="n">
        <v>0</v>
      </c>
      <c r="I907" t="n">
        <v>0</v>
      </c>
      <c r="J907" t="n">
        <v>0</v>
      </c>
      <c r="K907" t="n">
        <v>0</v>
      </c>
      <c r="L907" t="n">
        <v>0</v>
      </c>
      <c r="M907" t="n">
        <v>0</v>
      </c>
      <c r="N907" t="n">
        <v>0</v>
      </c>
      <c r="O907" t="n">
        <v>0</v>
      </c>
      <c r="P907" t="n">
        <v>0</v>
      </c>
      <c r="Q907" t="n">
        <v>0</v>
      </c>
      <c r="R907" s="2" t="inlineStr"/>
    </row>
    <row r="908" ht="15" customHeight="1">
      <c r="A908" t="inlineStr">
        <is>
          <t>A 57423-2020</t>
        </is>
      </c>
      <c r="B908" s="1" t="n">
        <v>44140</v>
      </c>
      <c r="C908" s="1" t="n">
        <v>45749</v>
      </c>
      <c r="D908" t="inlineStr">
        <is>
          <t>JÄMTLANDS LÄN</t>
        </is>
      </c>
      <c r="E908" t="inlineStr">
        <is>
          <t>STRÖMSUND</t>
        </is>
      </c>
      <c r="F908" t="inlineStr">
        <is>
          <t>Holmen skog AB</t>
        </is>
      </c>
      <c r="G908" t="n">
        <v>2.6</v>
      </c>
      <c r="H908" t="n">
        <v>0</v>
      </c>
      <c r="I908" t="n">
        <v>0</v>
      </c>
      <c r="J908" t="n">
        <v>0</v>
      </c>
      <c r="K908" t="n">
        <v>0</v>
      </c>
      <c r="L908" t="n">
        <v>0</v>
      </c>
      <c r="M908" t="n">
        <v>0</v>
      </c>
      <c r="N908" t="n">
        <v>0</v>
      </c>
      <c r="O908" t="n">
        <v>0</v>
      </c>
      <c r="P908" t="n">
        <v>0</v>
      </c>
      <c r="Q908" t="n">
        <v>0</v>
      </c>
      <c r="R908" s="2" t="inlineStr"/>
    </row>
    <row r="909" ht="15" customHeight="1">
      <c r="A909" t="inlineStr">
        <is>
          <t>A 57808-2020</t>
        </is>
      </c>
      <c r="B909" s="1" t="n">
        <v>44141</v>
      </c>
      <c r="C909" s="1" t="n">
        <v>45749</v>
      </c>
      <c r="D909" t="inlineStr">
        <is>
          <t>JÄMTLANDS LÄN</t>
        </is>
      </c>
      <c r="E909" t="inlineStr">
        <is>
          <t>STRÖMSUND</t>
        </is>
      </c>
      <c r="G909" t="n">
        <v>6.8</v>
      </c>
      <c r="H909" t="n">
        <v>0</v>
      </c>
      <c r="I909" t="n">
        <v>0</v>
      </c>
      <c r="J909" t="n">
        <v>0</v>
      </c>
      <c r="K909" t="n">
        <v>0</v>
      </c>
      <c r="L909" t="n">
        <v>0</v>
      </c>
      <c r="M909" t="n">
        <v>0</v>
      </c>
      <c r="N909" t="n">
        <v>0</v>
      </c>
      <c r="O909" t="n">
        <v>0</v>
      </c>
      <c r="P909" t="n">
        <v>0</v>
      </c>
      <c r="Q909" t="n">
        <v>0</v>
      </c>
      <c r="R909" s="2" t="inlineStr"/>
    </row>
    <row r="910" ht="15" customHeight="1">
      <c r="A910" t="inlineStr">
        <is>
          <t>A 58219-2020</t>
        </is>
      </c>
      <c r="B910" s="1" t="n">
        <v>44144</v>
      </c>
      <c r="C910" s="1" t="n">
        <v>45749</v>
      </c>
      <c r="D910" t="inlineStr">
        <is>
          <t>JÄMTLANDS LÄN</t>
        </is>
      </c>
      <c r="E910" t="inlineStr">
        <is>
          <t>STRÖMSUND</t>
        </is>
      </c>
      <c r="F910" t="inlineStr">
        <is>
          <t>Holmen skog AB</t>
        </is>
      </c>
      <c r="G910" t="n">
        <v>4.9</v>
      </c>
      <c r="H910" t="n">
        <v>0</v>
      </c>
      <c r="I910" t="n">
        <v>0</v>
      </c>
      <c r="J910" t="n">
        <v>0</v>
      </c>
      <c r="K910" t="n">
        <v>0</v>
      </c>
      <c r="L910" t="n">
        <v>0</v>
      </c>
      <c r="M910" t="n">
        <v>0</v>
      </c>
      <c r="N910" t="n">
        <v>0</v>
      </c>
      <c r="O910" t="n">
        <v>0</v>
      </c>
      <c r="P910" t="n">
        <v>0</v>
      </c>
      <c r="Q910" t="n">
        <v>0</v>
      </c>
      <c r="R910" s="2" t="inlineStr"/>
    </row>
    <row r="911" ht="15" customHeight="1">
      <c r="A911" t="inlineStr">
        <is>
          <t>A 59012-2020</t>
        </is>
      </c>
      <c r="B911" s="1" t="n">
        <v>44146</v>
      </c>
      <c r="C911" s="1" t="n">
        <v>45749</v>
      </c>
      <c r="D911" t="inlineStr">
        <is>
          <t>JÄMTLANDS LÄN</t>
        </is>
      </c>
      <c r="E911" t="inlineStr">
        <is>
          <t>STRÖMSUND</t>
        </is>
      </c>
      <c r="F911" t="inlineStr">
        <is>
          <t>SCA</t>
        </is>
      </c>
      <c r="G911" t="n">
        <v>15.5</v>
      </c>
      <c r="H911" t="n">
        <v>0</v>
      </c>
      <c r="I911" t="n">
        <v>0</v>
      </c>
      <c r="J911" t="n">
        <v>0</v>
      </c>
      <c r="K911" t="n">
        <v>0</v>
      </c>
      <c r="L911" t="n">
        <v>0</v>
      </c>
      <c r="M911" t="n">
        <v>0</v>
      </c>
      <c r="N911" t="n">
        <v>0</v>
      </c>
      <c r="O911" t="n">
        <v>0</v>
      </c>
      <c r="P911" t="n">
        <v>0</v>
      </c>
      <c r="Q911" t="n">
        <v>0</v>
      </c>
      <c r="R911" s="2" t="inlineStr"/>
    </row>
    <row r="912" ht="15" customHeight="1">
      <c r="A912" t="inlineStr">
        <is>
          <t>A 59330-2020</t>
        </is>
      </c>
      <c r="B912" s="1" t="n">
        <v>44147</v>
      </c>
      <c r="C912" s="1" t="n">
        <v>45749</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60256-2020</t>
        </is>
      </c>
      <c r="B913" s="1" t="n">
        <v>44151</v>
      </c>
      <c r="C913" s="1" t="n">
        <v>45749</v>
      </c>
      <c r="D913" t="inlineStr">
        <is>
          <t>JÄMTLANDS LÄN</t>
        </is>
      </c>
      <c r="E913" t="inlineStr">
        <is>
          <t>STRÖMSUND</t>
        </is>
      </c>
      <c r="G913" t="n">
        <v>0.3</v>
      </c>
      <c r="H913" t="n">
        <v>0</v>
      </c>
      <c r="I913" t="n">
        <v>0</v>
      </c>
      <c r="J913" t="n">
        <v>0</v>
      </c>
      <c r="K913" t="n">
        <v>0</v>
      </c>
      <c r="L913" t="n">
        <v>0</v>
      </c>
      <c r="M913" t="n">
        <v>0</v>
      </c>
      <c r="N913" t="n">
        <v>0</v>
      </c>
      <c r="O913" t="n">
        <v>0</v>
      </c>
      <c r="P913" t="n">
        <v>0</v>
      </c>
      <c r="Q913" t="n">
        <v>0</v>
      </c>
      <c r="R913" s="2" t="inlineStr"/>
    </row>
    <row r="914" ht="15" customHeight="1">
      <c r="A914" t="inlineStr">
        <is>
          <t>A 60061-2020</t>
        </is>
      </c>
      <c r="B914" s="1" t="n">
        <v>44151</v>
      </c>
      <c r="C914" s="1" t="n">
        <v>45749</v>
      </c>
      <c r="D914" t="inlineStr">
        <is>
          <t>JÄMTLANDS LÄN</t>
        </is>
      </c>
      <c r="E914" t="inlineStr">
        <is>
          <t>STRÖMSUND</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60395-2020</t>
        </is>
      </c>
      <c r="B915" s="1" t="n">
        <v>44152</v>
      </c>
      <c r="C915" s="1" t="n">
        <v>45749</v>
      </c>
      <c r="D915" t="inlineStr">
        <is>
          <t>JÄMTLANDS LÄN</t>
        </is>
      </c>
      <c r="E915" t="inlineStr">
        <is>
          <t>STRÖMSUND</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60703-2020</t>
        </is>
      </c>
      <c r="B916" s="1" t="n">
        <v>44153</v>
      </c>
      <c r="C916" s="1" t="n">
        <v>45749</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61149-2020</t>
        </is>
      </c>
      <c r="B917" s="1" t="n">
        <v>44154</v>
      </c>
      <c r="C917" s="1" t="n">
        <v>45749</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61586-2020</t>
        </is>
      </c>
      <c r="B918" s="1" t="n">
        <v>44158</v>
      </c>
      <c r="C918" s="1" t="n">
        <v>45749</v>
      </c>
      <c r="D918" t="inlineStr">
        <is>
          <t>JÄMTLANDS LÄN</t>
        </is>
      </c>
      <c r="E918" t="inlineStr">
        <is>
          <t>STRÖMSUND</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61662-2020</t>
        </is>
      </c>
      <c r="B919" s="1" t="n">
        <v>44158</v>
      </c>
      <c r="C919" s="1" t="n">
        <v>45749</v>
      </c>
      <c r="D919" t="inlineStr">
        <is>
          <t>JÄMTLANDS LÄN</t>
        </is>
      </c>
      <c r="E919" t="inlineStr">
        <is>
          <t>STRÖMSUND</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61811-2020</t>
        </is>
      </c>
      <c r="B920" s="1" t="n">
        <v>44158</v>
      </c>
      <c r="C920" s="1" t="n">
        <v>45749</v>
      </c>
      <c r="D920" t="inlineStr">
        <is>
          <t>JÄMTLANDS LÄN</t>
        </is>
      </c>
      <c r="E920" t="inlineStr">
        <is>
          <t>STRÖMSUND</t>
        </is>
      </c>
      <c r="G920" t="n">
        <v>1.9</v>
      </c>
      <c r="H920" t="n">
        <v>0</v>
      </c>
      <c r="I920" t="n">
        <v>0</v>
      </c>
      <c r="J920" t="n">
        <v>0</v>
      </c>
      <c r="K920" t="n">
        <v>0</v>
      </c>
      <c r="L920" t="n">
        <v>0</v>
      </c>
      <c r="M920" t="n">
        <v>0</v>
      </c>
      <c r="N920" t="n">
        <v>0</v>
      </c>
      <c r="O920" t="n">
        <v>0</v>
      </c>
      <c r="P920" t="n">
        <v>0</v>
      </c>
      <c r="Q920" t="n">
        <v>0</v>
      </c>
      <c r="R920" s="2" t="inlineStr"/>
    </row>
    <row r="921" ht="15" customHeight="1">
      <c r="A921" t="inlineStr">
        <is>
          <t>A 61807-2020</t>
        </is>
      </c>
      <c r="B921" s="1" t="n">
        <v>44158</v>
      </c>
      <c r="C921" s="1" t="n">
        <v>45749</v>
      </c>
      <c r="D921" t="inlineStr">
        <is>
          <t>JÄMTLANDS LÄN</t>
        </is>
      </c>
      <c r="E921" t="inlineStr">
        <is>
          <t>STRÖMSUND</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62503-2020</t>
        </is>
      </c>
      <c r="B922" s="1" t="n">
        <v>44160</v>
      </c>
      <c r="C922" s="1" t="n">
        <v>45749</v>
      </c>
      <c r="D922" t="inlineStr">
        <is>
          <t>JÄMTLANDS LÄN</t>
        </is>
      </c>
      <c r="E922" t="inlineStr">
        <is>
          <t>STRÖMSUND</t>
        </is>
      </c>
      <c r="G922" t="n">
        <v>7.9</v>
      </c>
      <c r="H922" t="n">
        <v>0</v>
      </c>
      <c r="I922" t="n">
        <v>0</v>
      </c>
      <c r="J922" t="n">
        <v>0</v>
      </c>
      <c r="K922" t="n">
        <v>0</v>
      </c>
      <c r="L922" t="n">
        <v>0</v>
      </c>
      <c r="M922" t="n">
        <v>0</v>
      </c>
      <c r="N922" t="n">
        <v>0</v>
      </c>
      <c r="O922" t="n">
        <v>0</v>
      </c>
      <c r="P922" t="n">
        <v>0</v>
      </c>
      <c r="Q922" t="n">
        <v>0</v>
      </c>
      <c r="R922" s="2" t="inlineStr"/>
    </row>
    <row r="923" ht="15" customHeight="1">
      <c r="A923" t="inlineStr">
        <is>
          <t>A 63692-2020</t>
        </is>
      </c>
      <c r="B923" s="1" t="n">
        <v>44161</v>
      </c>
      <c r="C923" s="1" t="n">
        <v>45749</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63699-2020</t>
        </is>
      </c>
      <c r="B924" s="1" t="n">
        <v>44161</v>
      </c>
      <c r="C924" s="1" t="n">
        <v>45749</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63678-2020</t>
        </is>
      </c>
      <c r="B925" s="1" t="n">
        <v>44162</v>
      </c>
      <c r="C925" s="1" t="n">
        <v>45749</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63567-2020</t>
        </is>
      </c>
      <c r="B926" s="1" t="n">
        <v>44165</v>
      </c>
      <c r="C926" s="1" t="n">
        <v>45749</v>
      </c>
      <c r="D926" t="inlineStr">
        <is>
          <t>JÄMTLANDS LÄN</t>
        </is>
      </c>
      <c r="E926" t="inlineStr">
        <is>
          <t>STRÖMSUND</t>
        </is>
      </c>
      <c r="G926" t="n">
        <v>14.4</v>
      </c>
      <c r="H926" t="n">
        <v>0</v>
      </c>
      <c r="I926" t="n">
        <v>0</v>
      </c>
      <c r="J926" t="n">
        <v>0</v>
      </c>
      <c r="K926" t="n">
        <v>0</v>
      </c>
      <c r="L926" t="n">
        <v>0</v>
      </c>
      <c r="M926" t="n">
        <v>0</v>
      </c>
      <c r="N926" t="n">
        <v>0</v>
      </c>
      <c r="O926" t="n">
        <v>0</v>
      </c>
      <c r="P926" t="n">
        <v>0</v>
      </c>
      <c r="Q926" t="n">
        <v>0</v>
      </c>
      <c r="R926" s="2" t="inlineStr"/>
    </row>
    <row r="927" ht="15" customHeight="1">
      <c r="A927" t="inlineStr">
        <is>
          <t>A 64124-2020</t>
        </is>
      </c>
      <c r="B927" s="1" t="n">
        <v>44165</v>
      </c>
      <c r="C927" s="1" t="n">
        <v>45749</v>
      </c>
      <c r="D927" t="inlineStr">
        <is>
          <t>JÄMTLANDS LÄN</t>
        </is>
      </c>
      <c r="E927" t="inlineStr">
        <is>
          <t>STRÖMSUND</t>
        </is>
      </c>
      <c r="G927" t="n">
        <v>1.6</v>
      </c>
      <c r="H927" t="n">
        <v>0</v>
      </c>
      <c r="I927" t="n">
        <v>0</v>
      </c>
      <c r="J927" t="n">
        <v>0</v>
      </c>
      <c r="K927" t="n">
        <v>0</v>
      </c>
      <c r="L927" t="n">
        <v>0</v>
      </c>
      <c r="M927" t="n">
        <v>0</v>
      </c>
      <c r="N927" t="n">
        <v>0</v>
      </c>
      <c r="O927" t="n">
        <v>0</v>
      </c>
      <c r="P927" t="n">
        <v>0</v>
      </c>
      <c r="Q927" t="n">
        <v>0</v>
      </c>
      <c r="R927" s="2" t="inlineStr"/>
    </row>
    <row r="928" ht="15" customHeight="1">
      <c r="A928" t="inlineStr">
        <is>
          <t>A 65115-2020</t>
        </is>
      </c>
      <c r="B928" s="1" t="n">
        <v>44165</v>
      </c>
      <c r="C928" s="1" t="n">
        <v>45749</v>
      </c>
      <c r="D928" t="inlineStr">
        <is>
          <t>JÄMTLANDS LÄN</t>
        </is>
      </c>
      <c r="E928" t="inlineStr">
        <is>
          <t>STRÖMSUND</t>
        </is>
      </c>
      <c r="G928" t="n">
        <v>3.6</v>
      </c>
      <c r="H928" t="n">
        <v>0</v>
      </c>
      <c r="I928" t="n">
        <v>0</v>
      </c>
      <c r="J928" t="n">
        <v>0</v>
      </c>
      <c r="K928" t="n">
        <v>0</v>
      </c>
      <c r="L928" t="n">
        <v>0</v>
      </c>
      <c r="M928" t="n">
        <v>0</v>
      </c>
      <c r="N928" t="n">
        <v>0</v>
      </c>
      <c r="O928" t="n">
        <v>0</v>
      </c>
      <c r="P928" t="n">
        <v>0</v>
      </c>
      <c r="Q928" t="n">
        <v>0</v>
      </c>
      <c r="R928" s="2" t="inlineStr"/>
    </row>
    <row r="929" ht="15" customHeight="1">
      <c r="A929" t="inlineStr">
        <is>
          <t>A 65078-2020</t>
        </is>
      </c>
      <c r="B929" s="1" t="n">
        <v>44165</v>
      </c>
      <c r="C929" s="1" t="n">
        <v>45749</v>
      </c>
      <c r="D929" t="inlineStr">
        <is>
          <t>JÄMTLANDS LÄN</t>
        </is>
      </c>
      <c r="E929" t="inlineStr">
        <is>
          <t>STRÖMSUND</t>
        </is>
      </c>
      <c r="G929" t="n">
        <v>3.4</v>
      </c>
      <c r="H929" t="n">
        <v>0</v>
      </c>
      <c r="I929" t="n">
        <v>0</v>
      </c>
      <c r="J929" t="n">
        <v>0</v>
      </c>
      <c r="K929" t="n">
        <v>0</v>
      </c>
      <c r="L929" t="n">
        <v>0</v>
      </c>
      <c r="M929" t="n">
        <v>0</v>
      </c>
      <c r="N929" t="n">
        <v>0</v>
      </c>
      <c r="O929" t="n">
        <v>0</v>
      </c>
      <c r="P929" t="n">
        <v>0</v>
      </c>
      <c r="Q929" t="n">
        <v>0</v>
      </c>
      <c r="R929" s="2" t="inlineStr"/>
    </row>
    <row r="930" ht="15" customHeight="1">
      <c r="A930" t="inlineStr">
        <is>
          <t>A 65076-2020</t>
        </is>
      </c>
      <c r="B930" s="1" t="n">
        <v>44165</v>
      </c>
      <c r="C930" s="1" t="n">
        <v>45749</v>
      </c>
      <c r="D930" t="inlineStr">
        <is>
          <t>JÄMTLANDS LÄN</t>
        </is>
      </c>
      <c r="E930" t="inlineStr">
        <is>
          <t>STRÖMSUND</t>
        </is>
      </c>
      <c r="G930" t="n">
        <v>20.3</v>
      </c>
      <c r="H930" t="n">
        <v>0</v>
      </c>
      <c r="I930" t="n">
        <v>0</v>
      </c>
      <c r="J930" t="n">
        <v>0</v>
      </c>
      <c r="K930" t="n">
        <v>0</v>
      </c>
      <c r="L930" t="n">
        <v>0</v>
      </c>
      <c r="M930" t="n">
        <v>0</v>
      </c>
      <c r="N930" t="n">
        <v>0</v>
      </c>
      <c r="O930" t="n">
        <v>0</v>
      </c>
      <c r="P930" t="n">
        <v>0</v>
      </c>
      <c r="Q930" t="n">
        <v>0</v>
      </c>
      <c r="R930" s="2" t="inlineStr"/>
    </row>
    <row r="931" ht="15" customHeight="1">
      <c r="A931" t="inlineStr">
        <is>
          <t>A 65110-2020</t>
        </is>
      </c>
      <c r="B931" s="1" t="n">
        <v>44165</v>
      </c>
      <c r="C931" s="1" t="n">
        <v>45749</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63755-2020</t>
        </is>
      </c>
      <c r="B932" s="1" t="n">
        <v>44166</v>
      </c>
      <c r="C932" s="1" t="n">
        <v>45749</v>
      </c>
      <c r="D932" t="inlineStr">
        <is>
          <t>JÄMTLANDS LÄN</t>
        </is>
      </c>
      <c r="E932" t="inlineStr">
        <is>
          <t>STRÖMSUND</t>
        </is>
      </c>
      <c r="G932" t="n">
        <v>0.7</v>
      </c>
      <c r="H932" t="n">
        <v>0</v>
      </c>
      <c r="I932" t="n">
        <v>0</v>
      </c>
      <c r="J932" t="n">
        <v>0</v>
      </c>
      <c r="K932" t="n">
        <v>0</v>
      </c>
      <c r="L932" t="n">
        <v>0</v>
      </c>
      <c r="M932" t="n">
        <v>0</v>
      </c>
      <c r="N932" t="n">
        <v>0</v>
      </c>
      <c r="O932" t="n">
        <v>0</v>
      </c>
      <c r="P932" t="n">
        <v>0</v>
      </c>
      <c r="Q932" t="n">
        <v>0</v>
      </c>
      <c r="R932" s="2" t="inlineStr"/>
    </row>
    <row r="933" ht="15" customHeight="1">
      <c r="A933" t="inlineStr">
        <is>
          <t>A 64186-2020</t>
        </is>
      </c>
      <c r="B933" s="1" t="n">
        <v>44167</v>
      </c>
      <c r="C933" s="1" t="n">
        <v>45749</v>
      </c>
      <c r="D933" t="inlineStr">
        <is>
          <t>JÄMTLANDS LÄN</t>
        </is>
      </c>
      <c r="E933" t="inlineStr">
        <is>
          <t>STRÖMSUND</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64608-2020</t>
        </is>
      </c>
      <c r="B934" s="1" t="n">
        <v>44169</v>
      </c>
      <c r="C934" s="1" t="n">
        <v>45749</v>
      </c>
      <c r="D934" t="inlineStr">
        <is>
          <t>JÄMTLANDS LÄN</t>
        </is>
      </c>
      <c r="E934" t="inlineStr">
        <is>
          <t>STRÖMSUND</t>
        </is>
      </c>
      <c r="F934" t="inlineStr">
        <is>
          <t>Holmen skog AB</t>
        </is>
      </c>
      <c r="G934" t="n">
        <v>17.7</v>
      </c>
      <c r="H934" t="n">
        <v>0</v>
      </c>
      <c r="I934" t="n">
        <v>0</v>
      </c>
      <c r="J934" t="n">
        <v>0</v>
      </c>
      <c r="K934" t="n">
        <v>0</v>
      </c>
      <c r="L934" t="n">
        <v>0</v>
      </c>
      <c r="M934" t="n">
        <v>0</v>
      </c>
      <c r="N934" t="n">
        <v>0</v>
      </c>
      <c r="O934" t="n">
        <v>0</v>
      </c>
      <c r="P934" t="n">
        <v>0</v>
      </c>
      <c r="Q934" t="n">
        <v>0</v>
      </c>
      <c r="R934" s="2" t="inlineStr"/>
    </row>
    <row r="935" ht="15" customHeight="1">
      <c r="A935" t="inlineStr">
        <is>
          <t>A 64825-2020</t>
        </is>
      </c>
      <c r="B935" s="1" t="n">
        <v>44169</v>
      </c>
      <c r="C935" s="1" t="n">
        <v>45749</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64828-2020</t>
        </is>
      </c>
      <c r="B936" s="1" t="n">
        <v>44169</v>
      </c>
      <c r="C936" s="1" t="n">
        <v>45749</v>
      </c>
      <c r="D936" t="inlineStr">
        <is>
          <t>JÄMTLANDS LÄN</t>
        </is>
      </c>
      <c r="E936" t="inlineStr">
        <is>
          <t>STRÖMSUND</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65530-2020</t>
        </is>
      </c>
      <c r="B937" s="1" t="n">
        <v>44173</v>
      </c>
      <c r="C937" s="1" t="n">
        <v>45749</v>
      </c>
      <c r="D937" t="inlineStr">
        <is>
          <t>JÄMTLANDS LÄN</t>
        </is>
      </c>
      <c r="E937" t="inlineStr">
        <is>
          <t>STRÖMSUND</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65618-2020</t>
        </is>
      </c>
      <c r="B938" s="1" t="n">
        <v>44173</v>
      </c>
      <c r="C938" s="1" t="n">
        <v>45749</v>
      </c>
      <c r="D938" t="inlineStr">
        <is>
          <t>JÄMTLANDS LÄN</t>
        </is>
      </c>
      <c r="E938" t="inlineStr">
        <is>
          <t>STRÖMSUND</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65797-2020</t>
        </is>
      </c>
      <c r="B939" s="1" t="n">
        <v>44174</v>
      </c>
      <c r="C939" s="1" t="n">
        <v>45749</v>
      </c>
      <c r="D939" t="inlineStr">
        <is>
          <t>JÄMTLANDS LÄN</t>
        </is>
      </c>
      <c r="E939" t="inlineStr">
        <is>
          <t>STRÖMSUND</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65762-2020</t>
        </is>
      </c>
      <c r="B940" s="1" t="n">
        <v>44174</v>
      </c>
      <c r="C940" s="1" t="n">
        <v>45749</v>
      </c>
      <c r="D940" t="inlineStr">
        <is>
          <t>JÄMTLANDS LÄN</t>
        </is>
      </c>
      <c r="E940" t="inlineStr">
        <is>
          <t>STRÖMSUND</t>
        </is>
      </c>
      <c r="F940" t="inlineStr">
        <is>
          <t>Holmen skog AB</t>
        </is>
      </c>
      <c r="G940" t="n">
        <v>8.5</v>
      </c>
      <c r="H940" t="n">
        <v>0</v>
      </c>
      <c r="I940" t="n">
        <v>0</v>
      </c>
      <c r="J940" t="n">
        <v>0</v>
      </c>
      <c r="K940" t="n">
        <v>0</v>
      </c>
      <c r="L940" t="n">
        <v>0</v>
      </c>
      <c r="M940" t="n">
        <v>0</v>
      </c>
      <c r="N940" t="n">
        <v>0</v>
      </c>
      <c r="O940" t="n">
        <v>0</v>
      </c>
      <c r="P940" t="n">
        <v>0</v>
      </c>
      <c r="Q940" t="n">
        <v>0</v>
      </c>
      <c r="R940" s="2" t="inlineStr"/>
    </row>
    <row r="941" ht="15" customHeight="1">
      <c r="A941" t="inlineStr">
        <is>
          <t>A 65768-2020</t>
        </is>
      </c>
      <c r="B941" s="1" t="n">
        <v>44174</v>
      </c>
      <c r="C941" s="1" t="n">
        <v>45749</v>
      </c>
      <c r="D941" t="inlineStr">
        <is>
          <t>JÄMTLANDS LÄN</t>
        </is>
      </c>
      <c r="E941" t="inlineStr">
        <is>
          <t>STRÖMSUND</t>
        </is>
      </c>
      <c r="F941" t="inlineStr">
        <is>
          <t>Holmen skog AB</t>
        </is>
      </c>
      <c r="G941" t="n">
        <v>21.7</v>
      </c>
      <c r="H941" t="n">
        <v>0</v>
      </c>
      <c r="I941" t="n">
        <v>0</v>
      </c>
      <c r="J941" t="n">
        <v>0</v>
      </c>
      <c r="K941" t="n">
        <v>0</v>
      </c>
      <c r="L941" t="n">
        <v>0</v>
      </c>
      <c r="M941" t="n">
        <v>0</v>
      </c>
      <c r="N941" t="n">
        <v>0</v>
      </c>
      <c r="O941" t="n">
        <v>0</v>
      </c>
      <c r="P941" t="n">
        <v>0</v>
      </c>
      <c r="Q941" t="n">
        <v>0</v>
      </c>
      <c r="R941" s="2" t="inlineStr"/>
    </row>
    <row r="942" ht="15" customHeight="1">
      <c r="A942" t="inlineStr">
        <is>
          <t>A 66130-2020</t>
        </is>
      </c>
      <c r="B942" s="1" t="n">
        <v>44175</v>
      </c>
      <c r="C942" s="1" t="n">
        <v>45749</v>
      </c>
      <c r="D942" t="inlineStr">
        <is>
          <t>JÄMTLANDS LÄN</t>
        </is>
      </c>
      <c r="E942" t="inlineStr">
        <is>
          <t>STRÖMSUND</t>
        </is>
      </c>
      <c r="F942" t="inlineStr">
        <is>
          <t>Holmen skog AB</t>
        </is>
      </c>
      <c r="G942" t="n">
        <v>20.1</v>
      </c>
      <c r="H942" t="n">
        <v>0</v>
      </c>
      <c r="I942" t="n">
        <v>0</v>
      </c>
      <c r="J942" t="n">
        <v>0</v>
      </c>
      <c r="K942" t="n">
        <v>0</v>
      </c>
      <c r="L942" t="n">
        <v>0</v>
      </c>
      <c r="M942" t="n">
        <v>0</v>
      </c>
      <c r="N942" t="n">
        <v>0</v>
      </c>
      <c r="O942" t="n">
        <v>0</v>
      </c>
      <c r="P942" t="n">
        <v>0</v>
      </c>
      <c r="Q942" t="n">
        <v>0</v>
      </c>
      <c r="R942" s="2" t="inlineStr"/>
    </row>
    <row r="943" ht="15" customHeight="1">
      <c r="A943" t="inlineStr">
        <is>
          <t>A 65997-2020</t>
        </is>
      </c>
      <c r="B943" s="1" t="n">
        <v>44175</v>
      </c>
      <c r="C943" s="1" t="n">
        <v>45749</v>
      </c>
      <c r="D943" t="inlineStr">
        <is>
          <t>JÄMTLANDS LÄN</t>
        </is>
      </c>
      <c r="E943" t="inlineStr">
        <is>
          <t>STRÖMSUND</t>
        </is>
      </c>
      <c r="F943" t="inlineStr">
        <is>
          <t>Kyrkan</t>
        </is>
      </c>
      <c r="G943" t="n">
        <v>3.7</v>
      </c>
      <c r="H943" t="n">
        <v>0</v>
      </c>
      <c r="I943" t="n">
        <v>0</v>
      </c>
      <c r="J943" t="n">
        <v>0</v>
      </c>
      <c r="K943" t="n">
        <v>0</v>
      </c>
      <c r="L943" t="n">
        <v>0</v>
      </c>
      <c r="M943" t="n">
        <v>0</v>
      </c>
      <c r="N943" t="n">
        <v>0</v>
      </c>
      <c r="O943" t="n">
        <v>0</v>
      </c>
      <c r="P943" t="n">
        <v>0</v>
      </c>
      <c r="Q943" t="n">
        <v>0</v>
      </c>
      <c r="R943" s="2" t="inlineStr"/>
    </row>
    <row r="944" ht="15" customHeight="1">
      <c r="A944" t="inlineStr">
        <is>
          <t>A 66982-2020</t>
        </is>
      </c>
      <c r="B944" s="1" t="n">
        <v>44176</v>
      </c>
      <c r="C944" s="1" t="n">
        <v>45749</v>
      </c>
      <c r="D944" t="inlineStr">
        <is>
          <t>JÄMTLANDS LÄN</t>
        </is>
      </c>
      <c r="E944" t="inlineStr">
        <is>
          <t>STRÖMSUND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66983-2020</t>
        </is>
      </c>
      <c r="B945" s="1" t="n">
        <v>44176</v>
      </c>
      <c r="C945" s="1" t="n">
        <v>45749</v>
      </c>
      <c r="D945" t="inlineStr">
        <is>
          <t>JÄMTLANDS LÄN</t>
        </is>
      </c>
      <c r="E945" t="inlineStr">
        <is>
          <t>STRÖMSUND</t>
        </is>
      </c>
      <c r="G945" t="n">
        <v>4.8</v>
      </c>
      <c r="H945" t="n">
        <v>0</v>
      </c>
      <c r="I945" t="n">
        <v>0</v>
      </c>
      <c r="J945" t="n">
        <v>0</v>
      </c>
      <c r="K945" t="n">
        <v>0</v>
      </c>
      <c r="L945" t="n">
        <v>0</v>
      </c>
      <c r="M945" t="n">
        <v>0</v>
      </c>
      <c r="N945" t="n">
        <v>0</v>
      </c>
      <c r="O945" t="n">
        <v>0</v>
      </c>
      <c r="P945" t="n">
        <v>0</v>
      </c>
      <c r="Q945" t="n">
        <v>0</v>
      </c>
      <c r="R945" s="2" t="inlineStr"/>
    </row>
    <row r="946" ht="15" customHeight="1">
      <c r="A946" t="inlineStr">
        <is>
          <t>A 66770-2020</t>
        </is>
      </c>
      <c r="B946" s="1" t="n">
        <v>44179</v>
      </c>
      <c r="C946" s="1" t="n">
        <v>45749</v>
      </c>
      <c r="D946" t="inlineStr">
        <is>
          <t>JÄMTLANDS LÄN</t>
        </is>
      </c>
      <c r="E946" t="inlineStr">
        <is>
          <t>STRÖMSUND</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66653-2020</t>
        </is>
      </c>
      <c r="B947" s="1" t="n">
        <v>44179</v>
      </c>
      <c r="C947" s="1" t="n">
        <v>45749</v>
      </c>
      <c r="D947" t="inlineStr">
        <is>
          <t>JÄMTLANDS LÄN</t>
        </is>
      </c>
      <c r="E947" t="inlineStr">
        <is>
          <t>STRÖMSUND</t>
        </is>
      </c>
      <c r="F947" t="inlineStr">
        <is>
          <t>SCA</t>
        </is>
      </c>
      <c r="G947" t="n">
        <v>27.7</v>
      </c>
      <c r="H947" t="n">
        <v>0</v>
      </c>
      <c r="I947" t="n">
        <v>0</v>
      </c>
      <c r="J947" t="n">
        <v>0</v>
      </c>
      <c r="K947" t="n">
        <v>0</v>
      </c>
      <c r="L947" t="n">
        <v>0</v>
      </c>
      <c r="M947" t="n">
        <v>0</v>
      </c>
      <c r="N947" t="n">
        <v>0</v>
      </c>
      <c r="O947" t="n">
        <v>0</v>
      </c>
      <c r="P947" t="n">
        <v>0</v>
      </c>
      <c r="Q947" t="n">
        <v>0</v>
      </c>
      <c r="R947" s="2" t="inlineStr"/>
    </row>
    <row r="948" ht="15" customHeight="1">
      <c r="A948" t="inlineStr">
        <is>
          <t>A 66702-2020</t>
        </is>
      </c>
      <c r="B948" s="1" t="n">
        <v>44179</v>
      </c>
      <c r="C948" s="1" t="n">
        <v>45749</v>
      </c>
      <c r="D948" t="inlineStr">
        <is>
          <t>JÄMTLANDS LÄN</t>
        </is>
      </c>
      <c r="E948" t="inlineStr">
        <is>
          <t>STRÖMSUND</t>
        </is>
      </c>
      <c r="F948" t="inlineStr">
        <is>
          <t>SCA</t>
        </is>
      </c>
      <c r="G948" t="n">
        <v>23.5</v>
      </c>
      <c r="H948" t="n">
        <v>0</v>
      </c>
      <c r="I948" t="n">
        <v>0</v>
      </c>
      <c r="J948" t="n">
        <v>0</v>
      </c>
      <c r="K948" t="n">
        <v>0</v>
      </c>
      <c r="L948" t="n">
        <v>0</v>
      </c>
      <c r="M948" t="n">
        <v>0</v>
      </c>
      <c r="N948" t="n">
        <v>0</v>
      </c>
      <c r="O948" t="n">
        <v>0</v>
      </c>
      <c r="P948" t="n">
        <v>0</v>
      </c>
      <c r="Q948" t="n">
        <v>0</v>
      </c>
      <c r="R948" s="2" t="inlineStr"/>
    </row>
    <row r="949" ht="15" customHeight="1">
      <c r="A949" t="inlineStr">
        <is>
          <t>A 66739-2020</t>
        </is>
      </c>
      <c r="B949" s="1" t="n">
        <v>44179</v>
      </c>
      <c r="C949" s="1" t="n">
        <v>45749</v>
      </c>
      <c r="D949" t="inlineStr">
        <is>
          <t>JÄMTLANDS LÄN</t>
        </is>
      </c>
      <c r="E949" t="inlineStr">
        <is>
          <t>STRÖMSUND</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67620-2020</t>
        </is>
      </c>
      <c r="B950" s="1" t="n">
        <v>44181</v>
      </c>
      <c r="C950" s="1" t="n">
        <v>45749</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67621-2020</t>
        </is>
      </c>
      <c r="B951" s="1" t="n">
        <v>44181</v>
      </c>
      <c r="C951" s="1" t="n">
        <v>45749</v>
      </c>
      <c r="D951" t="inlineStr">
        <is>
          <t>JÄMTLANDS LÄN</t>
        </is>
      </c>
      <c r="E951" t="inlineStr">
        <is>
          <t>STRÖMSUND</t>
        </is>
      </c>
      <c r="F951" t="inlineStr">
        <is>
          <t>SCA</t>
        </is>
      </c>
      <c r="G951" t="n">
        <v>7</v>
      </c>
      <c r="H951" t="n">
        <v>0</v>
      </c>
      <c r="I951" t="n">
        <v>0</v>
      </c>
      <c r="J951" t="n">
        <v>0</v>
      </c>
      <c r="K951" t="n">
        <v>0</v>
      </c>
      <c r="L951" t="n">
        <v>0</v>
      </c>
      <c r="M951" t="n">
        <v>0</v>
      </c>
      <c r="N951" t="n">
        <v>0</v>
      </c>
      <c r="O951" t="n">
        <v>0</v>
      </c>
      <c r="P951" t="n">
        <v>0</v>
      </c>
      <c r="Q951" t="n">
        <v>0</v>
      </c>
      <c r="R951" s="2" t="inlineStr"/>
    </row>
    <row r="952" ht="15" customHeight="1">
      <c r="A952" t="inlineStr">
        <is>
          <t>A 67618-2020</t>
        </is>
      </c>
      <c r="B952" s="1" t="n">
        <v>44181</v>
      </c>
      <c r="C952" s="1" t="n">
        <v>45749</v>
      </c>
      <c r="D952" t="inlineStr">
        <is>
          <t>JÄMTLANDS LÄN</t>
        </is>
      </c>
      <c r="E952" t="inlineStr">
        <is>
          <t>STRÖMSUND</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68006-2020</t>
        </is>
      </c>
      <c r="B953" s="1" t="n">
        <v>44182</v>
      </c>
      <c r="C953" s="1" t="n">
        <v>45749</v>
      </c>
      <c r="D953" t="inlineStr">
        <is>
          <t>JÄMTLANDS LÄN</t>
        </is>
      </c>
      <c r="E953" t="inlineStr">
        <is>
          <t>STRÖMSUND</t>
        </is>
      </c>
      <c r="G953" t="n">
        <v>1.3</v>
      </c>
      <c r="H953" t="n">
        <v>0</v>
      </c>
      <c r="I953" t="n">
        <v>0</v>
      </c>
      <c r="J953" t="n">
        <v>0</v>
      </c>
      <c r="K953" t="n">
        <v>0</v>
      </c>
      <c r="L953" t="n">
        <v>0</v>
      </c>
      <c r="M953" t="n">
        <v>0</v>
      </c>
      <c r="N953" t="n">
        <v>0</v>
      </c>
      <c r="O953" t="n">
        <v>0</v>
      </c>
      <c r="P953" t="n">
        <v>0</v>
      </c>
      <c r="Q953" t="n">
        <v>0</v>
      </c>
      <c r="R953" s="2" t="inlineStr"/>
    </row>
    <row r="954" ht="15" customHeight="1">
      <c r="A954" t="inlineStr">
        <is>
          <t>A 68522-2020</t>
        </is>
      </c>
      <c r="B954" s="1" t="n">
        <v>44186</v>
      </c>
      <c r="C954" s="1" t="n">
        <v>45749</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68568-2020</t>
        </is>
      </c>
      <c r="B955" s="1" t="n">
        <v>44186</v>
      </c>
      <c r="C955" s="1" t="n">
        <v>45749</v>
      </c>
      <c r="D955" t="inlineStr">
        <is>
          <t>JÄMTLANDS LÄN</t>
        </is>
      </c>
      <c r="E955" t="inlineStr">
        <is>
          <t>STRÖMSUND</t>
        </is>
      </c>
      <c r="F955" t="inlineStr">
        <is>
          <t>Holmen skog AB</t>
        </is>
      </c>
      <c r="G955" t="n">
        <v>39.3</v>
      </c>
      <c r="H955" t="n">
        <v>0</v>
      </c>
      <c r="I955" t="n">
        <v>0</v>
      </c>
      <c r="J955" t="n">
        <v>0</v>
      </c>
      <c r="K955" t="n">
        <v>0</v>
      </c>
      <c r="L955" t="n">
        <v>0</v>
      </c>
      <c r="M955" t="n">
        <v>0</v>
      </c>
      <c r="N955" t="n">
        <v>0</v>
      </c>
      <c r="O955" t="n">
        <v>0</v>
      </c>
      <c r="P955" t="n">
        <v>0</v>
      </c>
      <c r="Q955" t="n">
        <v>0</v>
      </c>
      <c r="R955" s="2" t="inlineStr"/>
    </row>
    <row r="956" ht="15" customHeight="1">
      <c r="A956" t="inlineStr">
        <is>
          <t>A 68783-2020</t>
        </is>
      </c>
      <c r="B956" s="1" t="n">
        <v>44186</v>
      </c>
      <c r="C956" s="1" t="n">
        <v>45749</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68653-2020</t>
        </is>
      </c>
      <c r="B957" s="1" t="n">
        <v>44186</v>
      </c>
      <c r="C957" s="1" t="n">
        <v>45749</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69282-2020</t>
        </is>
      </c>
      <c r="B958" s="1" t="n">
        <v>44188</v>
      </c>
      <c r="C958" s="1" t="n">
        <v>45749</v>
      </c>
      <c r="D958" t="inlineStr">
        <is>
          <t>JÄMTLANDS LÄN</t>
        </is>
      </c>
      <c r="E958" t="inlineStr">
        <is>
          <t>STRÖMSUND</t>
        </is>
      </c>
      <c r="G958" t="n">
        <v>13.8</v>
      </c>
      <c r="H958" t="n">
        <v>0</v>
      </c>
      <c r="I958" t="n">
        <v>0</v>
      </c>
      <c r="J958" t="n">
        <v>0</v>
      </c>
      <c r="K958" t="n">
        <v>0</v>
      </c>
      <c r="L958" t="n">
        <v>0</v>
      </c>
      <c r="M958" t="n">
        <v>0</v>
      </c>
      <c r="N958" t="n">
        <v>0</v>
      </c>
      <c r="O958" t="n">
        <v>0</v>
      </c>
      <c r="P958" t="n">
        <v>0</v>
      </c>
      <c r="Q958" t="n">
        <v>0</v>
      </c>
      <c r="R958" s="2" t="inlineStr"/>
    </row>
    <row r="959" ht="15" customHeight="1">
      <c r="A959" t="inlineStr">
        <is>
          <t>A 69346-2020</t>
        </is>
      </c>
      <c r="B959" s="1" t="n">
        <v>44193</v>
      </c>
      <c r="C959" s="1" t="n">
        <v>45749</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69508-2020</t>
        </is>
      </c>
      <c r="B960" s="1" t="n">
        <v>44193</v>
      </c>
      <c r="C960" s="1" t="n">
        <v>45749</v>
      </c>
      <c r="D960" t="inlineStr">
        <is>
          <t>JÄMTLANDS LÄN</t>
        </is>
      </c>
      <c r="E960" t="inlineStr">
        <is>
          <t>STRÖMSUND</t>
        </is>
      </c>
      <c r="F960" t="inlineStr">
        <is>
          <t>Övriga statliga verk och myndigheter</t>
        </is>
      </c>
      <c r="G960" t="n">
        <v>6.1</v>
      </c>
      <c r="H960" t="n">
        <v>0</v>
      </c>
      <c r="I960" t="n">
        <v>0</v>
      </c>
      <c r="J960" t="n">
        <v>0</v>
      </c>
      <c r="K960" t="n">
        <v>0</v>
      </c>
      <c r="L960" t="n">
        <v>0</v>
      </c>
      <c r="M960" t="n">
        <v>0</v>
      </c>
      <c r="N960" t="n">
        <v>0</v>
      </c>
      <c r="O960" t="n">
        <v>0</v>
      </c>
      <c r="P960" t="n">
        <v>0</v>
      </c>
      <c r="Q960" t="n">
        <v>0</v>
      </c>
      <c r="R960" s="2" t="inlineStr"/>
    </row>
    <row r="961" ht="15" customHeight="1">
      <c r="A961" t="inlineStr">
        <is>
          <t>A 69506-2020</t>
        </is>
      </c>
      <c r="B961" s="1" t="n">
        <v>44193</v>
      </c>
      <c r="C961" s="1" t="n">
        <v>45749</v>
      </c>
      <c r="D961" t="inlineStr">
        <is>
          <t>JÄMTLANDS LÄN</t>
        </is>
      </c>
      <c r="E961" t="inlineStr">
        <is>
          <t>STRÖMSUND</t>
        </is>
      </c>
      <c r="F961" t="inlineStr">
        <is>
          <t>Övriga statliga verk och myndigheter</t>
        </is>
      </c>
      <c r="G961" t="n">
        <v>14.1</v>
      </c>
      <c r="H961" t="n">
        <v>0</v>
      </c>
      <c r="I961" t="n">
        <v>0</v>
      </c>
      <c r="J961" t="n">
        <v>0</v>
      </c>
      <c r="K961" t="n">
        <v>0</v>
      </c>
      <c r="L961" t="n">
        <v>0</v>
      </c>
      <c r="M961" t="n">
        <v>0</v>
      </c>
      <c r="N961" t="n">
        <v>0</v>
      </c>
      <c r="O961" t="n">
        <v>0</v>
      </c>
      <c r="P961" t="n">
        <v>0</v>
      </c>
      <c r="Q961" t="n">
        <v>0</v>
      </c>
      <c r="R961" s="2" t="inlineStr"/>
    </row>
    <row r="962" ht="15" customHeight="1">
      <c r="A962" t="inlineStr">
        <is>
          <t>A 108-2021</t>
        </is>
      </c>
      <c r="B962" s="1" t="n">
        <v>44195</v>
      </c>
      <c r="C962" s="1" t="n">
        <v>45749</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135-2021</t>
        </is>
      </c>
      <c r="B963" s="1" t="n">
        <v>44196</v>
      </c>
      <c r="C963" s="1" t="n">
        <v>45749</v>
      </c>
      <c r="D963" t="inlineStr">
        <is>
          <t>JÄMTLANDS LÄN</t>
        </is>
      </c>
      <c r="E963" t="inlineStr">
        <is>
          <t>STRÖMSUND</t>
        </is>
      </c>
      <c r="G963" t="n">
        <v>2.5</v>
      </c>
      <c r="H963" t="n">
        <v>0</v>
      </c>
      <c r="I963" t="n">
        <v>0</v>
      </c>
      <c r="J963" t="n">
        <v>0</v>
      </c>
      <c r="K963" t="n">
        <v>0</v>
      </c>
      <c r="L963" t="n">
        <v>0</v>
      </c>
      <c r="M963" t="n">
        <v>0</v>
      </c>
      <c r="N963" t="n">
        <v>0</v>
      </c>
      <c r="O963" t="n">
        <v>0</v>
      </c>
      <c r="P963" t="n">
        <v>0</v>
      </c>
      <c r="Q963" t="n">
        <v>0</v>
      </c>
      <c r="R963" s="2" t="inlineStr"/>
    </row>
    <row r="964" ht="15" customHeight="1">
      <c r="A964" t="inlineStr">
        <is>
          <t>A 142-2021</t>
        </is>
      </c>
      <c r="B964" s="1" t="n">
        <v>44196</v>
      </c>
      <c r="C964" s="1" t="n">
        <v>45749</v>
      </c>
      <c r="D964" t="inlineStr">
        <is>
          <t>JÄMTLANDS LÄN</t>
        </is>
      </c>
      <c r="E964" t="inlineStr">
        <is>
          <t>STRÖMSUND</t>
        </is>
      </c>
      <c r="G964" t="n">
        <v>6.1</v>
      </c>
      <c r="H964" t="n">
        <v>0</v>
      </c>
      <c r="I964" t="n">
        <v>0</v>
      </c>
      <c r="J964" t="n">
        <v>0</v>
      </c>
      <c r="K964" t="n">
        <v>0</v>
      </c>
      <c r="L964" t="n">
        <v>0</v>
      </c>
      <c r="M964" t="n">
        <v>0</v>
      </c>
      <c r="N964" t="n">
        <v>0</v>
      </c>
      <c r="O964" t="n">
        <v>0</v>
      </c>
      <c r="P964" t="n">
        <v>0</v>
      </c>
      <c r="Q964" t="n">
        <v>0</v>
      </c>
      <c r="R964" s="2" t="inlineStr"/>
    </row>
    <row r="965" ht="15" customHeight="1">
      <c r="A965" t="inlineStr">
        <is>
          <t>A 138-2021</t>
        </is>
      </c>
      <c r="B965" s="1" t="n">
        <v>44196</v>
      </c>
      <c r="C965" s="1" t="n">
        <v>45749</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326-2021</t>
        </is>
      </c>
      <c r="B966" s="1" t="n">
        <v>44201</v>
      </c>
      <c r="C966" s="1" t="n">
        <v>45749</v>
      </c>
      <c r="D966" t="inlineStr">
        <is>
          <t>JÄMTLANDS LÄN</t>
        </is>
      </c>
      <c r="E966" t="inlineStr">
        <is>
          <t>STRÖMSUND</t>
        </is>
      </c>
      <c r="F966" t="inlineStr">
        <is>
          <t>SCA</t>
        </is>
      </c>
      <c r="G966" t="n">
        <v>88.09999999999999</v>
      </c>
      <c r="H966" t="n">
        <v>0</v>
      </c>
      <c r="I966" t="n">
        <v>0</v>
      </c>
      <c r="J966" t="n">
        <v>0</v>
      </c>
      <c r="K966" t="n">
        <v>0</v>
      </c>
      <c r="L966" t="n">
        <v>0</v>
      </c>
      <c r="M966" t="n">
        <v>0</v>
      </c>
      <c r="N966" t="n">
        <v>0</v>
      </c>
      <c r="O966" t="n">
        <v>0</v>
      </c>
      <c r="P966" t="n">
        <v>0</v>
      </c>
      <c r="Q966" t="n">
        <v>0</v>
      </c>
      <c r="R966" s="2" t="inlineStr"/>
    </row>
    <row r="967" ht="15" customHeight="1">
      <c r="A967" t="inlineStr">
        <is>
          <t>A 363-2021</t>
        </is>
      </c>
      <c r="B967" s="1" t="n">
        <v>44201</v>
      </c>
      <c r="C967" s="1" t="n">
        <v>45749</v>
      </c>
      <c r="D967" t="inlineStr">
        <is>
          <t>JÄMTLANDS LÄN</t>
        </is>
      </c>
      <c r="E967" t="inlineStr">
        <is>
          <t>STRÖMSUND</t>
        </is>
      </c>
      <c r="F967" t="inlineStr">
        <is>
          <t>SCA</t>
        </is>
      </c>
      <c r="G967" t="n">
        <v>52.4</v>
      </c>
      <c r="H967" t="n">
        <v>0</v>
      </c>
      <c r="I967" t="n">
        <v>0</v>
      </c>
      <c r="J967" t="n">
        <v>0</v>
      </c>
      <c r="K967" t="n">
        <v>0</v>
      </c>
      <c r="L967" t="n">
        <v>0</v>
      </c>
      <c r="M967" t="n">
        <v>0</v>
      </c>
      <c r="N967" t="n">
        <v>0</v>
      </c>
      <c r="O967" t="n">
        <v>0</v>
      </c>
      <c r="P967" t="n">
        <v>0</v>
      </c>
      <c r="Q967" t="n">
        <v>0</v>
      </c>
      <c r="R967" s="2" t="inlineStr"/>
    </row>
    <row r="968" ht="15" customHeight="1">
      <c r="A968" t="inlineStr">
        <is>
          <t>A 457-2021</t>
        </is>
      </c>
      <c r="B968" s="1" t="n">
        <v>44202</v>
      </c>
      <c r="C968" s="1" t="n">
        <v>45749</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582-2021</t>
        </is>
      </c>
      <c r="B969" s="1" t="n">
        <v>44203</v>
      </c>
      <c r="C969" s="1" t="n">
        <v>45749</v>
      </c>
      <c r="D969" t="inlineStr">
        <is>
          <t>JÄMTLANDS LÄN</t>
        </is>
      </c>
      <c r="E969" t="inlineStr">
        <is>
          <t>STRÖMSUND</t>
        </is>
      </c>
      <c r="F969" t="inlineStr">
        <is>
          <t>SCA</t>
        </is>
      </c>
      <c r="G969" t="n">
        <v>54.9</v>
      </c>
      <c r="H969" t="n">
        <v>0</v>
      </c>
      <c r="I969" t="n">
        <v>0</v>
      </c>
      <c r="J969" t="n">
        <v>0</v>
      </c>
      <c r="K969" t="n">
        <v>0</v>
      </c>
      <c r="L969" t="n">
        <v>0</v>
      </c>
      <c r="M969" t="n">
        <v>0</v>
      </c>
      <c r="N969" t="n">
        <v>0</v>
      </c>
      <c r="O969" t="n">
        <v>0</v>
      </c>
      <c r="P969" t="n">
        <v>0</v>
      </c>
      <c r="Q969" t="n">
        <v>0</v>
      </c>
      <c r="R969" s="2" t="inlineStr"/>
    </row>
    <row r="970" ht="15" customHeight="1">
      <c r="A970" t="inlineStr">
        <is>
          <t>A 647-2021</t>
        </is>
      </c>
      <c r="B970" s="1" t="n">
        <v>44203</v>
      </c>
      <c r="C970" s="1" t="n">
        <v>45749</v>
      </c>
      <c r="D970" t="inlineStr">
        <is>
          <t>JÄMTLANDS LÄN</t>
        </is>
      </c>
      <c r="E970" t="inlineStr">
        <is>
          <t>STRÖMSUND</t>
        </is>
      </c>
      <c r="F970" t="inlineStr">
        <is>
          <t>SCA</t>
        </is>
      </c>
      <c r="G970" t="n">
        <v>151.3</v>
      </c>
      <c r="H970" t="n">
        <v>0</v>
      </c>
      <c r="I970" t="n">
        <v>0</v>
      </c>
      <c r="J970" t="n">
        <v>0</v>
      </c>
      <c r="K970" t="n">
        <v>0</v>
      </c>
      <c r="L970" t="n">
        <v>0</v>
      </c>
      <c r="M970" t="n">
        <v>0</v>
      </c>
      <c r="N970" t="n">
        <v>0</v>
      </c>
      <c r="O970" t="n">
        <v>0</v>
      </c>
      <c r="P970" t="n">
        <v>0</v>
      </c>
      <c r="Q970" t="n">
        <v>0</v>
      </c>
      <c r="R970" s="2" t="inlineStr"/>
    </row>
    <row r="971" ht="15" customHeight="1">
      <c r="A971" t="inlineStr">
        <is>
          <t>A 742-2021</t>
        </is>
      </c>
      <c r="B971" s="1" t="n">
        <v>44204</v>
      </c>
      <c r="C971" s="1" t="n">
        <v>45749</v>
      </c>
      <c r="D971" t="inlineStr">
        <is>
          <t>JÄMTLANDS LÄN</t>
        </is>
      </c>
      <c r="E971" t="inlineStr">
        <is>
          <t>STRÖMSUND</t>
        </is>
      </c>
      <c r="F971" t="inlineStr">
        <is>
          <t>SCA</t>
        </is>
      </c>
      <c r="G971" t="n">
        <v>22.8</v>
      </c>
      <c r="H971" t="n">
        <v>0</v>
      </c>
      <c r="I971" t="n">
        <v>0</v>
      </c>
      <c r="J971" t="n">
        <v>0</v>
      </c>
      <c r="K971" t="n">
        <v>0</v>
      </c>
      <c r="L971" t="n">
        <v>0</v>
      </c>
      <c r="M971" t="n">
        <v>0</v>
      </c>
      <c r="N971" t="n">
        <v>0</v>
      </c>
      <c r="O971" t="n">
        <v>0</v>
      </c>
      <c r="P971" t="n">
        <v>0</v>
      </c>
      <c r="Q971" t="n">
        <v>0</v>
      </c>
      <c r="R971" s="2" t="inlineStr"/>
    </row>
    <row r="972" ht="15" customHeight="1">
      <c r="A972" t="inlineStr">
        <is>
          <t>A 1305-2021</t>
        </is>
      </c>
      <c r="B972" s="1" t="n">
        <v>44207</v>
      </c>
      <c r="C972" s="1" t="n">
        <v>45749</v>
      </c>
      <c r="D972" t="inlineStr">
        <is>
          <t>JÄMTLANDS LÄN</t>
        </is>
      </c>
      <c r="E972" t="inlineStr">
        <is>
          <t>STRÖMSUND</t>
        </is>
      </c>
      <c r="G972" t="n">
        <v>0.8</v>
      </c>
      <c r="H972" t="n">
        <v>0</v>
      </c>
      <c r="I972" t="n">
        <v>0</v>
      </c>
      <c r="J972" t="n">
        <v>0</v>
      </c>
      <c r="K972" t="n">
        <v>0</v>
      </c>
      <c r="L972" t="n">
        <v>0</v>
      </c>
      <c r="M972" t="n">
        <v>0</v>
      </c>
      <c r="N972" t="n">
        <v>0</v>
      </c>
      <c r="O972" t="n">
        <v>0</v>
      </c>
      <c r="P972" t="n">
        <v>0</v>
      </c>
      <c r="Q972" t="n">
        <v>0</v>
      </c>
      <c r="R972" s="2" t="inlineStr"/>
    </row>
    <row r="973" ht="15" customHeight="1">
      <c r="A973" t="inlineStr">
        <is>
          <t>A 2159-2021</t>
        </is>
      </c>
      <c r="B973" s="1" t="n">
        <v>44211</v>
      </c>
      <c r="C973" s="1" t="n">
        <v>45749</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2432-2021</t>
        </is>
      </c>
      <c r="B974" s="1" t="n">
        <v>44211</v>
      </c>
      <c r="C974" s="1" t="n">
        <v>45749</v>
      </c>
      <c r="D974" t="inlineStr">
        <is>
          <t>JÄMTLANDS LÄN</t>
        </is>
      </c>
      <c r="E974" t="inlineStr">
        <is>
          <t>STRÖMSUND</t>
        </is>
      </c>
      <c r="G974" t="n">
        <v>1.5</v>
      </c>
      <c r="H974" t="n">
        <v>0</v>
      </c>
      <c r="I974" t="n">
        <v>0</v>
      </c>
      <c r="J974" t="n">
        <v>0</v>
      </c>
      <c r="K974" t="n">
        <v>0</v>
      </c>
      <c r="L974" t="n">
        <v>0</v>
      </c>
      <c r="M974" t="n">
        <v>0</v>
      </c>
      <c r="N974" t="n">
        <v>0</v>
      </c>
      <c r="O974" t="n">
        <v>0</v>
      </c>
      <c r="P974" t="n">
        <v>0</v>
      </c>
      <c r="Q974" t="n">
        <v>0</v>
      </c>
      <c r="R974" s="2" t="inlineStr"/>
    </row>
    <row r="975" ht="15" customHeight="1">
      <c r="A975" t="inlineStr">
        <is>
          <t>A 2549-2021</t>
        </is>
      </c>
      <c r="B975" s="1" t="n">
        <v>44214</v>
      </c>
      <c r="C975" s="1" t="n">
        <v>45749</v>
      </c>
      <c r="D975" t="inlineStr">
        <is>
          <t>JÄMTLANDS LÄN</t>
        </is>
      </c>
      <c r="E975" t="inlineStr">
        <is>
          <t>STRÖMSUND</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2660-2021</t>
        </is>
      </c>
      <c r="B976" s="1" t="n">
        <v>44215</v>
      </c>
      <c r="C976" s="1" t="n">
        <v>45749</v>
      </c>
      <c r="D976" t="inlineStr">
        <is>
          <t>JÄMTLANDS LÄN</t>
        </is>
      </c>
      <c r="E976" t="inlineStr">
        <is>
          <t>STRÖMSUND</t>
        </is>
      </c>
      <c r="G976" t="n">
        <v>11.2</v>
      </c>
      <c r="H976" t="n">
        <v>0</v>
      </c>
      <c r="I976" t="n">
        <v>0</v>
      </c>
      <c r="J976" t="n">
        <v>0</v>
      </c>
      <c r="K976" t="n">
        <v>0</v>
      </c>
      <c r="L976" t="n">
        <v>0</v>
      </c>
      <c r="M976" t="n">
        <v>0</v>
      </c>
      <c r="N976" t="n">
        <v>0</v>
      </c>
      <c r="O976" t="n">
        <v>0</v>
      </c>
      <c r="P976" t="n">
        <v>0</v>
      </c>
      <c r="Q976" t="n">
        <v>0</v>
      </c>
      <c r="R976" s="2" t="inlineStr"/>
    </row>
    <row r="977" ht="15" customHeight="1">
      <c r="A977" t="inlineStr">
        <is>
          <t>A 3186-2021</t>
        </is>
      </c>
      <c r="B977" s="1" t="n">
        <v>44217</v>
      </c>
      <c r="C977" s="1" t="n">
        <v>45749</v>
      </c>
      <c r="D977" t="inlineStr">
        <is>
          <t>JÄMTLANDS LÄN</t>
        </is>
      </c>
      <c r="E977" t="inlineStr">
        <is>
          <t>STRÖMSUND</t>
        </is>
      </c>
      <c r="G977" t="n">
        <v>13.7</v>
      </c>
      <c r="H977" t="n">
        <v>0</v>
      </c>
      <c r="I977" t="n">
        <v>0</v>
      </c>
      <c r="J977" t="n">
        <v>0</v>
      </c>
      <c r="K977" t="n">
        <v>0</v>
      </c>
      <c r="L977" t="n">
        <v>0</v>
      </c>
      <c r="M977" t="n">
        <v>0</v>
      </c>
      <c r="N977" t="n">
        <v>0</v>
      </c>
      <c r="O977" t="n">
        <v>0</v>
      </c>
      <c r="P977" t="n">
        <v>0</v>
      </c>
      <c r="Q977" t="n">
        <v>0</v>
      </c>
      <c r="R977" s="2" t="inlineStr"/>
    </row>
    <row r="978" ht="15" customHeight="1">
      <c r="A978" t="inlineStr">
        <is>
          <t>A 4004-2021</t>
        </is>
      </c>
      <c r="B978" s="1" t="n">
        <v>44222</v>
      </c>
      <c r="C978" s="1" t="n">
        <v>45749</v>
      </c>
      <c r="D978" t="inlineStr">
        <is>
          <t>JÄMTLANDS LÄN</t>
        </is>
      </c>
      <c r="E978" t="inlineStr">
        <is>
          <t>STRÖMSUND</t>
        </is>
      </c>
      <c r="F978" t="inlineStr">
        <is>
          <t>Kyrkan</t>
        </is>
      </c>
      <c r="G978" t="n">
        <v>5.9</v>
      </c>
      <c r="H978" t="n">
        <v>0</v>
      </c>
      <c r="I978" t="n">
        <v>0</v>
      </c>
      <c r="J978" t="n">
        <v>0</v>
      </c>
      <c r="K978" t="n">
        <v>0</v>
      </c>
      <c r="L978" t="n">
        <v>0</v>
      </c>
      <c r="M978" t="n">
        <v>0</v>
      </c>
      <c r="N978" t="n">
        <v>0</v>
      </c>
      <c r="O978" t="n">
        <v>0</v>
      </c>
      <c r="P978" t="n">
        <v>0</v>
      </c>
      <c r="Q978" t="n">
        <v>0</v>
      </c>
      <c r="R978" s="2" t="inlineStr"/>
    </row>
    <row r="979" ht="15" customHeight="1">
      <c r="A979" t="inlineStr">
        <is>
          <t>A 4135-2021</t>
        </is>
      </c>
      <c r="B979" s="1" t="n">
        <v>44223</v>
      </c>
      <c r="C979" s="1" t="n">
        <v>45749</v>
      </c>
      <c r="D979" t="inlineStr">
        <is>
          <t>JÄMTLANDS LÄN</t>
        </is>
      </c>
      <c r="E979" t="inlineStr">
        <is>
          <t>STRÖMSUND</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4662-2021</t>
        </is>
      </c>
      <c r="B980" s="1" t="n">
        <v>44224</v>
      </c>
      <c r="C980" s="1" t="n">
        <v>45749</v>
      </c>
      <c r="D980" t="inlineStr">
        <is>
          <t>JÄMTLANDS LÄN</t>
        </is>
      </c>
      <c r="E980" t="inlineStr">
        <is>
          <t>STRÖMSUND</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4661-2021</t>
        </is>
      </c>
      <c r="B981" s="1" t="n">
        <v>44224</v>
      </c>
      <c r="C981" s="1" t="n">
        <v>45749</v>
      </c>
      <c r="D981" t="inlineStr">
        <is>
          <t>JÄMTLANDS LÄN</t>
        </is>
      </c>
      <c r="E981" t="inlineStr">
        <is>
          <t>STRÖMSUND</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5034-2021</t>
        </is>
      </c>
      <c r="B982" s="1" t="n">
        <v>44228</v>
      </c>
      <c r="C982" s="1" t="n">
        <v>45749</v>
      </c>
      <c r="D982" t="inlineStr">
        <is>
          <t>JÄMTLANDS LÄN</t>
        </is>
      </c>
      <c r="E982" t="inlineStr">
        <is>
          <t>STRÖMSUND</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5384-2021</t>
        </is>
      </c>
      <c r="B983" s="1" t="n">
        <v>44228</v>
      </c>
      <c r="C983" s="1" t="n">
        <v>45749</v>
      </c>
      <c r="D983" t="inlineStr">
        <is>
          <t>JÄMTLANDS LÄN</t>
        </is>
      </c>
      <c r="E983" t="inlineStr">
        <is>
          <t>STRÖMSUND</t>
        </is>
      </c>
      <c r="G983" t="n">
        <v>18.3</v>
      </c>
      <c r="H983" t="n">
        <v>0</v>
      </c>
      <c r="I983" t="n">
        <v>0</v>
      </c>
      <c r="J983" t="n">
        <v>0</v>
      </c>
      <c r="K983" t="n">
        <v>0</v>
      </c>
      <c r="L983" t="n">
        <v>0</v>
      </c>
      <c r="M983" t="n">
        <v>0</v>
      </c>
      <c r="N983" t="n">
        <v>0</v>
      </c>
      <c r="O983" t="n">
        <v>0</v>
      </c>
      <c r="P983" t="n">
        <v>0</v>
      </c>
      <c r="Q983" t="n">
        <v>0</v>
      </c>
      <c r="R983" s="2" t="inlineStr"/>
    </row>
    <row r="984" ht="15" customHeight="1">
      <c r="A984" t="inlineStr">
        <is>
          <t>A 5464-2021</t>
        </is>
      </c>
      <c r="B984" s="1" t="n">
        <v>44229</v>
      </c>
      <c r="C984" s="1" t="n">
        <v>45749</v>
      </c>
      <c r="D984" t="inlineStr">
        <is>
          <t>JÄMTLANDS LÄN</t>
        </is>
      </c>
      <c r="E984" t="inlineStr">
        <is>
          <t>STRÖMSUND</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5470-2021</t>
        </is>
      </c>
      <c r="B985" s="1" t="n">
        <v>44229</v>
      </c>
      <c r="C985" s="1" t="n">
        <v>45749</v>
      </c>
      <c r="D985" t="inlineStr">
        <is>
          <t>JÄMTLANDS LÄN</t>
        </is>
      </c>
      <c r="E985" t="inlineStr">
        <is>
          <t>STRÖMSUND</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5795-2021</t>
        </is>
      </c>
      <c r="B986" s="1" t="n">
        <v>44230</v>
      </c>
      <c r="C986" s="1" t="n">
        <v>45749</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5794-2021</t>
        </is>
      </c>
      <c r="B987" s="1" t="n">
        <v>44230</v>
      </c>
      <c r="C987" s="1" t="n">
        <v>45749</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6386-2021</t>
        </is>
      </c>
      <c r="B988" s="1" t="n">
        <v>44232</v>
      </c>
      <c r="C988" s="1" t="n">
        <v>45749</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6394-2021</t>
        </is>
      </c>
      <c r="B989" s="1" t="n">
        <v>44232</v>
      </c>
      <c r="C989" s="1" t="n">
        <v>45749</v>
      </c>
      <c r="D989" t="inlineStr">
        <is>
          <t>JÄMTLANDS LÄN</t>
        </is>
      </c>
      <c r="E989" t="inlineStr">
        <is>
          <t>STRÖMSUND</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6371-2021</t>
        </is>
      </c>
      <c r="B990" s="1" t="n">
        <v>44232</v>
      </c>
      <c r="C990" s="1" t="n">
        <v>45749</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7268-2021</t>
        </is>
      </c>
      <c r="B991" s="1" t="n">
        <v>44238</v>
      </c>
      <c r="C991" s="1" t="n">
        <v>45749</v>
      </c>
      <c r="D991" t="inlineStr">
        <is>
          <t>JÄMTLANDS LÄN</t>
        </is>
      </c>
      <c r="E991" t="inlineStr">
        <is>
          <t>STRÖMSUND</t>
        </is>
      </c>
      <c r="G991" t="n">
        <v>5.2</v>
      </c>
      <c r="H991" t="n">
        <v>0</v>
      </c>
      <c r="I991" t="n">
        <v>0</v>
      </c>
      <c r="J991" t="n">
        <v>0</v>
      </c>
      <c r="K991" t="n">
        <v>0</v>
      </c>
      <c r="L991" t="n">
        <v>0</v>
      </c>
      <c r="M991" t="n">
        <v>0</v>
      </c>
      <c r="N991" t="n">
        <v>0</v>
      </c>
      <c r="O991" t="n">
        <v>0</v>
      </c>
      <c r="P991" t="n">
        <v>0</v>
      </c>
      <c r="Q991" t="n">
        <v>0</v>
      </c>
      <c r="R991" s="2" t="inlineStr"/>
    </row>
    <row r="992" ht="15" customHeight="1">
      <c r="A992" t="inlineStr">
        <is>
          <t>A 7697-2021</t>
        </is>
      </c>
      <c r="B992" s="1" t="n">
        <v>44239</v>
      </c>
      <c r="C992" s="1" t="n">
        <v>45749</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8016-2021</t>
        </is>
      </c>
      <c r="B993" s="1" t="n">
        <v>44243</v>
      </c>
      <c r="C993" s="1" t="n">
        <v>45749</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8020-2021</t>
        </is>
      </c>
      <c r="B994" s="1" t="n">
        <v>44243</v>
      </c>
      <c r="C994" s="1" t="n">
        <v>45749</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8364-2021</t>
        </is>
      </c>
      <c r="B995" s="1" t="n">
        <v>44244</v>
      </c>
      <c r="C995" s="1" t="n">
        <v>45749</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8979-2021</t>
        </is>
      </c>
      <c r="B996" s="1" t="n">
        <v>44246</v>
      </c>
      <c r="C996" s="1" t="n">
        <v>45749</v>
      </c>
      <c r="D996" t="inlineStr">
        <is>
          <t>JÄMTLANDS LÄN</t>
        </is>
      </c>
      <c r="E996" t="inlineStr">
        <is>
          <t>STRÖMSUND</t>
        </is>
      </c>
      <c r="G996" t="n">
        <v>40.4</v>
      </c>
      <c r="H996" t="n">
        <v>0</v>
      </c>
      <c r="I996" t="n">
        <v>0</v>
      </c>
      <c r="J996" t="n">
        <v>0</v>
      </c>
      <c r="K996" t="n">
        <v>0</v>
      </c>
      <c r="L996" t="n">
        <v>0</v>
      </c>
      <c r="M996" t="n">
        <v>0</v>
      </c>
      <c r="N996" t="n">
        <v>0</v>
      </c>
      <c r="O996" t="n">
        <v>0</v>
      </c>
      <c r="P996" t="n">
        <v>0</v>
      </c>
      <c r="Q996" t="n">
        <v>0</v>
      </c>
      <c r="R996" s="2" t="inlineStr"/>
    </row>
    <row r="997" ht="15" customHeight="1">
      <c r="A997" t="inlineStr">
        <is>
          <t>A 10528-2021</t>
        </is>
      </c>
      <c r="B997" s="1" t="n">
        <v>44257</v>
      </c>
      <c r="C997" s="1" t="n">
        <v>45749</v>
      </c>
      <c r="D997" t="inlineStr">
        <is>
          <t>JÄMTLANDS LÄN</t>
        </is>
      </c>
      <c r="E997" t="inlineStr">
        <is>
          <t>STRÖMSUND</t>
        </is>
      </c>
      <c r="G997" t="n">
        <v>12.8</v>
      </c>
      <c r="H997" t="n">
        <v>0</v>
      </c>
      <c r="I997" t="n">
        <v>0</v>
      </c>
      <c r="J997" t="n">
        <v>0</v>
      </c>
      <c r="K997" t="n">
        <v>0</v>
      </c>
      <c r="L997" t="n">
        <v>0</v>
      </c>
      <c r="M997" t="n">
        <v>0</v>
      </c>
      <c r="N997" t="n">
        <v>0</v>
      </c>
      <c r="O997" t="n">
        <v>0</v>
      </c>
      <c r="P997" t="n">
        <v>0</v>
      </c>
      <c r="Q997" t="n">
        <v>0</v>
      </c>
      <c r="R997" s="2" t="inlineStr"/>
    </row>
    <row r="998" ht="15" customHeight="1">
      <c r="A998" t="inlineStr">
        <is>
          <t>A 11034-2021</t>
        </is>
      </c>
      <c r="B998" s="1" t="n">
        <v>44260</v>
      </c>
      <c r="C998" s="1" t="n">
        <v>45749</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11508-2021</t>
        </is>
      </c>
      <c r="B999" s="1" t="n">
        <v>44264</v>
      </c>
      <c r="C999" s="1" t="n">
        <v>45749</v>
      </c>
      <c r="D999" t="inlineStr">
        <is>
          <t>JÄMTLANDS LÄN</t>
        </is>
      </c>
      <c r="E999" t="inlineStr">
        <is>
          <t>STRÖMSUND</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12250-2021</t>
        </is>
      </c>
      <c r="B1000" s="1" t="n">
        <v>44266</v>
      </c>
      <c r="C1000" s="1" t="n">
        <v>45749</v>
      </c>
      <c r="D1000" t="inlineStr">
        <is>
          <t>JÄMTLANDS LÄN</t>
        </is>
      </c>
      <c r="E1000" t="inlineStr">
        <is>
          <t>STRÖMSUND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12186-2021</t>
        </is>
      </c>
      <c r="B1001" s="1" t="n">
        <v>44266</v>
      </c>
      <c r="C1001" s="1" t="n">
        <v>45749</v>
      </c>
      <c r="D1001" t="inlineStr">
        <is>
          <t>JÄMTLANDS LÄN</t>
        </is>
      </c>
      <c r="E1001" t="inlineStr">
        <is>
          <t>STRÖMSUND</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12428-2021</t>
        </is>
      </c>
      <c r="B1002" s="1" t="n">
        <v>44267</v>
      </c>
      <c r="C1002" s="1" t="n">
        <v>45749</v>
      </c>
      <c r="D1002" t="inlineStr">
        <is>
          <t>JÄMTLANDS LÄN</t>
        </is>
      </c>
      <c r="E1002" t="inlineStr">
        <is>
          <t>STRÖMSUND</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12840-2021</t>
        </is>
      </c>
      <c r="B1003" s="1" t="n">
        <v>44270</v>
      </c>
      <c r="C1003" s="1" t="n">
        <v>45749</v>
      </c>
      <c r="D1003" t="inlineStr">
        <is>
          <t>JÄMTLANDS LÄN</t>
        </is>
      </c>
      <c r="E1003" t="inlineStr">
        <is>
          <t>STRÖMSUND</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13041-2021</t>
        </is>
      </c>
      <c r="B1004" s="1" t="n">
        <v>44271</v>
      </c>
      <c r="C1004" s="1" t="n">
        <v>45749</v>
      </c>
      <c r="D1004" t="inlineStr">
        <is>
          <t>JÄMTLANDS LÄN</t>
        </is>
      </c>
      <c r="E1004" t="inlineStr">
        <is>
          <t>STRÖMSUND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13563-2021</t>
        </is>
      </c>
      <c r="B1005" s="1" t="n">
        <v>44273</v>
      </c>
      <c r="C1005" s="1" t="n">
        <v>45749</v>
      </c>
      <c r="D1005" t="inlineStr">
        <is>
          <t>JÄMTLANDS LÄN</t>
        </is>
      </c>
      <c r="E1005" t="inlineStr">
        <is>
          <t>STRÖMSUND</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14067-2021</t>
        </is>
      </c>
      <c r="B1006" s="1" t="n">
        <v>44277</v>
      </c>
      <c r="C1006" s="1" t="n">
        <v>45749</v>
      </c>
      <c r="D1006" t="inlineStr">
        <is>
          <t>JÄMTLANDS LÄN</t>
        </is>
      </c>
      <c r="E1006" t="inlineStr">
        <is>
          <t>STRÖMSUND</t>
        </is>
      </c>
      <c r="G1006" t="n">
        <v>27.7</v>
      </c>
      <c r="H1006" t="n">
        <v>0</v>
      </c>
      <c r="I1006" t="n">
        <v>0</v>
      </c>
      <c r="J1006" t="n">
        <v>0</v>
      </c>
      <c r="K1006" t="n">
        <v>0</v>
      </c>
      <c r="L1006" t="n">
        <v>0</v>
      </c>
      <c r="M1006" t="n">
        <v>0</v>
      </c>
      <c r="N1006" t="n">
        <v>0</v>
      </c>
      <c r="O1006" t="n">
        <v>0</v>
      </c>
      <c r="P1006" t="n">
        <v>0</v>
      </c>
      <c r="Q1006" t="n">
        <v>0</v>
      </c>
      <c r="R1006" s="2" t="inlineStr"/>
    </row>
    <row r="1007" ht="15" customHeight="1">
      <c r="A1007" t="inlineStr">
        <is>
          <t>A 14147-2021</t>
        </is>
      </c>
      <c r="B1007" s="1" t="n">
        <v>44278</v>
      </c>
      <c r="C1007" s="1" t="n">
        <v>45749</v>
      </c>
      <c r="D1007" t="inlineStr">
        <is>
          <t>JÄMTLANDS LÄN</t>
        </is>
      </c>
      <c r="E1007" t="inlineStr">
        <is>
          <t>STRÖMSUND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45749</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45749</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45749</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45749</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45749</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45749</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45749</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45749</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45749</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45749</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45749</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45749</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45749</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45749</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45749</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45749</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45749</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45749</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45749</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45749</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45749</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45749</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45749</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45749</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45749</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45749</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45749</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45749</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45749</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45749</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45749</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45749</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45749</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45749</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45749</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45749</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45749</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45749</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45749</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45749</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45749</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45749</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45749</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45749</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45749</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45749</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45749</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45749</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45749</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45749</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45749</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45749</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45749</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45749</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45749</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45749</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45749</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45749</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45749</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45749</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45749</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45749</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45749</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45749</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45749</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45749</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45749</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45749</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45749</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45749</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45749</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45749</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45749</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45749</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45749</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45749</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45749</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45749</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45749</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45749</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45749</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45749</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45749</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45749</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45749</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45749</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45749</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45749</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45749</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45749</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45749</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45749</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45749</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45749</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45749</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45749</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45749</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45749</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45749</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45749</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45749</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45749</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45749</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45749</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45749</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45749</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45749</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45749</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45749</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45749</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45749</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45749</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45749</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45749</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45749</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45749</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45749</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45749</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45749</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45749</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45749</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45749</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45749</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45749</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45749</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45749</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45749</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45749</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45749</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45749</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45749</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45749</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45749</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45749</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45749</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45749</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45749</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45749</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45749</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45749</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45749</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45749</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45749</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45749</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45749</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45749</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45749</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45749</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45749</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45749</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45749</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45749</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45749</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45749</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45749</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45749</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45749</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45749</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45749</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45749</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45749</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45749</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45749</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45749</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45749</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45749</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45749</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45749</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45749</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45749</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45749</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45749</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45749</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45749</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45749</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45749</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45749</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45749</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45749</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45749</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45749</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45749</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45749</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45749</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45749</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45749</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45749</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45749</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45749</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45749</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45749</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45749</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45749</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45749</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45749</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45749</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45749</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45749</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45749</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45749</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45749</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45749</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45749</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45749</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45749</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45749</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45749</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45749</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45749</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45749</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45749</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45749</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45749</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45749</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45749</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45749</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45749</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45749</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45749</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45749</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45749</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45749</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45749</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45749</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45749</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45749</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45749</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45749</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45749</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45749</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45749</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45749</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45749</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45749</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45749</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45749</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45749</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45749</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45749</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45749</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45749</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45749</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45749</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45749</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45749</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45749</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45749</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45749</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45749</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45749</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45749</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45749</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45749</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45749</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45749</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45749</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45749</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45749</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45749</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45749</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45749</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45749</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45749</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45749</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45749</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45749</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45749</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45749</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45749</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45749</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45749</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45749</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45749</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45749</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45749</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45749</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45749</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45749</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45749</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45749</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45749</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45749</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45749</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45749</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45749</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45749</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45749</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45749</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45749</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45749</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45749</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45749</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45749</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45749</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45749</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45749</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45749</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45749</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45749</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45749</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45749</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45749</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45749</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45749</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45749</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45749</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45749</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45749</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45749</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45749</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45749</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45749</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45749</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45749</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45749</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45749</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45749</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45749</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45749</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45749</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45749</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45749</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45749</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45749</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45749</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45749</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45749</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45749</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45749</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45749</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45749</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45749</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45749</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45749</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45749</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45749</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45749</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45749</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45749</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45749</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45749</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45749</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45749</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45749</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2760-2022</t>
        </is>
      </c>
      <c r="B1352" s="1" t="n">
        <v>44580</v>
      </c>
      <c r="C1352" s="1" t="n">
        <v>45749</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2759-2022</t>
        </is>
      </c>
      <c r="B1353" s="1" t="n">
        <v>44580</v>
      </c>
      <c r="C1353" s="1" t="n">
        <v>45749</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3114-2022</t>
        </is>
      </c>
      <c r="B1354" s="1" t="n">
        <v>44582</v>
      </c>
      <c r="C1354" s="1" t="n">
        <v>45749</v>
      </c>
      <c r="D1354" t="inlineStr">
        <is>
          <t>JÄMTLANDS LÄN</t>
        </is>
      </c>
      <c r="E1354" t="inlineStr">
        <is>
          <t>STRÖMSUND</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3165-2022</t>
        </is>
      </c>
      <c r="B1355" s="1" t="n">
        <v>44582</v>
      </c>
      <c r="C1355" s="1" t="n">
        <v>45749</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3230-2022</t>
        </is>
      </c>
      <c r="B1356" s="1" t="n">
        <v>44582</v>
      </c>
      <c r="C1356" s="1" t="n">
        <v>45749</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3269-2022</t>
        </is>
      </c>
      <c r="B1357" s="1" t="n">
        <v>44583</v>
      </c>
      <c r="C1357" s="1" t="n">
        <v>45749</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3538-2022</t>
        </is>
      </c>
      <c r="B1358" s="1" t="n">
        <v>44585</v>
      </c>
      <c r="C1358" s="1" t="n">
        <v>45749</v>
      </c>
      <c r="D1358" t="inlineStr">
        <is>
          <t>JÄMTLANDS LÄN</t>
        </is>
      </c>
      <c r="E1358" t="inlineStr">
        <is>
          <t>STRÖMSUND</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3539-2022</t>
        </is>
      </c>
      <c r="B1359" s="1" t="n">
        <v>44585</v>
      </c>
      <c r="C1359" s="1" t="n">
        <v>45749</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3719-2022</t>
        </is>
      </c>
      <c r="B1360" s="1" t="n">
        <v>44586</v>
      </c>
      <c r="C1360" s="1" t="n">
        <v>45749</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3721-2022</t>
        </is>
      </c>
      <c r="B1361" s="1" t="n">
        <v>44586</v>
      </c>
      <c r="C1361" s="1" t="n">
        <v>45749</v>
      </c>
      <c r="D1361" t="inlineStr">
        <is>
          <t>JÄMTLANDS LÄN</t>
        </is>
      </c>
      <c r="E1361" t="inlineStr">
        <is>
          <t>STRÖMSUND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3875-2022</t>
        </is>
      </c>
      <c r="B1362" s="1" t="n">
        <v>44587</v>
      </c>
      <c r="C1362" s="1" t="n">
        <v>45749</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4024-2022</t>
        </is>
      </c>
      <c r="B1363" s="1" t="n">
        <v>44587</v>
      </c>
      <c r="C1363" s="1" t="n">
        <v>45749</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4460-2022</t>
        </is>
      </c>
      <c r="B1364" s="1" t="n">
        <v>44589</v>
      </c>
      <c r="C1364" s="1" t="n">
        <v>45749</v>
      </c>
      <c r="D1364" t="inlineStr">
        <is>
          <t>JÄMTLANDS LÄN</t>
        </is>
      </c>
      <c r="E1364" t="inlineStr">
        <is>
          <t>STRÖMSUND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4455-2022</t>
        </is>
      </c>
      <c r="B1365" s="1" t="n">
        <v>44589</v>
      </c>
      <c r="C1365" s="1" t="n">
        <v>45749</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4464-2022</t>
        </is>
      </c>
      <c r="B1366" s="1" t="n">
        <v>44589</v>
      </c>
      <c r="C1366" s="1" t="n">
        <v>45749</v>
      </c>
      <c r="D1366" t="inlineStr">
        <is>
          <t>JÄMTLANDS LÄN</t>
        </is>
      </c>
      <c r="E1366" t="inlineStr">
        <is>
          <t>STRÖMSUND</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4602-2022</t>
        </is>
      </c>
      <c r="B1367" s="1" t="n">
        <v>44589</v>
      </c>
      <c r="C1367" s="1" t="n">
        <v>45749</v>
      </c>
      <c r="D1367" t="inlineStr">
        <is>
          <t>JÄMTLANDS LÄN</t>
        </is>
      </c>
      <c r="E1367" t="inlineStr">
        <is>
          <t>STRÖMSUND</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4858-2022</t>
        </is>
      </c>
      <c r="B1368" s="1" t="n">
        <v>44592</v>
      </c>
      <c r="C1368" s="1" t="n">
        <v>45749</v>
      </c>
      <c r="D1368" t="inlineStr">
        <is>
          <t>JÄMTLANDS LÄN</t>
        </is>
      </c>
      <c r="E1368" t="inlineStr">
        <is>
          <t>STRÖMSUND</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4931-2022</t>
        </is>
      </c>
      <c r="B1369" s="1" t="n">
        <v>44593</v>
      </c>
      <c r="C1369" s="1" t="n">
        <v>45749</v>
      </c>
      <c r="D1369" t="inlineStr">
        <is>
          <t>JÄMTLANDS LÄN</t>
        </is>
      </c>
      <c r="E1369" t="inlineStr">
        <is>
          <t>STRÖMSUND</t>
        </is>
      </c>
      <c r="G1369" t="n">
        <v>41.9</v>
      </c>
      <c r="H1369" t="n">
        <v>0</v>
      </c>
      <c r="I1369" t="n">
        <v>0</v>
      </c>
      <c r="J1369" t="n">
        <v>0</v>
      </c>
      <c r="K1369" t="n">
        <v>0</v>
      </c>
      <c r="L1369" t="n">
        <v>0</v>
      </c>
      <c r="M1369" t="n">
        <v>0</v>
      </c>
      <c r="N1369" t="n">
        <v>0</v>
      </c>
      <c r="O1369" t="n">
        <v>0</v>
      </c>
      <c r="P1369" t="n">
        <v>0</v>
      </c>
      <c r="Q1369" t="n">
        <v>0</v>
      </c>
      <c r="R1369" s="2" t="inlineStr"/>
    </row>
    <row r="1370" ht="15" customHeight="1">
      <c r="A1370" t="inlineStr">
        <is>
          <t>A 5117-2022</t>
        </is>
      </c>
      <c r="B1370" s="1" t="n">
        <v>44593</v>
      </c>
      <c r="C1370" s="1" t="n">
        <v>45749</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5116-2022</t>
        </is>
      </c>
      <c r="B1371" s="1" t="n">
        <v>44593</v>
      </c>
      <c r="C1371" s="1" t="n">
        <v>45749</v>
      </c>
      <c r="D1371" t="inlineStr">
        <is>
          <t>JÄMTLANDS LÄN</t>
        </is>
      </c>
      <c r="E1371" t="inlineStr">
        <is>
          <t>STRÖMSUND</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5416-2022</t>
        </is>
      </c>
      <c r="B1372" s="1" t="n">
        <v>44595</v>
      </c>
      <c r="C1372" s="1" t="n">
        <v>45749</v>
      </c>
      <c r="D1372" t="inlineStr">
        <is>
          <t>JÄMTLANDS LÄN</t>
        </is>
      </c>
      <c r="E1372" t="inlineStr">
        <is>
          <t>STRÖMSUND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5642-2022</t>
        </is>
      </c>
      <c r="B1373" s="1" t="n">
        <v>44595</v>
      </c>
      <c r="C1373" s="1" t="n">
        <v>45749</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6055-2022</t>
        </is>
      </c>
      <c r="B1374" s="1" t="n">
        <v>44599</v>
      </c>
      <c r="C1374" s="1" t="n">
        <v>45749</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6150-2022</t>
        </is>
      </c>
      <c r="B1375" s="1" t="n">
        <v>44599</v>
      </c>
      <c r="C1375" s="1" t="n">
        <v>45749</v>
      </c>
      <c r="D1375" t="inlineStr">
        <is>
          <t>JÄMTLANDS LÄN</t>
        </is>
      </c>
      <c r="E1375" t="inlineStr">
        <is>
          <t>STRÖMSUND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6202-2022</t>
        </is>
      </c>
      <c r="B1376" s="1" t="n">
        <v>44600</v>
      </c>
      <c r="C1376" s="1" t="n">
        <v>45749</v>
      </c>
      <c r="D1376" t="inlineStr">
        <is>
          <t>JÄMTLANDS LÄN</t>
        </is>
      </c>
      <c r="E1376" t="inlineStr">
        <is>
          <t>STRÖMSUND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7023-2022</t>
        </is>
      </c>
      <c r="B1377" s="1" t="n">
        <v>44603</v>
      </c>
      <c r="C1377" s="1" t="n">
        <v>45749</v>
      </c>
      <c r="D1377" t="inlineStr">
        <is>
          <t>JÄMTLANDS LÄN</t>
        </is>
      </c>
      <c r="E1377" t="inlineStr">
        <is>
          <t>STRÖMSUND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7157-2022</t>
        </is>
      </c>
      <c r="B1378" s="1" t="n">
        <v>44604</v>
      </c>
      <c r="C1378" s="1" t="n">
        <v>45749</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7260-2022</t>
        </is>
      </c>
      <c r="B1379" s="1" t="n">
        <v>44606</v>
      </c>
      <c r="C1379" s="1" t="n">
        <v>45749</v>
      </c>
      <c r="D1379" t="inlineStr">
        <is>
          <t>JÄMTLANDS LÄN</t>
        </is>
      </c>
      <c r="E1379" t="inlineStr">
        <is>
          <t>STRÖMSUND</t>
        </is>
      </c>
      <c r="F1379" t="inlineStr">
        <is>
          <t>SCA</t>
        </is>
      </c>
      <c r="G1379" t="n">
        <v>76.40000000000001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8066-2022</t>
        </is>
      </c>
      <c r="B1380" s="1" t="n">
        <v>44609</v>
      </c>
      <c r="C1380" s="1" t="n">
        <v>45749</v>
      </c>
      <c r="D1380" t="inlineStr">
        <is>
          <t>JÄMTLANDS LÄN</t>
        </is>
      </c>
      <c r="E1380" t="inlineStr">
        <is>
          <t>STRÖMSUND</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8239-2022</t>
        </is>
      </c>
      <c r="B1381" s="1" t="n">
        <v>44609</v>
      </c>
      <c r="C1381" s="1" t="n">
        <v>45749</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8421-2022</t>
        </is>
      </c>
      <c r="B1382" s="1" t="n">
        <v>44610</v>
      </c>
      <c r="C1382" s="1" t="n">
        <v>45749</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9370-2022</t>
        </is>
      </c>
      <c r="B1383" s="1" t="n">
        <v>44616</v>
      </c>
      <c r="C1383" s="1" t="n">
        <v>45749</v>
      </c>
      <c r="D1383" t="inlineStr">
        <is>
          <t>JÄMTLANDS LÄN</t>
        </is>
      </c>
      <c r="E1383" t="inlineStr">
        <is>
          <t>STRÖMSUND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9379-2022</t>
        </is>
      </c>
      <c r="B1384" s="1" t="n">
        <v>44616</v>
      </c>
      <c r="C1384" s="1" t="n">
        <v>45749</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9934-2022</t>
        </is>
      </c>
      <c r="B1385" s="1" t="n">
        <v>44620</v>
      </c>
      <c r="C1385" s="1" t="n">
        <v>45749</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9957-2022</t>
        </is>
      </c>
      <c r="B1386" s="1" t="n">
        <v>44620</v>
      </c>
      <c r="C1386" s="1" t="n">
        <v>45749</v>
      </c>
      <c r="D1386" t="inlineStr">
        <is>
          <t>JÄMTLANDS LÄN</t>
        </is>
      </c>
      <c r="E1386" t="inlineStr">
        <is>
          <t>STRÖMSUND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10077-2022</t>
        </is>
      </c>
      <c r="B1387" s="1" t="n">
        <v>44621</v>
      </c>
      <c r="C1387" s="1" t="n">
        <v>45749</v>
      </c>
      <c r="D1387" t="inlineStr">
        <is>
          <t>JÄMTLANDS LÄN</t>
        </is>
      </c>
      <c r="E1387" t="inlineStr">
        <is>
          <t>STRÖMSUND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10144-2022</t>
        </is>
      </c>
      <c r="B1388" s="1" t="n">
        <v>44621</v>
      </c>
      <c r="C1388" s="1" t="n">
        <v>45749</v>
      </c>
      <c r="D1388" t="inlineStr">
        <is>
          <t>JÄMTLANDS LÄN</t>
        </is>
      </c>
      <c r="E1388" t="inlineStr">
        <is>
          <t>STRÖMSUND</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10136-2022</t>
        </is>
      </c>
      <c r="B1389" s="1" t="n">
        <v>44621</v>
      </c>
      <c r="C1389" s="1" t="n">
        <v>45749</v>
      </c>
      <c r="D1389" t="inlineStr">
        <is>
          <t>JÄMTLANDS LÄN</t>
        </is>
      </c>
      <c r="E1389" t="inlineStr">
        <is>
          <t>STRÖMSUND</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10249-2022</t>
        </is>
      </c>
      <c r="B1390" s="1" t="n">
        <v>44622</v>
      </c>
      <c r="C1390" s="1" t="n">
        <v>45749</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10322-2022</t>
        </is>
      </c>
      <c r="B1391" s="1" t="n">
        <v>44622</v>
      </c>
      <c r="C1391" s="1" t="n">
        <v>45749</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v>
      </c>
      <c r="C1392" s="1" t="n">
        <v>45749</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10319-2022</t>
        </is>
      </c>
      <c r="B1393" s="1" t="n">
        <v>44622</v>
      </c>
      <c r="C1393" s="1" t="n">
        <v>45749</v>
      </c>
      <c r="D1393" t="inlineStr">
        <is>
          <t>JÄMTLANDS LÄN</t>
        </is>
      </c>
      <c r="E1393" t="inlineStr">
        <is>
          <t>STRÖMSUND</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10527-2022</t>
        </is>
      </c>
      <c r="B1394" s="1" t="n">
        <v>44623</v>
      </c>
      <c r="C1394" s="1" t="n">
        <v>45749</v>
      </c>
      <c r="D1394" t="inlineStr">
        <is>
          <t>JÄMTLANDS LÄN</t>
        </is>
      </c>
      <c r="E1394" t="inlineStr">
        <is>
          <t>STRÖMSUND</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10647-2022</t>
        </is>
      </c>
      <c r="B1395" s="1" t="n">
        <v>44624</v>
      </c>
      <c r="C1395" s="1" t="n">
        <v>45749</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10656-2022</t>
        </is>
      </c>
      <c r="B1396" s="1" t="n">
        <v>44624</v>
      </c>
      <c r="C1396" s="1" t="n">
        <v>45749</v>
      </c>
      <c r="D1396" t="inlineStr">
        <is>
          <t>JÄMTLANDS LÄN</t>
        </is>
      </c>
      <c r="E1396" t="inlineStr">
        <is>
          <t>STRÖMSUND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10698-2022</t>
        </is>
      </c>
      <c r="B1397" s="1" t="n">
        <v>44624</v>
      </c>
      <c r="C1397" s="1" t="n">
        <v>45749</v>
      </c>
      <c r="D1397" t="inlineStr">
        <is>
          <t>JÄMTLANDS LÄN</t>
        </is>
      </c>
      <c r="E1397" t="inlineStr">
        <is>
          <t>STRÖMSUND</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10904-2022</t>
        </is>
      </c>
      <c r="B1398" s="1" t="n">
        <v>44627</v>
      </c>
      <c r="C1398" s="1" t="n">
        <v>45749</v>
      </c>
      <c r="D1398" t="inlineStr">
        <is>
          <t>JÄMTLANDS LÄN</t>
        </is>
      </c>
      <c r="E1398" t="inlineStr">
        <is>
          <t>STRÖMSUND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11158-2022</t>
        </is>
      </c>
      <c r="B1399" s="1" t="n">
        <v>44629</v>
      </c>
      <c r="C1399" s="1" t="n">
        <v>45749</v>
      </c>
      <c r="D1399" t="inlineStr">
        <is>
          <t>JÄMTLANDS LÄN</t>
        </is>
      </c>
      <c r="E1399" t="inlineStr">
        <is>
          <t>STRÖMSUND</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11578-2022</t>
        </is>
      </c>
      <c r="B1400" s="1" t="n">
        <v>44631</v>
      </c>
      <c r="C1400" s="1" t="n">
        <v>45749</v>
      </c>
      <c r="D1400" t="inlineStr">
        <is>
          <t>JÄMTLANDS LÄN</t>
        </is>
      </c>
      <c r="E1400" t="inlineStr">
        <is>
          <t>STRÖMSUND</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11856-2022</t>
        </is>
      </c>
      <c r="B1401" s="1" t="n">
        <v>44635</v>
      </c>
      <c r="C1401" s="1" t="n">
        <v>45749</v>
      </c>
      <c r="D1401" t="inlineStr">
        <is>
          <t>JÄMTLANDS LÄN</t>
        </is>
      </c>
      <c r="E1401" t="inlineStr">
        <is>
          <t>STRÖMSUND</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12018-2022</t>
        </is>
      </c>
      <c r="B1402" s="1" t="n">
        <v>44635</v>
      </c>
      <c r="C1402" s="1" t="n">
        <v>45749</v>
      </c>
      <c r="D1402" t="inlineStr">
        <is>
          <t>JÄMTLANDS LÄN</t>
        </is>
      </c>
      <c r="E1402" t="inlineStr">
        <is>
          <t>STRÖMSUND</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12198-2022</t>
        </is>
      </c>
      <c r="B1403" s="1" t="n">
        <v>44636</v>
      </c>
      <c r="C1403" s="1" t="n">
        <v>45749</v>
      </c>
      <c r="D1403" t="inlineStr">
        <is>
          <t>JÄMTLANDS LÄN</t>
        </is>
      </c>
      <c r="E1403" t="inlineStr">
        <is>
          <t>STRÖMSUND</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12405-2022</t>
        </is>
      </c>
      <c r="B1404" s="1" t="n">
        <v>44637</v>
      </c>
      <c r="C1404" s="1" t="n">
        <v>45749</v>
      </c>
      <c r="D1404" t="inlineStr">
        <is>
          <t>JÄMTLANDS LÄN</t>
        </is>
      </c>
      <c r="E1404" t="inlineStr">
        <is>
          <t>STRÖMSUND</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12404-2022</t>
        </is>
      </c>
      <c r="B1405" s="1" t="n">
        <v>44637</v>
      </c>
      <c r="C1405" s="1" t="n">
        <v>45749</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12762-2022</t>
        </is>
      </c>
      <c r="B1406" s="1" t="n">
        <v>44641</v>
      </c>
      <c r="C1406" s="1" t="n">
        <v>45749</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12822-2022</t>
        </is>
      </c>
      <c r="B1407" s="1" t="n">
        <v>44642</v>
      </c>
      <c r="C1407" s="1" t="n">
        <v>45749</v>
      </c>
      <c r="D1407" t="inlineStr">
        <is>
          <t>JÄMTLANDS LÄN</t>
        </is>
      </c>
      <c r="E1407" t="inlineStr">
        <is>
          <t>STRÖMSUND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13098-2022</t>
        </is>
      </c>
      <c r="B1408" s="1" t="n">
        <v>44643</v>
      </c>
      <c r="C1408" s="1" t="n">
        <v>45749</v>
      </c>
      <c r="D1408" t="inlineStr">
        <is>
          <t>JÄMTLANDS LÄN</t>
        </is>
      </c>
      <c r="E1408" t="inlineStr">
        <is>
          <t>STRÖMSUND</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13099-2022</t>
        </is>
      </c>
      <c r="B1409" s="1" t="n">
        <v>44643</v>
      </c>
      <c r="C1409" s="1" t="n">
        <v>45749</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13513-2022</t>
        </is>
      </c>
      <c r="B1410" s="1" t="n">
        <v>44648</v>
      </c>
      <c r="C1410" s="1" t="n">
        <v>45749</v>
      </c>
      <c r="D1410" t="inlineStr">
        <is>
          <t>JÄMTLANDS LÄN</t>
        </is>
      </c>
      <c r="E1410" t="inlineStr">
        <is>
          <t>STRÖMSUND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14043-2022</t>
        </is>
      </c>
      <c r="B1411" s="1" t="n">
        <v>44650</v>
      </c>
      <c r="C1411" s="1" t="n">
        <v>45749</v>
      </c>
      <c r="D1411" t="inlineStr">
        <is>
          <t>JÄMTLANDS LÄN</t>
        </is>
      </c>
      <c r="E1411" t="inlineStr">
        <is>
          <t>STRÖMSUND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14283-2022</t>
        </is>
      </c>
      <c r="B1412" s="1" t="n">
        <v>44651</v>
      </c>
      <c r="C1412" s="1" t="n">
        <v>45749</v>
      </c>
      <c r="D1412" t="inlineStr">
        <is>
          <t>JÄMTLANDS LÄN</t>
        </is>
      </c>
      <c r="E1412" t="inlineStr">
        <is>
          <t>STRÖMSUND</t>
        </is>
      </c>
      <c r="F1412" t="inlineStr">
        <is>
          <t>SCA</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14288-2022</t>
        </is>
      </c>
      <c r="B1413" s="1" t="n">
        <v>44651</v>
      </c>
      <c r="C1413" s="1" t="n">
        <v>45749</v>
      </c>
      <c r="D1413" t="inlineStr">
        <is>
          <t>JÄMTLANDS LÄN</t>
        </is>
      </c>
      <c r="E1413" t="inlineStr">
        <is>
          <t>STRÖMSUND</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14292-2022</t>
        </is>
      </c>
      <c r="B1414" s="1" t="n">
        <v>44651</v>
      </c>
      <c r="C1414" s="1" t="n">
        <v>45749</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14294-2022</t>
        </is>
      </c>
      <c r="B1415" s="1" t="n">
        <v>44652</v>
      </c>
      <c r="C1415" s="1" t="n">
        <v>45749</v>
      </c>
      <c r="D1415" t="inlineStr">
        <is>
          <t>JÄMTLANDS LÄN</t>
        </is>
      </c>
      <c r="E1415" t="inlineStr">
        <is>
          <t>STRÖMSUND</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14281-2022</t>
        </is>
      </c>
      <c r="B1416" s="1" t="n">
        <v>44651</v>
      </c>
      <c r="C1416" s="1" t="n">
        <v>45749</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14289-2022</t>
        </is>
      </c>
      <c r="B1417" s="1" t="n">
        <v>44651</v>
      </c>
      <c r="C1417" s="1" t="n">
        <v>45749</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14441-2022</t>
        </is>
      </c>
      <c r="B1418" s="1" t="n">
        <v>44652</v>
      </c>
      <c r="C1418" s="1" t="n">
        <v>45749</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14443-2022</t>
        </is>
      </c>
      <c r="B1419" s="1" t="n">
        <v>44653</v>
      </c>
      <c r="C1419" s="1" t="n">
        <v>45749</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14445-2022</t>
        </is>
      </c>
      <c r="B1420" s="1" t="n">
        <v>44653</v>
      </c>
      <c r="C1420" s="1" t="n">
        <v>45749</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14442-2022</t>
        </is>
      </c>
      <c r="B1421" s="1" t="n">
        <v>44653</v>
      </c>
      <c r="C1421" s="1" t="n">
        <v>45749</v>
      </c>
      <c r="D1421" t="inlineStr">
        <is>
          <t>JÄMTLANDS LÄN</t>
        </is>
      </c>
      <c r="E1421" t="inlineStr">
        <is>
          <t>STRÖMSUND</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14460-2022</t>
        </is>
      </c>
      <c r="B1422" s="1" t="n">
        <v>44654</v>
      </c>
      <c r="C1422" s="1" t="n">
        <v>45749</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14550-2022</t>
        </is>
      </c>
      <c r="B1423" s="1" t="n">
        <v>44655</v>
      </c>
      <c r="C1423" s="1" t="n">
        <v>45749</v>
      </c>
      <c r="D1423" t="inlineStr">
        <is>
          <t>JÄMTLANDS LÄN</t>
        </is>
      </c>
      <c r="E1423" t="inlineStr">
        <is>
          <t>STRÖMSUND</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14557-2022</t>
        </is>
      </c>
      <c r="B1424" s="1" t="n">
        <v>44655</v>
      </c>
      <c r="C1424" s="1" t="n">
        <v>45749</v>
      </c>
      <c r="D1424" t="inlineStr">
        <is>
          <t>JÄMTLANDS LÄN</t>
        </is>
      </c>
      <c r="E1424" t="inlineStr">
        <is>
          <t>STRÖMSUND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14703-2022</t>
        </is>
      </c>
      <c r="B1425" s="1" t="n">
        <v>44655</v>
      </c>
      <c r="C1425" s="1" t="n">
        <v>45749</v>
      </c>
      <c r="D1425" t="inlineStr">
        <is>
          <t>JÄMTLANDS LÄN</t>
        </is>
      </c>
      <c r="E1425" t="inlineStr">
        <is>
          <t>STRÖMSUND</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14894-2022</t>
        </is>
      </c>
      <c r="B1426" s="1" t="n">
        <v>44657</v>
      </c>
      <c r="C1426" s="1" t="n">
        <v>45749</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15238-2022</t>
        </is>
      </c>
      <c r="B1427" s="1" t="n">
        <v>44659</v>
      </c>
      <c r="C1427" s="1" t="n">
        <v>45749</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15141-2022</t>
        </is>
      </c>
      <c r="B1428" s="1" t="n">
        <v>44658</v>
      </c>
      <c r="C1428" s="1" t="n">
        <v>45749</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15239-2022</t>
        </is>
      </c>
      <c r="B1429" s="1" t="n">
        <v>44659</v>
      </c>
      <c r="C1429" s="1" t="n">
        <v>45749</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45749</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15546-2022</t>
        </is>
      </c>
      <c r="B1431" s="1" t="n">
        <v>44662</v>
      </c>
      <c r="C1431" s="1" t="n">
        <v>45749</v>
      </c>
      <c r="D1431" t="inlineStr">
        <is>
          <t>JÄMTLANDS LÄN</t>
        </is>
      </c>
      <c r="E1431" t="inlineStr">
        <is>
          <t>STRÖMSUND</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15522-2022</t>
        </is>
      </c>
      <c r="B1432" s="1" t="n">
        <v>44662</v>
      </c>
      <c r="C1432" s="1" t="n">
        <v>45749</v>
      </c>
      <c r="D1432" t="inlineStr">
        <is>
          <t>JÄMTLANDS LÄN</t>
        </is>
      </c>
      <c r="E1432" t="inlineStr">
        <is>
          <t>STRÖMSUND</t>
        </is>
      </c>
      <c r="G1432" t="n">
        <v>41.8</v>
      </c>
      <c r="H1432" t="n">
        <v>0</v>
      </c>
      <c r="I1432" t="n">
        <v>0</v>
      </c>
      <c r="J1432" t="n">
        <v>0</v>
      </c>
      <c r="K1432" t="n">
        <v>0</v>
      </c>
      <c r="L1432" t="n">
        <v>0</v>
      </c>
      <c r="M1432" t="n">
        <v>0</v>
      </c>
      <c r="N1432" t="n">
        <v>0</v>
      </c>
      <c r="O1432" t="n">
        <v>0</v>
      </c>
      <c r="P1432" t="n">
        <v>0</v>
      </c>
      <c r="Q1432" t="n">
        <v>0</v>
      </c>
      <c r="R1432" s="2" t="inlineStr"/>
    </row>
    <row r="1433" ht="15" customHeight="1">
      <c r="A1433" t="inlineStr">
        <is>
          <t>A 15407-2022</t>
        </is>
      </c>
      <c r="B1433" s="1" t="n">
        <v>44662</v>
      </c>
      <c r="C1433" s="1" t="n">
        <v>45749</v>
      </c>
      <c r="D1433" t="inlineStr">
        <is>
          <t>JÄMTLANDS LÄN</t>
        </is>
      </c>
      <c r="E1433" t="inlineStr">
        <is>
          <t>STRÖMSUND</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15668-2022</t>
        </is>
      </c>
      <c r="B1434" s="1" t="n">
        <v>44663</v>
      </c>
      <c r="C1434" s="1" t="n">
        <v>45749</v>
      </c>
      <c r="D1434" t="inlineStr">
        <is>
          <t>JÄMTLANDS LÄN</t>
        </is>
      </c>
      <c r="E1434" t="inlineStr">
        <is>
          <t>STRÖMSUND</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15865-2022</t>
        </is>
      </c>
      <c r="B1435" s="1" t="n">
        <v>44664</v>
      </c>
      <c r="C1435" s="1" t="n">
        <v>45749</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15971-2022</t>
        </is>
      </c>
      <c r="B1436" s="1" t="n">
        <v>44664</v>
      </c>
      <c r="C1436" s="1" t="n">
        <v>45749</v>
      </c>
      <c r="D1436" t="inlineStr">
        <is>
          <t>JÄMTLANDS LÄN</t>
        </is>
      </c>
      <c r="E1436" t="inlineStr">
        <is>
          <t>STRÖMSUND</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16311-2022</t>
        </is>
      </c>
      <c r="B1437" s="1" t="n">
        <v>44670</v>
      </c>
      <c r="C1437" s="1" t="n">
        <v>45749</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16317-2022</t>
        </is>
      </c>
      <c r="B1438" s="1" t="n">
        <v>44670</v>
      </c>
      <c r="C1438" s="1" t="n">
        <v>45749</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16359-2022</t>
        </is>
      </c>
      <c r="B1439" s="1" t="n">
        <v>44671</v>
      </c>
      <c r="C1439" s="1" t="n">
        <v>45749</v>
      </c>
      <c r="D1439" t="inlineStr">
        <is>
          <t>JÄMTLANDS LÄN</t>
        </is>
      </c>
      <c r="E1439" t="inlineStr">
        <is>
          <t>STRÖMSUND</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16358-2022</t>
        </is>
      </c>
      <c r="B1440" s="1" t="n">
        <v>44671</v>
      </c>
      <c r="C1440" s="1" t="n">
        <v>45749</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16518-2022</t>
        </is>
      </c>
      <c r="B1441" s="1" t="n">
        <v>44672</v>
      </c>
      <c r="C1441" s="1" t="n">
        <v>45749</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16516-2022</t>
        </is>
      </c>
      <c r="B1442" s="1" t="n">
        <v>44672</v>
      </c>
      <c r="C1442" s="1" t="n">
        <v>45749</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16848-2022</t>
        </is>
      </c>
      <c r="B1443" s="1" t="n">
        <v>44674</v>
      </c>
      <c r="C1443" s="1" t="n">
        <v>45749</v>
      </c>
      <c r="D1443" t="inlineStr">
        <is>
          <t>JÄMTLANDS LÄN</t>
        </is>
      </c>
      <c r="E1443" t="inlineStr">
        <is>
          <t>STRÖMSUND</t>
        </is>
      </c>
      <c r="F1443" t="inlineStr">
        <is>
          <t>SCA</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21844-2022</t>
        </is>
      </c>
      <c r="B1444" s="1" t="n">
        <v>44678</v>
      </c>
      <c r="C1444" s="1" t="n">
        <v>45749</v>
      </c>
      <c r="D1444" t="inlineStr">
        <is>
          <t>JÄMTLANDS LÄN</t>
        </is>
      </c>
      <c r="E1444" t="inlineStr">
        <is>
          <t>STRÖMSUND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17753-2022</t>
        </is>
      </c>
      <c r="B1445" s="1" t="n">
        <v>44681</v>
      </c>
      <c r="C1445" s="1" t="n">
        <v>45749</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17754-2022</t>
        </is>
      </c>
      <c r="B1446" s="1" t="n">
        <v>44680</v>
      </c>
      <c r="C1446" s="1" t="n">
        <v>45749</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17752-2022</t>
        </is>
      </c>
      <c r="B1447" s="1" t="n">
        <v>44680</v>
      </c>
      <c r="C1447" s="1" t="n">
        <v>45749</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18205-2022</t>
        </is>
      </c>
      <c r="B1448" s="1" t="n">
        <v>44684</v>
      </c>
      <c r="C1448" s="1" t="n">
        <v>45749</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18553-2022</t>
        </is>
      </c>
      <c r="B1449" s="1" t="n">
        <v>44687</v>
      </c>
      <c r="C1449" s="1" t="n">
        <v>45749</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18573-2022</t>
        </is>
      </c>
      <c r="B1450" s="1" t="n">
        <v>44687</v>
      </c>
      <c r="C1450" s="1" t="n">
        <v>45749</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18572-2022</t>
        </is>
      </c>
      <c r="B1451" s="1" t="n">
        <v>44686</v>
      </c>
      <c r="C1451" s="1" t="n">
        <v>45749</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18750-2022</t>
        </is>
      </c>
      <c r="B1452" s="1" t="n">
        <v>44688</v>
      </c>
      <c r="C1452" s="1" t="n">
        <v>45749</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18749-2022</t>
        </is>
      </c>
      <c r="B1453" s="1" t="n">
        <v>44688</v>
      </c>
      <c r="C1453" s="1" t="n">
        <v>45749</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18751-2022</t>
        </is>
      </c>
      <c r="B1454" s="1" t="n">
        <v>44688</v>
      </c>
      <c r="C1454" s="1" t="n">
        <v>45749</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18994-2022</t>
        </is>
      </c>
      <c r="B1455" s="1" t="n">
        <v>44691</v>
      </c>
      <c r="C1455" s="1" t="n">
        <v>45749</v>
      </c>
      <c r="D1455" t="inlineStr">
        <is>
          <t>JÄMTLANDS LÄN</t>
        </is>
      </c>
      <c r="E1455" t="inlineStr">
        <is>
          <t>STRÖMSUND</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19209-2022</t>
        </is>
      </c>
      <c r="B1456" s="1" t="n">
        <v>44691</v>
      </c>
      <c r="C1456" s="1" t="n">
        <v>45749</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19602-2022</t>
        </is>
      </c>
      <c r="B1457" s="1" t="n">
        <v>44694</v>
      </c>
      <c r="C1457" s="1" t="n">
        <v>45749</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20058-2022</t>
        </is>
      </c>
      <c r="B1458" s="1" t="n">
        <v>44698</v>
      </c>
      <c r="C1458" s="1" t="n">
        <v>45749</v>
      </c>
      <c r="D1458" t="inlineStr">
        <is>
          <t>JÄMTLANDS LÄN</t>
        </is>
      </c>
      <c r="E1458" t="inlineStr">
        <is>
          <t>STRÖMSUND</t>
        </is>
      </c>
      <c r="G1458" t="n">
        <v>29.5</v>
      </c>
      <c r="H1458" t="n">
        <v>0</v>
      </c>
      <c r="I1458" t="n">
        <v>0</v>
      </c>
      <c r="J1458" t="n">
        <v>0</v>
      </c>
      <c r="K1458" t="n">
        <v>0</v>
      </c>
      <c r="L1458" t="n">
        <v>0</v>
      </c>
      <c r="M1458" t="n">
        <v>0</v>
      </c>
      <c r="N1458" t="n">
        <v>0</v>
      </c>
      <c r="O1458" t="n">
        <v>0</v>
      </c>
      <c r="P1458" t="n">
        <v>0</v>
      </c>
      <c r="Q1458" t="n">
        <v>0</v>
      </c>
      <c r="R1458" s="2" t="inlineStr"/>
    </row>
    <row r="1459" ht="15" customHeight="1">
      <c r="A1459" t="inlineStr">
        <is>
          <t>A 20072-2022</t>
        </is>
      </c>
      <c r="B1459" s="1" t="n">
        <v>44697</v>
      </c>
      <c r="C1459" s="1" t="n">
        <v>45749</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20073-2022</t>
        </is>
      </c>
      <c r="B1460" s="1" t="n">
        <v>44697</v>
      </c>
      <c r="C1460" s="1" t="n">
        <v>45749</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20071-2022</t>
        </is>
      </c>
      <c r="B1461" s="1" t="n">
        <v>44698</v>
      </c>
      <c r="C1461" s="1" t="n">
        <v>45749</v>
      </c>
      <c r="D1461" t="inlineStr">
        <is>
          <t>JÄMTLANDS LÄN</t>
        </is>
      </c>
      <c r="E1461" t="inlineStr">
        <is>
          <t>STRÖMSUND</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19964-2022</t>
        </is>
      </c>
      <c r="B1462" s="1" t="n">
        <v>44697</v>
      </c>
      <c r="C1462" s="1" t="n">
        <v>45749</v>
      </c>
      <c r="D1462" t="inlineStr">
        <is>
          <t>JÄMTLANDS LÄN</t>
        </is>
      </c>
      <c r="E1462" t="inlineStr">
        <is>
          <t>STRÖMSUND</t>
        </is>
      </c>
      <c r="F1462" t="inlineStr">
        <is>
          <t>Holmen skog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20266-2022</t>
        </is>
      </c>
      <c r="B1463" s="1" t="n">
        <v>44698</v>
      </c>
      <c r="C1463" s="1" t="n">
        <v>45749</v>
      </c>
      <c r="D1463" t="inlineStr">
        <is>
          <t>JÄMTLANDS LÄN</t>
        </is>
      </c>
      <c r="E1463" t="inlineStr">
        <is>
          <t>STRÖMSUND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20334-2022</t>
        </is>
      </c>
      <c r="B1464" s="1" t="n">
        <v>44699</v>
      </c>
      <c r="C1464" s="1" t="n">
        <v>45749</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20339-2022</t>
        </is>
      </c>
      <c r="B1465" s="1" t="n">
        <v>44699</v>
      </c>
      <c r="C1465" s="1" t="n">
        <v>45749</v>
      </c>
      <c r="D1465" t="inlineStr">
        <is>
          <t>JÄMTLANDS LÄN</t>
        </is>
      </c>
      <c r="E1465" t="inlineStr">
        <is>
          <t>STRÖMSUND</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20432-2022</t>
        </is>
      </c>
      <c r="B1466" s="1" t="n">
        <v>44699</v>
      </c>
      <c r="C1466" s="1" t="n">
        <v>45749</v>
      </c>
      <c r="D1466" t="inlineStr">
        <is>
          <t>JÄMTLANDS LÄN</t>
        </is>
      </c>
      <c r="E1466" t="inlineStr">
        <is>
          <t>STRÖMSUND</t>
        </is>
      </c>
      <c r="F1466" t="inlineStr">
        <is>
          <t>SCA</t>
        </is>
      </c>
      <c r="G1466" t="n">
        <v>99.59999999999999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20331-2022</t>
        </is>
      </c>
      <c r="B1467" s="1" t="n">
        <v>44699</v>
      </c>
      <c r="C1467" s="1" t="n">
        <v>45749</v>
      </c>
      <c r="D1467" t="inlineStr">
        <is>
          <t>JÄMTLANDS LÄN</t>
        </is>
      </c>
      <c r="E1467" t="inlineStr">
        <is>
          <t>STRÖMSUND</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20707-2022</t>
        </is>
      </c>
      <c r="B1468" s="1" t="n">
        <v>44701</v>
      </c>
      <c r="C1468" s="1" t="n">
        <v>45749</v>
      </c>
      <c r="D1468" t="inlineStr">
        <is>
          <t>JÄMTLANDS LÄN</t>
        </is>
      </c>
      <c r="E1468" t="inlineStr">
        <is>
          <t>STRÖMSUND</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20706-2022</t>
        </is>
      </c>
      <c r="B1469" s="1" t="n">
        <v>44701</v>
      </c>
      <c r="C1469" s="1" t="n">
        <v>45749</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20708-2022</t>
        </is>
      </c>
      <c r="B1470" s="1" t="n">
        <v>44700</v>
      </c>
      <c r="C1470" s="1" t="n">
        <v>45749</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20865-2022</t>
        </is>
      </c>
      <c r="B1471" s="1" t="n">
        <v>44701</v>
      </c>
      <c r="C1471" s="1" t="n">
        <v>45749</v>
      </c>
      <c r="D1471" t="inlineStr">
        <is>
          <t>JÄMTLANDS LÄN</t>
        </is>
      </c>
      <c r="E1471" t="inlineStr">
        <is>
          <t>STRÖMSUND</t>
        </is>
      </c>
      <c r="F1471" t="inlineStr">
        <is>
          <t>Holmen skog AB</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20965-2022</t>
        </is>
      </c>
      <c r="B1472" s="1" t="n">
        <v>44701</v>
      </c>
      <c r="C1472" s="1" t="n">
        <v>45749</v>
      </c>
      <c r="D1472" t="inlineStr">
        <is>
          <t>JÄMTLANDS LÄN</t>
        </is>
      </c>
      <c r="E1472" t="inlineStr">
        <is>
          <t>STRÖMSUND</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20966-2022</t>
        </is>
      </c>
      <c r="B1473" s="1" t="n">
        <v>44702</v>
      </c>
      <c r="C1473" s="1" t="n">
        <v>45749</v>
      </c>
      <c r="D1473" t="inlineStr">
        <is>
          <t>JÄMTLANDS LÄN</t>
        </is>
      </c>
      <c r="E1473" t="inlineStr">
        <is>
          <t>STRÖMSUND</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21192-2022</t>
        </is>
      </c>
      <c r="B1474" s="1" t="n">
        <v>44705</v>
      </c>
      <c r="C1474" s="1" t="n">
        <v>45749</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21399-2022</t>
        </is>
      </c>
      <c r="B1475" s="1" t="n">
        <v>44706</v>
      </c>
      <c r="C1475" s="1" t="n">
        <v>45749</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21410-2022</t>
        </is>
      </c>
      <c r="B1476" s="1" t="n">
        <v>44706</v>
      </c>
      <c r="C1476" s="1" t="n">
        <v>45749</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21646-2022</t>
        </is>
      </c>
      <c r="B1477" s="1" t="n">
        <v>44707</v>
      </c>
      <c r="C1477" s="1" t="n">
        <v>45749</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21647-2022</t>
        </is>
      </c>
      <c r="B1478" s="1" t="n">
        <v>44707</v>
      </c>
      <c r="C1478" s="1" t="n">
        <v>45749</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21650-2022</t>
        </is>
      </c>
      <c r="B1479" s="1" t="n">
        <v>44706</v>
      </c>
      <c r="C1479" s="1" t="n">
        <v>45749</v>
      </c>
      <c r="D1479" t="inlineStr">
        <is>
          <t>JÄMTLANDS LÄN</t>
        </is>
      </c>
      <c r="E1479" t="inlineStr">
        <is>
          <t>STRÖMSUND</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21649-2022</t>
        </is>
      </c>
      <c r="B1480" s="1" t="n">
        <v>44707</v>
      </c>
      <c r="C1480" s="1" t="n">
        <v>45749</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21702-2022</t>
        </is>
      </c>
      <c r="B1481" s="1" t="n">
        <v>44708</v>
      </c>
      <c r="C1481" s="1" t="n">
        <v>45749</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21700-2022</t>
        </is>
      </c>
      <c r="B1482" s="1" t="n">
        <v>44708</v>
      </c>
      <c r="C1482" s="1" t="n">
        <v>45749</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21701-2022</t>
        </is>
      </c>
      <c r="B1483" s="1" t="n">
        <v>44708</v>
      </c>
      <c r="C1483" s="1" t="n">
        <v>45749</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21771-2022</t>
        </is>
      </c>
      <c r="B1484" s="1" t="n">
        <v>44708</v>
      </c>
      <c r="C1484" s="1" t="n">
        <v>45749</v>
      </c>
      <c r="D1484" t="inlineStr">
        <is>
          <t>JÄMTLANDS LÄN</t>
        </is>
      </c>
      <c r="E1484" t="inlineStr">
        <is>
          <t>STRÖMSUND</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21812-2022</t>
        </is>
      </c>
      <c r="B1485" s="1" t="n">
        <v>44708</v>
      </c>
      <c r="C1485" s="1" t="n">
        <v>45749</v>
      </c>
      <c r="D1485" t="inlineStr">
        <is>
          <t>JÄMTLANDS LÄN</t>
        </is>
      </c>
      <c r="E1485" t="inlineStr">
        <is>
          <t>STRÖMSUND</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22026-2022</t>
        </is>
      </c>
      <c r="B1486" s="1" t="n">
        <v>44711</v>
      </c>
      <c r="C1486" s="1" t="n">
        <v>45749</v>
      </c>
      <c r="D1486" t="inlineStr">
        <is>
          <t>JÄMTLANDS LÄN</t>
        </is>
      </c>
      <c r="E1486" t="inlineStr">
        <is>
          <t>STRÖMSUND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22096-2022</t>
        </is>
      </c>
      <c r="B1487" s="1" t="n">
        <v>44712</v>
      </c>
      <c r="C1487" s="1" t="n">
        <v>45749</v>
      </c>
      <c r="D1487" t="inlineStr">
        <is>
          <t>JÄMTLANDS LÄN</t>
        </is>
      </c>
      <c r="E1487" t="inlineStr">
        <is>
          <t>STRÖMSUND</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22338-2022</t>
        </is>
      </c>
      <c r="B1488" s="1" t="n">
        <v>44712</v>
      </c>
      <c r="C1488" s="1" t="n">
        <v>45749</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22337-2022</t>
        </is>
      </c>
      <c r="B1489" s="1" t="n">
        <v>44713</v>
      </c>
      <c r="C1489" s="1" t="n">
        <v>45749</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22560-2022</t>
        </is>
      </c>
      <c r="B1490" s="1" t="n">
        <v>44714</v>
      </c>
      <c r="C1490" s="1" t="n">
        <v>45749</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22564-2022</t>
        </is>
      </c>
      <c r="B1491" s="1" t="n">
        <v>44713</v>
      </c>
      <c r="C1491" s="1" t="n">
        <v>45749</v>
      </c>
      <c r="D1491" t="inlineStr">
        <is>
          <t>JÄMTLANDS LÄN</t>
        </is>
      </c>
      <c r="E1491" t="inlineStr">
        <is>
          <t>STRÖMSUND</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22558-2022</t>
        </is>
      </c>
      <c r="B1492" s="1" t="n">
        <v>44713</v>
      </c>
      <c r="C1492" s="1" t="n">
        <v>45749</v>
      </c>
      <c r="D1492" t="inlineStr">
        <is>
          <t>JÄMTLANDS LÄN</t>
        </is>
      </c>
      <c r="E1492" t="inlineStr">
        <is>
          <t>STRÖMSUND</t>
        </is>
      </c>
      <c r="F1492" t="inlineStr">
        <is>
          <t>SCA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22561-2022</t>
        </is>
      </c>
      <c r="B1493" s="1" t="n">
        <v>44714</v>
      </c>
      <c r="C1493" s="1" t="n">
        <v>45749</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22559-2022</t>
        </is>
      </c>
      <c r="B1494" s="1" t="n">
        <v>44714</v>
      </c>
      <c r="C1494" s="1" t="n">
        <v>45749</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22568-2022</t>
        </is>
      </c>
      <c r="B1495" s="1" t="n">
        <v>44714</v>
      </c>
      <c r="C1495" s="1" t="n">
        <v>45749</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22659-2022</t>
        </is>
      </c>
      <c r="B1496" s="1" t="n">
        <v>44714</v>
      </c>
      <c r="C1496" s="1" t="n">
        <v>45749</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22616-2022</t>
        </is>
      </c>
      <c r="B1497" s="1" t="n">
        <v>44714</v>
      </c>
      <c r="C1497" s="1" t="n">
        <v>45749</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22966-2022</t>
        </is>
      </c>
      <c r="B1498" s="1" t="n">
        <v>44716</v>
      </c>
      <c r="C1498" s="1" t="n">
        <v>45749</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22814-2022</t>
        </is>
      </c>
      <c r="B1499" s="1" t="n">
        <v>44715</v>
      </c>
      <c r="C1499" s="1" t="n">
        <v>45749</v>
      </c>
      <c r="D1499" t="inlineStr">
        <is>
          <t>JÄMTLANDS LÄN</t>
        </is>
      </c>
      <c r="E1499" t="inlineStr">
        <is>
          <t>STRÖMSUND</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22960-2022</t>
        </is>
      </c>
      <c r="B1500" s="1" t="n">
        <v>44716</v>
      </c>
      <c r="C1500" s="1" t="n">
        <v>45749</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22961-2022</t>
        </is>
      </c>
      <c r="B1501" s="1" t="n">
        <v>44715</v>
      </c>
      <c r="C1501" s="1" t="n">
        <v>45749</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23128-2022</t>
        </is>
      </c>
      <c r="B1502" s="1" t="n">
        <v>44719</v>
      </c>
      <c r="C1502" s="1" t="n">
        <v>45749</v>
      </c>
      <c r="D1502" t="inlineStr">
        <is>
          <t>JÄMTLANDS LÄN</t>
        </is>
      </c>
      <c r="E1502" t="inlineStr">
        <is>
          <t>STRÖMSUND</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23209-2022</t>
        </is>
      </c>
      <c r="B1503" s="1" t="n">
        <v>44719</v>
      </c>
      <c r="C1503" s="1" t="n">
        <v>45749</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23217-2022</t>
        </is>
      </c>
      <c r="B1504" s="1" t="n">
        <v>44720</v>
      </c>
      <c r="C1504" s="1" t="n">
        <v>45749</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23208-2022</t>
        </is>
      </c>
      <c r="B1505" s="1" t="n">
        <v>44719</v>
      </c>
      <c r="C1505" s="1" t="n">
        <v>45749</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23214-2022</t>
        </is>
      </c>
      <c r="B1506" s="1" t="n">
        <v>44720</v>
      </c>
      <c r="C1506" s="1" t="n">
        <v>45749</v>
      </c>
      <c r="D1506" t="inlineStr">
        <is>
          <t>JÄMTLANDS LÄN</t>
        </is>
      </c>
      <c r="E1506" t="inlineStr">
        <is>
          <t>STRÖMSUND</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23206-2022</t>
        </is>
      </c>
      <c r="B1507" s="1" t="n">
        <v>44719</v>
      </c>
      <c r="C1507" s="1" t="n">
        <v>45749</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23453-2022</t>
        </is>
      </c>
      <c r="B1508" s="1" t="n">
        <v>44721</v>
      </c>
      <c r="C1508" s="1" t="n">
        <v>45749</v>
      </c>
      <c r="D1508" t="inlineStr">
        <is>
          <t>JÄMTLANDS LÄN</t>
        </is>
      </c>
      <c r="E1508" t="inlineStr">
        <is>
          <t>STRÖMSUND</t>
        </is>
      </c>
      <c r="F1508" t="inlineStr">
        <is>
          <t>SCA</t>
        </is>
      </c>
      <c r="G1508" t="n">
        <v>48.2</v>
      </c>
      <c r="H1508" t="n">
        <v>0</v>
      </c>
      <c r="I1508" t="n">
        <v>0</v>
      </c>
      <c r="J1508" t="n">
        <v>0</v>
      </c>
      <c r="K1508" t="n">
        <v>0</v>
      </c>
      <c r="L1508" t="n">
        <v>0</v>
      </c>
      <c r="M1508" t="n">
        <v>0</v>
      </c>
      <c r="N1508" t="n">
        <v>0</v>
      </c>
      <c r="O1508" t="n">
        <v>0</v>
      </c>
      <c r="P1508" t="n">
        <v>0</v>
      </c>
      <c r="Q1508" t="n">
        <v>0</v>
      </c>
      <c r="R1508" s="2" t="inlineStr"/>
    </row>
    <row r="1509" ht="15" customHeight="1">
      <c r="A1509" t="inlineStr">
        <is>
          <t>A 23675-2022</t>
        </is>
      </c>
      <c r="B1509" s="1" t="n">
        <v>44722</v>
      </c>
      <c r="C1509" s="1" t="n">
        <v>45749</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24006-2022</t>
        </is>
      </c>
      <c r="B1510" s="1" t="n">
        <v>44723</v>
      </c>
      <c r="C1510" s="1" t="n">
        <v>45749</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24020-2022</t>
        </is>
      </c>
      <c r="B1511" s="1" t="n">
        <v>44723</v>
      </c>
      <c r="C1511" s="1" t="n">
        <v>45749</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24021-2022</t>
        </is>
      </c>
      <c r="B1512" s="1" t="n">
        <v>44723</v>
      </c>
      <c r="C1512" s="1" t="n">
        <v>45749</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24023-2022</t>
        </is>
      </c>
      <c r="B1513" s="1" t="n">
        <v>44723</v>
      </c>
      <c r="C1513" s="1" t="n">
        <v>45749</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24303-2022</t>
        </is>
      </c>
      <c r="B1514" s="1" t="n">
        <v>44726</v>
      </c>
      <c r="C1514" s="1" t="n">
        <v>45749</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24302-2022</t>
        </is>
      </c>
      <c r="B1515" s="1" t="n">
        <v>44726</v>
      </c>
      <c r="C1515" s="1" t="n">
        <v>45749</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24319-2022</t>
        </is>
      </c>
      <c r="B1516" s="1" t="n">
        <v>44726</v>
      </c>
      <c r="C1516" s="1" t="n">
        <v>45749</v>
      </c>
      <c r="D1516" t="inlineStr">
        <is>
          <t>JÄMTLANDS LÄN</t>
        </is>
      </c>
      <c r="E1516" t="inlineStr">
        <is>
          <t>STRÖMSUND</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24487-2022</t>
        </is>
      </c>
      <c r="B1517" s="1" t="n">
        <v>44726</v>
      </c>
      <c r="C1517" s="1" t="n">
        <v>45749</v>
      </c>
      <c r="D1517" t="inlineStr">
        <is>
          <t>JÄMTLANDS LÄN</t>
        </is>
      </c>
      <c r="E1517" t="inlineStr">
        <is>
          <t>STRÖMSUND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24488-2022</t>
        </is>
      </c>
      <c r="B1518" s="1" t="n">
        <v>44726</v>
      </c>
      <c r="C1518" s="1" t="n">
        <v>45749</v>
      </c>
      <c r="D1518" t="inlineStr">
        <is>
          <t>JÄMTLANDS LÄN</t>
        </is>
      </c>
      <c r="E1518" t="inlineStr">
        <is>
          <t>STRÖMSUND</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24509-2022</t>
        </is>
      </c>
      <c r="B1519" s="1" t="n">
        <v>44726</v>
      </c>
      <c r="C1519" s="1" t="n">
        <v>45749</v>
      </c>
      <c r="D1519" t="inlineStr">
        <is>
          <t>JÄMTLANDS LÄN</t>
        </is>
      </c>
      <c r="E1519" t="inlineStr">
        <is>
          <t>STRÖMSUND</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24508-2022</t>
        </is>
      </c>
      <c r="B1520" s="1" t="n">
        <v>44726</v>
      </c>
      <c r="C1520" s="1" t="n">
        <v>45749</v>
      </c>
      <c r="D1520" t="inlineStr">
        <is>
          <t>JÄMTLANDS LÄN</t>
        </is>
      </c>
      <c r="E1520" t="inlineStr">
        <is>
          <t>STRÖMSUND</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24728-2022</t>
        </is>
      </c>
      <c r="B1521" s="1" t="n">
        <v>44727</v>
      </c>
      <c r="C1521" s="1" t="n">
        <v>45749</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24918-2022</t>
        </is>
      </c>
      <c r="B1522" s="1" t="n">
        <v>44728</v>
      </c>
      <c r="C1522" s="1" t="n">
        <v>45749</v>
      </c>
      <c r="D1522" t="inlineStr">
        <is>
          <t>JÄMTLANDS LÄN</t>
        </is>
      </c>
      <c r="E1522" t="inlineStr">
        <is>
          <t>STRÖMSUND</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24912-2022</t>
        </is>
      </c>
      <c r="B1523" s="1" t="n">
        <v>44728</v>
      </c>
      <c r="C1523" s="1" t="n">
        <v>45749</v>
      </c>
      <c r="D1523" t="inlineStr">
        <is>
          <t>JÄMTLANDS LÄN</t>
        </is>
      </c>
      <c r="E1523" t="inlineStr">
        <is>
          <t>STRÖMSUND</t>
        </is>
      </c>
      <c r="F1523" t="inlineStr">
        <is>
          <t>Kyrkan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24965-2022</t>
        </is>
      </c>
      <c r="B1524" s="1" t="n">
        <v>44728</v>
      </c>
      <c r="C1524" s="1" t="n">
        <v>45749</v>
      </c>
      <c r="D1524" t="inlineStr">
        <is>
          <t>JÄMTLANDS LÄN</t>
        </is>
      </c>
      <c r="E1524" t="inlineStr">
        <is>
          <t>STRÖMSUND</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25018-2022</t>
        </is>
      </c>
      <c r="B1525" s="1" t="n">
        <v>44728</v>
      </c>
      <c r="C1525" s="1" t="n">
        <v>45749</v>
      </c>
      <c r="D1525" t="inlineStr">
        <is>
          <t>JÄMTLANDS LÄN</t>
        </is>
      </c>
      <c r="E1525" t="inlineStr">
        <is>
          <t>STRÖMSUND</t>
        </is>
      </c>
      <c r="F1525" t="inlineStr">
        <is>
          <t>SCA</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25016-2022</t>
        </is>
      </c>
      <c r="B1526" s="1" t="n">
        <v>44729</v>
      </c>
      <c r="C1526" s="1" t="n">
        <v>45749</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25085-2022</t>
        </is>
      </c>
      <c r="B1527" s="1" t="n">
        <v>44729</v>
      </c>
      <c r="C1527" s="1" t="n">
        <v>45749</v>
      </c>
      <c r="D1527" t="inlineStr">
        <is>
          <t>JÄMTLANDS LÄN</t>
        </is>
      </c>
      <c r="E1527" t="inlineStr">
        <is>
          <t>STRÖMSUND</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25662-2022</t>
        </is>
      </c>
      <c r="B1528" s="1" t="n">
        <v>44732</v>
      </c>
      <c r="C1528" s="1" t="n">
        <v>45749</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25847-2022</t>
        </is>
      </c>
      <c r="B1529" s="1" t="n">
        <v>44733</v>
      </c>
      <c r="C1529" s="1" t="n">
        <v>45749</v>
      </c>
      <c r="D1529" t="inlineStr">
        <is>
          <t>JÄMTLANDS LÄN</t>
        </is>
      </c>
      <c r="E1529" t="inlineStr">
        <is>
          <t>STRÖMSUND</t>
        </is>
      </c>
      <c r="F1529" t="inlineStr">
        <is>
          <t>Kyrkan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25843-2022</t>
        </is>
      </c>
      <c r="B1530" s="1" t="n">
        <v>44733</v>
      </c>
      <c r="C1530" s="1" t="n">
        <v>45749</v>
      </c>
      <c r="D1530" t="inlineStr">
        <is>
          <t>JÄMTLANDS LÄN</t>
        </is>
      </c>
      <c r="E1530" t="inlineStr">
        <is>
          <t>STRÖMSUND</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26117-2022</t>
        </is>
      </c>
      <c r="B1531" s="1" t="n">
        <v>44735</v>
      </c>
      <c r="C1531" s="1" t="n">
        <v>45749</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26116-2022</t>
        </is>
      </c>
      <c r="B1532" s="1" t="n">
        <v>44734</v>
      </c>
      <c r="C1532" s="1" t="n">
        <v>45749</v>
      </c>
      <c r="D1532" t="inlineStr">
        <is>
          <t>JÄMTLANDS LÄN</t>
        </is>
      </c>
      <c r="E1532" t="inlineStr">
        <is>
          <t>STRÖMSUND</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26130-2022</t>
        </is>
      </c>
      <c r="B1533" s="1" t="n">
        <v>44735</v>
      </c>
      <c r="C1533" s="1" t="n">
        <v>45749</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26133-2022</t>
        </is>
      </c>
      <c r="B1534" s="1" t="n">
        <v>44735</v>
      </c>
      <c r="C1534" s="1" t="n">
        <v>45749</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26126-2022</t>
        </is>
      </c>
      <c r="B1535" s="1" t="n">
        <v>44735</v>
      </c>
      <c r="C1535" s="1" t="n">
        <v>45749</v>
      </c>
      <c r="D1535" t="inlineStr">
        <is>
          <t>JÄMTLANDS LÄN</t>
        </is>
      </c>
      <c r="E1535" t="inlineStr">
        <is>
          <t>STRÖMSUND</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26132-2022</t>
        </is>
      </c>
      <c r="B1536" s="1" t="n">
        <v>44734</v>
      </c>
      <c r="C1536" s="1" t="n">
        <v>45749</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26421-2022</t>
        </is>
      </c>
      <c r="B1537" s="1" t="n">
        <v>44736</v>
      </c>
      <c r="C1537" s="1" t="n">
        <v>45749</v>
      </c>
      <c r="D1537" t="inlineStr">
        <is>
          <t>JÄMTLANDS LÄN</t>
        </is>
      </c>
      <c r="E1537" t="inlineStr">
        <is>
          <t>STRÖMSUND</t>
        </is>
      </c>
      <c r="F1537" t="inlineStr">
        <is>
          <t>SCA</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26734-2022</t>
        </is>
      </c>
      <c r="B1538" s="1" t="n">
        <v>44740</v>
      </c>
      <c r="C1538" s="1" t="n">
        <v>45749</v>
      </c>
      <c r="D1538" t="inlineStr">
        <is>
          <t>JÄMTLANDS LÄN</t>
        </is>
      </c>
      <c r="E1538" t="inlineStr">
        <is>
          <t>STRÖMSUND</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26943-2022</t>
        </is>
      </c>
      <c r="B1539" s="1" t="n">
        <v>44740</v>
      </c>
      <c r="C1539" s="1" t="n">
        <v>45749</v>
      </c>
      <c r="D1539" t="inlineStr">
        <is>
          <t>JÄMTLANDS LÄN</t>
        </is>
      </c>
      <c r="E1539" t="inlineStr">
        <is>
          <t>STRÖMSUND</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27035-2022</t>
        </is>
      </c>
      <c r="B1540" s="1" t="n">
        <v>44741</v>
      </c>
      <c r="C1540" s="1" t="n">
        <v>45749</v>
      </c>
      <c r="D1540" t="inlineStr">
        <is>
          <t>JÄMTLANDS LÄN</t>
        </is>
      </c>
      <c r="E1540" t="inlineStr">
        <is>
          <t>STRÖMSUND</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27034-2022</t>
        </is>
      </c>
      <c r="B1541" s="1" t="n">
        <v>44741</v>
      </c>
      <c r="C1541" s="1" t="n">
        <v>45749</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27032-2022</t>
        </is>
      </c>
      <c r="B1542" s="1" t="n">
        <v>44740</v>
      </c>
      <c r="C1542" s="1" t="n">
        <v>45749</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27031-2022</t>
        </is>
      </c>
      <c r="B1543" s="1" t="n">
        <v>44741</v>
      </c>
      <c r="C1543" s="1" t="n">
        <v>45749</v>
      </c>
      <c r="D1543" t="inlineStr">
        <is>
          <t>JÄMTLANDS LÄN</t>
        </is>
      </c>
      <c r="E1543" t="inlineStr">
        <is>
          <t>STRÖMSUND</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27036-2022</t>
        </is>
      </c>
      <c r="B1544" s="1" t="n">
        <v>44741</v>
      </c>
      <c r="C1544" s="1" t="n">
        <v>45749</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27037-2022</t>
        </is>
      </c>
      <c r="B1545" s="1" t="n">
        <v>44741</v>
      </c>
      <c r="C1545" s="1" t="n">
        <v>45749</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27295-2022</t>
        </is>
      </c>
      <c r="B1546" s="1" t="n">
        <v>44742</v>
      </c>
      <c r="C1546" s="1" t="n">
        <v>45749</v>
      </c>
      <c r="D1546" t="inlineStr">
        <is>
          <t>JÄMTLANDS LÄN</t>
        </is>
      </c>
      <c r="E1546" t="inlineStr">
        <is>
          <t>STRÖMSUND</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27290-2022</t>
        </is>
      </c>
      <c r="B1547" s="1" t="n">
        <v>44741</v>
      </c>
      <c r="C1547" s="1" t="n">
        <v>45749</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27285-2022</t>
        </is>
      </c>
      <c r="B1548" s="1" t="n">
        <v>44742</v>
      </c>
      <c r="C1548" s="1" t="n">
        <v>45749</v>
      </c>
      <c r="D1548" t="inlineStr">
        <is>
          <t>JÄMTLANDS LÄN</t>
        </is>
      </c>
      <c r="E1548" t="inlineStr">
        <is>
          <t>STRÖMSUND</t>
        </is>
      </c>
      <c r="F1548" t="inlineStr">
        <is>
          <t>SCA</t>
        </is>
      </c>
      <c r="G1548" t="n">
        <v>43.8</v>
      </c>
      <c r="H1548" t="n">
        <v>0</v>
      </c>
      <c r="I1548" t="n">
        <v>0</v>
      </c>
      <c r="J1548" t="n">
        <v>0</v>
      </c>
      <c r="K1548" t="n">
        <v>0</v>
      </c>
      <c r="L1548" t="n">
        <v>0</v>
      </c>
      <c r="M1548" t="n">
        <v>0</v>
      </c>
      <c r="N1548" t="n">
        <v>0</v>
      </c>
      <c r="O1548" t="n">
        <v>0</v>
      </c>
      <c r="P1548" t="n">
        <v>0</v>
      </c>
      <c r="Q1548" t="n">
        <v>0</v>
      </c>
      <c r="R1548" s="2" t="inlineStr"/>
    </row>
    <row r="1549" ht="15" customHeight="1">
      <c r="A1549" t="inlineStr">
        <is>
          <t>A 27574-2022</t>
        </is>
      </c>
      <c r="B1549" s="1" t="n">
        <v>44743</v>
      </c>
      <c r="C1549" s="1" t="n">
        <v>45749</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27586-2022</t>
        </is>
      </c>
      <c r="B1550" s="1" t="n">
        <v>44743</v>
      </c>
      <c r="C1550" s="1" t="n">
        <v>45749</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27585-2022</t>
        </is>
      </c>
      <c r="B1551" s="1" t="n">
        <v>44742</v>
      </c>
      <c r="C1551" s="1" t="n">
        <v>45749</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27568-2022</t>
        </is>
      </c>
      <c r="B1552" s="1" t="n">
        <v>44743</v>
      </c>
      <c r="C1552" s="1" t="n">
        <v>45749</v>
      </c>
      <c r="D1552" t="inlineStr">
        <is>
          <t>JÄMTLANDS LÄN</t>
        </is>
      </c>
      <c r="E1552" t="inlineStr">
        <is>
          <t>STRÖMSUND</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27584-2022</t>
        </is>
      </c>
      <c r="B1553" s="1" t="n">
        <v>44742</v>
      </c>
      <c r="C1553" s="1" t="n">
        <v>45749</v>
      </c>
      <c r="D1553" t="inlineStr">
        <is>
          <t>JÄMTLANDS LÄN</t>
        </is>
      </c>
      <c r="E1553" t="inlineStr">
        <is>
          <t>STRÖMSUND</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27594-2022</t>
        </is>
      </c>
      <c r="B1554" s="1" t="n">
        <v>44743</v>
      </c>
      <c r="C1554" s="1" t="n">
        <v>45749</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27600-2022</t>
        </is>
      </c>
      <c r="B1555" s="1" t="n">
        <v>44743</v>
      </c>
      <c r="C1555" s="1" t="n">
        <v>45749</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27601-2022</t>
        </is>
      </c>
      <c r="B1556" s="1" t="n">
        <v>44743</v>
      </c>
      <c r="C1556" s="1" t="n">
        <v>45749</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27596-2022</t>
        </is>
      </c>
      <c r="B1557" s="1" t="n">
        <v>44742</v>
      </c>
      <c r="C1557" s="1" t="n">
        <v>45749</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27923-2022</t>
        </is>
      </c>
      <c r="B1558" s="1" t="n">
        <v>44744</v>
      </c>
      <c r="C1558" s="1" t="n">
        <v>45749</v>
      </c>
      <c r="D1558" t="inlineStr">
        <is>
          <t>JÄMTLANDS LÄN</t>
        </is>
      </c>
      <c r="E1558" t="inlineStr">
        <is>
          <t>STRÖMSUND</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27927-2022</t>
        </is>
      </c>
      <c r="B1559" s="1" t="n">
        <v>44744</v>
      </c>
      <c r="C1559" s="1" t="n">
        <v>45749</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27942-2022</t>
        </is>
      </c>
      <c r="B1560" s="1" t="n">
        <v>44744</v>
      </c>
      <c r="C1560" s="1" t="n">
        <v>45749</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27917-2022</t>
        </is>
      </c>
      <c r="B1561" s="1" t="n">
        <v>44744</v>
      </c>
      <c r="C1561" s="1" t="n">
        <v>45749</v>
      </c>
      <c r="D1561" t="inlineStr">
        <is>
          <t>JÄMTLANDS LÄN</t>
        </is>
      </c>
      <c r="E1561" t="inlineStr">
        <is>
          <t>STRÖMSUND</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27930-2022</t>
        </is>
      </c>
      <c r="B1562" s="1" t="n">
        <v>44743</v>
      </c>
      <c r="C1562" s="1" t="n">
        <v>45749</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27941-2022</t>
        </is>
      </c>
      <c r="B1563" s="1" t="n">
        <v>44744</v>
      </c>
      <c r="C1563" s="1" t="n">
        <v>45749</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27946-2022</t>
        </is>
      </c>
      <c r="B1564" s="1" t="n">
        <v>44744</v>
      </c>
      <c r="C1564" s="1" t="n">
        <v>45749</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27929-2022</t>
        </is>
      </c>
      <c r="B1565" s="1" t="n">
        <v>44744</v>
      </c>
      <c r="C1565" s="1" t="n">
        <v>45749</v>
      </c>
      <c r="D1565" t="inlineStr">
        <is>
          <t>JÄMTLANDS LÄN</t>
        </is>
      </c>
      <c r="E1565" t="inlineStr">
        <is>
          <t>STRÖMSUND</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27940-2022</t>
        </is>
      </c>
      <c r="B1566" s="1" t="n">
        <v>44744</v>
      </c>
      <c r="C1566" s="1" t="n">
        <v>45749</v>
      </c>
      <c r="D1566" t="inlineStr">
        <is>
          <t>JÄMTLANDS LÄN</t>
        </is>
      </c>
      <c r="E1566" t="inlineStr">
        <is>
          <t>STRÖMSUND</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27928-2022</t>
        </is>
      </c>
      <c r="B1567" s="1" t="n">
        <v>44744</v>
      </c>
      <c r="C1567" s="1" t="n">
        <v>45749</v>
      </c>
      <c r="D1567" t="inlineStr">
        <is>
          <t>JÄMTLANDS LÄN</t>
        </is>
      </c>
      <c r="E1567" t="inlineStr">
        <is>
          <t>STRÖMSUND</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28289-2022</t>
        </is>
      </c>
      <c r="B1568" s="1" t="n">
        <v>44747</v>
      </c>
      <c r="C1568" s="1" t="n">
        <v>45749</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28294-2022</t>
        </is>
      </c>
      <c r="B1569" s="1" t="n">
        <v>44747</v>
      </c>
      <c r="C1569" s="1" t="n">
        <v>45749</v>
      </c>
      <c r="D1569" t="inlineStr">
        <is>
          <t>JÄMTLANDS LÄN</t>
        </is>
      </c>
      <c r="E1569" t="inlineStr">
        <is>
          <t>STRÖMSUND</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28286-2022</t>
        </is>
      </c>
      <c r="B1570" s="1" t="n">
        <v>44746</v>
      </c>
      <c r="C1570" s="1" t="n">
        <v>45749</v>
      </c>
      <c r="D1570" t="inlineStr">
        <is>
          <t>JÄMTLANDS LÄN</t>
        </is>
      </c>
      <c r="E1570" t="inlineStr">
        <is>
          <t>STRÖMSUND</t>
        </is>
      </c>
      <c r="F1570" t="inlineStr">
        <is>
          <t>SCA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28290-2022</t>
        </is>
      </c>
      <c r="B1571" s="1" t="n">
        <v>44747</v>
      </c>
      <c r="C1571" s="1" t="n">
        <v>45749</v>
      </c>
      <c r="D1571" t="inlineStr">
        <is>
          <t>JÄMTLANDS LÄN</t>
        </is>
      </c>
      <c r="E1571" t="inlineStr">
        <is>
          <t>STRÖMSUND</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28207-2022</t>
        </is>
      </c>
      <c r="B1572" s="1" t="n">
        <v>44746</v>
      </c>
      <c r="C1572" s="1" t="n">
        <v>45749</v>
      </c>
      <c r="D1572" t="inlineStr">
        <is>
          <t>JÄMTLANDS LÄN</t>
        </is>
      </c>
      <c r="E1572" t="inlineStr">
        <is>
          <t>STRÖMSUND</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28483-2022</t>
        </is>
      </c>
      <c r="B1573" s="1" t="n">
        <v>44747</v>
      </c>
      <c r="C1573" s="1" t="n">
        <v>45749</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28494-2022</t>
        </is>
      </c>
      <c r="B1574" s="1" t="n">
        <v>44748</v>
      </c>
      <c r="C1574" s="1" t="n">
        <v>45749</v>
      </c>
      <c r="D1574" t="inlineStr">
        <is>
          <t>JÄMTLANDS LÄN</t>
        </is>
      </c>
      <c r="E1574" t="inlineStr">
        <is>
          <t>STRÖMSUND</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28493-2022</t>
        </is>
      </c>
      <c r="B1575" s="1" t="n">
        <v>44747</v>
      </c>
      <c r="C1575" s="1" t="n">
        <v>45749</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28498-2022</t>
        </is>
      </c>
      <c r="B1576" s="1" t="n">
        <v>44748</v>
      </c>
      <c r="C1576" s="1" t="n">
        <v>45749</v>
      </c>
      <c r="D1576" t="inlineStr">
        <is>
          <t>JÄMTLANDS LÄN</t>
        </is>
      </c>
      <c r="E1576" t="inlineStr">
        <is>
          <t>STRÖMSUND</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28496-2022</t>
        </is>
      </c>
      <c r="B1577" s="1" t="n">
        <v>44748</v>
      </c>
      <c r="C1577" s="1" t="n">
        <v>45749</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28520-2022</t>
        </is>
      </c>
      <c r="B1578" s="1" t="n">
        <v>44748</v>
      </c>
      <c r="C1578" s="1" t="n">
        <v>45749</v>
      </c>
      <c r="D1578" t="inlineStr">
        <is>
          <t>JÄMTLANDS LÄN</t>
        </is>
      </c>
      <c r="E1578" t="inlineStr">
        <is>
          <t>STRÖMSUND</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28533-2022</t>
        </is>
      </c>
      <c r="B1579" s="1" t="n">
        <v>44748</v>
      </c>
      <c r="C1579" s="1" t="n">
        <v>45749</v>
      </c>
      <c r="D1579" t="inlineStr">
        <is>
          <t>JÄMTLANDS LÄN</t>
        </is>
      </c>
      <c r="E1579" t="inlineStr">
        <is>
          <t>STRÖMSUND</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28705-2022</t>
        </is>
      </c>
      <c r="B1580" s="1" t="n">
        <v>44748</v>
      </c>
      <c r="C1580" s="1" t="n">
        <v>45749</v>
      </c>
      <c r="D1580" t="inlineStr">
        <is>
          <t>JÄMTLANDS LÄN</t>
        </is>
      </c>
      <c r="E1580" t="inlineStr">
        <is>
          <t>STRÖMSUND</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28734-2022</t>
        </is>
      </c>
      <c r="B1581" s="1" t="n">
        <v>44748</v>
      </c>
      <c r="C1581" s="1" t="n">
        <v>45749</v>
      </c>
      <c r="D1581" t="inlineStr">
        <is>
          <t>JÄMTLANDS LÄN</t>
        </is>
      </c>
      <c r="E1581" t="inlineStr">
        <is>
          <t>STRÖMSUND</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28948-2022</t>
        </is>
      </c>
      <c r="B1582" s="1" t="n">
        <v>44749</v>
      </c>
      <c r="C1582" s="1" t="n">
        <v>45749</v>
      </c>
      <c r="D1582" t="inlineStr">
        <is>
          <t>JÄMTLANDS LÄN</t>
        </is>
      </c>
      <c r="E1582" t="inlineStr">
        <is>
          <t>STRÖMSUND</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29042-2022</t>
        </is>
      </c>
      <c r="B1583" s="1" t="n">
        <v>44749</v>
      </c>
      <c r="C1583" s="1" t="n">
        <v>45749</v>
      </c>
      <c r="D1583" t="inlineStr">
        <is>
          <t>JÄMTLANDS LÄN</t>
        </is>
      </c>
      <c r="E1583" t="inlineStr">
        <is>
          <t>STRÖMSUND</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29045-2022</t>
        </is>
      </c>
      <c r="B1584" s="1" t="n">
        <v>44750</v>
      </c>
      <c r="C1584" s="1" t="n">
        <v>45749</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28869-2022</t>
        </is>
      </c>
      <c r="B1585" s="1" t="n">
        <v>44749</v>
      </c>
      <c r="C1585" s="1" t="n">
        <v>45749</v>
      </c>
      <c r="D1585" t="inlineStr">
        <is>
          <t>JÄMTLANDS LÄN</t>
        </is>
      </c>
      <c r="E1585" t="inlineStr">
        <is>
          <t>STRÖMSUND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29033-2022</t>
        </is>
      </c>
      <c r="B1586" s="1" t="n">
        <v>44750</v>
      </c>
      <c r="C1586" s="1" t="n">
        <v>45749</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29043-2022</t>
        </is>
      </c>
      <c r="B1587" s="1" t="n">
        <v>44749</v>
      </c>
      <c r="C1587" s="1" t="n">
        <v>45749</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29295-2022</t>
        </is>
      </c>
      <c r="B1588" s="1" t="n">
        <v>44751</v>
      </c>
      <c r="C1588" s="1" t="n">
        <v>45749</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29276-2022</t>
        </is>
      </c>
      <c r="B1589" s="1" t="n">
        <v>44750</v>
      </c>
      <c r="C1589" s="1" t="n">
        <v>45749</v>
      </c>
      <c r="D1589" t="inlineStr">
        <is>
          <t>JÄMTLANDS LÄN</t>
        </is>
      </c>
      <c r="E1589" t="inlineStr">
        <is>
          <t>STRÖMSUND</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29353-2022</t>
        </is>
      </c>
      <c r="B1590" s="1" t="n">
        <v>44750</v>
      </c>
      <c r="C1590" s="1" t="n">
        <v>45749</v>
      </c>
      <c r="D1590" t="inlineStr">
        <is>
          <t>JÄMTLANDS LÄN</t>
        </is>
      </c>
      <c r="E1590" t="inlineStr">
        <is>
          <t>STRÖMSUND</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29296-2022</t>
        </is>
      </c>
      <c r="B1591" s="1" t="n">
        <v>44751</v>
      </c>
      <c r="C1591" s="1" t="n">
        <v>45749</v>
      </c>
      <c r="D1591" t="inlineStr">
        <is>
          <t>JÄMTLANDS LÄN</t>
        </is>
      </c>
      <c r="E1591" t="inlineStr">
        <is>
          <t>STRÖMSUND</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29545-2022</t>
        </is>
      </c>
      <c r="B1592" s="1" t="n">
        <v>44753</v>
      </c>
      <c r="C1592" s="1" t="n">
        <v>45749</v>
      </c>
      <c r="D1592" t="inlineStr">
        <is>
          <t>JÄMTLANDS LÄN</t>
        </is>
      </c>
      <c r="E1592" t="inlineStr">
        <is>
          <t>STRÖMSUND</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29541-2022</t>
        </is>
      </c>
      <c r="B1593" s="1" t="n">
        <v>44754</v>
      </c>
      <c r="C1593" s="1" t="n">
        <v>45749</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29540-2022</t>
        </is>
      </c>
      <c r="B1594" s="1" t="n">
        <v>44754</v>
      </c>
      <c r="C1594" s="1" t="n">
        <v>45749</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29550-2022</t>
        </is>
      </c>
      <c r="B1595" s="1" t="n">
        <v>44754</v>
      </c>
      <c r="C1595" s="1" t="n">
        <v>45749</v>
      </c>
      <c r="D1595" t="inlineStr">
        <is>
          <t>JÄMTLANDS LÄN</t>
        </is>
      </c>
      <c r="E1595" t="inlineStr">
        <is>
          <t>STRÖMSUND</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29830-2022</t>
        </is>
      </c>
      <c r="B1596" s="1" t="n">
        <v>44755</v>
      </c>
      <c r="C1596" s="1" t="n">
        <v>45749</v>
      </c>
      <c r="D1596" t="inlineStr">
        <is>
          <t>JÄMTLANDS LÄN</t>
        </is>
      </c>
      <c r="E1596" t="inlineStr">
        <is>
          <t>STRÖMSUND</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29875-2022</t>
        </is>
      </c>
      <c r="B1597" s="1" t="n">
        <v>44756</v>
      </c>
      <c r="C1597" s="1" t="n">
        <v>45749</v>
      </c>
      <c r="D1597" t="inlineStr">
        <is>
          <t>JÄMTLANDS LÄN</t>
        </is>
      </c>
      <c r="E1597" t="inlineStr">
        <is>
          <t>STRÖMSUND</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30021-2022</t>
        </is>
      </c>
      <c r="B1598" s="1" t="n">
        <v>44757</v>
      </c>
      <c r="C1598" s="1" t="n">
        <v>45749</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30036-2022</t>
        </is>
      </c>
      <c r="B1599" s="1" t="n">
        <v>44756</v>
      </c>
      <c r="C1599" s="1" t="n">
        <v>45749</v>
      </c>
      <c r="D1599" t="inlineStr">
        <is>
          <t>JÄMTLANDS LÄN</t>
        </is>
      </c>
      <c r="E1599" t="inlineStr">
        <is>
          <t>STRÖMSUND</t>
        </is>
      </c>
      <c r="F1599" t="inlineStr">
        <is>
          <t>SCA</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30024-2022</t>
        </is>
      </c>
      <c r="B1600" s="1" t="n">
        <v>44757</v>
      </c>
      <c r="C1600" s="1" t="n">
        <v>45749</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30031-2022</t>
        </is>
      </c>
      <c r="B1601" s="1" t="n">
        <v>44757</v>
      </c>
      <c r="C1601" s="1" t="n">
        <v>45749</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30023-2022</t>
        </is>
      </c>
      <c r="B1602" s="1" t="n">
        <v>44757</v>
      </c>
      <c r="C1602" s="1" t="n">
        <v>45749</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30030-2022</t>
        </is>
      </c>
      <c r="B1603" s="1" t="n">
        <v>44757</v>
      </c>
      <c r="C1603" s="1" t="n">
        <v>45749</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30022-2022</t>
        </is>
      </c>
      <c r="B1604" s="1" t="n">
        <v>44756</v>
      </c>
      <c r="C1604" s="1" t="n">
        <v>45749</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30037-2022</t>
        </is>
      </c>
      <c r="B1605" s="1" t="n">
        <v>44757</v>
      </c>
      <c r="C1605" s="1" t="n">
        <v>45749</v>
      </c>
      <c r="D1605" t="inlineStr">
        <is>
          <t>JÄMTLANDS LÄN</t>
        </is>
      </c>
      <c r="E1605" t="inlineStr">
        <is>
          <t>STRÖMSUND</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30042-2022</t>
        </is>
      </c>
      <c r="B1606" s="1" t="n">
        <v>44757</v>
      </c>
      <c r="C1606" s="1" t="n">
        <v>45749</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30046-2022</t>
        </is>
      </c>
      <c r="B1607" s="1" t="n">
        <v>44757</v>
      </c>
      <c r="C1607" s="1" t="n">
        <v>45749</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30044-2022</t>
        </is>
      </c>
      <c r="B1608" s="1" t="n">
        <v>44756</v>
      </c>
      <c r="C1608" s="1" t="n">
        <v>45749</v>
      </c>
      <c r="D1608" t="inlineStr">
        <is>
          <t>JÄMTLANDS LÄN</t>
        </is>
      </c>
      <c r="E1608" t="inlineStr">
        <is>
          <t>STRÖMSUND</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30086-2022</t>
        </is>
      </c>
      <c r="B1609" s="1" t="n">
        <v>44757</v>
      </c>
      <c r="C1609" s="1" t="n">
        <v>45749</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30219-2022</t>
        </is>
      </c>
      <c r="B1610" s="1" t="n">
        <v>44758</v>
      </c>
      <c r="C1610" s="1" t="n">
        <v>45749</v>
      </c>
      <c r="D1610" t="inlineStr">
        <is>
          <t>JÄMTLANDS LÄN</t>
        </is>
      </c>
      <c r="E1610" t="inlineStr">
        <is>
          <t>STRÖMSUND</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30220-2022</t>
        </is>
      </c>
      <c r="B1611" s="1" t="n">
        <v>44758</v>
      </c>
      <c r="C1611" s="1" t="n">
        <v>45749</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30225-2022</t>
        </is>
      </c>
      <c r="B1612" s="1" t="n">
        <v>44758</v>
      </c>
      <c r="C1612" s="1" t="n">
        <v>45749</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30229-2022</t>
        </is>
      </c>
      <c r="B1613" s="1" t="n">
        <v>44758</v>
      </c>
      <c r="C1613" s="1" t="n">
        <v>45749</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30223-2022</t>
        </is>
      </c>
      <c r="B1614" s="1" t="n">
        <v>44758</v>
      </c>
      <c r="C1614" s="1" t="n">
        <v>45749</v>
      </c>
      <c r="D1614" t="inlineStr">
        <is>
          <t>JÄMTLANDS LÄN</t>
        </is>
      </c>
      <c r="E1614" t="inlineStr">
        <is>
          <t>STRÖMSUND</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30227-2022</t>
        </is>
      </c>
      <c r="B1615" s="1" t="n">
        <v>44758</v>
      </c>
      <c r="C1615" s="1" t="n">
        <v>45749</v>
      </c>
      <c r="D1615" t="inlineStr">
        <is>
          <t>JÄMTLANDS LÄN</t>
        </is>
      </c>
      <c r="E1615" t="inlineStr">
        <is>
          <t>STRÖMSUND</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30232-2022</t>
        </is>
      </c>
      <c r="B1616" s="1" t="n">
        <v>44758</v>
      </c>
      <c r="C1616" s="1" t="n">
        <v>45749</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30226-2022</t>
        </is>
      </c>
      <c r="B1617" s="1" t="n">
        <v>44757</v>
      </c>
      <c r="C1617" s="1" t="n">
        <v>45749</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30230-2022</t>
        </is>
      </c>
      <c r="B1618" s="1" t="n">
        <v>44757</v>
      </c>
      <c r="C1618" s="1" t="n">
        <v>45749</v>
      </c>
      <c r="D1618" t="inlineStr">
        <is>
          <t>JÄMTLANDS LÄN</t>
        </is>
      </c>
      <c r="E1618" t="inlineStr">
        <is>
          <t>STRÖMSUND</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30496-2022</t>
        </is>
      </c>
      <c r="B1619" s="1" t="n">
        <v>44762</v>
      </c>
      <c r="C1619" s="1" t="n">
        <v>45749</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31443-2022</t>
        </is>
      </c>
      <c r="B1620" s="1" t="n">
        <v>44775</v>
      </c>
      <c r="C1620" s="1" t="n">
        <v>45749</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31447-2022</t>
        </is>
      </c>
      <c r="B1621" s="1" t="n">
        <v>44775</v>
      </c>
      <c r="C1621" s="1" t="n">
        <v>45749</v>
      </c>
      <c r="D1621" t="inlineStr">
        <is>
          <t>JÄMTLANDS LÄN</t>
        </is>
      </c>
      <c r="E1621" t="inlineStr">
        <is>
          <t>STRÖMSUND</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31448-2022</t>
        </is>
      </c>
      <c r="B1622" s="1" t="n">
        <v>44775</v>
      </c>
      <c r="C1622" s="1" t="n">
        <v>45749</v>
      </c>
      <c r="D1622" t="inlineStr">
        <is>
          <t>JÄMTLANDS LÄN</t>
        </is>
      </c>
      <c r="E1622" t="inlineStr">
        <is>
          <t>STRÖMSUND</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31445-2022</t>
        </is>
      </c>
      <c r="B1623" s="1" t="n">
        <v>44775</v>
      </c>
      <c r="C1623" s="1" t="n">
        <v>45749</v>
      </c>
      <c r="D1623" t="inlineStr">
        <is>
          <t>JÄMTLANDS LÄN</t>
        </is>
      </c>
      <c r="E1623" t="inlineStr">
        <is>
          <t>STRÖMSUND</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31449-2022</t>
        </is>
      </c>
      <c r="B1624" s="1" t="n">
        <v>44775</v>
      </c>
      <c r="C1624" s="1" t="n">
        <v>45749</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31485-2022</t>
        </is>
      </c>
      <c r="B1625" s="1" t="n">
        <v>44775</v>
      </c>
      <c r="C1625" s="1" t="n">
        <v>45749</v>
      </c>
      <c r="D1625" t="inlineStr">
        <is>
          <t>JÄMTLANDS LÄN</t>
        </is>
      </c>
      <c r="E1625" t="inlineStr">
        <is>
          <t>STRÖMSUND</t>
        </is>
      </c>
      <c r="F1625" t="inlineStr">
        <is>
          <t>SCA</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31501-2022</t>
        </is>
      </c>
      <c r="B1626" s="1" t="n">
        <v>44775</v>
      </c>
      <c r="C1626" s="1" t="n">
        <v>45749</v>
      </c>
      <c r="D1626" t="inlineStr">
        <is>
          <t>JÄMTLANDS LÄN</t>
        </is>
      </c>
      <c r="E1626" t="inlineStr">
        <is>
          <t>STRÖMSUND</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31505-2022</t>
        </is>
      </c>
      <c r="B1627" s="1" t="n">
        <v>44775</v>
      </c>
      <c r="C1627" s="1" t="n">
        <v>45749</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31509-2022</t>
        </is>
      </c>
      <c r="B1628" s="1" t="n">
        <v>44775</v>
      </c>
      <c r="C1628" s="1" t="n">
        <v>45749</v>
      </c>
      <c r="D1628" t="inlineStr">
        <is>
          <t>JÄMTLANDS LÄN</t>
        </is>
      </c>
      <c r="E1628" t="inlineStr">
        <is>
          <t>STRÖMSUND</t>
        </is>
      </c>
      <c r="F1628" t="inlineStr">
        <is>
          <t>SCA</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31442-2022</t>
        </is>
      </c>
      <c r="B1629" s="1" t="n">
        <v>44774</v>
      </c>
      <c r="C1629" s="1" t="n">
        <v>45749</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31446-2022</t>
        </is>
      </c>
      <c r="B1630" s="1" t="n">
        <v>44775</v>
      </c>
      <c r="C1630" s="1" t="n">
        <v>45749</v>
      </c>
      <c r="D1630" t="inlineStr">
        <is>
          <t>JÄMTLANDS LÄN</t>
        </is>
      </c>
      <c r="E1630" t="inlineStr">
        <is>
          <t>STRÖMSUND</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31503-2022</t>
        </is>
      </c>
      <c r="B1631" s="1" t="n">
        <v>44775</v>
      </c>
      <c r="C1631" s="1" t="n">
        <v>45749</v>
      </c>
      <c r="D1631" t="inlineStr">
        <is>
          <t>JÄMTLANDS LÄN</t>
        </is>
      </c>
      <c r="E1631" t="inlineStr">
        <is>
          <t>STRÖMSUND</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31499-2022</t>
        </is>
      </c>
      <c r="B1632" s="1" t="n">
        <v>44775</v>
      </c>
      <c r="C1632" s="1" t="n">
        <v>45749</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31504-2022</t>
        </is>
      </c>
      <c r="B1633" s="1" t="n">
        <v>44775</v>
      </c>
      <c r="C1633" s="1" t="n">
        <v>45749</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31508-2022</t>
        </is>
      </c>
      <c r="B1634" s="1" t="n">
        <v>44775</v>
      </c>
      <c r="C1634" s="1" t="n">
        <v>45749</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31502-2022</t>
        </is>
      </c>
      <c r="B1635" s="1" t="n">
        <v>44775</v>
      </c>
      <c r="C1635" s="1" t="n">
        <v>45749</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31506-2022</t>
        </is>
      </c>
      <c r="B1636" s="1" t="n">
        <v>44774</v>
      </c>
      <c r="C1636" s="1" t="n">
        <v>45749</v>
      </c>
      <c r="D1636" t="inlineStr">
        <is>
          <t>JÄMTLANDS LÄN</t>
        </is>
      </c>
      <c r="E1636" t="inlineStr">
        <is>
          <t>STRÖMSUND</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31507-2022</t>
        </is>
      </c>
      <c r="B1637" s="1" t="n">
        <v>44774</v>
      </c>
      <c r="C1637" s="1" t="n">
        <v>45749</v>
      </c>
      <c r="D1637" t="inlineStr">
        <is>
          <t>JÄMTLANDS LÄN</t>
        </is>
      </c>
      <c r="E1637" t="inlineStr">
        <is>
          <t>STRÖMSUND</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31519-2022</t>
        </is>
      </c>
      <c r="B1638" s="1" t="n">
        <v>44775</v>
      </c>
      <c r="C1638" s="1" t="n">
        <v>45749</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31657-2022</t>
        </is>
      </c>
      <c r="B1639" s="1" t="n">
        <v>44776</v>
      </c>
      <c r="C1639" s="1" t="n">
        <v>45749</v>
      </c>
      <c r="D1639" t="inlineStr">
        <is>
          <t>JÄMTLANDS LÄN</t>
        </is>
      </c>
      <c r="E1639" t="inlineStr">
        <is>
          <t>STRÖMSUND</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31849-2022</t>
        </is>
      </c>
      <c r="B1640" s="1" t="n">
        <v>44777</v>
      </c>
      <c r="C1640" s="1" t="n">
        <v>45749</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31852-2022</t>
        </is>
      </c>
      <c r="B1641" s="1" t="n">
        <v>44776</v>
      </c>
      <c r="C1641" s="1" t="n">
        <v>45749</v>
      </c>
      <c r="D1641" t="inlineStr">
        <is>
          <t>JÄMTLANDS LÄN</t>
        </is>
      </c>
      <c r="E1641" t="inlineStr">
        <is>
          <t>STRÖMSUND</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31846-2022</t>
        </is>
      </c>
      <c r="B1642" s="1" t="n">
        <v>44777</v>
      </c>
      <c r="C1642" s="1" t="n">
        <v>45749</v>
      </c>
      <c r="D1642" t="inlineStr">
        <is>
          <t>JÄMTLANDS LÄN</t>
        </is>
      </c>
      <c r="E1642" t="inlineStr">
        <is>
          <t>STRÖMSUND</t>
        </is>
      </c>
      <c r="F1642" t="inlineStr">
        <is>
          <t>SCA</t>
        </is>
      </c>
      <c r="G1642" t="n">
        <v>19.1</v>
      </c>
      <c r="H1642" t="n">
        <v>0</v>
      </c>
      <c r="I1642" t="n">
        <v>0</v>
      </c>
      <c r="J1642" t="n">
        <v>0</v>
      </c>
      <c r="K1642" t="n">
        <v>0</v>
      </c>
      <c r="L1642" t="n">
        <v>0</v>
      </c>
      <c r="M1642" t="n">
        <v>0</v>
      </c>
      <c r="N1642" t="n">
        <v>0</v>
      </c>
      <c r="O1642" t="n">
        <v>0</v>
      </c>
      <c r="P1642" t="n">
        <v>0</v>
      </c>
      <c r="Q1642" t="n">
        <v>0</v>
      </c>
      <c r="R1642" s="2" t="inlineStr"/>
    </row>
    <row r="1643" ht="15" customHeight="1">
      <c r="A1643" t="inlineStr">
        <is>
          <t>A 32128-2022</t>
        </is>
      </c>
      <c r="B1643" s="1" t="n">
        <v>44779</v>
      </c>
      <c r="C1643" s="1" t="n">
        <v>45749</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32125-2022</t>
        </is>
      </c>
      <c r="B1644" s="1" t="n">
        <v>44778</v>
      </c>
      <c r="C1644" s="1" t="n">
        <v>45749</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32349-2022</t>
        </is>
      </c>
      <c r="B1645" s="1" t="n">
        <v>44782</v>
      </c>
      <c r="C1645" s="1" t="n">
        <v>45749</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32357-2022</t>
        </is>
      </c>
      <c r="B1646" s="1" t="n">
        <v>44782</v>
      </c>
      <c r="C1646" s="1" t="n">
        <v>45749</v>
      </c>
      <c r="D1646" t="inlineStr">
        <is>
          <t>JÄMTLANDS LÄN</t>
        </is>
      </c>
      <c r="E1646" t="inlineStr">
        <is>
          <t>STRÖMSUND</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32360-2022</t>
        </is>
      </c>
      <c r="B1647" s="1" t="n">
        <v>44782</v>
      </c>
      <c r="C1647" s="1" t="n">
        <v>45749</v>
      </c>
      <c r="D1647" t="inlineStr">
        <is>
          <t>JÄMTLANDS LÄN</t>
        </is>
      </c>
      <c r="E1647" t="inlineStr">
        <is>
          <t>STRÖMSUND</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32153-2022</t>
        </is>
      </c>
      <c r="B1648" s="1" t="n">
        <v>44781</v>
      </c>
      <c r="C1648" s="1" t="n">
        <v>45749</v>
      </c>
      <c r="D1648" t="inlineStr">
        <is>
          <t>JÄMTLANDS LÄN</t>
        </is>
      </c>
      <c r="E1648" t="inlineStr">
        <is>
          <t>STRÖMSUND</t>
        </is>
      </c>
      <c r="G1648" t="n">
        <v>27.4</v>
      </c>
      <c r="H1648" t="n">
        <v>0</v>
      </c>
      <c r="I1648" t="n">
        <v>0</v>
      </c>
      <c r="J1648" t="n">
        <v>0</v>
      </c>
      <c r="K1648" t="n">
        <v>0</v>
      </c>
      <c r="L1648" t="n">
        <v>0</v>
      </c>
      <c r="M1648" t="n">
        <v>0</v>
      </c>
      <c r="N1648" t="n">
        <v>0</v>
      </c>
      <c r="O1648" t="n">
        <v>0</v>
      </c>
      <c r="P1648" t="n">
        <v>0</v>
      </c>
      <c r="Q1648" t="n">
        <v>0</v>
      </c>
      <c r="R1648" s="2" t="inlineStr"/>
    </row>
    <row r="1649" ht="15" customHeight="1">
      <c r="A1649" t="inlineStr">
        <is>
          <t>A 32362-2022</t>
        </is>
      </c>
      <c r="B1649" s="1" t="n">
        <v>44782</v>
      </c>
      <c r="C1649" s="1" t="n">
        <v>45749</v>
      </c>
      <c r="D1649" t="inlineStr">
        <is>
          <t>JÄMTLANDS LÄN</t>
        </is>
      </c>
      <c r="E1649" t="inlineStr">
        <is>
          <t>STRÖMSUND</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32528-2022</t>
        </is>
      </c>
      <c r="B1650" s="1" t="n">
        <v>44783</v>
      </c>
      <c r="C1650" s="1" t="n">
        <v>45749</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32865-2022</t>
        </is>
      </c>
      <c r="B1651" s="1" t="n">
        <v>44784</v>
      </c>
      <c r="C1651" s="1" t="n">
        <v>45749</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32932-2022</t>
        </is>
      </c>
      <c r="B1652" s="1" t="n">
        <v>44784</v>
      </c>
      <c r="C1652" s="1" t="n">
        <v>45749</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32883-2022</t>
        </is>
      </c>
      <c r="B1653" s="1" t="n">
        <v>44784</v>
      </c>
      <c r="C1653" s="1" t="n">
        <v>45749</v>
      </c>
      <c r="D1653" t="inlineStr">
        <is>
          <t>JÄMTLANDS LÄN</t>
        </is>
      </c>
      <c r="E1653" t="inlineStr">
        <is>
          <t>STRÖMSUND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32978-2022</t>
        </is>
      </c>
      <c r="B1654" s="1" t="n">
        <v>44785</v>
      </c>
      <c r="C1654" s="1" t="n">
        <v>45749</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32996-2022</t>
        </is>
      </c>
      <c r="B1655" s="1" t="n">
        <v>44784</v>
      </c>
      <c r="C1655" s="1" t="n">
        <v>45749</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32997-2022</t>
        </is>
      </c>
      <c r="B1656" s="1" t="n">
        <v>44785</v>
      </c>
      <c r="C1656" s="1" t="n">
        <v>45749</v>
      </c>
      <c r="D1656" t="inlineStr">
        <is>
          <t>JÄMTLANDS LÄN</t>
        </is>
      </c>
      <c r="E1656" t="inlineStr">
        <is>
          <t>STRÖMSUND</t>
        </is>
      </c>
      <c r="F1656" t="inlineStr">
        <is>
          <t>SCA</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33054-2022</t>
        </is>
      </c>
      <c r="B1657" s="1" t="n">
        <v>44785</v>
      </c>
      <c r="C1657" s="1" t="n">
        <v>45749</v>
      </c>
      <c r="D1657" t="inlineStr">
        <is>
          <t>JÄMTLANDS LÄN</t>
        </is>
      </c>
      <c r="E1657" t="inlineStr">
        <is>
          <t>STRÖMSUND</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33223-2022</t>
        </is>
      </c>
      <c r="B1658" s="1" t="n">
        <v>44785</v>
      </c>
      <c r="C1658" s="1" t="n">
        <v>45749</v>
      </c>
      <c r="D1658" t="inlineStr">
        <is>
          <t>JÄMTLANDS LÄN</t>
        </is>
      </c>
      <c r="E1658" t="inlineStr">
        <is>
          <t>STRÖMSUND</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33219-2022</t>
        </is>
      </c>
      <c r="B1659" s="1" t="n">
        <v>44786</v>
      </c>
      <c r="C1659" s="1" t="n">
        <v>45749</v>
      </c>
      <c r="D1659" t="inlineStr">
        <is>
          <t>JÄMTLANDS LÄN</t>
        </is>
      </c>
      <c r="E1659" t="inlineStr">
        <is>
          <t>STRÖMSUND</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33225-2022</t>
        </is>
      </c>
      <c r="B1660" s="1" t="n">
        <v>44786</v>
      </c>
      <c r="C1660" s="1" t="n">
        <v>45749</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33231-2022</t>
        </is>
      </c>
      <c r="B1661" s="1" t="n">
        <v>44786</v>
      </c>
      <c r="C1661" s="1" t="n">
        <v>45749</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33224-2022</t>
        </is>
      </c>
      <c r="B1662" s="1" t="n">
        <v>44785</v>
      </c>
      <c r="C1662" s="1" t="n">
        <v>45749</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33230-2022</t>
        </is>
      </c>
      <c r="B1663" s="1" t="n">
        <v>44786</v>
      </c>
      <c r="C1663" s="1" t="n">
        <v>45749</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33501-2022</t>
        </is>
      </c>
      <c r="B1664" s="1" t="n">
        <v>44788</v>
      </c>
      <c r="C1664" s="1" t="n">
        <v>45749</v>
      </c>
      <c r="D1664" t="inlineStr">
        <is>
          <t>JÄMTLANDS LÄN</t>
        </is>
      </c>
      <c r="E1664" t="inlineStr">
        <is>
          <t>STRÖMSUND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33502-2022</t>
        </is>
      </c>
      <c r="B1665" s="1" t="n">
        <v>44789</v>
      </c>
      <c r="C1665" s="1" t="n">
        <v>45749</v>
      </c>
      <c r="D1665" t="inlineStr">
        <is>
          <t>JÄMTLANDS LÄN</t>
        </is>
      </c>
      <c r="E1665" t="inlineStr">
        <is>
          <t>STRÖMSUND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33520-2022</t>
        </is>
      </c>
      <c r="B1666" s="1" t="n">
        <v>44789</v>
      </c>
      <c r="C1666" s="1" t="n">
        <v>45749</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33732-2022</t>
        </is>
      </c>
      <c r="B1667" s="1" t="n">
        <v>44790</v>
      </c>
      <c r="C1667" s="1" t="n">
        <v>45749</v>
      </c>
      <c r="D1667" t="inlineStr">
        <is>
          <t>JÄMTLANDS LÄN</t>
        </is>
      </c>
      <c r="E1667" t="inlineStr">
        <is>
          <t>STRÖMSUND</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33728-2022</t>
        </is>
      </c>
      <c r="B1668" s="1" t="n">
        <v>44790</v>
      </c>
      <c r="C1668" s="1" t="n">
        <v>45749</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33730-2022</t>
        </is>
      </c>
      <c r="B1669" s="1" t="n">
        <v>44790</v>
      </c>
      <c r="C1669" s="1" t="n">
        <v>45749</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33876-2022</t>
        </is>
      </c>
      <c r="B1670" s="1" t="n">
        <v>44790</v>
      </c>
      <c r="C1670" s="1" t="n">
        <v>45749</v>
      </c>
      <c r="D1670" t="inlineStr">
        <is>
          <t>JÄMTLANDS LÄN</t>
        </is>
      </c>
      <c r="E1670" t="inlineStr">
        <is>
          <t>STRÖMSUND</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33987-2022</t>
        </is>
      </c>
      <c r="B1671" s="1" t="n">
        <v>44790</v>
      </c>
      <c r="C1671" s="1" t="n">
        <v>45749</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34008-2022</t>
        </is>
      </c>
      <c r="B1672" s="1" t="n">
        <v>44791</v>
      </c>
      <c r="C1672" s="1" t="n">
        <v>45749</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33988-2022</t>
        </is>
      </c>
      <c r="B1673" s="1" t="n">
        <v>44790</v>
      </c>
      <c r="C1673" s="1" t="n">
        <v>45749</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34004-2022</t>
        </is>
      </c>
      <c r="B1674" s="1" t="n">
        <v>44791</v>
      </c>
      <c r="C1674" s="1" t="n">
        <v>45749</v>
      </c>
      <c r="D1674" t="inlineStr">
        <is>
          <t>JÄMTLANDS LÄN</t>
        </is>
      </c>
      <c r="E1674" t="inlineStr">
        <is>
          <t>STRÖMSUND</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33985-2022</t>
        </is>
      </c>
      <c r="B1675" s="1" t="n">
        <v>44790</v>
      </c>
      <c r="C1675" s="1" t="n">
        <v>45749</v>
      </c>
      <c r="D1675" t="inlineStr">
        <is>
          <t>JÄMTLANDS LÄN</t>
        </is>
      </c>
      <c r="E1675" t="inlineStr">
        <is>
          <t>STRÖMSUND</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34023-2022</t>
        </is>
      </c>
      <c r="B1676" s="1" t="n">
        <v>44790</v>
      </c>
      <c r="C1676" s="1" t="n">
        <v>45749</v>
      </c>
      <c r="D1676" t="inlineStr">
        <is>
          <t>JÄMTLANDS LÄN</t>
        </is>
      </c>
      <c r="E1676" t="inlineStr">
        <is>
          <t>STRÖMSUND</t>
        </is>
      </c>
      <c r="G1676" t="n">
        <v>34.5</v>
      </c>
      <c r="H1676" t="n">
        <v>0</v>
      </c>
      <c r="I1676" t="n">
        <v>0</v>
      </c>
      <c r="J1676" t="n">
        <v>0</v>
      </c>
      <c r="K1676" t="n">
        <v>0</v>
      </c>
      <c r="L1676" t="n">
        <v>0</v>
      </c>
      <c r="M1676" t="n">
        <v>0</v>
      </c>
      <c r="N1676" t="n">
        <v>0</v>
      </c>
      <c r="O1676" t="n">
        <v>0</v>
      </c>
      <c r="P1676" t="n">
        <v>0</v>
      </c>
      <c r="Q1676" t="n">
        <v>0</v>
      </c>
      <c r="R1676" s="2" t="inlineStr"/>
    </row>
    <row r="1677" ht="15" customHeight="1">
      <c r="A1677" t="inlineStr">
        <is>
          <t>A 34005-2022</t>
        </is>
      </c>
      <c r="B1677" s="1" t="n">
        <v>44791</v>
      </c>
      <c r="C1677" s="1" t="n">
        <v>45749</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34011-2022</t>
        </is>
      </c>
      <c r="B1678" s="1" t="n">
        <v>44790</v>
      </c>
      <c r="C1678" s="1" t="n">
        <v>45749</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34245-2022</t>
        </is>
      </c>
      <c r="B1679" s="1" t="n">
        <v>44792</v>
      </c>
      <c r="C1679" s="1" t="n">
        <v>45749</v>
      </c>
      <c r="D1679" t="inlineStr">
        <is>
          <t>JÄMTLANDS LÄN</t>
        </is>
      </c>
      <c r="E1679" t="inlineStr">
        <is>
          <t>STRÖMSUND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34243-2022</t>
        </is>
      </c>
      <c r="B1680" s="1" t="n">
        <v>44792</v>
      </c>
      <c r="C1680" s="1" t="n">
        <v>45749</v>
      </c>
      <c r="D1680" t="inlineStr">
        <is>
          <t>JÄMTLANDS LÄN</t>
        </is>
      </c>
      <c r="E1680" t="inlineStr">
        <is>
          <t>STRÖMSUND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34247-2022</t>
        </is>
      </c>
      <c r="B1681" s="1" t="n">
        <v>44792</v>
      </c>
      <c r="C1681" s="1" t="n">
        <v>45749</v>
      </c>
      <c r="D1681" t="inlineStr">
        <is>
          <t>JÄMTLANDS LÄN</t>
        </is>
      </c>
      <c r="E1681" t="inlineStr">
        <is>
          <t>STRÖMSUND</t>
        </is>
      </c>
      <c r="F1681" t="inlineStr">
        <is>
          <t>SCA</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34251-2022</t>
        </is>
      </c>
      <c r="B1682" s="1" t="n">
        <v>44792</v>
      </c>
      <c r="C1682" s="1" t="n">
        <v>45749</v>
      </c>
      <c r="D1682" t="inlineStr">
        <is>
          <t>JÄMTLANDS LÄN</t>
        </is>
      </c>
      <c r="E1682" t="inlineStr">
        <is>
          <t>STRÖMSUND</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34244-2022</t>
        </is>
      </c>
      <c r="B1683" s="1" t="n">
        <v>44791</v>
      </c>
      <c r="C1683" s="1" t="n">
        <v>45749</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34264-2022</t>
        </is>
      </c>
      <c r="B1684" s="1" t="n">
        <v>44791</v>
      </c>
      <c r="C1684" s="1" t="n">
        <v>45749</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34294-2022</t>
        </is>
      </c>
      <c r="B1685" s="1" t="n">
        <v>44792</v>
      </c>
      <c r="C1685" s="1" t="n">
        <v>45749</v>
      </c>
      <c r="D1685" t="inlineStr">
        <is>
          <t>JÄMTLANDS LÄN</t>
        </is>
      </c>
      <c r="E1685" t="inlineStr">
        <is>
          <t>STRÖMSUND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34293-2022</t>
        </is>
      </c>
      <c r="B1686" s="1" t="n">
        <v>44792</v>
      </c>
      <c r="C1686" s="1" t="n">
        <v>45749</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34512-2022</t>
        </is>
      </c>
      <c r="B1687" s="1" t="n">
        <v>44793</v>
      </c>
      <c r="C1687" s="1" t="n">
        <v>45749</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34522-2022</t>
        </is>
      </c>
      <c r="B1688" s="1" t="n">
        <v>44793</v>
      </c>
      <c r="C1688" s="1" t="n">
        <v>45749</v>
      </c>
      <c r="D1688" t="inlineStr">
        <is>
          <t>JÄMTLANDS LÄN</t>
        </is>
      </c>
      <c r="E1688" t="inlineStr">
        <is>
          <t>STRÖMSUND</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34523-2022</t>
        </is>
      </c>
      <c r="B1689" s="1" t="n">
        <v>44793</v>
      </c>
      <c r="C1689" s="1" t="n">
        <v>45749</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34524-2022</t>
        </is>
      </c>
      <c r="B1690" s="1" t="n">
        <v>44793</v>
      </c>
      <c r="C1690" s="1" t="n">
        <v>45749</v>
      </c>
      <c r="D1690" t="inlineStr">
        <is>
          <t>JÄMTLANDS LÄN</t>
        </is>
      </c>
      <c r="E1690" t="inlineStr">
        <is>
          <t>STRÖMSUND</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34521-2022</t>
        </is>
      </c>
      <c r="B1691" s="1" t="n">
        <v>44793</v>
      </c>
      <c r="C1691" s="1" t="n">
        <v>45749</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34525-2022</t>
        </is>
      </c>
      <c r="B1692" s="1" t="n">
        <v>44793</v>
      </c>
      <c r="C1692" s="1" t="n">
        <v>45749</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34550-2022</t>
        </is>
      </c>
      <c r="B1693" s="1" t="n">
        <v>44793</v>
      </c>
      <c r="C1693" s="1" t="n">
        <v>45749</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34805-2022</t>
        </is>
      </c>
      <c r="B1694" s="1" t="n">
        <v>44796</v>
      </c>
      <c r="C1694" s="1" t="n">
        <v>45749</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34890-2022</t>
        </is>
      </c>
      <c r="B1695" s="1" t="n">
        <v>44796</v>
      </c>
      <c r="C1695" s="1" t="n">
        <v>45749</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34920-2022</t>
        </is>
      </c>
      <c r="B1696" s="1" t="n">
        <v>44796</v>
      </c>
      <c r="C1696" s="1" t="n">
        <v>45749</v>
      </c>
      <c r="D1696" t="inlineStr">
        <is>
          <t>JÄMTLANDS LÄN</t>
        </is>
      </c>
      <c r="E1696" t="inlineStr">
        <is>
          <t>STRÖMSUND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35015-2022</t>
        </is>
      </c>
      <c r="B1697" s="1" t="n">
        <v>44797</v>
      </c>
      <c r="C1697" s="1" t="n">
        <v>45749</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35221-2022</t>
        </is>
      </c>
      <c r="B1698" s="1" t="n">
        <v>44798</v>
      </c>
      <c r="C1698" s="1" t="n">
        <v>45749</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35233-2022</t>
        </is>
      </c>
      <c r="B1699" s="1" t="n">
        <v>44797</v>
      </c>
      <c r="C1699" s="1" t="n">
        <v>45749</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35240-2022</t>
        </is>
      </c>
      <c r="B1700" s="1" t="n">
        <v>44797</v>
      </c>
      <c r="C1700" s="1" t="n">
        <v>45749</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35241-2022</t>
        </is>
      </c>
      <c r="B1701" s="1" t="n">
        <v>44797</v>
      </c>
      <c r="C1701" s="1" t="n">
        <v>45749</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35308-2022</t>
        </is>
      </c>
      <c r="B1702" s="1" t="n">
        <v>44798</v>
      </c>
      <c r="C1702" s="1" t="n">
        <v>45749</v>
      </c>
      <c r="D1702" t="inlineStr">
        <is>
          <t>JÄMTLANDS LÄN</t>
        </is>
      </c>
      <c r="E1702" t="inlineStr">
        <is>
          <t>STRÖMSUND</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35295-2022</t>
        </is>
      </c>
      <c r="B1703" s="1" t="n">
        <v>44798</v>
      </c>
      <c r="C1703" s="1" t="n">
        <v>45749</v>
      </c>
      <c r="D1703" t="inlineStr">
        <is>
          <t>JÄMTLANDS LÄN</t>
        </is>
      </c>
      <c r="E1703" t="inlineStr">
        <is>
          <t>STRÖMSUND</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35321-2022</t>
        </is>
      </c>
      <c r="B1704" s="1" t="n">
        <v>44798</v>
      </c>
      <c r="C1704" s="1" t="n">
        <v>45749</v>
      </c>
      <c r="D1704" t="inlineStr">
        <is>
          <t>JÄMTLANDS LÄN</t>
        </is>
      </c>
      <c r="E1704" t="inlineStr">
        <is>
          <t>STRÖMSUND</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35329-2022</t>
        </is>
      </c>
      <c r="B1705" s="1" t="n">
        <v>44798</v>
      </c>
      <c r="C1705" s="1" t="n">
        <v>45749</v>
      </c>
      <c r="D1705" t="inlineStr">
        <is>
          <t>JÄMTLANDS LÄN</t>
        </is>
      </c>
      <c r="E1705" t="inlineStr">
        <is>
          <t>STRÖMSUND</t>
        </is>
      </c>
      <c r="F1705" t="inlineStr">
        <is>
          <t>Kommuner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35377-2022</t>
        </is>
      </c>
      <c r="B1706" s="1" t="n">
        <v>44798</v>
      </c>
      <c r="C1706" s="1" t="n">
        <v>45749</v>
      </c>
      <c r="D1706" t="inlineStr">
        <is>
          <t>JÄMTLANDS LÄN</t>
        </is>
      </c>
      <c r="E1706" t="inlineStr">
        <is>
          <t>STRÖMSUND</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35375-2022</t>
        </is>
      </c>
      <c r="B1707" s="1" t="n">
        <v>44798</v>
      </c>
      <c r="C1707" s="1" t="n">
        <v>45749</v>
      </c>
      <c r="D1707" t="inlineStr">
        <is>
          <t>JÄMTLANDS LÄN</t>
        </is>
      </c>
      <c r="E1707" t="inlineStr">
        <is>
          <t>STRÖMSUND</t>
        </is>
      </c>
      <c r="F1707" t="inlineStr">
        <is>
          <t>Kommuner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35694-2022</t>
        </is>
      </c>
      <c r="B1708" s="1" t="n">
        <v>44799</v>
      </c>
      <c r="C1708" s="1" t="n">
        <v>45749</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35743-2022</t>
        </is>
      </c>
      <c r="B1709" s="1" t="n">
        <v>44800</v>
      </c>
      <c r="C1709" s="1" t="n">
        <v>45749</v>
      </c>
      <c r="D1709" t="inlineStr">
        <is>
          <t>JÄMTLANDS LÄN</t>
        </is>
      </c>
      <c r="E1709" t="inlineStr">
        <is>
          <t>STRÖMSUND</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35989-2022</t>
        </is>
      </c>
      <c r="B1710" s="1" t="n">
        <v>44802</v>
      </c>
      <c r="C1710" s="1" t="n">
        <v>45749</v>
      </c>
      <c r="D1710" t="inlineStr">
        <is>
          <t>JÄMTLANDS LÄN</t>
        </is>
      </c>
      <c r="E1710" t="inlineStr">
        <is>
          <t>STRÖMSUND</t>
        </is>
      </c>
      <c r="F1710" t="inlineStr">
        <is>
          <t>Sveaskog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35853-2022</t>
        </is>
      </c>
      <c r="B1711" s="1" t="n">
        <v>44802</v>
      </c>
      <c r="C1711" s="1" t="n">
        <v>45749</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35850-2022</t>
        </is>
      </c>
      <c r="B1712" s="1" t="n">
        <v>44802</v>
      </c>
      <c r="C1712" s="1" t="n">
        <v>45749</v>
      </c>
      <c r="D1712" t="inlineStr">
        <is>
          <t>JÄMTLANDS LÄN</t>
        </is>
      </c>
      <c r="E1712" t="inlineStr">
        <is>
          <t>STRÖMSUND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35972-2022</t>
        </is>
      </c>
      <c r="B1713" s="1" t="n">
        <v>44802</v>
      </c>
      <c r="C1713" s="1" t="n">
        <v>45749</v>
      </c>
      <c r="D1713" t="inlineStr">
        <is>
          <t>JÄMTLANDS LÄN</t>
        </is>
      </c>
      <c r="E1713" t="inlineStr">
        <is>
          <t>STRÖMSUND</t>
        </is>
      </c>
      <c r="F1713" t="inlineStr">
        <is>
          <t>Sveaskog</t>
        </is>
      </c>
      <c r="G1713" t="n">
        <v>22.9</v>
      </c>
      <c r="H1713" t="n">
        <v>0</v>
      </c>
      <c r="I1713" t="n">
        <v>0</v>
      </c>
      <c r="J1713" t="n">
        <v>0</v>
      </c>
      <c r="K1713" t="n">
        <v>0</v>
      </c>
      <c r="L1713" t="n">
        <v>0</v>
      </c>
      <c r="M1713" t="n">
        <v>0</v>
      </c>
      <c r="N1713" t="n">
        <v>0</v>
      </c>
      <c r="O1713" t="n">
        <v>0</v>
      </c>
      <c r="P1713" t="n">
        <v>0</v>
      </c>
      <c r="Q1713" t="n">
        <v>0</v>
      </c>
      <c r="R1713" s="2" t="inlineStr"/>
    </row>
    <row r="1714" ht="15" customHeight="1">
      <c r="A1714" t="inlineStr">
        <is>
          <t>A 36079-2022</t>
        </is>
      </c>
      <c r="B1714" s="1" t="n">
        <v>44803</v>
      </c>
      <c r="C1714" s="1" t="n">
        <v>45749</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35971-2022</t>
        </is>
      </c>
      <c r="B1715" s="1" t="n">
        <v>44802</v>
      </c>
      <c r="C1715" s="1" t="n">
        <v>45749</v>
      </c>
      <c r="D1715" t="inlineStr">
        <is>
          <t>JÄMTLANDS LÄN</t>
        </is>
      </c>
      <c r="E1715" t="inlineStr">
        <is>
          <t>STRÖMSUND</t>
        </is>
      </c>
      <c r="F1715" t="inlineStr">
        <is>
          <t>Sveaskog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36096-2022</t>
        </is>
      </c>
      <c r="B1716" s="1" t="n">
        <v>44803</v>
      </c>
      <c r="C1716" s="1" t="n">
        <v>45749</v>
      </c>
      <c r="D1716" t="inlineStr">
        <is>
          <t>JÄMTLANDS LÄN</t>
        </is>
      </c>
      <c r="E1716" t="inlineStr">
        <is>
          <t>STRÖMSUND</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36369-2022</t>
        </is>
      </c>
      <c r="B1717" s="1" t="n">
        <v>44804</v>
      </c>
      <c r="C1717" s="1" t="n">
        <v>45749</v>
      </c>
      <c r="D1717" t="inlineStr">
        <is>
          <t>JÄMTLANDS LÄN</t>
        </is>
      </c>
      <c r="E1717" t="inlineStr">
        <is>
          <t>STRÖMSUND</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36374-2022</t>
        </is>
      </c>
      <c r="B1718" s="1" t="n">
        <v>44804</v>
      </c>
      <c r="C1718" s="1" t="n">
        <v>45749</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36275-2022</t>
        </is>
      </c>
      <c r="B1719" s="1" t="n">
        <v>44803</v>
      </c>
      <c r="C1719" s="1" t="n">
        <v>45749</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36383-2022</t>
        </is>
      </c>
      <c r="B1720" s="1" t="n">
        <v>44804</v>
      </c>
      <c r="C1720" s="1" t="n">
        <v>45749</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36390-2022</t>
        </is>
      </c>
      <c r="B1721" s="1" t="n">
        <v>44804</v>
      </c>
      <c r="C1721" s="1" t="n">
        <v>45749</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36384-2022</t>
        </is>
      </c>
      <c r="B1722" s="1" t="n">
        <v>44804</v>
      </c>
      <c r="C1722" s="1" t="n">
        <v>45749</v>
      </c>
      <c r="D1722" t="inlineStr">
        <is>
          <t>JÄMTLANDS LÄN</t>
        </is>
      </c>
      <c r="E1722" t="inlineStr">
        <is>
          <t>STRÖMSUND</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36372-2022</t>
        </is>
      </c>
      <c r="B1723" s="1" t="n">
        <v>44804</v>
      </c>
      <c r="C1723" s="1" t="n">
        <v>45749</v>
      </c>
      <c r="D1723" t="inlineStr">
        <is>
          <t>JÄMTLANDS LÄN</t>
        </is>
      </c>
      <c r="E1723" t="inlineStr">
        <is>
          <t>STRÖMSUND</t>
        </is>
      </c>
      <c r="F1723" t="inlineStr">
        <is>
          <t>SCA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36382-2022</t>
        </is>
      </c>
      <c r="B1724" s="1" t="n">
        <v>44803</v>
      </c>
      <c r="C1724" s="1" t="n">
        <v>45749</v>
      </c>
      <c r="D1724" t="inlineStr">
        <is>
          <t>JÄMTLANDS LÄN</t>
        </is>
      </c>
      <c r="E1724" t="inlineStr">
        <is>
          <t>STRÖMSUND</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36581-2022</t>
        </is>
      </c>
      <c r="B1725" s="1" t="n">
        <v>44804</v>
      </c>
      <c r="C1725" s="1" t="n">
        <v>45749</v>
      </c>
      <c r="D1725" t="inlineStr">
        <is>
          <t>JÄMTLANDS LÄN</t>
        </is>
      </c>
      <c r="E1725" t="inlineStr">
        <is>
          <t>STRÖMSUND</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36559-2022</t>
        </is>
      </c>
      <c r="B1726" s="1" t="n">
        <v>44804</v>
      </c>
      <c r="C1726" s="1" t="n">
        <v>45749</v>
      </c>
      <c r="D1726" t="inlineStr">
        <is>
          <t>JÄMTLANDS LÄN</t>
        </is>
      </c>
      <c r="E1726" t="inlineStr">
        <is>
          <t>STRÖMSUND</t>
        </is>
      </c>
      <c r="F1726" t="inlineStr">
        <is>
          <t>Holmen skog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36690-2022</t>
        </is>
      </c>
      <c r="B1727" s="1" t="n">
        <v>44805</v>
      </c>
      <c r="C1727" s="1" t="n">
        <v>45749</v>
      </c>
      <c r="D1727" t="inlineStr">
        <is>
          <t>JÄMTLANDS LÄN</t>
        </is>
      </c>
      <c r="E1727" t="inlineStr">
        <is>
          <t>STRÖMSUND</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36698-2022</t>
        </is>
      </c>
      <c r="B1728" s="1" t="n">
        <v>44805</v>
      </c>
      <c r="C1728" s="1" t="n">
        <v>45749</v>
      </c>
      <c r="D1728" t="inlineStr">
        <is>
          <t>JÄMTLANDS LÄN</t>
        </is>
      </c>
      <c r="E1728" t="inlineStr">
        <is>
          <t>STRÖMSUND</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36689-2022</t>
        </is>
      </c>
      <c r="B1729" s="1" t="n">
        <v>44804</v>
      </c>
      <c r="C1729" s="1" t="n">
        <v>45749</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36699-2022</t>
        </is>
      </c>
      <c r="B1730" s="1" t="n">
        <v>44805</v>
      </c>
      <c r="C1730" s="1" t="n">
        <v>45749</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37090-2022</t>
        </is>
      </c>
      <c r="B1731" s="1" t="n">
        <v>44806</v>
      </c>
      <c r="C1731" s="1" t="n">
        <v>45749</v>
      </c>
      <c r="D1731" t="inlineStr">
        <is>
          <t>JÄMTLANDS LÄN</t>
        </is>
      </c>
      <c r="E1731" t="inlineStr">
        <is>
          <t>STRÖMSUND</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37100-2022</t>
        </is>
      </c>
      <c r="B1732" s="1" t="n">
        <v>44806</v>
      </c>
      <c r="C1732" s="1" t="n">
        <v>45749</v>
      </c>
      <c r="D1732" t="inlineStr">
        <is>
          <t>JÄMTLANDS LÄN</t>
        </is>
      </c>
      <c r="E1732" t="inlineStr">
        <is>
          <t>STRÖMSUND</t>
        </is>
      </c>
      <c r="F1732" t="inlineStr">
        <is>
          <t>Kommuner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37107-2022</t>
        </is>
      </c>
      <c r="B1733" s="1" t="n">
        <v>44806</v>
      </c>
      <c r="C1733" s="1" t="n">
        <v>45749</v>
      </c>
      <c r="D1733" t="inlineStr">
        <is>
          <t>JÄMTLANDS LÄN</t>
        </is>
      </c>
      <c r="E1733" t="inlineStr">
        <is>
          <t>STRÖMSUND</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37084-2022</t>
        </is>
      </c>
      <c r="B1734" s="1" t="n">
        <v>44806</v>
      </c>
      <c r="C1734" s="1" t="n">
        <v>45749</v>
      </c>
      <c r="D1734" t="inlineStr">
        <is>
          <t>JÄMTLANDS LÄN</t>
        </is>
      </c>
      <c r="E1734" t="inlineStr">
        <is>
          <t>STRÖMSUND</t>
        </is>
      </c>
      <c r="F1734" t="inlineStr">
        <is>
          <t>Kommuner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37093-2022</t>
        </is>
      </c>
      <c r="B1735" s="1" t="n">
        <v>44806</v>
      </c>
      <c r="C1735" s="1" t="n">
        <v>45749</v>
      </c>
      <c r="D1735" t="inlineStr">
        <is>
          <t>JÄMTLANDS LÄN</t>
        </is>
      </c>
      <c r="E1735" t="inlineStr">
        <is>
          <t>STRÖMSUND</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37097-2022</t>
        </is>
      </c>
      <c r="B1736" s="1" t="n">
        <v>44806</v>
      </c>
      <c r="C1736" s="1" t="n">
        <v>45749</v>
      </c>
      <c r="D1736" t="inlineStr">
        <is>
          <t>JÄMTLANDS LÄN</t>
        </is>
      </c>
      <c r="E1736" t="inlineStr">
        <is>
          <t>STRÖMSUND</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37102-2022</t>
        </is>
      </c>
      <c r="B1737" s="1" t="n">
        <v>44806</v>
      </c>
      <c r="C1737" s="1" t="n">
        <v>45749</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37078-2022</t>
        </is>
      </c>
      <c r="B1738" s="1" t="n">
        <v>44806</v>
      </c>
      <c r="C1738" s="1" t="n">
        <v>45749</v>
      </c>
      <c r="D1738" t="inlineStr">
        <is>
          <t>JÄMTLANDS LÄN</t>
        </is>
      </c>
      <c r="E1738" t="inlineStr">
        <is>
          <t>STRÖMSUND</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37104-2022</t>
        </is>
      </c>
      <c r="B1739" s="1" t="n">
        <v>44806</v>
      </c>
      <c r="C1739" s="1" t="n">
        <v>45749</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37231-2022</t>
        </is>
      </c>
      <c r="B1740" s="1" t="n">
        <v>44806</v>
      </c>
      <c r="C1740" s="1" t="n">
        <v>45749</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37791-2022</t>
        </is>
      </c>
      <c r="B1741" s="1" t="n">
        <v>44810</v>
      </c>
      <c r="C1741" s="1" t="n">
        <v>45749</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38415-2022</t>
        </is>
      </c>
      <c r="B1742" s="1" t="n">
        <v>44812</v>
      </c>
      <c r="C1742" s="1" t="n">
        <v>45749</v>
      </c>
      <c r="D1742" t="inlineStr">
        <is>
          <t>JÄMTLANDS LÄN</t>
        </is>
      </c>
      <c r="E1742" t="inlineStr">
        <is>
          <t>STRÖMSUND</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38414-2022</t>
        </is>
      </c>
      <c r="B1743" s="1" t="n">
        <v>44812</v>
      </c>
      <c r="C1743" s="1" t="n">
        <v>45749</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38413-2022</t>
        </is>
      </c>
      <c r="B1744" s="1" t="n">
        <v>44812</v>
      </c>
      <c r="C1744" s="1" t="n">
        <v>45749</v>
      </c>
      <c r="D1744" t="inlineStr">
        <is>
          <t>JÄMTLANDS LÄN</t>
        </is>
      </c>
      <c r="E1744" t="inlineStr">
        <is>
          <t>STRÖMSUND</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38661-2022</t>
        </is>
      </c>
      <c r="B1745" s="1" t="n">
        <v>44813</v>
      </c>
      <c r="C1745" s="1" t="n">
        <v>45749</v>
      </c>
      <c r="D1745" t="inlineStr">
        <is>
          <t>JÄMTLANDS LÄN</t>
        </is>
      </c>
      <c r="E1745" t="inlineStr">
        <is>
          <t>STRÖMSUND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39000-2022</t>
        </is>
      </c>
      <c r="B1746" s="1" t="n">
        <v>44817</v>
      </c>
      <c r="C1746" s="1" t="n">
        <v>45749</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39010-2022</t>
        </is>
      </c>
      <c r="B1747" s="1" t="n">
        <v>44816</v>
      </c>
      <c r="C1747" s="1" t="n">
        <v>45749</v>
      </c>
      <c r="D1747" t="inlineStr">
        <is>
          <t>JÄMTLANDS LÄN</t>
        </is>
      </c>
      <c r="E1747" t="inlineStr">
        <is>
          <t>STRÖMSUND</t>
        </is>
      </c>
      <c r="F1747" t="inlineStr">
        <is>
          <t>SCA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39007-2022</t>
        </is>
      </c>
      <c r="B1748" s="1" t="n">
        <v>44817</v>
      </c>
      <c r="C1748" s="1" t="n">
        <v>45749</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39009-2022</t>
        </is>
      </c>
      <c r="B1749" s="1" t="n">
        <v>44817</v>
      </c>
      <c r="C1749" s="1" t="n">
        <v>45749</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39388-2022</t>
        </is>
      </c>
      <c r="B1750" s="1" t="n">
        <v>44817</v>
      </c>
      <c r="C1750" s="1" t="n">
        <v>45749</v>
      </c>
      <c r="D1750" t="inlineStr">
        <is>
          <t>JÄMTLANDS LÄN</t>
        </is>
      </c>
      <c r="E1750" t="inlineStr">
        <is>
          <t>STRÖMSUND</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39689-2022</t>
        </is>
      </c>
      <c r="B1751" s="1" t="n">
        <v>44818</v>
      </c>
      <c r="C1751" s="1" t="n">
        <v>45749</v>
      </c>
      <c r="D1751" t="inlineStr">
        <is>
          <t>JÄMTLANDS LÄN</t>
        </is>
      </c>
      <c r="E1751" t="inlineStr">
        <is>
          <t>STRÖMSUND</t>
        </is>
      </c>
      <c r="F1751" t="inlineStr">
        <is>
          <t>SCA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39690-2022</t>
        </is>
      </c>
      <c r="B1752" s="1" t="n">
        <v>44819</v>
      </c>
      <c r="C1752" s="1" t="n">
        <v>45749</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39700-2022</t>
        </is>
      </c>
      <c r="B1753" s="1" t="n">
        <v>44819</v>
      </c>
      <c r="C1753" s="1" t="n">
        <v>45749</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39882-2022</t>
        </is>
      </c>
      <c r="B1754" s="1" t="n">
        <v>44819</v>
      </c>
      <c r="C1754" s="1" t="n">
        <v>45749</v>
      </c>
      <c r="D1754" t="inlineStr">
        <is>
          <t>JÄMTLANDS LÄN</t>
        </is>
      </c>
      <c r="E1754" t="inlineStr">
        <is>
          <t>STRÖMSUND</t>
        </is>
      </c>
      <c r="F1754" t="inlineStr">
        <is>
          <t>Sveaskog</t>
        </is>
      </c>
      <c r="G1754" t="n">
        <v>32.6</v>
      </c>
      <c r="H1754" t="n">
        <v>0</v>
      </c>
      <c r="I1754" t="n">
        <v>0</v>
      </c>
      <c r="J1754" t="n">
        <v>0</v>
      </c>
      <c r="K1754" t="n">
        <v>0</v>
      </c>
      <c r="L1754" t="n">
        <v>0</v>
      </c>
      <c r="M1754" t="n">
        <v>0</v>
      </c>
      <c r="N1754" t="n">
        <v>0</v>
      </c>
      <c r="O1754" t="n">
        <v>0</v>
      </c>
      <c r="P1754" t="n">
        <v>0</v>
      </c>
      <c r="Q1754" t="n">
        <v>0</v>
      </c>
      <c r="R1754" s="2" t="inlineStr"/>
    </row>
    <row r="1755" ht="15" customHeight="1">
      <c r="A1755" t="inlineStr">
        <is>
          <t>A 39890-2022</t>
        </is>
      </c>
      <c r="B1755" s="1" t="n">
        <v>44819</v>
      </c>
      <c r="C1755" s="1" t="n">
        <v>45749</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39889-2022</t>
        </is>
      </c>
      <c r="B1756" s="1" t="n">
        <v>44819</v>
      </c>
      <c r="C1756" s="1" t="n">
        <v>45749</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39892-2022</t>
        </is>
      </c>
      <c r="B1757" s="1" t="n">
        <v>44819</v>
      </c>
      <c r="C1757" s="1" t="n">
        <v>45749</v>
      </c>
      <c r="D1757" t="inlineStr">
        <is>
          <t>JÄMTLANDS LÄN</t>
        </is>
      </c>
      <c r="E1757" t="inlineStr">
        <is>
          <t>STRÖMSUND</t>
        </is>
      </c>
      <c r="F1757" t="inlineStr">
        <is>
          <t>Sveaskog</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39939-2022</t>
        </is>
      </c>
      <c r="B1758" s="1" t="n">
        <v>44820</v>
      </c>
      <c r="C1758" s="1" t="n">
        <v>45749</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39957-2022</t>
        </is>
      </c>
      <c r="B1759" s="1" t="n">
        <v>44820</v>
      </c>
      <c r="C1759" s="1" t="n">
        <v>45749</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40271-2022</t>
        </is>
      </c>
      <c r="B1760" s="1" t="n">
        <v>44821</v>
      </c>
      <c r="C1760" s="1" t="n">
        <v>45749</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40287-2022</t>
        </is>
      </c>
      <c r="B1761" s="1" t="n">
        <v>44821</v>
      </c>
      <c r="C1761" s="1" t="n">
        <v>45749</v>
      </c>
      <c r="D1761" t="inlineStr">
        <is>
          <t>JÄMTLANDS LÄN</t>
        </is>
      </c>
      <c r="E1761" t="inlineStr">
        <is>
          <t>STRÖMSUND</t>
        </is>
      </c>
      <c r="F1761" t="inlineStr">
        <is>
          <t>SCA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40275-2022</t>
        </is>
      </c>
      <c r="B1762" s="1" t="n">
        <v>44820</v>
      </c>
      <c r="C1762" s="1" t="n">
        <v>45749</v>
      </c>
      <c r="D1762" t="inlineStr">
        <is>
          <t>JÄMTLANDS LÄN</t>
        </is>
      </c>
      <c r="E1762" t="inlineStr">
        <is>
          <t>STRÖMSUND</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40862-2022</t>
        </is>
      </c>
      <c r="B1763" s="1" t="n">
        <v>44820</v>
      </c>
      <c r="C1763" s="1" t="n">
        <v>45749</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40272-2022</t>
        </is>
      </c>
      <c r="B1764" s="1" t="n">
        <v>44820</v>
      </c>
      <c r="C1764" s="1" t="n">
        <v>45749</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40290-2022</t>
        </is>
      </c>
      <c r="B1765" s="1" t="n">
        <v>44821</v>
      </c>
      <c r="C1765" s="1" t="n">
        <v>45749</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40602-2022</t>
        </is>
      </c>
      <c r="B1766" s="1" t="n">
        <v>44823</v>
      </c>
      <c r="C1766" s="1" t="n">
        <v>45749</v>
      </c>
      <c r="D1766" t="inlineStr">
        <is>
          <t>JÄMTLANDS LÄN</t>
        </is>
      </c>
      <c r="E1766" t="inlineStr">
        <is>
          <t>STRÖMSUND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40617-2022</t>
        </is>
      </c>
      <c r="B1767" s="1" t="n">
        <v>44823</v>
      </c>
      <c r="C1767" s="1" t="n">
        <v>45749</v>
      </c>
      <c r="D1767" t="inlineStr">
        <is>
          <t>JÄMTLANDS LÄN</t>
        </is>
      </c>
      <c r="E1767" t="inlineStr">
        <is>
          <t>STRÖMSUND</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40936-2022</t>
        </is>
      </c>
      <c r="B1768" s="1" t="n">
        <v>44823</v>
      </c>
      <c r="C1768" s="1" t="n">
        <v>45749</v>
      </c>
      <c r="D1768" t="inlineStr">
        <is>
          <t>JÄMTLANDS LÄN</t>
        </is>
      </c>
      <c r="E1768" t="inlineStr">
        <is>
          <t>STRÖMSUND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40840-2022</t>
        </is>
      </c>
      <c r="B1769" s="1" t="n">
        <v>44824</v>
      </c>
      <c r="C1769" s="1" t="n">
        <v>45749</v>
      </c>
      <c r="D1769" t="inlineStr">
        <is>
          <t>JÄMTLANDS LÄN</t>
        </is>
      </c>
      <c r="E1769" t="inlineStr">
        <is>
          <t>STRÖMSUND</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40841-2022</t>
        </is>
      </c>
      <c r="B1770" s="1" t="n">
        <v>44825</v>
      </c>
      <c r="C1770" s="1" t="n">
        <v>45749</v>
      </c>
      <c r="D1770" t="inlineStr">
        <is>
          <t>JÄMTLANDS LÄN</t>
        </is>
      </c>
      <c r="E1770" t="inlineStr">
        <is>
          <t>STRÖMSUND</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41171-2022</t>
        </is>
      </c>
      <c r="B1771" s="1" t="n">
        <v>44826</v>
      </c>
      <c r="C1771" s="1" t="n">
        <v>45749</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41194-2022</t>
        </is>
      </c>
      <c r="B1772" s="1" t="n">
        <v>44826</v>
      </c>
      <c r="C1772" s="1" t="n">
        <v>45749</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41818-2022</t>
        </is>
      </c>
      <c r="B1773" s="1" t="n">
        <v>44828</v>
      </c>
      <c r="C1773" s="1" t="n">
        <v>45749</v>
      </c>
      <c r="D1773" t="inlineStr">
        <is>
          <t>JÄMTLANDS LÄN</t>
        </is>
      </c>
      <c r="E1773" t="inlineStr">
        <is>
          <t>STRÖMSUND</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41820-2022</t>
        </is>
      </c>
      <c r="B1774" s="1" t="n">
        <v>44828</v>
      </c>
      <c r="C1774" s="1" t="n">
        <v>45749</v>
      </c>
      <c r="D1774" t="inlineStr">
        <is>
          <t>JÄMTLANDS LÄN</t>
        </is>
      </c>
      <c r="E1774" t="inlineStr">
        <is>
          <t>STRÖMSUND</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41822-2022</t>
        </is>
      </c>
      <c r="B1775" s="1" t="n">
        <v>44828</v>
      </c>
      <c r="C1775" s="1" t="n">
        <v>45749</v>
      </c>
      <c r="D1775" t="inlineStr">
        <is>
          <t>JÄMTLANDS LÄN</t>
        </is>
      </c>
      <c r="E1775" t="inlineStr">
        <is>
          <t>STRÖMSUND</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41828-2022</t>
        </is>
      </c>
      <c r="B1776" s="1" t="n">
        <v>44828</v>
      </c>
      <c r="C1776" s="1" t="n">
        <v>45749</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41829-2022</t>
        </is>
      </c>
      <c r="B1777" s="1" t="n">
        <v>44828</v>
      </c>
      <c r="C1777" s="1" t="n">
        <v>45749</v>
      </c>
      <c r="D1777" t="inlineStr">
        <is>
          <t>JÄMTLANDS LÄN</t>
        </is>
      </c>
      <c r="E1777" t="inlineStr">
        <is>
          <t>STRÖMSUND</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41821-2022</t>
        </is>
      </c>
      <c r="B1778" s="1" t="n">
        <v>44827</v>
      </c>
      <c r="C1778" s="1" t="n">
        <v>45749</v>
      </c>
      <c r="D1778" t="inlineStr">
        <is>
          <t>JÄMTLANDS LÄN</t>
        </is>
      </c>
      <c r="E1778" t="inlineStr">
        <is>
          <t>STRÖMSUND</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41827-2022</t>
        </is>
      </c>
      <c r="B1779" s="1" t="n">
        <v>44828</v>
      </c>
      <c r="C1779" s="1" t="n">
        <v>45749</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42155-2022</t>
        </is>
      </c>
      <c r="B1780" s="1" t="n">
        <v>44830</v>
      </c>
      <c r="C1780" s="1" t="n">
        <v>45749</v>
      </c>
      <c r="D1780" t="inlineStr">
        <is>
          <t>JÄMTLANDS LÄN</t>
        </is>
      </c>
      <c r="E1780" t="inlineStr">
        <is>
          <t>STRÖMSUND</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41972-2022</t>
        </is>
      </c>
      <c r="B1781" s="1" t="n">
        <v>44830</v>
      </c>
      <c r="C1781" s="1" t="n">
        <v>45749</v>
      </c>
      <c r="D1781" t="inlineStr">
        <is>
          <t>JÄMTLANDS LÄN</t>
        </is>
      </c>
      <c r="E1781" t="inlineStr">
        <is>
          <t>STRÖMSUND</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42237-2022</t>
        </is>
      </c>
      <c r="B1782" s="1" t="n">
        <v>44830</v>
      </c>
      <c r="C1782" s="1" t="n">
        <v>45749</v>
      </c>
      <c r="D1782" t="inlineStr">
        <is>
          <t>JÄMTLANDS LÄN</t>
        </is>
      </c>
      <c r="E1782" t="inlineStr">
        <is>
          <t>STRÖMSUND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42280-2022</t>
        </is>
      </c>
      <c r="B1783" s="1" t="n">
        <v>44831</v>
      </c>
      <c r="C1783" s="1" t="n">
        <v>45749</v>
      </c>
      <c r="D1783" t="inlineStr">
        <is>
          <t>JÄMTLANDS LÄN</t>
        </is>
      </c>
      <c r="E1783" t="inlineStr">
        <is>
          <t>STRÖMSUND</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42294-2022</t>
        </is>
      </c>
      <c r="B1784" s="1" t="n">
        <v>44831</v>
      </c>
      <c r="C1784" s="1" t="n">
        <v>45749</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42660-2022</t>
        </is>
      </c>
      <c r="B1785" s="1" t="n">
        <v>44832</v>
      </c>
      <c r="C1785" s="1" t="n">
        <v>45749</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42770-2022</t>
        </is>
      </c>
      <c r="B1786" s="1" t="n">
        <v>44832</v>
      </c>
      <c r="C1786" s="1" t="n">
        <v>45749</v>
      </c>
      <c r="D1786" t="inlineStr">
        <is>
          <t>JÄMTLANDS LÄN</t>
        </is>
      </c>
      <c r="E1786" t="inlineStr">
        <is>
          <t>STRÖMSUND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42790-2022</t>
        </is>
      </c>
      <c r="B1787" s="1" t="n">
        <v>44832</v>
      </c>
      <c r="C1787" s="1" t="n">
        <v>45749</v>
      </c>
      <c r="D1787" t="inlineStr">
        <is>
          <t>JÄMTLANDS LÄN</t>
        </is>
      </c>
      <c r="E1787" t="inlineStr">
        <is>
          <t>STRÖMSUND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42760-2022</t>
        </is>
      </c>
      <c r="B1788" s="1" t="n">
        <v>44832</v>
      </c>
      <c r="C1788" s="1" t="n">
        <v>45749</v>
      </c>
      <c r="D1788" t="inlineStr">
        <is>
          <t>JÄMTLANDS LÄN</t>
        </is>
      </c>
      <c r="E1788" t="inlineStr">
        <is>
          <t>STRÖMSUND</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42806-2022</t>
        </is>
      </c>
      <c r="B1789" s="1" t="n">
        <v>44832</v>
      </c>
      <c r="C1789" s="1" t="n">
        <v>45749</v>
      </c>
      <c r="D1789" t="inlineStr">
        <is>
          <t>JÄMTLANDS LÄN</t>
        </is>
      </c>
      <c r="E1789" t="inlineStr">
        <is>
          <t>STRÖMSUND</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42896-2022</t>
        </is>
      </c>
      <c r="B1790" s="1" t="n">
        <v>44832</v>
      </c>
      <c r="C1790" s="1" t="n">
        <v>45749</v>
      </c>
      <c r="D1790" t="inlineStr">
        <is>
          <t>JÄMTLANDS LÄN</t>
        </is>
      </c>
      <c r="E1790" t="inlineStr">
        <is>
          <t>STRÖMSUND</t>
        </is>
      </c>
      <c r="F1790" t="inlineStr">
        <is>
          <t>SCA</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42902-2022</t>
        </is>
      </c>
      <c r="B1791" s="1" t="n">
        <v>44832</v>
      </c>
      <c r="C1791" s="1" t="n">
        <v>45749</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43160-2022</t>
        </is>
      </c>
      <c r="B1792" s="1" t="n">
        <v>44834</v>
      </c>
      <c r="C1792" s="1" t="n">
        <v>45749</v>
      </c>
      <c r="D1792" t="inlineStr">
        <is>
          <t>JÄMTLANDS LÄN</t>
        </is>
      </c>
      <c r="E1792" t="inlineStr">
        <is>
          <t>STRÖMSUND</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43140-2022</t>
        </is>
      </c>
      <c r="B1793" s="1" t="n">
        <v>44834</v>
      </c>
      <c r="C1793" s="1" t="n">
        <v>45749</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43146-2022</t>
        </is>
      </c>
      <c r="B1794" s="1" t="n">
        <v>44833</v>
      </c>
      <c r="C1794" s="1" t="n">
        <v>45749</v>
      </c>
      <c r="D1794" t="inlineStr">
        <is>
          <t>JÄMTLANDS LÄN</t>
        </is>
      </c>
      <c r="E1794" t="inlineStr">
        <is>
          <t>STRÖMSUND</t>
        </is>
      </c>
      <c r="F1794" t="inlineStr">
        <is>
          <t>SCA</t>
        </is>
      </c>
      <c r="G1794" t="n">
        <v>33.3</v>
      </c>
      <c r="H1794" t="n">
        <v>0</v>
      </c>
      <c r="I1794" t="n">
        <v>0</v>
      </c>
      <c r="J1794" t="n">
        <v>0</v>
      </c>
      <c r="K1794" t="n">
        <v>0</v>
      </c>
      <c r="L1794" t="n">
        <v>0</v>
      </c>
      <c r="M1794" t="n">
        <v>0</v>
      </c>
      <c r="N1794" t="n">
        <v>0</v>
      </c>
      <c r="O1794" t="n">
        <v>0</v>
      </c>
      <c r="P1794" t="n">
        <v>0</v>
      </c>
      <c r="Q1794" t="n">
        <v>0</v>
      </c>
      <c r="R1794" s="2" t="inlineStr"/>
    </row>
    <row r="1795" ht="15" customHeight="1">
      <c r="A1795" t="inlineStr">
        <is>
          <t>A 43165-2022</t>
        </is>
      </c>
      <c r="B1795" s="1" t="n">
        <v>44833</v>
      </c>
      <c r="C1795" s="1" t="n">
        <v>45749</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43432-2022</t>
        </is>
      </c>
      <c r="B1796" s="1" t="n">
        <v>44834</v>
      </c>
      <c r="C1796" s="1" t="n">
        <v>45749</v>
      </c>
      <c r="D1796" t="inlineStr">
        <is>
          <t>JÄMTLANDS LÄN</t>
        </is>
      </c>
      <c r="E1796" t="inlineStr">
        <is>
          <t>STRÖMSUND</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43607-2022</t>
        </is>
      </c>
      <c r="B1797" s="1" t="n">
        <v>44834</v>
      </c>
      <c r="C1797" s="1" t="n">
        <v>45749</v>
      </c>
      <c r="D1797" t="inlineStr">
        <is>
          <t>JÄMTLANDS LÄN</t>
        </is>
      </c>
      <c r="E1797" t="inlineStr">
        <is>
          <t>STRÖMSUND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45969-2022</t>
        </is>
      </c>
      <c r="B1798" s="1" t="n">
        <v>44834</v>
      </c>
      <c r="C1798" s="1" t="n">
        <v>45749</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43458-2022</t>
        </is>
      </c>
      <c r="B1799" s="1" t="n">
        <v>44836</v>
      </c>
      <c r="C1799" s="1" t="n">
        <v>45749</v>
      </c>
      <c r="D1799" t="inlineStr">
        <is>
          <t>JÄMTLANDS LÄN</t>
        </is>
      </c>
      <c r="E1799" t="inlineStr">
        <is>
          <t>STRÖMSUND</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43453-2022</t>
        </is>
      </c>
      <c r="B1800" s="1" t="n">
        <v>44835</v>
      </c>
      <c r="C1800" s="1" t="n">
        <v>45749</v>
      </c>
      <c r="D1800" t="inlineStr">
        <is>
          <t>JÄMTLANDS LÄN</t>
        </is>
      </c>
      <c r="E1800" t="inlineStr">
        <is>
          <t>STRÖMSUND</t>
        </is>
      </c>
      <c r="F1800" t="inlineStr">
        <is>
          <t>SCA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43460-2022</t>
        </is>
      </c>
      <c r="B1801" s="1" t="n">
        <v>44836</v>
      </c>
      <c r="C1801" s="1" t="n">
        <v>45749</v>
      </c>
      <c r="D1801" t="inlineStr">
        <is>
          <t>JÄMTLANDS LÄN</t>
        </is>
      </c>
      <c r="E1801" t="inlineStr">
        <is>
          <t>STRÖMSUND</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43455-2022</t>
        </is>
      </c>
      <c r="B1802" s="1" t="n">
        <v>44836</v>
      </c>
      <c r="C1802" s="1" t="n">
        <v>45749</v>
      </c>
      <c r="D1802" t="inlineStr">
        <is>
          <t>JÄMTLANDS LÄN</t>
        </is>
      </c>
      <c r="E1802" t="inlineStr">
        <is>
          <t>STRÖMSUND</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43459-2022</t>
        </is>
      </c>
      <c r="B1803" s="1" t="n">
        <v>44836</v>
      </c>
      <c r="C1803" s="1" t="n">
        <v>45749</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43773-2022</t>
        </is>
      </c>
      <c r="B1804" s="1" t="n">
        <v>44838</v>
      </c>
      <c r="C1804" s="1" t="n">
        <v>45749</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43790-2022</t>
        </is>
      </c>
      <c r="B1805" s="1" t="n">
        <v>44837</v>
      </c>
      <c r="C1805" s="1" t="n">
        <v>45749</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44049-2022</t>
        </is>
      </c>
      <c r="B1806" s="1" t="n">
        <v>44839</v>
      </c>
      <c r="C1806" s="1" t="n">
        <v>45749</v>
      </c>
      <c r="D1806" t="inlineStr">
        <is>
          <t>JÄMTLANDS LÄN</t>
        </is>
      </c>
      <c r="E1806" t="inlineStr">
        <is>
          <t>STRÖMSUND</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44453-2022</t>
        </is>
      </c>
      <c r="B1807" s="1" t="n">
        <v>44840</v>
      </c>
      <c r="C1807" s="1" t="n">
        <v>45749</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44096-2022</t>
        </is>
      </c>
      <c r="B1808" s="1" t="n">
        <v>44839</v>
      </c>
      <c r="C1808" s="1" t="n">
        <v>45749</v>
      </c>
      <c r="D1808" t="inlineStr">
        <is>
          <t>JÄMTLANDS LÄN</t>
        </is>
      </c>
      <c r="E1808" t="inlineStr">
        <is>
          <t>STRÖMSUND</t>
        </is>
      </c>
      <c r="F1808" t="inlineStr">
        <is>
          <t>Holmen skog AB</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44429-2022</t>
        </is>
      </c>
      <c r="B1809" s="1" t="n">
        <v>44839</v>
      </c>
      <c r="C1809" s="1" t="n">
        <v>45749</v>
      </c>
      <c r="D1809" t="inlineStr">
        <is>
          <t>JÄMTLANDS LÄN</t>
        </is>
      </c>
      <c r="E1809" t="inlineStr">
        <is>
          <t>STRÖMSUND</t>
        </is>
      </c>
      <c r="F1809" t="inlineStr">
        <is>
          <t>SCA</t>
        </is>
      </c>
      <c r="G1809" t="n">
        <v>52.1</v>
      </c>
      <c r="H1809" t="n">
        <v>0</v>
      </c>
      <c r="I1809" t="n">
        <v>0</v>
      </c>
      <c r="J1809" t="n">
        <v>0</v>
      </c>
      <c r="K1809" t="n">
        <v>0</v>
      </c>
      <c r="L1809" t="n">
        <v>0</v>
      </c>
      <c r="M1809" t="n">
        <v>0</v>
      </c>
      <c r="N1809" t="n">
        <v>0</v>
      </c>
      <c r="O1809" t="n">
        <v>0</v>
      </c>
      <c r="P1809" t="n">
        <v>0</v>
      </c>
      <c r="Q1809" t="n">
        <v>0</v>
      </c>
      <c r="R1809" s="2" t="inlineStr"/>
    </row>
    <row r="1810" ht="15" customHeight="1">
      <c r="A1810" t="inlineStr">
        <is>
          <t>A 44448-2022</t>
        </is>
      </c>
      <c r="B1810" s="1" t="n">
        <v>44840</v>
      </c>
      <c r="C1810" s="1" t="n">
        <v>45749</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44449-2022</t>
        </is>
      </c>
      <c r="B1811" s="1" t="n">
        <v>44839</v>
      </c>
      <c r="C1811" s="1" t="n">
        <v>45749</v>
      </c>
      <c r="D1811" t="inlineStr">
        <is>
          <t>JÄMTLANDS LÄN</t>
        </is>
      </c>
      <c r="E1811" t="inlineStr">
        <is>
          <t>STRÖMSUND</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44249-2022</t>
        </is>
      </c>
      <c r="B1812" s="1" t="n">
        <v>44839</v>
      </c>
      <c r="C1812" s="1" t="n">
        <v>45749</v>
      </c>
      <c r="D1812" t="inlineStr">
        <is>
          <t>JÄMTLANDS LÄN</t>
        </is>
      </c>
      <c r="E1812" t="inlineStr">
        <is>
          <t>STRÖMSUND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44451-2022</t>
        </is>
      </c>
      <c r="B1813" s="1" t="n">
        <v>44840</v>
      </c>
      <c r="C1813" s="1" t="n">
        <v>45749</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44641-2022</t>
        </is>
      </c>
      <c r="B1814" s="1" t="n">
        <v>44839</v>
      </c>
      <c r="C1814" s="1" t="n">
        <v>45749</v>
      </c>
      <c r="D1814" t="inlineStr">
        <is>
          <t>JÄMTLANDS LÄN</t>
        </is>
      </c>
      <c r="E1814" t="inlineStr">
        <is>
          <t>STRÖMSUND</t>
        </is>
      </c>
      <c r="F1814" t="inlineStr">
        <is>
          <t>Kommuner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45074-2022</t>
        </is>
      </c>
      <c r="B1815" s="1" t="n">
        <v>44842</v>
      </c>
      <c r="C1815" s="1" t="n">
        <v>45749</v>
      </c>
      <c r="D1815" t="inlineStr">
        <is>
          <t>JÄMTLANDS LÄN</t>
        </is>
      </c>
      <c r="E1815" t="inlineStr">
        <is>
          <t>STRÖMSUND</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45308-2022</t>
        </is>
      </c>
      <c r="B1816" s="1" t="n">
        <v>44841</v>
      </c>
      <c r="C1816" s="1" t="n">
        <v>45749</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45076-2022</t>
        </is>
      </c>
      <c r="B1817" s="1" t="n">
        <v>44842</v>
      </c>
      <c r="C1817" s="1" t="n">
        <v>45749</v>
      </c>
      <c r="D1817" t="inlineStr">
        <is>
          <t>JÄMTLANDS LÄN</t>
        </is>
      </c>
      <c r="E1817" t="inlineStr">
        <is>
          <t>STRÖMSUND</t>
        </is>
      </c>
      <c r="F1817" t="inlineStr">
        <is>
          <t>SCA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45398-2022</t>
        </is>
      </c>
      <c r="B1818" s="1" t="n">
        <v>44841</v>
      </c>
      <c r="C1818" s="1" t="n">
        <v>45749</v>
      </c>
      <c r="D1818" t="inlineStr">
        <is>
          <t>JÄMTLANDS LÄN</t>
        </is>
      </c>
      <c r="E1818" t="inlineStr">
        <is>
          <t>STRÖMSUND</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45326-2022</t>
        </is>
      </c>
      <c r="B1819" s="1" t="n">
        <v>44841</v>
      </c>
      <c r="C1819" s="1" t="n">
        <v>45749</v>
      </c>
      <c r="D1819" t="inlineStr">
        <is>
          <t>JÄMTLANDS LÄN</t>
        </is>
      </c>
      <c r="E1819" t="inlineStr">
        <is>
          <t>STRÖMSUND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45071-2022</t>
        </is>
      </c>
      <c r="B1820" s="1" t="n">
        <v>44842</v>
      </c>
      <c r="C1820" s="1" t="n">
        <v>45749</v>
      </c>
      <c r="D1820" t="inlineStr">
        <is>
          <t>JÄMTLANDS LÄN</t>
        </is>
      </c>
      <c r="E1820" t="inlineStr">
        <is>
          <t>STRÖMSUND</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45331-2022</t>
        </is>
      </c>
      <c r="B1821" s="1" t="n">
        <v>44841</v>
      </c>
      <c r="C1821" s="1" t="n">
        <v>45749</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45421-2022</t>
        </is>
      </c>
      <c r="B1822" s="1" t="n">
        <v>44845</v>
      </c>
      <c r="C1822" s="1" t="n">
        <v>45749</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45435-2022</t>
        </is>
      </c>
      <c r="B1823" s="1" t="n">
        <v>44845</v>
      </c>
      <c r="C1823" s="1" t="n">
        <v>45749</v>
      </c>
      <c r="D1823" t="inlineStr">
        <is>
          <t>JÄMTLANDS LÄN</t>
        </is>
      </c>
      <c r="E1823" t="inlineStr">
        <is>
          <t>STRÖMSUND</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45706-2022</t>
        </is>
      </c>
      <c r="B1824" s="1" t="n">
        <v>44846</v>
      </c>
      <c r="C1824" s="1" t="n">
        <v>45749</v>
      </c>
      <c r="D1824" t="inlineStr">
        <is>
          <t>JÄMTLANDS LÄN</t>
        </is>
      </c>
      <c r="E1824" t="inlineStr">
        <is>
          <t>STRÖMSUND</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45720-2022</t>
        </is>
      </c>
      <c r="B1825" s="1" t="n">
        <v>44846</v>
      </c>
      <c r="C1825" s="1" t="n">
        <v>45749</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46054-2022</t>
        </is>
      </c>
      <c r="B1826" s="1" t="n">
        <v>44846</v>
      </c>
      <c r="C1826" s="1" t="n">
        <v>45749</v>
      </c>
      <c r="D1826" t="inlineStr">
        <is>
          <t>JÄMTLANDS LÄN</t>
        </is>
      </c>
      <c r="E1826" t="inlineStr">
        <is>
          <t>STRÖMSUND</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47320-2022</t>
        </is>
      </c>
      <c r="B1827" s="1" t="n">
        <v>44846</v>
      </c>
      <c r="C1827" s="1" t="n">
        <v>45749</v>
      </c>
      <c r="D1827" t="inlineStr">
        <is>
          <t>JÄMTLANDS LÄN</t>
        </is>
      </c>
      <c r="E1827" t="inlineStr">
        <is>
          <t>STRÖMSUND</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46042-2022</t>
        </is>
      </c>
      <c r="B1828" s="1" t="n">
        <v>44847</v>
      </c>
      <c r="C1828" s="1" t="n">
        <v>45749</v>
      </c>
      <c r="D1828" t="inlineStr">
        <is>
          <t>JÄMTLANDS LÄN</t>
        </is>
      </c>
      <c r="E1828" t="inlineStr">
        <is>
          <t>STRÖMSUND</t>
        </is>
      </c>
      <c r="F1828" t="inlineStr">
        <is>
          <t>SCA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46058-2022</t>
        </is>
      </c>
      <c r="B1829" s="1" t="n">
        <v>44847</v>
      </c>
      <c r="C1829" s="1" t="n">
        <v>45749</v>
      </c>
      <c r="D1829" t="inlineStr">
        <is>
          <t>JÄMTLANDS LÄN</t>
        </is>
      </c>
      <c r="E1829" t="inlineStr">
        <is>
          <t>STRÖMSUND</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46057-2022</t>
        </is>
      </c>
      <c r="B1830" s="1" t="n">
        <v>44847</v>
      </c>
      <c r="C1830" s="1" t="n">
        <v>45749</v>
      </c>
      <c r="D1830" t="inlineStr">
        <is>
          <t>JÄMTLANDS LÄN</t>
        </is>
      </c>
      <c r="E1830" t="inlineStr">
        <is>
          <t>STRÖMSUND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46056-2022</t>
        </is>
      </c>
      <c r="B1831" s="1" t="n">
        <v>44847</v>
      </c>
      <c r="C1831" s="1" t="n">
        <v>45749</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46321-2022</t>
        </is>
      </c>
      <c r="B1832" s="1" t="n">
        <v>44848</v>
      </c>
      <c r="C1832" s="1" t="n">
        <v>45749</v>
      </c>
      <c r="D1832" t="inlineStr">
        <is>
          <t>JÄMTLANDS LÄN</t>
        </is>
      </c>
      <c r="E1832" t="inlineStr">
        <is>
          <t>STRÖMSUND</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46327-2022</t>
        </is>
      </c>
      <c r="B1833" s="1" t="n">
        <v>44848</v>
      </c>
      <c r="C1833" s="1" t="n">
        <v>45749</v>
      </c>
      <c r="D1833" t="inlineStr">
        <is>
          <t>JÄMTLANDS LÄN</t>
        </is>
      </c>
      <c r="E1833" t="inlineStr">
        <is>
          <t>STRÖMSUND</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46338-2022</t>
        </is>
      </c>
      <c r="B1834" s="1" t="n">
        <v>44848</v>
      </c>
      <c r="C1834" s="1" t="n">
        <v>45749</v>
      </c>
      <c r="D1834" t="inlineStr">
        <is>
          <t>JÄMTLANDS LÄN</t>
        </is>
      </c>
      <c r="E1834" t="inlineStr">
        <is>
          <t>STRÖMSUND</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46342-2022</t>
        </is>
      </c>
      <c r="B1835" s="1" t="n">
        <v>44848</v>
      </c>
      <c r="C1835" s="1" t="n">
        <v>45749</v>
      </c>
      <c r="D1835" t="inlineStr">
        <is>
          <t>JÄMTLANDS LÄN</t>
        </is>
      </c>
      <c r="E1835" t="inlineStr">
        <is>
          <t>STRÖMSUND</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46326-2022</t>
        </is>
      </c>
      <c r="B1836" s="1" t="n">
        <v>44848</v>
      </c>
      <c r="C1836" s="1" t="n">
        <v>45749</v>
      </c>
      <c r="D1836" t="inlineStr">
        <is>
          <t>JÄMTLANDS LÄN</t>
        </is>
      </c>
      <c r="E1836" t="inlineStr">
        <is>
          <t>STRÖMSUND</t>
        </is>
      </c>
      <c r="F1836" t="inlineStr">
        <is>
          <t>SCA</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46332-2022</t>
        </is>
      </c>
      <c r="B1837" s="1" t="n">
        <v>44848</v>
      </c>
      <c r="C1837" s="1" t="n">
        <v>45749</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46337-2022</t>
        </is>
      </c>
      <c r="B1838" s="1" t="n">
        <v>44848</v>
      </c>
      <c r="C1838" s="1" t="n">
        <v>45749</v>
      </c>
      <c r="D1838" t="inlineStr">
        <is>
          <t>JÄMTLANDS LÄN</t>
        </is>
      </c>
      <c r="E1838" t="inlineStr">
        <is>
          <t>STRÖMSUND</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46346-2022</t>
        </is>
      </c>
      <c r="B1839" s="1" t="n">
        <v>44848</v>
      </c>
      <c r="C1839" s="1" t="n">
        <v>45749</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46336-2022</t>
        </is>
      </c>
      <c r="B1840" s="1" t="n">
        <v>44848</v>
      </c>
      <c r="C1840" s="1" t="n">
        <v>45749</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46345-2022</t>
        </is>
      </c>
      <c r="B1841" s="1" t="n">
        <v>44848</v>
      </c>
      <c r="C1841" s="1" t="n">
        <v>45749</v>
      </c>
      <c r="D1841" t="inlineStr">
        <is>
          <t>JÄMTLANDS LÄN</t>
        </is>
      </c>
      <c r="E1841" t="inlineStr">
        <is>
          <t>STRÖMSUND</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46322-2022</t>
        </is>
      </c>
      <c r="B1842" s="1" t="n">
        <v>44848</v>
      </c>
      <c r="C1842" s="1" t="n">
        <v>45749</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46335-2022</t>
        </is>
      </c>
      <c r="B1843" s="1" t="n">
        <v>44848</v>
      </c>
      <c r="C1843" s="1" t="n">
        <v>45749</v>
      </c>
      <c r="D1843" t="inlineStr">
        <is>
          <t>JÄMTLANDS LÄN</t>
        </is>
      </c>
      <c r="E1843" t="inlineStr">
        <is>
          <t>STRÖMSUND</t>
        </is>
      </c>
      <c r="F1843" t="inlineStr">
        <is>
          <t>SCA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46339-2022</t>
        </is>
      </c>
      <c r="B1844" s="1" t="n">
        <v>44848</v>
      </c>
      <c r="C1844" s="1" t="n">
        <v>45749</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46633-2022</t>
        </is>
      </c>
      <c r="B1845" s="1" t="n">
        <v>44849</v>
      </c>
      <c r="C1845" s="1" t="n">
        <v>45749</v>
      </c>
      <c r="D1845" t="inlineStr">
        <is>
          <t>JÄMTLANDS LÄN</t>
        </is>
      </c>
      <c r="E1845" t="inlineStr">
        <is>
          <t>STRÖMSUND</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46975-2022</t>
        </is>
      </c>
      <c r="B1846" s="1" t="n">
        <v>44851</v>
      </c>
      <c r="C1846" s="1" t="n">
        <v>45749</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46953-2022</t>
        </is>
      </c>
      <c r="B1847" s="1" t="n">
        <v>44852</v>
      </c>
      <c r="C1847" s="1" t="n">
        <v>45749</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46959-2022</t>
        </is>
      </c>
      <c r="B1848" s="1" t="n">
        <v>44851</v>
      </c>
      <c r="C1848" s="1" t="n">
        <v>45749</v>
      </c>
      <c r="D1848" t="inlineStr">
        <is>
          <t>JÄMTLANDS LÄN</t>
        </is>
      </c>
      <c r="E1848" t="inlineStr">
        <is>
          <t>STRÖMSUND</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46950-2022</t>
        </is>
      </c>
      <c r="B1849" s="1" t="n">
        <v>44851</v>
      </c>
      <c r="C1849" s="1" t="n">
        <v>45749</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46976-2022</t>
        </is>
      </c>
      <c r="B1850" s="1" t="n">
        <v>44851</v>
      </c>
      <c r="C1850" s="1" t="n">
        <v>45749</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46987-2022</t>
        </is>
      </c>
      <c r="B1851" s="1" t="n">
        <v>44851</v>
      </c>
      <c r="C1851" s="1" t="n">
        <v>45749</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47156-2022</t>
        </is>
      </c>
      <c r="B1852" s="1" t="n">
        <v>44852</v>
      </c>
      <c r="C1852" s="1" t="n">
        <v>45749</v>
      </c>
      <c r="D1852" t="inlineStr">
        <is>
          <t>JÄMTLANDS LÄN</t>
        </is>
      </c>
      <c r="E1852" t="inlineStr">
        <is>
          <t>STRÖMSUND</t>
        </is>
      </c>
      <c r="F1852" t="inlineStr">
        <is>
          <t>Holmen skog AB</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47248-2022</t>
        </is>
      </c>
      <c r="B1853" s="1" t="n">
        <v>44853</v>
      </c>
      <c r="C1853" s="1" t="n">
        <v>45749</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47276-2022</t>
        </is>
      </c>
      <c r="B1854" s="1" t="n">
        <v>44853</v>
      </c>
      <c r="C1854" s="1" t="n">
        <v>45749</v>
      </c>
      <c r="D1854" t="inlineStr">
        <is>
          <t>JÄMTLANDS LÄN</t>
        </is>
      </c>
      <c r="E1854" t="inlineStr">
        <is>
          <t>STRÖMSUND</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47291-2022</t>
        </is>
      </c>
      <c r="B1855" s="1" t="n">
        <v>44852</v>
      </c>
      <c r="C1855" s="1" t="n">
        <v>45749</v>
      </c>
      <c r="D1855" t="inlineStr">
        <is>
          <t>JÄMTLANDS LÄN</t>
        </is>
      </c>
      <c r="E1855" t="inlineStr">
        <is>
          <t>STRÖMSUND</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47271-2022</t>
        </is>
      </c>
      <c r="B1856" s="1" t="n">
        <v>44852</v>
      </c>
      <c r="C1856" s="1" t="n">
        <v>45749</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47289-2022</t>
        </is>
      </c>
      <c r="B1857" s="1" t="n">
        <v>44853</v>
      </c>
      <c r="C1857" s="1" t="n">
        <v>45749</v>
      </c>
      <c r="D1857" t="inlineStr">
        <is>
          <t>JÄMTLANDS LÄN</t>
        </is>
      </c>
      <c r="E1857" t="inlineStr">
        <is>
          <t>STRÖMSUND</t>
        </is>
      </c>
      <c r="F1857" t="inlineStr">
        <is>
          <t>SCA</t>
        </is>
      </c>
      <c r="G1857" t="n">
        <v>44.2</v>
      </c>
      <c r="H1857" t="n">
        <v>0</v>
      </c>
      <c r="I1857" t="n">
        <v>0</v>
      </c>
      <c r="J1857" t="n">
        <v>0</v>
      </c>
      <c r="K1857" t="n">
        <v>0</v>
      </c>
      <c r="L1857" t="n">
        <v>0</v>
      </c>
      <c r="M1857" t="n">
        <v>0</v>
      </c>
      <c r="N1857" t="n">
        <v>0</v>
      </c>
      <c r="O1857" t="n">
        <v>0</v>
      </c>
      <c r="P1857" t="n">
        <v>0</v>
      </c>
      <c r="Q1857" t="n">
        <v>0</v>
      </c>
      <c r="R1857" s="2" t="inlineStr"/>
    </row>
    <row r="1858" ht="15" customHeight="1">
      <c r="A1858" t="inlineStr">
        <is>
          <t>A 47290-2022</t>
        </is>
      </c>
      <c r="B1858" s="1" t="n">
        <v>44852</v>
      </c>
      <c r="C1858" s="1" t="n">
        <v>45749</v>
      </c>
      <c r="D1858" t="inlineStr">
        <is>
          <t>JÄMTLANDS LÄN</t>
        </is>
      </c>
      <c r="E1858" t="inlineStr">
        <is>
          <t>STRÖMSUND</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v>
      </c>
      <c r="C1859" s="1" t="n">
        <v>45749</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47360-2022</t>
        </is>
      </c>
      <c r="B1860" s="1" t="n">
        <v>44853</v>
      </c>
      <c r="C1860" s="1" t="n">
        <v>45749</v>
      </c>
      <c r="D1860" t="inlineStr">
        <is>
          <t>JÄMTLANDS LÄN</t>
        </is>
      </c>
      <c r="E1860" t="inlineStr">
        <is>
          <t>STRÖMSUND</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47391-2022</t>
        </is>
      </c>
      <c r="B1861" s="1" t="n">
        <v>44853</v>
      </c>
      <c r="C1861" s="1" t="n">
        <v>45749</v>
      </c>
      <c r="D1861" t="inlineStr">
        <is>
          <t>JÄMTLANDS LÄN</t>
        </is>
      </c>
      <c r="E1861" t="inlineStr">
        <is>
          <t>STRÖMSUND</t>
        </is>
      </c>
      <c r="F1861" t="inlineStr">
        <is>
          <t>Holmen skog AB</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47577-2022</t>
        </is>
      </c>
      <c r="B1862" s="1" t="n">
        <v>44853</v>
      </c>
      <c r="C1862" s="1" t="n">
        <v>45749</v>
      </c>
      <c r="D1862" t="inlineStr">
        <is>
          <t>JÄMTLANDS LÄN</t>
        </is>
      </c>
      <c r="E1862" t="inlineStr">
        <is>
          <t>STRÖMSUND</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47566-2022</t>
        </is>
      </c>
      <c r="B1863" s="1" t="n">
        <v>44854</v>
      </c>
      <c r="C1863" s="1" t="n">
        <v>45749</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47578-2022</t>
        </is>
      </c>
      <c r="B1864" s="1" t="n">
        <v>44853</v>
      </c>
      <c r="C1864" s="1" t="n">
        <v>45749</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47579-2022</t>
        </is>
      </c>
      <c r="B1865" s="1" t="n">
        <v>44854</v>
      </c>
      <c r="C1865" s="1" t="n">
        <v>45749</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47810-2022</t>
        </is>
      </c>
      <c r="B1866" s="1" t="n">
        <v>44855</v>
      </c>
      <c r="C1866" s="1" t="n">
        <v>45749</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48564-2022</t>
        </is>
      </c>
      <c r="B1867" s="1" t="n">
        <v>44854</v>
      </c>
      <c r="C1867" s="1" t="n">
        <v>45749</v>
      </c>
      <c r="D1867" t="inlineStr">
        <is>
          <t>JÄMTLANDS LÄN</t>
        </is>
      </c>
      <c r="E1867" t="inlineStr">
        <is>
          <t>STRÖMSUND</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47811-2022</t>
        </is>
      </c>
      <c r="B1868" s="1" t="n">
        <v>44855</v>
      </c>
      <c r="C1868" s="1" t="n">
        <v>45749</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48050-2022</t>
        </is>
      </c>
      <c r="B1869" s="1" t="n">
        <v>44856</v>
      </c>
      <c r="C1869" s="1" t="n">
        <v>45749</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48049-2022</t>
        </is>
      </c>
      <c r="B1870" s="1" t="n">
        <v>44856</v>
      </c>
      <c r="C1870" s="1" t="n">
        <v>45749</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48531-2022</t>
        </is>
      </c>
      <c r="B1871" s="1" t="n">
        <v>44858</v>
      </c>
      <c r="C1871" s="1" t="n">
        <v>45749</v>
      </c>
      <c r="D1871" t="inlineStr">
        <is>
          <t>JÄMTLANDS LÄN</t>
        </is>
      </c>
      <c r="E1871" t="inlineStr">
        <is>
          <t>STRÖMSUND</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48543-2022</t>
        </is>
      </c>
      <c r="B1872" s="1" t="n">
        <v>44859</v>
      </c>
      <c r="C1872" s="1" t="n">
        <v>45749</v>
      </c>
      <c r="D1872" t="inlineStr">
        <is>
          <t>JÄMTLANDS LÄN</t>
        </is>
      </c>
      <c r="E1872" t="inlineStr">
        <is>
          <t>STRÖMSUND</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48547-2022</t>
        </is>
      </c>
      <c r="B1873" s="1" t="n">
        <v>44858</v>
      </c>
      <c r="C1873" s="1" t="n">
        <v>45749</v>
      </c>
      <c r="D1873" t="inlineStr">
        <is>
          <t>JÄMTLANDS LÄN</t>
        </is>
      </c>
      <c r="E1873" t="inlineStr">
        <is>
          <t>STRÖMSUND</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49287-2022</t>
        </is>
      </c>
      <c r="B1874" s="1" t="n">
        <v>44858</v>
      </c>
      <c r="C1874" s="1" t="n">
        <v>45749</v>
      </c>
      <c r="D1874" t="inlineStr">
        <is>
          <t>JÄMTLANDS LÄN</t>
        </is>
      </c>
      <c r="E1874" t="inlineStr">
        <is>
          <t>STRÖMSUND</t>
        </is>
      </c>
      <c r="G1874" t="n">
        <v>200</v>
      </c>
      <c r="H1874" t="n">
        <v>0</v>
      </c>
      <c r="I1874" t="n">
        <v>0</v>
      </c>
      <c r="J1874" t="n">
        <v>0</v>
      </c>
      <c r="K1874" t="n">
        <v>0</v>
      </c>
      <c r="L1874" t="n">
        <v>0</v>
      </c>
      <c r="M1874" t="n">
        <v>0</v>
      </c>
      <c r="N1874" t="n">
        <v>0</v>
      </c>
      <c r="O1874" t="n">
        <v>0</v>
      </c>
      <c r="P1874" t="n">
        <v>0</v>
      </c>
      <c r="Q1874" t="n">
        <v>0</v>
      </c>
      <c r="R1874" s="2" t="inlineStr"/>
    </row>
    <row r="1875" ht="15" customHeight="1">
      <c r="A1875" t="inlineStr">
        <is>
          <t>A 48333-2022</t>
        </is>
      </c>
      <c r="B1875" s="1" t="n">
        <v>44858</v>
      </c>
      <c r="C1875" s="1" t="n">
        <v>45749</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48528-2022</t>
        </is>
      </c>
      <c r="B1876" s="1" t="n">
        <v>44859</v>
      </c>
      <c r="C1876" s="1" t="n">
        <v>45749</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48545-2022</t>
        </is>
      </c>
      <c r="B1877" s="1" t="n">
        <v>44858</v>
      </c>
      <c r="C1877" s="1" t="n">
        <v>45749</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48542-2022</t>
        </is>
      </c>
      <c r="B1878" s="1" t="n">
        <v>44859</v>
      </c>
      <c r="C1878" s="1" t="n">
        <v>45749</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48546-2022</t>
        </is>
      </c>
      <c r="B1879" s="1" t="n">
        <v>44858</v>
      </c>
      <c r="C1879" s="1" t="n">
        <v>45749</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48926-2022</t>
        </is>
      </c>
      <c r="B1880" s="1" t="n">
        <v>44859</v>
      </c>
      <c r="C1880" s="1" t="n">
        <v>45749</v>
      </c>
      <c r="D1880" t="inlineStr">
        <is>
          <t>JÄMTLANDS LÄN</t>
        </is>
      </c>
      <c r="E1880" t="inlineStr">
        <is>
          <t>STRÖMSUND</t>
        </is>
      </c>
      <c r="F1880" t="inlineStr">
        <is>
          <t>SCA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48894-2022</t>
        </is>
      </c>
      <c r="B1881" s="1" t="n">
        <v>44860</v>
      </c>
      <c r="C1881" s="1" t="n">
        <v>45749</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48933-2022</t>
        </is>
      </c>
      <c r="B1882" s="1" t="n">
        <v>44860</v>
      </c>
      <c r="C1882" s="1" t="n">
        <v>45749</v>
      </c>
      <c r="D1882" t="inlineStr">
        <is>
          <t>JÄMTLANDS LÄN</t>
        </is>
      </c>
      <c r="E1882" t="inlineStr">
        <is>
          <t>STRÖMSUND</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49752-2022</t>
        </is>
      </c>
      <c r="B1883" s="1" t="n">
        <v>44859</v>
      </c>
      <c r="C1883" s="1" t="n">
        <v>45749</v>
      </c>
      <c r="D1883" t="inlineStr">
        <is>
          <t>JÄMTLANDS LÄN</t>
        </is>
      </c>
      <c r="E1883" t="inlineStr">
        <is>
          <t>STRÖMSUND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48963-2022</t>
        </is>
      </c>
      <c r="B1884" s="1" t="n">
        <v>44860</v>
      </c>
      <c r="C1884" s="1" t="n">
        <v>45749</v>
      </c>
      <c r="D1884" t="inlineStr">
        <is>
          <t>JÄMTLANDS LÄN</t>
        </is>
      </c>
      <c r="E1884" t="inlineStr">
        <is>
          <t>STRÖMSUND</t>
        </is>
      </c>
      <c r="F1884" t="inlineStr">
        <is>
          <t>Sveaskog</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49541-2022</t>
        </is>
      </c>
      <c r="B1885" s="1" t="n">
        <v>44862</v>
      </c>
      <c r="C1885" s="1" t="n">
        <v>45749</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50313-2022</t>
        </is>
      </c>
      <c r="B1886" s="1" t="n">
        <v>44865</v>
      </c>
      <c r="C1886" s="1" t="n">
        <v>45749</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50317-2022</t>
        </is>
      </c>
      <c r="B1887" s="1" t="n">
        <v>44865</v>
      </c>
      <c r="C1887" s="1" t="n">
        <v>45749</v>
      </c>
      <c r="D1887" t="inlineStr">
        <is>
          <t>JÄMTLANDS LÄN</t>
        </is>
      </c>
      <c r="E1887" t="inlineStr">
        <is>
          <t>STRÖMSUND</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50316-2022</t>
        </is>
      </c>
      <c r="B1888" s="1" t="n">
        <v>44865</v>
      </c>
      <c r="C1888" s="1" t="n">
        <v>45749</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50305-2022</t>
        </is>
      </c>
      <c r="B1889" s="1" t="n">
        <v>44865</v>
      </c>
      <c r="C1889" s="1" t="n">
        <v>45749</v>
      </c>
      <c r="D1889" t="inlineStr">
        <is>
          <t>JÄMTLANDS LÄN</t>
        </is>
      </c>
      <c r="E1889" t="inlineStr">
        <is>
          <t>STRÖMSUND</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50314-2022</t>
        </is>
      </c>
      <c r="B1890" s="1" t="n">
        <v>44865</v>
      </c>
      <c r="C1890" s="1" t="n">
        <v>45749</v>
      </c>
      <c r="D1890" t="inlineStr">
        <is>
          <t>JÄMTLANDS LÄN</t>
        </is>
      </c>
      <c r="E1890" t="inlineStr">
        <is>
          <t>STRÖMSUND</t>
        </is>
      </c>
      <c r="F1890" t="inlineStr">
        <is>
          <t>SCA</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50337-2022</t>
        </is>
      </c>
      <c r="B1891" s="1" t="n">
        <v>44865</v>
      </c>
      <c r="C1891" s="1" t="n">
        <v>45749</v>
      </c>
      <c r="D1891" t="inlineStr">
        <is>
          <t>JÄMTLANDS LÄN</t>
        </is>
      </c>
      <c r="E1891" t="inlineStr">
        <is>
          <t>STRÖMSUND</t>
        </is>
      </c>
      <c r="F1891" t="inlineStr">
        <is>
          <t>SCA</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50315-2022</t>
        </is>
      </c>
      <c r="B1892" s="1" t="n">
        <v>44865</v>
      </c>
      <c r="C1892" s="1" t="n">
        <v>45749</v>
      </c>
      <c r="D1892" t="inlineStr">
        <is>
          <t>JÄMTLANDS LÄN</t>
        </is>
      </c>
      <c r="E1892" t="inlineStr">
        <is>
          <t>STRÖMSUND</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50320-2022</t>
        </is>
      </c>
      <c r="B1893" s="1" t="n">
        <v>44865</v>
      </c>
      <c r="C1893" s="1" t="n">
        <v>45749</v>
      </c>
      <c r="D1893" t="inlineStr">
        <is>
          <t>JÄMTLANDS LÄN</t>
        </is>
      </c>
      <c r="E1893" t="inlineStr">
        <is>
          <t>STRÖMSUND</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50335-2022</t>
        </is>
      </c>
      <c r="B1894" s="1" t="n">
        <v>44865</v>
      </c>
      <c r="C1894" s="1" t="n">
        <v>45749</v>
      </c>
      <c r="D1894" t="inlineStr">
        <is>
          <t>JÄMTLANDS LÄN</t>
        </is>
      </c>
      <c r="E1894" t="inlineStr">
        <is>
          <t>STRÖMSUND</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50450-2022</t>
        </is>
      </c>
      <c r="B1895" s="1" t="n">
        <v>44866</v>
      </c>
      <c r="C1895" s="1" t="n">
        <v>45749</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50645-2022</t>
        </is>
      </c>
      <c r="B1896" s="1" t="n">
        <v>44866</v>
      </c>
      <c r="C1896" s="1" t="n">
        <v>45749</v>
      </c>
      <c r="D1896" t="inlineStr">
        <is>
          <t>JÄMTLANDS LÄN</t>
        </is>
      </c>
      <c r="E1896" t="inlineStr">
        <is>
          <t>STRÖMSUND</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50646-2022</t>
        </is>
      </c>
      <c r="B1897" s="1" t="n">
        <v>44866</v>
      </c>
      <c r="C1897" s="1" t="n">
        <v>45749</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50657-2022</t>
        </is>
      </c>
      <c r="B1898" s="1" t="n">
        <v>44866</v>
      </c>
      <c r="C1898" s="1" t="n">
        <v>45749</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50661-2022</t>
        </is>
      </c>
      <c r="B1899" s="1" t="n">
        <v>44866</v>
      </c>
      <c r="C1899" s="1" t="n">
        <v>45749</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50659-2022</t>
        </is>
      </c>
      <c r="B1900" s="1" t="n">
        <v>44866</v>
      </c>
      <c r="C1900" s="1" t="n">
        <v>45749</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50663-2022</t>
        </is>
      </c>
      <c r="B1901" s="1" t="n">
        <v>44866</v>
      </c>
      <c r="C1901" s="1" t="n">
        <v>45749</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50664-2022</t>
        </is>
      </c>
      <c r="B1902" s="1" t="n">
        <v>44866</v>
      </c>
      <c r="C1902" s="1" t="n">
        <v>45749</v>
      </c>
      <c r="D1902" t="inlineStr">
        <is>
          <t>JÄMTLANDS LÄN</t>
        </is>
      </c>
      <c r="E1902" t="inlineStr">
        <is>
          <t>STRÖMSUND</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50680-2022</t>
        </is>
      </c>
      <c r="B1903" s="1" t="n">
        <v>44866</v>
      </c>
      <c r="C1903" s="1" t="n">
        <v>45749</v>
      </c>
      <c r="D1903" t="inlineStr">
        <is>
          <t>JÄMTLANDS LÄN</t>
        </is>
      </c>
      <c r="E1903" t="inlineStr">
        <is>
          <t>STRÖMSUND</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50647-2022</t>
        </is>
      </c>
      <c r="B1904" s="1" t="n">
        <v>44866</v>
      </c>
      <c r="C1904" s="1" t="n">
        <v>45749</v>
      </c>
      <c r="D1904" t="inlineStr">
        <is>
          <t>JÄMTLANDS LÄN</t>
        </is>
      </c>
      <c r="E1904" t="inlineStr">
        <is>
          <t>STRÖMSUND</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50658-2022</t>
        </is>
      </c>
      <c r="B1905" s="1" t="n">
        <v>44866</v>
      </c>
      <c r="C1905" s="1" t="n">
        <v>45749</v>
      </c>
      <c r="D1905" t="inlineStr">
        <is>
          <t>JÄMTLANDS LÄN</t>
        </is>
      </c>
      <c r="E1905" t="inlineStr">
        <is>
          <t>STRÖMSUND</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51344-2022</t>
        </is>
      </c>
      <c r="B1906" s="1" t="n">
        <v>44866</v>
      </c>
      <c r="C1906" s="1" t="n">
        <v>45749</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50681-2022</t>
        </is>
      </c>
      <c r="B1907" s="1" t="n">
        <v>44866</v>
      </c>
      <c r="C1907" s="1" t="n">
        <v>45749</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50687-2022</t>
        </is>
      </c>
      <c r="B1908" s="1" t="n">
        <v>44866</v>
      </c>
      <c r="C1908" s="1" t="n">
        <v>45749</v>
      </c>
      <c r="D1908" t="inlineStr">
        <is>
          <t>JÄMTLANDS LÄN</t>
        </is>
      </c>
      <c r="E1908" t="inlineStr">
        <is>
          <t>STRÖMSUND</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50934-2022</t>
        </is>
      </c>
      <c r="B1909" s="1" t="n">
        <v>44867</v>
      </c>
      <c r="C1909" s="1" t="n">
        <v>45749</v>
      </c>
      <c r="D1909" t="inlineStr">
        <is>
          <t>JÄMTLANDS LÄN</t>
        </is>
      </c>
      <c r="E1909" t="inlineStr">
        <is>
          <t>STRÖMSUND</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51013-2022</t>
        </is>
      </c>
      <c r="B1910" s="1" t="n">
        <v>44867</v>
      </c>
      <c r="C1910" s="1" t="n">
        <v>45749</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51015-2022</t>
        </is>
      </c>
      <c r="B1911" s="1" t="n">
        <v>44867</v>
      </c>
      <c r="C1911" s="1" t="n">
        <v>45749</v>
      </c>
      <c r="D1911" t="inlineStr">
        <is>
          <t>JÄMTLANDS LÄN</t>
        </is>
      </c>
      <c r="E1911" t="inlineStr">
        <is>
          <t>STRÖMSUND</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51021-2022</t>
        </is>
      </c>
      <c r="B1912" s="1" t="n">
        <v>44867</v>
      </c>
      <c r="C1912" s="1" t="n">
        <v>45749</v>
      </c>
      <c r="D1912" t="inlineStr">
        <is>
          <t>JÄMTLANDS LÄN</t>
        </is>
      </c>
      <c r="E1912" t="inlineStr">
        <is>
          <t>STRÖMSUND</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51889-2022</t>
        </is>
      </c>
      <c r="B1913" s="1" t="n">
        <v>44867</v>
      </c>
      <c r="C1913" s="1" t="n">
        <v>45749</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51325-2022</t>
        </is>
      </c>
      <c r="B1914" s="1" t="n">
        <v>44868</v>
      </c>
      <c r="C1914" s="1" t="n">
        <v>45749</v>
      </c>
      <c r="D1914" t="inlineStr">
        <is>
          <t>JÄMTLANDS LÄN</t>
        </is>
      </c>
      <c r="E1914" t="inlineStr">
        <is>
          <t>STRÖMSUND</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51324-2022</t>
        </is>
      </c>
      <c r="B1915" s="1" t="n">
        <v>44868</v>
      </c>
      <c r="C1915" s="1" t="n">
        <v>45749</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45749</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51450-2022</t>
        </is>
      </c>
      <c r="B1917" s="1" t="n">
        <v>44869</v>
      </c>
      <c r="C1917" s="1" t="n">
        <v>45749</v>
      </c>
      <c r="D1917" t="inlineStr">
        <is>
          <t>JÄMTLANDS LÄN</t>
        </is>
      </c>
      <c r="E1917" t="inlineStr">
        <is>
          <t>STRÖMSUND</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51562-2022</t>
        </is>
      </c>
      <c r="B1918" s="1" t="n">
        <v>44869</v>
      </c>
      <c r="C1918" s="1" t="n">
        <v>45749</v>
      </c>
      <c r="D1918" t="inlineStr">
        <is>
          <t>JÄMTLANDS LÄN</t>
        </is>
      </c>
      <c r="E1918" t="inlineStr">
        <is>
          <t>STRÖMSUND</t>
        </is>
      </c>
      <c r="F1918" t="inlineStr">
        <is>
          <t>SCA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51563-2022</t>
        </is>
      </c>
      <c r="B1919" s="1" t="n">
        <v>44869</v>
      </c>
      <c r="C1919" s="1" t="n">
        <v>45749</v>
      </c>
      <c r="D1919" t="inlineStr">
        <is>
          <t>JÄMTLANDS LÄN</t>
        </is>
      </c>
      <c r="E1919" t="inlineStr">
        <is>
          <t>STRÖMSUND</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52038-2022</t>
        </is>
      </c>
      <c r="B1920" s="1" t="n">
        <v>44872</v>
      </c>
      <c r="C1920" s="1" t="n">
        <v>45749</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52028-2022</t>
        </is>
      </c>
      <c r="B1921" s="1" t="n">
        <v>44872</v>
      </c>
      <c r="C1921" s="1" t="n">
        <v>45749</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52806-2022</t>
        </is>
      </c>
      <c r="B1922" s="1" t="n">
        <v>44872</v>
      </c>
      <c r="C1922" s="1" t="n">
        <v>45749</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52345-2022</t>
        </is>
      </c>
      <c r="B1923" s="1" t="n">
        <v>44873</v>
      </c>
      <c r="C1923" s="1" t="n">
        <v>45749</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52352-2022</t>
        </is>
      </c>
      <c r="B1924" s="1" t="n">
        <v>44873</v>
      </c>
      <c r="C1924" s="1" t="n">
        <v>45749</v>
      </c>
      <c r="D1924" t="inlineStr">
        <is>
          <t>JÄMTLANDS LÄN</t>
        </is>
      </c>
      <c r="E1924" t="inlineStr">
        <is>
          <t>STRÖMSUND</t>
        </is>
      </c>
      <c r="F1924" t="inlineStr">
        <is>
          <t>SCA</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52344-2022</t>
        </is>
      </c>
      <c r="B1925" s="1" t="n">
        <v>44873</v>
      </c>
      <c r="C1925" s="1" t="n">
        <v>45749</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52715-2022</t>
        </is>
      </c>
      <c r="B1926" s="1" t="n">
        <v>44874</v>
      </c>
      <c r="C1926" s="1" t="n">
        <v>45749</v>
      </c>
      <c r="D1926" t="inlineStr">
        <is>
          <t>JÄMTLANDS LÄN</t>
        </is>
      </c>
      <c r="E1926" t="inlineStr">
        <is>
          <t>STRÖMSUND</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52521-2022</t>
        </is>
      </c>
      <c r="B1927" s="1" t="n">
        <v>44874</v>
      </c>
      <c r="C1927" s="1" t="n">
        <v>45749</v>
      </c>
      <c r="D1927" t="inlineStr">
        <is>
          <t>JÄMTLANDS LÄN</t>
        </is>
      </c>
      <c r="E1927" t="inlineStr">
        <is>
          <t>STRÖMSUND</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52728-2022</t>
        </is>
      </c>
      <c r="B1928" s="1" t="n">
        <v>44874</v>
      </c>
      <c r="C1928" s="1" t="n">
        <v>45749</v>
      </c>
      <c r="D1928" t="inlineStr">
        <is>
          <t>JÄMTLANDS LÄN</t>
        </is>
      </c>
      <c r="E1928" t="inlineStr">
        <is>
          <t>STRÖMSUND</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53019-2022</t>
        </is>
      </c>
      <c r="B1929" s="1" t="n">
        <v>44875</v>
      </c>
      <c r="C1929" s="1" t="n">
        <v>45749</v>
      </c>
      <c r="D1929" t="inlineStr">
        <is>
          <t>JÄMTLANDS LÄN</t>
        </is>
      </c>
      <c r="E1929" t="inlineStr">
        <is>
          <t>STRÖMSUND</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53020-2022</t>
        </is>
      </c>
      <c r="B1930" s="1" t="n">
        <v>44875</v>
      </c>
      <c r="C1930" s="1" t="n">
        <v>45749</v>
      </c>
      <c r="D1930" t="inlineStr">
        <is>
          <t>JÄMTLANDS LÄN</t>
        </is>
      </c>
      <c r="E1930" t="inlineStr">
        <is>
          <t>STRÖMSUND</t>
        </is>
      </c>
      <c r="F1930" t="inlineStr">
        <is>
          <t>SCA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53016-2022</t>
        </is>
      </c>
      <c r="B1931" s="1" t="n">
        <v>44875</v>
      </c>
      <c r="C1931" s="1" t="n">
        <v>45749</v>
      </c>
      <c r="D1931" t="inlineStr">
        <is>
          <t>JÄMTLANDS LÄN</t>
        </is>
      </c>
      <c r="E1931" t="inlineStr">
        <is>
          <t>STRÖMSUND</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53143-2022</t>
        </is>
      </c>
      <c r="B1932" s="1" t="n">
        <v>44876</v>
      </c>
      <c r="C1932" s="1" t="n">
        <v>45749</v>
      </c>
      <c r="D1932" t="inlineStr">
        <is>
          <t>JÄMTLANDS LÄN</t>
        </is>
      </c>
      <c r="E1932" t="inlineStr">
        <is>
          <t>STRÖMSUND</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53149-2022</t>
        </is>
      </c>
      <c r="B1933" s="1" t="n">
        <v>44876</v>
      </c>
      <c r="C1933" s="1" t="n">
        <v>45749</v>
      </c>
      <c r="D1933" t="inlineStr">
        <is>
          <t>JÄMTLANDS LÄN</t>
        </is>
      </c>
      <c r="E1933" t="inlineStr">
        <is>
          <t>STRÖMSUND</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53816-2022</t>
        </is>
      </c>
      <c r="B1934" s="1" t="n">
        <v>44876</v>
      </c>
      <c r="C1934" s="1" t="n">
        <v>45749</v>
      </c>
      <c r="D1934" t="inlineStr">
        <is>
          <t>JÄMTLANDS LÄN</t>
        </is>
      </c>
      <c r="E1934" t="inlineStr">
        <is>
          <t>STRÖMSUND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54050-2022</t>
        </is>
      </c>
      <c r="B1935" s="1" t="n">
        <v>44876</v>
      </c>
      <c r="C1935" s="1" t="n">
        <v>45749</v>
      </c>
      <c r="D1935" t="inlineStr">
        <is>
          <t>JÄMTLANDS LÄN</t>
        </is>
      </c>
      <c r="E1935" t="inlineStr">
        <is>
          <t>STRÖMSUND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53318-2022</t>
        </is>
      </c>
      <c r="B1936" s="1" t="n">
        <v>44878</v>
      </c>
      <c r="C1936" s="1" t="n">
        <v>45749</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53338-2022</t>
        </is>
      </c>
      <c r="B1937" s="1" t="n">
        <v>44879</v>
      </c>
      <c r="C1937" s="1" t="n">
        <v>45749</v>
      </c>
      <c r="D1937" t="inlineStr">
        <is>
          <t>JÄMTLANDS LÄN</t>
        </is>
      </c>
      <c r="E1937" t="inlineStr">
        <is>
          <t>STRÖMSUND</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53400-2022</t>
        </is>
      </c>
      <c r="B1938" s="1" t="n">
        <v>44879</v>
      </c>
      <c r="C1938" s="1" t="n">
        <v>45749</v>
      </c>
      <c r="D1938" t="inlineStr">
        <is>
          <t>JÄMTLANDS LÄN</t>
        </is>
      </c>
      <c r="E1938" t="inlineStr">
        <is>
          <t>STRÖMSUND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53396-2022</t>
        </is>
      </c>
      <c r="B1939" s="1" t="n">
        <v>44879</v>
      </c>
      <c r="C1939" s="1" t="n">
        <v>45749</v>
      </c>
      <c r="D1939" t="inlineStr">
        <is>
          <t>JÄMTLANDS LÄN</t>
        </is>
      </c>
      <c r="E1939" t="inlineStr">
        <is>
          <t>STRÖMSUND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54577-2022</t>
        </is>
      </c>
      <c r="B1940" s="1" t="n">
        <v>44882</v>
      </c>
      <c r="C1940" s="1" t="n">
        <v>45749</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54581-2022</t>
        </is>
      </c>
      <c r="B1941" s="1" t="n">
        <v>44882</v>
      </c>
      <c r="C1941" s="1" t="n">
        <v>45749</v>
      </c>
      <c r="D1941" t="inlineStr">
        <is>
          <t>JÄMTLANDS LÄN</t>
        </is>
      </c>
      <c r="E1941" t="inlineStr">
        <is>
          <t>STRÖMSUND</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55459-2022</t>
        </is>
      </c>
      <c r="B1942" s="1" t="n">
        <v>44882</v>
      </c>
      <c r="C1942" s="1" t="n">
        <v>45749</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55485-2022</t>
        </is>
      </c>
      <c r="B1943" s="1" t="n">
        <v>44882</v>
      </c>
      <c r="C1943" s="1" t="n">
        <v>45749</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54828-2022</t>
        </is>
      </c>
      <c r="B1944" s="1" t="n">
        <v>44883</v>
      </c>
      <c r="C1944" s="1" t="n">
        <v>45749</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54839-2022</t>
        </is>
      </c>
      <c r="B1945" s="1" t="n">
        <v>44883</v>
      </c>
      <c r="C1945" s="1" t="n">
        <v>45749</v>
      </c>
      <c r="D1945" t="inlineStr">
        <is>
          <t>JÄMTLANDS LÄN</t>
        </is>
      </c>
      <c r="E1945" t="inlineStr">
        <is>
          <t>STRÖMSUND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54843-2022</t>
        </is>
      </c>
      <c r="B1946" s="1" t="n">
        <v>44883</v>
      </c>
      <c r="C1946" s="1" t="n">
        <v>45749</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54844-2022</t>
        </is>
      </c>
      <c r="B1947" s="1" t="n">
        <v>44883</v>
      </c>
      <c r="C1947" s="1" t="n">
        <v>45749</v>
      </c>
      <c r="D1947" t="inlineStr">
        <is>
          <t>JÄMTLANDS LÄN</t>
        </is>
      </c>
      <c r="E1947" t="inlineStr">
        <is>
          <t>STRÖMSUND</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55525-2022</t>
        </is>
      </c>
      <c r="B1948" s="1" t="n">
        <v>44887</v>
      </c>
      <c r="C1948" s="1" t="n">
        <v>45749</v>
      </c>
      <c r="D1948" t="inlineStr">
        <is>
          <t>JÄMTLANDS LÄN</t>
        </is>
      </c>
      <c r="E1948" t="inlineStr">
        <is>
          <t>STRÖMSUND</t>
        </is>
      </c>
      <c r="F1948" t="inlineStr">
        <is>
          <t>SCA</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55524-2022</t>
        </is>
      </c>
      <c r="B1949" s="1" t="n">
        <v>44887</v>
      </c>
      <c r="C1949" s="1" t="n">
        <v>45749</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55531-2022</t>
        </is>
      </c>
      <c r="B1950" s="1" t="n">
        <v>44887</v>
      </c>
      <c r="C1950" s="1" t="n">
        <v>45749</v>
      </c>
      <c r="D1950" t="inlineStr">
        <is>
          <t>JÄMTLANDS LÄN</t>
        </is>
      </c>
      <c r="E1950" t="inlineStr">
        <is>
          <t>STRÖMSUND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55901-2022</t>
        </is>
      </c>
      <c r="B1951" s="1" t="n">
        <v>44888</v>
      </c>
      <c r="C1951" s="1" t="n">
        <v>45749</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56091-2022</t>
        </is>
      </c>
      <c r="B1952" s="1" t="n">
        <v>44889</v>
      </c>
      <c r="C1952" s="1" t="n">
        <v>45749</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56171-2022</t>
        </is>
      </c>
      <c r="B1953" s="1" t="n">
        <v>44889</v>
      </c>
      <c r="C1953" s="1" t="n">
        <v>45749</v>
      </c>
      <c r="D1953" t="inlineStr">
        <is>
          <t>JÄMTLANDS LÄN</t>
        </is>
      </c>
      <c r="E1953" t="inlineStr">
        <is>
          <t>STRÖMSUND</t>
        </is>
      </c>
      <c r="F1953" t="inlineStr">
        <is>
          <t>SCA</t>
        </is>
      </c>
      <c r="G1953" t="n">
        <v>21.9</v>
      </c>
      <c r="H1953" t="n">
        <v>0</v>
      </c>
      <c r="I1953" t="n">
        <v>0</v>
      </c>
      <c r="J1953" t="n">
        <v>0</v>
      </c>
      <c r="K1953" t="n">
        <v>0</v>
      </c>
      <c r="L1953" t="n">
        <v>0</v>
      </c>
      <c r="M1953" t="n">
        <v>0</v>
      </c>
      <c r="N1953" t="n">
        <v>0</v>
      </c>
      <c r="O1953" t="n">
        <v>0</v>
      </c>
      <c r="P1953" t="n">
        <v>0</v>
      </c>
      <c r="Q1953" t="n">
        <v>0</v>
      </c>
      <c r="R1953" s="2" t="inlineStr"/>
    </row>
    <row r="1954" ht="15" customHeight="1">
      <c r="A1954" t="inlineStr">
        <is>
          <t>A 56196-2022</t>
        </is>
      </c>
      <c r="B1954" s="1" t="n">
        <v>44889</v>
      </c>
      <c r="C1954" s="1" t="n">
        <v>45749</v>
      </c>
      <c r="D1954" t="inlineStr">
        <is>
          <t>JÄMTLANDS LÄN</t>
        </is>
      </c>
      <c r="E1954" t="inlineStr">
        <is>
          <t>STRÖMSUND</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56412-2022</t>
        </is>
      </c>
      <c r="B1955" s="1" t="n">
        <v>44890</v>
      </c>
      <c r="C1955" s="1" t="n">
        <v>45749</v>
      </c>
      <c r="D1955" t="inlineStr">
        <is>
          <t>JÄMTLANDS LÄN</t>
        </is>
      </c>
      <c r="E1955" t="inlineStr">
        <is>
          <t>STRÖMSUND</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57740-2022</t>
        </is>
      </c>
      <c r="B1956" s="1" t="n">
        <v>44890</v>
      </c>
      <c r="C1956" s="1" t="n">
        <v>45749</v>
      </c>
      <c r="D1956" t="inlineStr">
        <is>
          <t>JÄMTLANDS LÄN</t>
        </is>
      </c>
      <c r="E1956" t="inlineStr">
        <is>
          <t>STRÖMSUND</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57762-2022</t>
        </is>
      </c>
      <c r="B1957" s="1" t="n">
        <v>44890</v>
      </c>
      <c r="C1957" s="1" t="n">
        <v>45749</v>
      </c>
      <c r="D1957" t="inlineStr">
        <is>
          <t>JÄMTLANDS LÄN</t>
        </is>
      </c>
      <c r="E1957" t="inlineStr">
        <is>
          <t>STRÖMSUND</t>
        </is>
      </c>
      <c r="F1957" t="inlineStr">
        <is>
          <t>Kyrkan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56413-2022</t>
        </is>
      </c>
      <c r="B1958" s="1" t="n">
        <v>44890</v>
      </c>
      <c r="C1958" s="1" t="n">
        <v>45749</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57754-2022</t>
        </is>
      </c>
      <c r="B1959" s="1" t="n">
        <v>44890</v>
      </c>
      <c r="C1959" s="1" t="n">
        <v>45749</v>
      </c>
      <c r="D1959" t="inlineStr">
        <is>
          <t>JÄMTLANDS LÄN</t>
        </is>
      </c>
      <c r="E1959" t="inlineStr">
        <is>
          <t>STRÖMSUND</t>
        </is>
      </c>
      <c r="F1959" t="inlineStr">
        <is>
          <t>Kyrkan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58031-2022</t>
        </is>
      </c>
      <c r="B1960" s="1" t="n">
        <v>44893</v>
      </c>
      <c r="C1960" s="1" t="n">
        <v>45749</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58037-2022</t>
        </is>
      </c>
      <c r="B1961" s="1" t="n">
        <v>44893</v>
      </c>
      <c r="C1961" s="1" t="n">
        <v>45749</v>
      </c>
      <c r="D1961" t="inlineStr">
        <is>
          <t>JÄMTLANDS LÄN</t>
        </is>
      </c>
      <c r="E1961" t="inlineStr">
        <is>
          <t>STRÖMSUND</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58025-2022</t>
        </is>
      </c>
      <c r="B1962" s="1" t="n">
        <v>44893</v>
      </c>
      <c r="C1962" s="1" t="n">
        <v>45749</v>
      </c>
      <c r="D1962" t="inlineStr">
        <is>
          <t>JÄMTLANDS LÄN</t>
        </is>
      </c>
      <c r="E1962" t="inlineStr">
        <is>
          <t>STRÖMSUND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57005-2022</t>
        </is>
      </c>
      <c r="B1963" s="1" t="n">
        <v>44894</v>
      </c>
      <c r="C1963" s="1" t="n">
        <v>45749</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56999-2022</t>
        </is>
      </c>
      <c r="B1964" s="1" t="n">
        <v>44894</v>
      </c>
      <c r="C1964" s="1" t="n">
        <v>45749</v>
      </c>
      <c r="D1964" t="inlineStr">
        <is>
          <t>JÄMTLANDS LÄN</t>
        </is>
      </c>
      <c r="E1964" t="inlineStr">
        <is>
          <t>STRÖMSUND</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57012-2022</t>
        </is>
      </c>
      <c r="B1965" s="1" t="n">
        <v>44894</v>
      </c>
      <c r="C1965" s="1" t="n">
        <v>45749</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57017-2022</t>
        </is>
      </c>
      <c r="B1966" s="1" t="n">
        <v>44895</v>
      </c>
      <c r="C1966" s="1" t="n">
        <v>45749</v>
      </c>
      <c r="D1966" t="inlineStr">
        <is>
          <t>JÄMTLANDS LÄN</t>
        </is>
      </c>
      <c r="E1966" t="inlineStr">
        <is>
          <t>STRÖMSUND</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57021-2022</t>
        </is>
      </c>
      <c r="B1967" s="1" t="n">
        <v>44895</v>
      </c>
      <c r="C1967" s="1" t="n">
        <v>45749</v>
      </c>
      <c r="D1967" t="inlineStr">
        <is>
          <t>JÄMTLANDS LÄN</t>
        </is>
      </c>
      <c r="E1967" t="inlineStr">
        <is>
          <t>STRÖMSUND</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57018-2022</t>
        </is>
      </c>
      <c r="B1968" s="1" t="n">
        <v>44895</v>
      </c>
      <c r="C1968" s="1" t="n">
        <v>45749</v>
      </c>
      <c r="D1968" t="inlineStr">
        <is>
          <t>JÄMTLANDS LÄN</t>
        </is>
      </c>
      <c r="E1968" t="inlineStr">
        <is>
          <t>STRÖMSUND</t>
        </is>
      </c>
      <c r="F1968" t="inlineStr">
        <is>
          <t>SCA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57022-2022</t>
        </is>
      </c>
      <c r="B1969" s="1" t="n">
        <v>44895</v>
      </c>
      <c r="C1969" s="1" t="n">
        <v>45749</v>
      </c>
      <c r="D1969" t="inlineStr">
        <is>
          <t>JÄMTLANDS LÄN</t>
        </is>
      </c>
      <c r="E1969" t="inlineStr">
        <is>
          <t>STRÖMSUND</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56931-2022</t>
        </is>
      </c>
      <c r="B1970" s="1" t="n">
        <v>44894</v>
      </c>
      <c r="C1970" s="1" t="n">
        <v>45749</v>
      </c>
      <c r="D1970" t="inlineStr">
        <is>
          <t>JÄMTLANDS LÄN</t>
        </is>
      </c>
      <c r="E1970" t="inlineStr">
        <is>
          <t>STRÖMSUND</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57002-2022</t>
        </is>
      </c>
      <c r="B1971" s="1" t="n">
        <v>44894</v>
      </c>
      <c r="C1971" s="1" t="n">
        <v>45749</v>
      </c>
      <c r="D1971" t="inlineStr">
        <is>
          <t>JÄMTLANDS LÄN</t>
        </is>
      </c>
      <c r="E1971" t="inlineStr">
        <is>
          <t>STRÖMSUND</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57014-2022</t>
        </is>
      </c>
      <c r="B1972" s="1" t="n">
        <v>44894</v>
      </c>
      <c r="C1972" s="1" t="n">
        <v>45749</v>
      </c>
      <c r="D1972" t="inlineStr">
        <is>
          <t>JÄMTLANDS LÄN</t>
        </is>
      </c>
      <c r="E1972" t="inlineStr">
        <is>
          <t>STRÖMSUND</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57016-2022</t>
        </is>
      </c>
      <c r="B1973" s="1" t="n">
        <v>44894</v>
      </c>
      <c r="C1973" s="1" t="n">
        <v>45749</v>
      </c>
      <c r="D1973" t="inlineStr">
        <is>
          <t>JÄMTLANDS LÄN</t>
        </is>
      </c>
      <c r="E1973" t="inlineStr">
        <is>
          <t>STRÖMSUND</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57272-2022</t>
        </is>
      </c>
      <c r="B1974" s="1" t="n">
        <v>44895</v>
      </c>
      <c r="C1974" s="1" t="n">
        <v>45749</v>
      </c>
      <c r="D1974" t="inlineStr">
        <is>
          <t>JÄMTLANDS LÄN</t>
        </is>
      </c>
      <c r="E1974" t="inlineStr">
        <is>
          <t>STRÖMSUND</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57278-2022</t>
        </is>
      </c>
      <c r="B1975" s="1" t="n">
        <v>44895</v>
      </c>
      <c r="C1975" s="1" t="n">
        <v>45749</v>
      </c>
      <c r="D1975" t="inlineStr">
        <is>
          <t>JÄMTLANDS LÄN</t>
        </is>
      </c>
      <c r="E1975" t="inlineStr">
        <is>
          <t>STRÖMSUND</t>
        </is>
      </c>
      <c r="F1975" t="inlineStr">
        <is>
          <t>SCA</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57274-2022</t>
        </is>
      </c>
      <c r="B1976" s="1" t="n">
        <v>44895</v>
      </c>
      <c r="C1976" s="1" t="n">
        <v>45749</v>
      </c>
      <c r="D1976" t="inlineStr">
        <is>
          <t>JÄMTLANDS LÄN</t>
        </is>
      </c>
      <c r="E1976" t="inlineStr">
        <is>
          <t>STRÖMSUND</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57280-2022</t>
        </is>
      </c>
      <c r="B1977" s="1" t="n">
        <v>44895</v>
      </c>
      <c r="C1977" s="1" t="n">
        <v>45749</v>
      </c>
      <c r="D1977" t="inlineStr">
        <is>
          <t>JÄMTLANDS LÄN</t>
        </is>
      </c>
      <c r="E1977" t="inlineStr">
        <is>
          <t>STRÖMSUND</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57277-2022</t>
        </is>
      </c>
      <c r="B1978" s="1" t="n">
        <v>44895</v>
      </c>
      <c r="C1978" s="1" t="n">
        <v>45749</v>
      </c>
      <c r="D1978" t="inlineStr">
        <is>
          <t>JÄMTLANDS LÄN</t>
        </is>
      </c>
      <c r="E1978" t="inlineStr">
        <is>
          <t>STRÖMSUND</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57297-2022</t>
        </is>
      </c>
      <c r="B1979" s="1" t="n">
        <v>44895</v>
      </c>
      <c r="C1979" s="1" t="n">
        <v>45749</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57626-2022</t>
        </is>
      </c>
      <c r="B1980" s="1" t="n">
        <v>44897</v>
      </c>
      <c r="C1980" s="1" t="n">
        <v>45749</v>
      </c>
      <c r="D1980" t="inlineStr">
        <is>
          <t>JÄMTLANDS LÄN</t>
        </is>
      </c>
      <c r="E1980" t="inlineStr">
        <is>
          <t>STRÖMSUND</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57829-2022</t>
        </is>
      </c>
      <c r="B1981" s="1" t="n">
        <v>44897</v>
      </c>
      <c r="C1981" s="1" t="n">
        <v>45749</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58179-2022</t>
        </is>
      </c>
      <c r="B1982" s="1" t="n">
        <v>44900</v>
      </c>
      <c r="C1982" s="1" t="n">
        <v>45749</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58170-2022</t>
        </is>
      </c>
      <c r="B1983" s="1" t="n">
        <v>44900</v>
      </c>
      <c r="C1983" s="1" t="n">
        <v>45749</v>
      </c>
      <c r="D1983" t="inlineStr">
        <is>
          <t>JÄMTLANDS LÄN</t>
        </is>
      </c>
      <c r="E1983" t="inlineStr">
        <is>
          <t>STRÖMSUND</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58183-2022</t>
        </is>
      </c>
      <c r="B1984" s="1" t="n">
        <v>44900</v>
      </c>
      <c r="C1984" s="1" t="n">
        <v>45749</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59725-2022</t>
        </is>
      </c>
      <c r="B1985" s="1" t="n">
        <v>44900</v>
      </c>
      <c r="C1985" s="1" t="n">
        <v>45749</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58449-2022</t>
        </is>
      </c>
      <c r="B1986" s="1" t="n">
        <v>44901</v>
      </c>
      <c r="C1986" s="1" t="n">
        <v>45749</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58729-2022</t>
        </is>
      </c>
      <c r="B1987" s="1" t="n">
        <v>44902</v>
      </c>
      <c r="C1987" s="1" t="n">
        <v>45749</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58743-2022</t>
        </is>
      </c>
      <c r="B1988" s="1" t="n">
        <v>44902</v>
      </c>
      <c r="C1988" s="1" t="n">
        <v>45749</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45749</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58973-2022</t>
        </is>
      </c>
      <c r="B1990" s="1" t="n">
        <v>44903</v>
      </c>
      <c r="C1990" s="1" t="n">
        <v>45749</v>
      </c>
      <c r="D1990" t="inlineStr">
        <is>
          <t>JÄMTLANDS LÄN</t>
        </is>
      </c>
      <c r="E1990" t="inlineStr">
        <is>
          <t>STRÖMSUND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58905-2022</t>
        </is>
      </c>
      <c r="B1991" s="1" t="n">
        <v>44903</v>
      </c>
      <c r="C1991" s="1" t="n">
        <v>45749</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59035-2022</t>
        </is>
      </c>
      <c r="B1992" s="1" t="n">
        <v>44903</v>
      </c>
      <c r="C1992" s="1" t="n">
        <v>45749</v>
      </c>
      <c r="D1992" t="inlineStr">
        <is>
          <t>JÄMTLANDS LÄN</t>
        </is>
      </c>
      <c r="E1992" t="inlineStr">
        <is>
          <t>STRÖMSUND</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59367-2022</t>
        </is>
      </c>
      <c r="B1993" s="1" t="n">
        <v>44904</v>
      </c>
      <c r="C1993" s="1" t="n">
        <v>45749</v>
      </c>
      <c r="D1993" t="inlineStr">
        <is>
          <t>JÄMTLANDS LÄN</t>
        </is>
      </c>
      <c r="E1993" t="inlineStr">
        <is>
          <t>STRÖMSUND</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59372-2022</t>
        </is>
      </c>
      <c r="B1994" s="1" t="n">
        <v>44904</v>
      </c>
      <c r="C1994" s="1" t="n">
        <v>45749</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59376-2022</t>
        </is>
      </c>
      <c r="B1995" s="1" t="n">
        <v>44904</v>
      </c>
      <c r="C1995" s="1" t="n">
        <v>45749</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59461-2022</t>
        </is>
      </c>
      <c r="B1996" s="1" t="n">
        <v>44907</v>
      </c>
      <c r="C1996" s="1" t="n">
        <v>45749</v>
      </c>
      <c r="D1996" t="inlineStr">
        <is>
          <t>JÄMTLANDS LÄN</t>
        </is>
      </c>
      <c r="E1996" t="inlineStr">
        <is>
          <t>STRÖMSUND</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59637-2022</t>
        </is>
      </c>
      <c r="B1997" s="1" t="n">
        <v>44908</v>
      </c>
      <c r="C1997" s="1" t="n">
        <v>45749</v>
      </c>
      <c r="D1997" t="inlineStr">
        <is>
          <t>JÄMTLANDS LÄN</t>
        </is>
      </c>
      <c r="E1997" t="inlineStr">
        <is>
          <t>STRÖMSUND</t>
        </is>
      </c>
      <c r="F1997" t="inlineStr">
        <is>
          <t>SCA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59645-2022</t>
        </is>
      </c>
      <c r="B1998" s="1" t="n">
        <v>44908</v>
      </c>
      <c r="C1998" s="1" t="n">
        <v>45749</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59646-2022</t>
        </is>
      </c>
      <c r="B1999" s="1" t="n">
        <v>44908</v>
      </c>
      <c r="C1999" s="1" t="n">
        <v>45749</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60639-2022</t>
        </is>
      </c>
      <c r="B2000" s="1" t="n">
        <v>44907</v>
      </c>
      <c r="C2000" s="1" t="n">
        <v>45749</v>
      </c>
      <c r="D2000" t="inlineStr">
        <is>
          <t>JÄMTLANDS LÄN</t>
        </is>
      </c>
      <c r="E2000" t="inlineStr">
        <is>
          <t>STRÖMSUND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60775-2022</t>
        </is>
      </c>
      <c r="B2001" s="1" t="n">
        <v>44907</v>
      </c>
      <c r="C2001" s="1" t="n">
        <v>45749</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60002-2022</t>
        </is>
      </c>
      <c r="B2002" s="1" t="n">
        <v>44909</v>
      </c>
      <c r="C2002" s="1" t="n">
        <v>45749</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60667-2022</t>
        </is>
      </c>
      <c r="B2003" s="1" t="n">
        <v>44911</v>
      </c>
      <c r="C2003" s="1" t="n">
        <v>45749</v>
      </c>
      <c r="D2003" t="inlineStr">
        <is>
          <t>JÄMTLANDS LÄN</t>
        </is>
      </c>
      <c r="E2003" t="inlineStr">
        <is>
          <t>STRÖMSUND</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60740-2022</t>
        </is>
      </c>
      <c r="B2004" s="1" t="n">
        <v>44913</v>
      </c>
      <c r="C2004" s="1" t="n">
        <v>45749</v>
      </c>
      <c r="D2004" t="inlineStr">
        <is>
          <t>JÄMTLANDS LÄN</t>
        </is>
      </c>
      <c r="E2004" t="inlineStr">
        <is>
          <t>STRÖMSUND</t>
        </is>
      </c>
      <c r="F2004" t="inlineStr">
        <is>
          <t>SCA</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60742-2022</t>
        </is>
      </c>
      <c r="B2005" s="1" t="n">
        <v>44913</v>
      </c>
      <c r="C2005" s="1" t="n">
        <v>45749</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60801-2022</t>
        </is>
      </c>
      <c r="B2006" s="1" t="n">
        <v>44914</v>
      </c>
      <c r="C2006" s="1" t="n">
        <v>45749</v>
      </c>
      <c r="D2006" t="inlineStr">
        <is>
          <t>JÄMTLANDS LÄN</t>
        </is>
      </c>
      <c r="E2006" t="inlineStr">
        <is>
          <t>STRÖMSUND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61038-2022</t>
        </is>
      </c>
      <c r="B2007" s="1" t="n">
        <v>44914</v>
      </c>
      <c r="C2007" s="1" t="n">
        <v>45749</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61374-2022</t>
        </is>
      </c>
      <c r="B2008" s="1" t="n">
        <v>44915</v>
      </c>
      <c r="C2008" s="1" t="n">
        <v>45749</v>
      </c>
      <c r="D2008" t="inlineStr">
        <is>
          <t>JÄMTLANDS LÄN</t>
        </is>
      </c>
      <c r="E2008" t="inlineStr">
        <is>
          <t>STRÖMSUND</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61380-2022</t>
        </is>
      </c>
      <c r="B2009" s="1" t="n">
        <v>44915</v>
      </c>
      <c r="C2009" s="1" t="n">
        <v>45749</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61375-2022</t>
        </is>
      </c>
      <c r="B2010" s="1" t="n">
        <v>44915</v>
      </c>
      <c r="C2010" s="1" t="n">
        <v>45749</v>
      </c>
      <c r="D2010" t="inlineStr">
        <is>
          <t>JÄMTLANDS LÄN</t>
        </is>
      </c>
      <c r="E2010" t="inlineStr">
        <is>
          <t>STRÖMSUND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61382-2022</t>
        </is>
      </c>
      <c r="B2011" s="1" t="n">
        <v>44915</v>
      </c>
      <c r="C2011" s="1" t="n">
        <v>45749</v>
      </c>
      <c r="D2011" t="inlineStr">
        <is>
          <t>JÄMTLANDS LÄN</t>
        </is>
      </c>
      <c r="E2011" t="inlineStr">
        <is>
          <t>STRÖMSUND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62211-2022</t>
        </is>
      </c>
      <c r="B2012" s="1" t="n">
        <v>44915</v>
      </c>
      <c r="C2012" s="1" t="n">
        <v>45749</v>
      </c>
      <c r="D2012" t="inlineStr">
        <is>
          <t>JÄMTLANDS LÄN</t>
        </is>
      </c>
      <c r="E2012" t="inlineStr">
        <is>
          <t>STRÖMSUND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62229-2022</t>
        </is>
      </c>
      <c r="B2013" s="1" t="n">
        <v>44916</v>
      </c>
      <c r="C2013" s="1" t="n">
        <v>45749</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61921-2022</t>
        </is>
      </c>
      <c r="B2014" s="1" t="n">
        <v>44917</v>
      </c>
      <c r="C2014" s="1" t="n">
        <v>45749</v>
      </c>
      <c r="D2014" t="inlineStr">
        <is>
          <t>JÄMTLANDS LÄN</t>
        </is>
      </c>
      <c r="E2014" t="inlineStr">
        <is>
          <t>STRÖMSUND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31-2023</t>
        </is>
      </c>
      <c r="B2015" s="1" t="n">
        <v>44918</v>
      </c>
      <c r="C2015" s="1" t="n">
        <v>45749</v>
      </c>
      <c r="D2015" t="inlineStr">
        <is>
          <t>JÄMTLANDS LÄN</t>
        </is>
      </c>
      <c r="E2015" t="inlineStr">
        <is>
          <t>STRÖMSUND</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25-2023</t>
        </is>
      </c>
      <c r="B2016" s="1" t="n">
        <v>44928</v>
      </c>
      <c r="C2016" s="1" t="n">
        <v>45749</v>
      </c>
      <c r="D2016" t="inlineStr">
        <is>
          <t>JÄMTLANDS LÄN</t>
        </is>
      </c>
      <c r="E2016" t="inlineStr">
        <is>
          <t>STRÖMSUND</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286-2023</t>
        </is>
      </c>
      <c r="B2017" s="1" t="n">
        <v>44928</v>
      </c>
      <c r="C2017" s="1" t="n">
        <v>45749</v>
      </c>
      <c r="D2017" t="inlineStr">
        <is>
          <t>JÄMTLANDS LÄN</t>
        </is>
      </c>
      <c r="E2017" t="inlineStr">
        <is>
          <t>STRÖMSUND</t>
        </is>
      </c>
      <c r="F2017" t="inlineStr">
        <is>
          <t>SCA</t>
        </is>
      </c>
      <c r="G2017" t="n">
        <v>40.5</v>
      </c>
      <c r="H2017" t="n">
        <v>0</v>
      </c>
      <c r="I2017" t="n">
        <v>0</v>
      </c>
      <c r="J2017" t="n">
        <v>0</v>
      </c>
      <c r="K2017" t="n">
        <v>0</v>
      </c>
      <c r="L2017" t="n">
        <v>0</v>
      </c>
      <c r="M2017" t="n">
        <v>0</v>
      </c>
      <c r="N2017" t="n">
        <v>0</v>
      </c>
      <c r="O2017" t="n">
        <v>0</v>
      </c>
      <c r="P2017" t="n">
        <v>0</v>
      </c>
      <c r="Q2017" t="n">
        <v>0</v>
      </c>
      <c r="R2017" s="2" t="inlineStr"/>
    </row>
    <row r="2018" ht="15" customHeight="1">
      <c r="A2018" t="inlineStr">
        <is>
          <t>A 536-2023</t>
        </is>
      </c>
      <c r="B2018" s="1" t="n">
        <v>44930</v>
      </c>
      <c r="C2018" s="1" t="n">
        <v>45749</v>
      </c>
      <c r="D2018" t="inlineStr">
        <is>
          <t>JÄMTLANDS LÄN</t>
        </is>
      </c>
      <c r="E2018" t="inlineStr">
        <is>
          <t>STRÖMSUND</t>
        </is>
      </c>
      <c r="G2018" t="n">
        <v>35.4</v>
      </c>
      <c r="H2018" t="n">
        <v>0</v>
      </c>
      <c r="I2018" t="n">
        <v>0</v>
      </c>
      <c r="J2018" t="n">
        <v>0</v>
      </c>
      <c r="K2018" t="n">
        <v>0</v>
      </c>
      <c r="L2018" t="n">
        <v>0</v>
      </c>
      <c r="M2018" t="n">
        <v>0</v>
      </c>
      <c r="N2018" t="n">
        <v>0</v>
      </c>
      <c r="O2018" t="n">
        <v>0</v>
      </c>
      <c r="P2018" t="n">
        <v>0</v>
      </c>
      <c r="Q2018" t="n">
        <v>0</v>
      </c>
      <c r="R2018" s="2" t="inlineStr"/>
    </row>
    <row r="2019" ht="15" customHeight="1">
      <c r="A2019" t="inlineStr">
        <is>
          <t>A 1187-2023</t>
        </is>
      </c>
      <c r="B2019" s="1" t="n">
        <v>44930</v>
      </c>
      <c r="C2019" s="1" t="n">
        <v>45749</v>
      </c>
      <c r="D2019" t="inlineStr">
        <is>
          <t>JÄMTLANDS LÄN</t>
        </is>
      </c>
      <c r="E2019" t="inlineStr">
        <is>
          <t>STRÖMSUND</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897-2023</t>
        </is>
      </c>
      <c r="B2020" s="1" t="n">
        <v>44931</v>
      </c>
      <c r="C2020" s="1" t="n">
        <v>45749</v>
      </c>
      <c r="D2020" t="inlineStr">
        <is>
          <t>JÄMTLANDS LÄN</t>
        </is>
      </c>
      <c r="E2020" t="inlineStr">
        <is>
          <t>STRÖMSUND</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1288-2023</t>
        </is>
      </c>
      <c r="B2021" s="1" t="n">
        <v>44931</v>
      </c>
      <c r="C2021" s="1" t="n">
        <v>45749</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1224-2023</t>
        </is>
      </c>
      <c r="B2022" s="1" t="n">
        <v>44935</v>
      </c>
      <c r="C2022" s="1" t="n">
        <v>45749</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1747-2023</t>
        </is>
      </c>
      <c r="B2023" s="1" t="n">
        <v>44936</v>
      </c>
      <c r="C2023" s="1" t="n">
        <v>45749</v>
      </c>
      <c r="D2023" t="inlineStr">
        <is>
          <t>JÄMTLANDS LÄN</t>
        </is>
      </c>
      <c r="E2023" t="inlineStr">
        <is>
          <t>STRÖMSUND</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1744-2023</t>
        </is>
      </c>
      <c r="B2024" s="1" t="n">
        <v>44936</v>
      </c>
      <c r="C2024" s="1" t="n">
        <v>45749</v>
      </c>
      <c r="D2024" t="inlineStr">
        <is>
          <t>JÄMTLANDS LÄN</t>
        </is>
      </c>
      <c r="E2024" t="inlineStr">
        <is>
          <t>STRÖMSUND</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1641-2023</t>
        </is>
      </c>
      <c r="B2025" s="1" t="n">
        <v>44937</v>
      </c>
      <c r="C2025" s="1" t="n">
        <v>45749</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1642-2023</t>
        </is>
      </c>
      <c r="B2026" s="1" t="n">
        <v>44937</v>
      </c>
      <c r="C2026" s="1" t="n">
        <v>45749</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1952-2023</t>
        </is>
      </c>
      <c r="B2027" s="1" t="n">
        <v>44938</v>
      </c>
      <c r="C2027" s="1" t="n">
        <v>45749</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2050-2023</t>
        </is>
      </c>
      <c r="B2028" s="1" t="n">
        <v>44939</v>
      </c>
      <c r="C2028" s="1" t="n">
        <v>45749</v>
      </c>
      <c r="D2028" t="inlineStr">
        <is>
          <t>JÄMTLANDS LÄN</t>
        </is>
      </c>
      <c r="E2028" t="inlineStr">
        <is>
          <t>STRÖMSUND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2246-2023</t>
        </is>
      </c>
      <c r="B2029" s="1" t="n">
        <v>44939</v>
      </c>
      <c r="C2029" s="1" t="n">
        <v>45749</v>
      </c>
      <c r="D2029" t="inlineStr">
        <is>
          <t>JÄMTLANDS LÄN</t>
        </is>
      </c>
      <c r="E2029" t="inlineStr">
        <is>
          <t>STRÖMSUND</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2296-2023</t>
        </is>
      </c>
      <c r="B2030" s="1" t="n">
        <v>44942</v>
      </c>
      <c r="C2030" s="1" t="n">
        <v>45749</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2675-2023</t>
        </is>
      </c>
      <c r="B2031" s="1" t="n">
        <v>44942</v>
      </c>
      <c r="C2031" s="1" t="n">
        <v>45749</v>
      </c>
      <c r="D2031" t="inlineStr">
        <is>
          <t>JÄMTLANDS LÄN</t>
        </is>
      </c>
      <c r="E2031" t="inlineStr">
        <is>
          <t>STRÖMSUND</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3182-2023</t>
        </is>
      </c>
      <c r="B2032" s="1" t="n">
        <v>44942</v>
      </c>
      <c r="C2032" s="1" t="n">
        <v>45749</v>
      </c>
      <c r="D2032" t="inlineStr">
        <is>
          <t>JÄMTLANDS LÄN</t>
        </is>
      </c>
      <c r="E2032" t="inlineStr">
        <is>
          <t>STRÖMSUND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3027-2023</t>
        </is>
      </c>
      <c r="B2033" s="1" t="n">
        <v>44945</v>
      </c>
      <c r="C2033" s="1" t="n">
        <v>45749</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3481-2023</t>
        </is>
      </c>
      <c r="B2034" s="1" t="n">
        <v>44949</v>
      </c>
      <c r="C2034" s="1" t="n">
        <v>45749</v>
      </c>
      <c r="D2034" t="inlineStr">
        <is>
          <t>JÄMTLANDS LÄN</t>
        </is>
      </c>
      <c r="E2034" t="inlineStr">
        <is>
          <t>STRÖMSUND</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3693-2023</t>
        </is>
      </c>
      <c r="B2035" s="1" t="n">
        <v>44950</v>
      </c>
      <c r="C2035" s="1" t="n">
        <v>45749</v>
      </c>
      <c r="D2035" t="inlineStr">
        <is>
          <t>JÄMTLANDS LÄN</t>
        </is>
      </c>
      <c r="E2035" t="inlineStr">
        <is>
          <t>STRÖMSUND</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4045-2023</t>
        </is>
      </c>
      <c r="B2036" s="1" t="n">
        <v>44952</v>
      </c>
      <c r="C2036" s="1" t="n">
        <v>45749</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4537-2023</t>
        </is>
      </c>
      <c r="B2037" s="1" t="n">
        <v>44952</v>
      </c>
      <c r="C2037" s="1" t="n">
        <v>45749</v>
      </c>
      <c r="D2037" t="inlineStr">
        <is>
          <t>JÄMTLANDS LÄN</t>
        </is>
      </c>
      <c r="E2037" t="inlineStr">
        <is>
          <t>STRÖMSUND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4050-2023</t>
        </is>
      </c>
      <c r="B2038" s="1" t="n">
        <v>44952</v>
      </c>
      <c r="C2038" s="1" t="n">
        <v>45749</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4684-2023</t>
        </is>
      </c>
      <c r="B2039" s="1" t="n">
        <v>44952</v>
      </c>
      <c r="C2039" s="1" t="n">
        <v>45749</v>
      </c>
      <c r="D2039" t="inlineStr">
        <is>
          <t>JÄMTLANDS LÄN</t>
        </is>
      </c>
      <c r="E2039" t="inlineStr">
        <is>
          <t>STRÖMSUND</t>
        </is>
      </c>
      <c r="G2039" t="n">
        <v>24.1</v>
      </c>
      <c r="H2039" t="n">
        <v>0</v>
      </c>
      <c r="I2039" t="n">
        <v>0</v>
      </c>
      <c r="J2039" t="n">
        <v>0</v>
      </c>
      <c r="K2039" t="n">
        <v>0</v>
      </c>
      <c r="L2039" t="n">
        <v>0</v>
      </c>
      <c r="M2039" t="n">
        <v>0</v>
      </c>
      <c r="N2039" t="n">
        <v>0</v>
      </c>
      <c r="O2039" t="n">
        <v>0</v>
      </c>
      <c r="P2039" t="n">
        <v>0</v>
      </c>
      <c r="Q2039" t="n">
        <v>0</v>
      </c>
      <c r="R2039" s="2" t="inlineStr"/>
    </row>
    <row r="2040" ht="15" customHeight="1">
      <c r="A2040" t="inlineStr">
        <is>
          <t>A 4523-2023</t>
        </is>
      </c>
      <c r="B2040" s="1" t="n">
        <v>44952</v>
      </c>
      <c r="C2040" s="1" t="n">
        <v>45749</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4388-2023</t>
        </is>
      </c>
      <c r="B2041" s="1" t="n">
        <v>44955</v>
      </c>
      <c r="C2041" s="1" t="n">
        <v>45749</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4621-2023</t>
        </is>
      </c>
      <c r="B2042" s="1" t="n">
        <v>44956</v>
      </c>
      <c r="C2042" s="1" t="n">
        <v>45749</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4988-2023</t>
        </is>
      </c>
      <c r="B2043" s="1" t="n">
        <v>44956</v>
      </c>
      <c r="C2043" s="1" t="n">
        <v>45749</v>
      </c>
      <c r="D2043" t="inlineStr">
        <is>
          <t>JÄMTLANDS LÄN</t>
        </is>
      </c>
      <c r="E2043" t="inlineStr">
        <is>
          <t>STRÖMSUND</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4981-2023</t>
        </is>
      </c>
      <c r="B2044" s="1" t="n">
        <v>44956</v>
      </c>
      <c r="C2044" s="1" t="n">
        <v>45749</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4880-2023</t>
        </is>
      </c>
      <c r="B2045" s="1" t="n">
        <v>44957</v>
      </c>
      <c r="C2045" s="1" t="n">
        <v>45749</v>
      </c>
      <c r="D2045" t="inlineStr">
        <is>
          <t>JÄMTLANDS LÄN</t>
        </is>
      </c>
      <c r="E2045" t="inlineStr">
        <is>
          <t>STRÖMSUND</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5154-2023</t>
        </is>
      </c>
      <c r="B2046" s="1" t="n">
        <v>44958</v>
      </c>
      <c r="C2046" s="1" t="n">
        <v>45749</v>
      </c>
      <c r="D2046" t="inlineStr">
        <is>
          <t>JÄMTLANDS LÄN</t>
        </is>
      </c>
      <c r="E2046" t="inlineStr">
        <is>
          <t>STRÖMSUND</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5174-2023</t>
        </is>
      </c>
      <c r="B2047" s="1" t="n">
        <v>44958</v>
      </c>
      <c r="C2047" s="1" t="n">
        <v>45749</v>
      </c>
      <c r="D2047" t="inlineStr">
        <is>
          <t>JÄMTLANDS LÄN</t>
        </is>
      </c>
      <c r="E2047" t="inlineStr">
        <is>
          <t>STRÖMSUND</t>
        </is>
      </c>
      <c r="F2047" t="inlineStr">
        <is>
          <t>SCA</t>
        </is>
      </c>
      <c r="G2047" t="n">
        <v>64.5</v>
      </c>
      <c r="H2047" t="n">
        <v>0</v>
      </c>
      <c r="I2047" t="n">
        <v>0</v>
      </c>
      <c r="J2047" t="n">
        <v>0</v>
      </c>
      <c r="K2047" t="n">
        <v>0</v>
      </c>
      <c r="L2047" t="n">
        <v>0</v>
      </c>
      <c r="M2047" t="n">
        <v>0</v>
      </c>
      <c r="N2047" t="n">
        <v>0</v>
      </c>
      <c r="O2047" t="n">
        <v>0</v>
      </c>
      <c r="P2047" t="n">
        <v>0</v>
      </c>
      <c r="Q2047" t="n">
        <v>0</v>
      </c>
      <c r="R2047" s="2" t="inlineStr"/>
    </row>
    <row r="2048" ht="15" customHeight="1">
      <c r="A2048" t="inlineStr">
        <is>
          <t>A 5155-2023</t>
        </is>
      </c>
      <c r="B2048" s="1" t="n">
        <v>44958</v>
      </c>
      <c r="C2048" s="1" t="n">
        <v>45749</v>
      </c>
      <c r="D2048" t="inlineStr">
        <is>
          <t>JÄMTLANDS LÄN</t>
        </is>
      </c>
      <c r="E2048" t="inlineStr">
        <is>
          <t>STRÖMSUND</t>
        </is>
      </c>
      <c r="F2048" t="inlineStr">
        <is>
          <t>SCA</t>
        </is>
      </c>
      <c r="G2048" t="n">
        <v>34.1</v>
      </c>
      <c r="H2048" t="n">
        <v>0</v>
      </c>
      <c r="I2048" t="n">
        <v>0</v>
      </c>
      <c r="J2048" t="n">
        <v>0</v>
      </c>
      <c r="K2048" t="n">
        <v>0</v>
      </c>
      <c r="L2048" t="n">
        <v>0</v>
      </c>
      <c r="M2048" t="n">
        <v>0</v>
      </c>
      <c r="N2048" t="n">
        <v>0</v>
      </c>
      <c r="O2048" t="n">
        <v>0</v>
      </c>
      <c r="P2048" t="n">
        <v>0</v>
      </c>
      <c r="Q2048" t="n">
        <v>0</v>
      </c>
      <c r="R2048" s="2" t="inlineStr"/>
    </row>
    <row r="2049" ht="15" customHeight="1">
      <c r="A2049" t="inlineStr">
        <is>
          <t>A 5162-2023</t>
        </is>
      </c>
      <c r="B2049" s="1" t="n">
        <v>44958</v>
      </c>
      <c r="C2049" s="1" t="n">
        <v>45749</v>
      </c>
      <c r="D2049" t="inlineStr">
        <is>
          <t>JÄMTLANDS LÄN</t>
        </is>
      </c>
      <c r="E2049" t="inlineStr">
        <is>
          <t>STRÖMSUND</t>
        </is>
      </c>
      <c r="F2049" t="inlineStr">
        <is>
          <t>SCA</t>
        </is>
      </c>
      <c r="G2049" t="n">
        <v>62.1</v>
      </c>
      <c r="H2049" t="n">
        <v>0</v>
      </c>
      <c r="I2049" t="n">
        <v>0</v>
      </c>
      <c r="J2049" t="n">
        <v>0</v>
      </c>
      <c r="K2049" t="n">
        <v>0</v>
      </c>
      <c r="L2049" t="n">
        <v>0</v>
      </c>
      <c r="M2049" t="n">
        <v>0</v>
      </c>
      <c r="N2049" t="n">
        <v>0</v>
      </c>
      <c r="O2049" t="n">
        <v>0</v>
      </c>
      <c r="P2049" t="n">
        <v>0</v>
      </c>
      <c r="Q2049" t="n">
        <v>0</v>
      </c>
      <c r="R2049" s="2" t="inlineStr"/>
    </row>
    <row r="2050" ht="15" customHeight="1">
      <c r="A2050" t="inlineStr">
        <is>
          <t>A 5279-2023</t>
        </is>
      </c>
      <c r="B2050" s="1" t="n">
        <v>44959</v>
      </c>
      <c r="C2050" s="1" t="n">
        <v>45749</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5277-2023</t>
        </is>
      </c>
      <c r="B2051" s="1" t="n">
        <v>44959</v>
      </c>
      <c r="C2051" s="1" t="n">
        <v>45749</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5278-2023</t>
        </is>
      </c>
      <c r="B2052" s="1" t="n">
        <v>44959</v>
      </c>
      <c r="C2052" s="1" t="n">
        <v>45749</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5397-2023</t>
        </is>
      </c>
      <c r="B2053" s="1" t="n">
        <v>44959</v>
      </c>
      <c r="C2053" s="1" t="n">
        <v>45749</v>
      </c>
      <c r="D2053" t="inlineStr">
        <is>
          <t>JÄMTLANDS LÄN</t>
        </is>
      </c>
      <c r="E2053" t="inlineStr">
        <is>
          <t>STRÖMSUND</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5452-2023</t>
        </is>
      </c>
      <c r="B2054" s="1" t="n">
        <v>44959</v>
      </c>
      <c r="C2054" s="1" t="n">
        <v>45749</v>
      </c>
      <c r="D2054" t="inlineStr">
        <is>
          <t>JÄMTLANDS LÄN</t>
        </is>
      </c>
      <c r="E2054" t="inlineStr">
        <is>
          <t>STRÖMSUND</t>
        </is>
      </c>
      <c r="F2054" t="inlineStr">
        <is>
          <t>SCA</t>
        </is>
      </c>
      <c r="G2054" t="n">
        <v>33.6</v>
      </c>
      <c r="H2054" t="n">
        <v>0</v>
      </c>
      <c r="I2054" t="n">
        <v>0</v>
      </c>
      <c r="J2054" t="n">
        <v>0</v>
      </c>
      <c r="K2054" t="n">
        <v>0</v>
      </c>
      <c r="L2054" t="n">
        <v>0</v>
      </c>
      <c r="M2054" t="n">
        <v>0</v>
      </c>
      <c r="N2054" t="n">
        <v>0</v>
      </c>
      <c r="O2054" t="n">
        <v>0</v>
      </c>
      <c r="P2054" t="n">
        <v>0</v>
      </c>
      <c r="Q2054" t="n">
        <v>0</v>
      </c>
      <c r="R2054" s="2" t="inlineStr"/>
      <c r="U2054">
        <f>HYPERLINK("https://klasma.github.io/Logging_2313/knärot/A 5452-2023 karta knärot.png", "A 5452-2023")</f>
        <v/>
      </c>
      <c r="V2054">
        <f>HYPERLINK("https://klasma.github.io/Logging_2313/klagomål/A 5452-2023 FSC-klagomål.docx", "A 5452-2023")</f>
        <v/>
      </c>
      <c r="W2054">
        <f>HYPERLINK("https://klasma.github.io/Logging_2313/klagomålsmail/A 5452-2023 FSC-klagomål mail.docx", "A 5452-2023")</f>
        <v/>
      </c>
      <c r="X2054">
        <f>HYPERLINK("https://klasma.github.io/Logging_2313/tillsyn/A 5452-2023 tillsynsbegäran.docx", "A 5452-2023")</f>
        <v/>
      </c>
      <c r="Y2054">
        <f>HYPERLINK("https://klasma.github.io/Logging_2313/tillsynsmail/A 5452-2023 tillsynsbegäran mail.docx", "A 5452-2023")</f>
        <v/>
      </c>
    </row>
    <row r="2055" ht="15" customHeight="1">
      <c r="A2055" t="inlineStr">
        <is>
          <t>A 5714-2023</t>
        </is>
      </c>
      <c r="B2055" s="1" t="n">
        <v>44960</v>
      </c>
      <c r="C2055" s="1" t="n">
        <v>45749</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6267-2023</t>
        </is>
      </c>
      <c r="B2056" s="1" t="n">
        <v>44960</v>
      </c>
      <c r="C2056" s="1" t="n">
        <v>45749</v>
      </c>
      <c r="D2056" t="inlineStr">
        <is>
          <t>JÄMTLANDS LÄN</t>
        </is>
      </c>
      <c r="E2056" t="inlineStr">
        <is>
          <t>STRÖMSUND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6581-2023</t>
        </is>
      </c>
      <c r="B2057" s="1" t="n">
        <v>44963</v>
      </c>
      <c r="C2057" s="1" t="n">
        <v>45749</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6583-2023</t>
        </is>
      </c>
      <c r="B2058" s="1" t="n">
        <v>44963</v>
      </c>
      <c r="C2058" s="1" t="n">
        <v>45749</v>
      </c>
      <c r="D2058" t="inlineStr">
        <is>
          <t>JÄMTLANDS LÄN</t>
        </is>
      </c>
      <c r="E2058" t="inlineStr">
        <is>
          <t>STRÖMSUND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5956-2023</t>
        </is>
      </c>
      <c r="B2059" s="1" t="n">
        <v>44963</v>
      </c>
      <c r="C2059" s="1" t="n">
        <v>45749</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6234-2023</t>
        </is>
      </c>
      <c r="B2060" s="1" t="n">
        <v>44964</v>
      </c>
      <c r="C2060" s="1" t="n">
        <v>45749</v>
      </c>
      <c r="D2060" t="inlineStr">
        <is>
          <t>JÄMTLANDS LÄN</t>
        </is>
      </c>
      <c r="E2060" t="inlineStr">
        <is>
          <t>STRÖMSUND</t>
        </is>
      </c>
      <c r="F2060" t="inlineStr">
        <is>
          <t>SCA</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6928-2023</t>
        </is>
      </c>
      <c r="B2061" s="1" t="n">
        <v>44964</v>
      </c>
      <c r="C2061" s="1" t="n">
        <v>45749</v>
      </c>
      <c r="D2061" t="inlineStr">
        <is>
          <t>JÄMTLANDS LÄN</t>
        </is>
      </c>
      <c r="E2061" t="inlineStr">
        <is>
          <t>STRÖMSUND</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6932-2023</t>
        </is>
      </c>
      <c r="B2062" s="1" t="n">
        <v>44964</v>
      </c>
      <c r="C2062" s="1" t="n">
        <v>45749</v>
      </c>
      <c r="D2062" t="inlineStr">
        <is>
          <t>JÄMTLANDS LÄN</t>
        </is>
      </c>
      <c r="E2062" t="inlineStr">
        <is>
          <t>STRÖMSUND</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6455-2023</t>
        </is>
      </c>
      <c r="B2063" s="1" t="n">
        <v>44965</v>
      </c>
      <c r="C2063" s="1" t="n">
        <v>45749</v>
      </c>
      <c r="D2063" t="inlineStr">
        <is>
          <t>JÄMTLANDS LÄN</t>
        </is>
      </c>
      <c r="E2063" t="inlineStr">
        <is>
          <t>STRÖMSUND</t>
        </is>
      </c>
      <c r="F2063" t="inlineStr">
        <is>
          <t>SCA</t>
        </is>
      </c>
      <c r="G2063" t="n">
        <v>74.7</v>
      </c>
      <c r="H2063" t="n">
        <v>0</v>
      </c>
      <c r="I2063" t="n">
        <v>0</v>
      </c>
      <c r="J2063" t="n">
        <v>0</v>
      </c>
      <c r="K2063" t="n">
        <v>0</v>
      </c>
      <c r="L2063" t="n">
        <v>0</v>
      </c>
      <c r="M2063" t="n">
        <v>0</v>
      </c>
      <c r="N2063" t="n">
        <v>0</v>
      </c>
      <c r="O2063" t="n">
        <v>0</v>
      </c>
      <c r="P2063" t="n">
        <v>0</v>
      </c>
      <c r="Q2063" t="n">
        <v>0</v>
      </c>
      <c r="R2063" s="2" t="inlineStr"/>
    </row>
    <row r="2064" ht="15" customHeight="1">
      <c r="A2064" t="inlineStr">
        <is>
          <t>A 6462-2023</t>
        </is>
      </c>
      <c r="B2064" s="1" t="n">
        <v>44965</v>
      </c>
      <c r="C2064" s="1" t="n">
        <v>45749</v>
      </c>
      <c r="D2064" t="inlineStr">
        <is>
          <t>JÄMTLANDS LÄN</t>
        </is>
      </c>
      <c r="E2064" t="inlineStr">
        <is>
          <t>STRÖMSUND</t>
        </is>
      </c>
      <c r="F2064" t="inlineStr">
        <is>
          <t>SCA</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6773-2023</t>
        </is>
      </c>
      <c r="B2065" s="1" t="n">
        <v>44966</v>
      </c>
      <c r="C2065" s="1" t="n">
        <v>45749</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6798-2023</t>
        </is>
      </c>
      <c r="B2066" s="1" t="n">
        <v>44966</v>
      </c>
      <c r="C2066" s="1" t="n">
        <v>45749</v>
      </c>
      <c r="D2066" t="inlineStr">
        <is>
          <t>JÄMTLANDS LÄN</t>
        </is>
      </c>
      <c r="E2066" t="inlineStr">
        <is>
          <t>STRÖMSUND</t>
        </is>
      </c>
      <c r="F2066" t="inlineStr">
        <is>
          <t>SCA</t>
        </is>
      </c>
      <c r="G2066" t="n">
        <v>70.3</v>
      </c>
      <c r="H2066" t="n">
        <v>0</v>
      </c>
      <c r="I2066" t="n">
        <v>0</v>
      </c>
      <c r="J2066" t="n">
        <v>0</v>
      </c>
      <c r="K2066" t="n">
        <v>0</v>
      </c>
      <c r="L2066" t="n">
        <v>0</v>
      </c>
      <c r="M2066" t="n">
        <v>0</v>
      </c>
      <c r="N2066" t="n">
        <v>0</v>
      </c>
      <c r="O2066" t="n">
        <v>0</v>
      </c>
      <c r="P2066" t="n">
        <v>0</v>
      </c>
      <c r="Q2066" t="n">
        <v>0</v>
      </c>
      <c r="R2066" s="2" t="inlineStr"/>
    </row>
    <row r="2067" ht="15" customHeight="1">
      <c r="A2067" t="inlineStr">
        <is>
          <t>A 6780-2023</t>
        </is>
      </c>
      <c r="B2067" s="1" t="n">
        <v>44966</v>
      </c>
      <c r="C2067" s="1" t="n">
        <v>45749</v>
      </c>
      <c r="D2067" t="inlineStr">
        <is>
          <t>JÄMTLANDS LÄN</t>
        </is>
      </c>
      <c r="E2067" t="inlineStr">
        <is>
          <t>STRÖMSUND</t>
        </is>
      </c>
      <c r="F2067" t="inlineStr">
        <is>
          <t>SCA</t>
        </is>
      </c>
      <c r="G2067" t="n">
        <v>38.5</v>
      </c>
      <c r="H2067" t="n">
        <v>0</v>
      </c>
      <c r="I2067" t="n">
        <v>0</v>
      </c>
      <c r="J2067" t="n">
        <v>0</v>
      </c>
      <c r="K2067" t="n">
        <v>0</v>
      </c>
      <c r="L2067" t="n">
        <v>0</v>
      </c>
      <c r="M2067" t="n">
        <v>0</v>
      </c>
      <c r="N2067" t="n">
        <v>0</v>
      </c>
      <c r="O2067" t="n">
        <v>0</v>
      </c>
      <c r="P2067" t="n">
        <v>0</v>
      </c>
      <c r="Q2067" t="n">
        <v>0</v>
      </c>
      <c r="R2067" s="2" t="inlineStr"/>
    </row>
    <row r="2068" ht="15" customHeight="1">
      <c r="A2068" t="inlineStr">
        <is>
          <t>A 7489-2023</t>
        </is>
      </c>
      <c r="B2068" s="1" t="n">
        <v>44966</v>
      </c>
      <c r="C2068" s="1" t="n">
        <v>45749</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7020-2023</t>
        </is>
      </c>
      <c r="B2069" s="1" t="n">
        <v>44967</v>
      </c>
      <c r="C2069" s="1" t="n">
        <v>45749</v>
      </c>
      <c r="D2069" t="inlineStr">
        <is>
          <t>JÄMTLANDS LÄN</t>
        </is>
      </c>
      <c r="E2069" t="inlineStr">
        <is>
          <t>STRÖMSUND</t>
        </is>
      </c>
      <c r="F2069" t="inlineStr">
        <is>
          <t>SCA</t>
        </is>
      </c>
      <c r="G2069" t="n">
        <v>33.9</v>
      </c>
      <c r="H2069" t="n">
        <v>0</v>
      </c>
      <c r="I2069" t="n">
        <v>0</v>
      </c>
      <c r="J2069" t="n">
        <v>0</v>
      </c>
      <c r="K2069" t="n">
        <v>0</v>
      </c>
      <c r="L2069" t="n">
        <v>0</v>
      </c>
      <c r="M2069" t="n">
        <v>0</v>
      </c>
      <c r="N2069" t="n">
        <v>0</v>
      </c>
      <c r="O2069" t="n">
        <v>0</v>
      </c>
      <c r="P2069" t="n">
        <v>0</v>
      </c>
      <c r="Q2069" t="n">
        <v>0</v>
      </c>
      <c r="R2069" s="2" t="inlineStr"/>
    </row>
    <row r="2070" ht="15" customHeight="1">
      <c r="A2070" t="inlineStr">
        <is>
          <t>A 7015-2023</t>
        </is>
      </c>
      <c r="B2070" s="1" t="n">
        <v>44967</v>
      </c>
      <c r="C2070" s="1" t="n">
        <v>45749</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7326-2023</t>
        </is>
      </c>
      <c r="B2071" s="1" t="n">
        <v>44971</v>
      </c>
      <c r="C2071" s="1" t="n">
        <v>45749</v>
      </c>
      <c r="D2071" t="inlineStr">
        <is>
          <t>JÄMTLANDS LÄN</t>
        </is>
      </c>
      <c r="E2071" t="inlineStr">
        <is>
          <t>STRÖMSUND</t>
        </is>
      </c>
      <c r="F2071" t="inlineStr">
        <is>
          <t>SCA</t>
        </is>
      </c>
      <c r="G2071" t="n">
        <v>15.7</v>
      </c>
      <c r="H2071" t="n">
        <v>0</v>
      </c>
      <c r="I2071" t="n">
        <v>0</v>
      </c>
      <c r="J2071" t="n">
        <v>0</v>
      </c>
      <c r="K2071" t="n">
        <v>0</v>
      </c>
      <c r="L2071" t="n">
        <v>0</v>
      </c>
      <c r="M2071" t="n">
        <v>0</v>
      </c>
      <c r="N2071" t="n">
        <v>0</v>
      </c>
      <c r="O2071" t="n">
        <v>0</v>
      </c>
      <c r="P2071" t="n">
        <v>0</v>
      </c>
      <c r="Q2071" t="n">
        <v>0</v>
      </c>
      <c r="R2071" s="2" t="inlineStr"/>
    </row>
    <row r="2072" ht="15" customHeight="1">
      <c r="A2072" t="inlineStr">
        <is>
          <t>A 7334-2023</t>
        </is>
      </c>
      <c r="B2072" s="1" t="n">
        <v>44971</v>
      </c>
      <c r="C2072" s="1" t="n">
        <v>45749</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8031-2023</t>
        </is>
      </c>
      <c r="B2073" s="1" t="n">
        <v>44973</v>
      </c>
      <c r="C2073" s="1" t="n">
        <v>45749</v>
      </c>
      <c r="D2073" t="inlineStr">
        <is>
          <t>JÄMTLANDS LÄN</t>
        </is>
      </c>
      <c r="E2073" t="inlineStr">
        <is>
          <t>STRÖMSUND</t>
        </is>
      </c>
      <c r="F2073" t="inlineStr">
        <is>
          <t>SCA</t>
        </is>
      </c>
      <c r="G2073" t="n">
        <v>39.1</v>
      </c>
      <c r="H2073" t="n">
        <v>0</v>
      </c>
      <c r="I2073" t="n">
        <v>0</v>
      </c>
      <c r="J2073" t="n">
        <v>0</v>
      </c>
      <c r="K2073" t="n">
        <v>0</v>
      </c>
      <c r="L2073" t="n">
        <v>0</v>
      </c>
      <c r="M2073" t="n">
        <v>0</v>
      </c>
      <c r="N2073" t="n">
        <v>0</v>
      </c>
      <c r="O2073" t="n">
        <v>0</v>
      </c>
      <c r="P2073" t="n">
        <v>0</v>
      </c>
      <c r="Q2073" t="n">
        <v>0</v>
      </c>
      <c r="R2073" s="2" t="inlineStr"/>
    </row>
    <row r="2074" ht="15" customHeight="1">
      <c r="A2074" t="inlineStr">
        <is>
          <t>A 8647-2023</t>
        </is>
      </c>
      <c r="B2074" s="1" t="n">
        <v>44977</v>
      </c>
      <c r="C2074" s="1" t="n">
        <v>45749</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8676-2023</t>
        </is>
      </c>
      <c r="B2075" s="1" t="n">
        <v>44978</v>
      </c>
      <c r="C2075" s="1" t="n">
        <v>45749</v>
      </c>
      <c r="D2075" t="inlineStr">
        <is>
          <t>JÄMTLANDS LÄN</t>
        </is>
      </c>
      <c r="E2075" t="inlineStr">
        <is>
          <t>STRÖMSUND</t>
        </is>
      </c>
      <c r="F2075" t="inlineStr">
        <is>
          <t>SCA</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9301-2023</t>
        </is>
      </c>
      <c r="B2076" s="1" t="n">
        <v>44977</v>
      </c>
      <c r="C2076" s="1" t="n">
        <v>45749</v>
      </c>
      <c r="D2076" t="inlineStr">
        <is>
          <t>JÄMTLANDS LÄN</t>
        </is>
      </c>
      <c r="E2076" t="inlineStr">
        <is>
          <t>STRÖMSUND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9716-2023</t>
        </is>
      </c>
      <c r="B2077" s="1" t="n">
        <v>44978</v>
      </c>
      <c r="C2077" s="1" t="n">
        <v>45749</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9089-2023</t>
        </is>
      </c>
      <c r="B2078" s="1" t="n">
        <v>44979</v>
      </c>
      <c r="C2078" s="1" t="n">
        <v>45749</v>
      </c>
      <c r="D2078" t="inlineStr">
        <is>
          <t>JÄMTLANDS LÄN</t>
        </is>
      </c>
      <c r="E2078" t="inlineStr">
        <is>
          <t>STRÖMSUND</t>
        </is>
      </c>
      <c r="F2078" t="inlineStr">
        <is>
          <t>SCA</t>
        </is>
      </c>
      <c r="G2078" t="n">
        <v>41.2</v>
      </c>
      <c r="H2078" t="n">
        <v>0</v>
      </c>
      <c r="I2078" t="n">
        <v>0</v>
      </c>
      <c r="J2078" t="n">
        <v>0</v>
      </c>
      <c r="K2078" t="n">
        <v>0</v>
      </c>
      <c r="L2078" t="n">
        <v>0</v>
      </c>
      <c r="M2078" t="n">
        <v>0</v>
      </c>
      <c r="N2078" t="n">
        <v>0</v>
      </c>
      <c r="O2078" t="n">
        <v>0</v>
      </c>
      <c r="P2078" t="n">
        <v>0</v>
      </c>
      <c r="Q2078" t="n">
        <v>0</v>
      </c>
      <c r="R2078" s="2" t="inlineStr"/>
    </row>
    <row r="2079" ht="15" customHeight="1">
      <c r="A2079" t="inlineStr">
        <is>
          <t>A 9354-2023</t>
        </is>
      </c>
      <c r="B2079" s="1" t="n">
        <v>44980</v>
      </c>
      <c r="C2079" s="1" t="n">
        <v>45749</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9353-2023</t>
        </is>
      </c>
      <c r="B2080" s="1" t="n">
        <v>44980</v>
      </c>
      <c r="C2080" s="1" t="n">
        <v>45749</v>
      </c>
      <c r="D2080" t="inlineStr">
        <is>
          <t>JÄMTLANDS LÄN</t>
        </is>
      </c>
      <c r="E2080" t="inlineStr">
        <is>
          <t>STRÖMSUND</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9555-2023</t>
        </is>
      </c>
      <c r="B2081" s="1" t="n">
        <v>44981</v>
      </c>
      <c r="C2081" s="1" t="n">
        <v>45749</v>
      </c>
      <c r="D2081" t="inlineStr">
        <is>
          <t>JÄMTLANDS LÄN</t>
        </is>
      </c>
      <c r="E2081" t="inlineStr">
        <is>
          <t>STRÖMSUND</t>
        </is>
      </c>
      <c r="F2081" t="inlineStr">
        <is>
          <t>SCA</t>
        </is>
      </c>
      <c r="G2081" t="n">
        <v>18.8</v>
      </c>
      <c r="H2081" t="n">
        <v>0</v>
      </c>
      <c r="I2081" t="n">
        <v>0</v>
      </c>
      <c r="J2081" t="n">
        <v>0</v>
      </c>
      <c r="K2081" t="n">
        <v>0</v>
      </c>
      <c r="L2081" t="n">
        <v>0</v>
      </c>
      <c r="M2081" t="n">
        <v>0</v>
      </c>
      <c r="N2081" t="n">
        <v>0</v>
      </c>
      <c r="O2081" t="n">
        <v>0</v>
      </c>
      <c r="P2081" t="n">
        <v>0</v>
      </c>
      <c r="Q2081" t="n">
        <v>0</v>
      </c>
      <c r="R2081" s="2" t="inlineStr"/>
    </row>
    <row r="2082" ht="15" customHeight="1">
      <c r="A2082" t="inlineStr">
        <is>
          <t>A 9554-2023</t>
        </is>
      </c>
      <c r="B2082" s="1" t="n">
        <v>44981</v>
      </c>
      <c r="C2082" s="1" t="n">
        <v>45749</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9678-2023</t>
        </is>
      </c>
      <c r="B2083" s="1" t="n">
        <v>44984</v>
      </c>
      <c r="C2083" s="1" t="n">
        <v>45749</v>
      </c>
      <c r="D2083" t="inlineStr">
        <is>
          <t>JÄMTLANDS LÄN</t>
        </is>
      </c>
      <c r="E2083" t="inlineStr">
        <is>
          <t>STRÖMSUND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9851-2023</t>
        </is>
      </c>
      <c r="B2084" s="1" t="n">
        <v>44984</v>
      </c>
      <c r="C2084" s="1" t="n">
        <v>45749</v>
      </c>
      <c r="D2084" t="inlineStr">
        <is>
          <t>JÄMTLANDS LÄN</t>
        </is>
      </c>
      <c r="E2084" t="inlineStr">
        <is>
          <t>STRÖMSUND</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10738-2023</t>
        </is>
      </c>
      <c r="B2085" s="1" t="n">
        <v>44984</v>
      </c>
      <c r="C2085" s="1" t="n">
        <v>45749</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10101-2023</t>
        </is>
      </c>
      <c r="B2086" s="1" t="n">
        <v>44985</v>
      </c>
      <c r="C2086" s="1" t="n">
        <v>45749</v>
      </c>
      <c r="D2086" t="inlineStr">
        <is>
          <t>JÄMTLANDS LÄN</t>
        </is>
      </c>
      <c r="E2086" t="inlineStr">
        <is>
          <t>STRÖMSUND</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10102-2023</t>
        </is>
      </c>
      <c r="B2087" s="1" t="n">
        <v>44985</v>
      </c>
      <c r="C2087" s="1" t="n">
        <v>45749</v>
      </c>
      <c r="D2087" t="inlineStr">
        <is>
          <t>JÄMTLANDS LÄN</t>
        </is>
      </c>
      <c r="E2087" t="inlineStr">
        <is>
          <t>STRÖMSUND</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10074-2023</t>
        </is>
      </c>
      <c r="B2088" s="1" t="n">
        <v>44985</v>
      </c>
      <c r="C2088" s="1" t="n">
        <v>45749</v>
      </c>
      <c r="D2088" t="inlineStr">
        <is>
          <t>JÄMTLANDS LÄN</t>
        </is>
      </c>
      <c r="E2088" t="inlineStr">
        <is>
          <t>STRÖMSUND</t>
        </is>
      </c>
      <c r="F2088" t="inlineStr">
        <is>
          <t>SCA</t>
        </is>
      </c>
      <c r="G2088" t="n">
        <v>58.9</v>
      </c>
      <c r="H2088" t="n">
        <v>0</v>
      </c>
      <c r="I2088" t="n">
        <v>0</v>
      </c>
      <c r="J2088" t="n">
        <v>0</v>
      </c>
      <c r="K2088" t="n">
        <v>0</v>
      </c>
      <c r="L2088" t="n">
        <v>0</v>
      </c>
      <c r="M2088" t="n">
        <v>0</v>
      </c>
      <c r="N2088" t="n">
        <v>0</v>
      </c>
      <c r="O2088" t="n">
        <v>0</v>
      </c>
      <c r="P2088" t="n">
        <v>0</v>
      </c>
      <c r="Q2088" t="n">
        <v>0</v>
      </c>
      <c r="R2088" s="2" t="inlineStr"/>
    </row>
    <row r="2089" ht="15" customHeight="1">
      <c r="A2089" t="inlineStr">
        <is>
          <t>A 10944-2023</t>
        </is>
      </c>
      <c r="B2089" s="1" t="n">
        <v>44985</v>
      </c>
      <c r="C2089" s="1" t="n">
        <v>45749</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10537-2023</t>
        </is>
      </c>
      <c r="B2090" s="1" t="n">
        <v>44987</v>
      </c>
      <c r="C2090" s="1" t="n">
        <v>45749</v>
      </c>
      <c r="D2090" t="inlineStr">
        <is>
          <t>JÄMTLANDS LÄN</t>
        </is>
      </c>
      <c r="E2090" t="inlineStr">
        <is>
          <t>STRÖMSUND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10826-2023</t>
        </is>
      </c>
      <c r="B2091" s="1" t="n">
        <v>44990</v>
      </c>
      <c r="C2091" s="1" t="n">
        <v>45749</v>
      </c>
      <c r="D2091" t="inlineStr">
        <is>
          <t>JÄMTLANDS LÄN</t>
        </is>
      </c>
      <c r="E2091" t="inlineStr">
        <is>
          <t>STRÖMSUND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11058-2023</t>
        </is>
      </c>
      <c r="B2092" s="1" t="n">
        <v>44991</v>
      </c>
      <c r="C2092" s="1" t="n">
        <v>45749</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11061-2023</t>
        </is>
      </c>
      <c r="B2093" s="1" t="n">
        <v>44991</v>
      </c>
      <c r="C2093" s="1" t="n">
        <v>45749</v>
      </c>
      <c r="D2093" t="inlineStr">
        <is>
          <t>JÄMTLANDS LÄN</t>
        </is>
      </c>
      <c r="E2093" t="inlineStr">
        <is>
          <t>STRÖMSUND</t>
        </is>
      </c>
      <c r="F2093" t="inlineStr">
        <is>
          <t>SCA</t>
        </is>
      </c>
      <c r="G2093" t="n">
        <v>26.7</v>
      </c>
      <c r="H2093" t="n">
        <v>0</v>
      </c>
      <c r="I2093" t="n">
        <v>0</v>
      </c>
      <c r="J2093" t="n">
        <v>0</v>
      </c>
      <c r="K2093" t="n">
        <v>0</v>
      </c>
      <c r="L2093" t="n">
        <v>0</v>
      </c>
      <c r="M2093" t="n">
        <v>0</v>
      </c>
      <c r="N2093" t="n">
        <v>0</v>
      </c>
      <c r="O2093" t="n">
        <v>0</v>
      </c>
      <c r="P2093" t="n">
        <v>0</v>
      </c>
      <c r="Q2093" t="n">
        <v>0</v>
      </c>
      <c r="R2093" s="2" t="inlineStr"/>
    </row>
    <row r="2094" ht="15" customHeight="1">
      <c r="A2094" t="inlineStr">
        <is>
          <t>A 11458-2023</t>
        </is>
      </c>
      <c r="B2094" s="1" t="n">
        <v>44991</v>
      </c>
      <c r="C2094" s="1" t="n">
        <v>45749</v>
      </c>
      <c r="D2094" t="inlineStr">
        <is>
          <t>JÄMTLANDS LÄN</t>
        </is>
      </c>
      <c r="E2094" t="inlineStr">
        <is>
          <t>STRÖMSUND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11444-2023</t>
        </is>
      </c>
      <c r="B2095" s="1" t="n">
        <v>44991</v>
      </c>
      <c r="C2095" s="1" t="n">
        <v>45749</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11303-2023</t>
        </is>
      </c>
      <c r="B2096" s="1" t="n">
        <v>44993</v>
      </c>
      <c r="C2096" s="1" t="n">
        <v>45749</v>
      </c>
      <c r="D2096" t="inlineStr">
        <is>
          <t>JÄMTLANDS LÄN</t>
        </is>
      </c>
      <c r="E2096" t="inlineStr">
        <is>
          <t>STRÖMSUND</t>
        </is>
      </c>
      <c r="F2096" t="inlineStr">
        <is>
          <t>SCA</t>
        </is>
      </c>
      <c r="G2096" t="n">
        <v>39.2</v>
      </c>
      <c r="H2096" t="n">
        <v>0</v>
      </c>
      <c r="I2096" t="n">
        <v>0</v>
      </c>
      <c r="J2096" t="n">
        <v>0</v>
      </c>
      <c r="K2096" t="n">
        <v>0</v>
      </c>
      <c r="L2096" t="n">
        <v>0</v>
      </c>
      <c r="M2096" t="n">
        <v>0</v>
      </c>
      <c r="N2096" t="n">
        <v>0</v>
      </c>
      <c r="O2096" t="n">
        <v>0</v>
      </c>
      <c r="P2096" t="n">
        <v>0</v>
      </c>
      <c r="Q2096" t="n">
        <v>0</v>
      </c>
      <c r="R2096" s="2" t="inlineStr"/>
    </row>
    <row r="2097" ht="15" customHeight="1">
      <c r="A2097" t="inlineStr">
        <is>
          <t>A 11302-2023</t>
        </is>
      </c>
      <c r="B2097" s="1" t="n">
        <v>44993</v>
      </c>
      <c r="C2097" s="1" t="n">
        <v>45749</v>
      </c>
      <c r="D2097" t="inlineStr">
        <is>
          <t>JÄMTLANDS LÄN</t>
        </is>
      </c>
      <c r="E2097" t="inlineStr">
        <is>
          <t>STRÖMSUND</t>
        </is>
      </c>
      <c r="F2097" t="inlineStr">
        <is>
          <t>SCA</t>
        </is>
      </c>
      <c r="G2097" t="n">
        <v>67.40000000000001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11324-2023</t>
        </is>
      </c>
      <c r="B2098" s="1" t="n">
        <v>44993</v>
      </c>
      <c r="C2098" s="1" t="n">
        <v>45749</v>
      </c>
      <c r="D2098" t="inlineStr">
        <is>
          <t>JÄMTLANDS LÄN</t>
        </is>
      </c>
      <c r="E2098" t="inlineStr">
        <is>
          <t>STRÖMSUND</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12042-2023</t>
        </is>
      </c>
      <c r="B2099" s="1" t="n">
        <v>44996</v>
      </c>
      <c r="C2099" s="1" t="n">
        <v>45749</v>
      </c>
      <c r="D2099" t="inlineStr">
        <is>
          <t>JÄMTLANDS LÄN</t>
        </is>
      </c>
      <c r="E2099" t="inlineStr">
        <is>
          <t>STRÖMSUND</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12644-2023</t>
        </is>
      </c>
      <c r="B2100" s="1" t="n">
        <v>45000</v>
      </c>
      <c r="C2100" s="1" t="n">
        <v>45749</v>
      </c>
      <c r="D2100" t="inlineStr">
        <is>
          <t>JÄMTLANDS LÄN</t>
        </is>
      </c>
      <c r="E2100" t="inlineStr">
        <is>
          <t>STRÖMSUND</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12731-2023</t>
        </is>
      </c>
      <c r="B2101" s="1" t="n">
        <v>45000</v>
      </c>
      <c r="C2101" s="1" t="n">
        <v>45749</v>
      </c>
      <c r="D2101" t="inlineStr">
        <is>
          <t>JÄMTLANDS LÄN</t>
        </is>
      </c>
      <c r="E2101" t="inlineStr">
        <is>
          <t>STRÖMSUND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12971-2023</t>
        </is>
      </c>
      <c r="B2102" s="1" t="n">
        <v>45001</v>
      </c>
      <c r="C2102" s="1" t="n">
        <v>45749</v>
      </c>
      <c r="D2102" t="inlineStr">
        <is>
          <t>JÄMTLANDS LÄN</t>
        </is>
      </c>
      <c r="E2102" t="inlineStr">
        <is>
          <t>STRÖMSUND</t>
        </is>
      </c>
      <c r="G2102" t="n">
        <v>15.7</v>
      </c>
      <c r="H2102" t="n">
        <v>0</v>
      </c>
      <c r="I2102" t="n">
        <v>0</v>
      </c>
      <c r="J2102" t="n">
        <v>0</v>
      </c>
      <c r="K2102" t="n">
        <v>0</v>
      </c>
      <c r="L2102" t="n">
        <v>0</v>
      </c>
      <c r="M2102" t="n">
        <v>0</v>
      </c>
      <c r="N2102" t="n">
        <v>0</v>
      </c>
      <c r="O2102" t="n">
        <v>0</v>
      </c>
      <c r="P2102" t="n">
        <v>0</v>
      </c>
      <c r="Q2102" t="n">
        <v>0</v>
      </c>
      <c r="R2102" s="2" t="inlineStr"/>
    </row>
    <row r="2103" ht="15" customHeight="1">
      <c r="A2103" t="inlineStr">
        <is>
          <t>A 12993-2023</t>
        </is>
      </c>
      <c r="B2103" s="1" t="n">
        <v>45002</v>
      </c>
      <c r="C2103" s="1" t="n">
        <v>45749</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12994-2023</t>
        </is>
      </c>
      <c r="B2104" s="1" t="n">
        <v>45002</v>
      </c>
      <c r="C2104" s="1" t="n">
        <v>45749</v>
      </c>
      <c r="D2104" t="inlineStr">
        <is>
          <t>JÄMTLANDS LÄN</t>
        </is>
      </c>
      <c r="E2104" t="inlineStr">
        <is>
          <t>STRÖMSUND</t>
        </is>
      </c>
      <c r="F2104" t="inlineStr">
        <is>
          <t>SCA</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13685-2023</t>
        </is>
      </c>
      <c r="B2105" s="1" t="n">
        <v>45006</v>
      </c>
      <c r="C2105" s="1" t="n">
        <v>45749</v>
      </c>
      <c r="D2105" t="inlineStr">
        <is>
          <t>JÄMTLANDS LÄN</t>
        </is>
      </c>
      <c r="E2105" t="inlineStr">
        <is>
          <t>STRÖMSUND</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13684-2023</t>
        </is>
      </c>
      <c r="B2106" s="1" t="n">
        <v>45006</v>
      </c>
      <c r="C2106" s="1" t="n">
        <v>45749</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13687-2023</t>
        </is>
      </c>
      <c r="B2107" s="1" t="n">
        <v>45006</v>
      </c>
      <c r="C2107" s="1" t="n">
        <v>45749</v>
      </c>
      <c r="D2107" t="inlineStr">
        <is>
          <t>JÄMTLANDS LÄN</t>
        </is>
      </c>
      <c r="E2107" t="inlineStr">
        <is>
          <t>STRÖMSUND</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13686-2023</t>
        </is>
      </c>
      <c r="B2108" s="1" t="n">
        <v>45006</v>
      </c>
      <c r="C2108" s="1" t="n">
        <v>45749</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14070-2023</t>
        </is>
      </c>
      <c r="B2109" s="1" t="n">
        <v>45008</v>
      </c>
      <c r="C2109" s="1" t="n">
        <v>45749</v>
      </c>
      <c r="D2109" t="inlineStr">
        <is>
          <t>JÄMTLANDS LÄN</t>
        </is>
      </c>
      <c r="E2109" t="inlineStr">
        <is>
          <t>STRÖMSUND</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14069-2023</t>
        </is>
      </c>
      <c r="B2110" s="1" t="n">
        <v>45008</v>
      </c>
      <c r="C2110" s="1" t="n">
        <v>45749</v>
      </c>
      <c r="D2110" t="inlineStr">
        <is>
          <t>JÄMTLANDS LÄN</t>
        </is>
      </c>
      <c r="E2110" t="inlineStr">
        <is>
          <t>STRÖMSUND</t>
        </is>
      </c>
      <c r="G2110" t="n">
        <v>28.2</v>
      </c>
      <c r="H2110" t="n">
        <v>0</v>
      </c>
      <c r="I2110" t="n">
        <v>0</v>
      </c>
      <c r="J2110" t="n">
        <v>0</v>
      </c>
      <c r="K2110" t="n">
        <v>0</v>
      </c>
      <c r="L2110" t="n">
        <v>0</v>
      </c>
      <c r="M2110" t="n">
        <v>0</v>
      </c>
      <c r="N2110" t="n">
        <v>0</v>
      </c>
      <c r="O2110" t="n">
        <v>0</v>
      </c>
      <c r="P2110" t="n">
        <v>0</v>
      </c>
      <c r="Q2110" t="n">
        <v>0</v>
      </c>
      <c r="R2110" s="2" t="inlineStr"/>
    </row>
    <row r="2111" ht="15" customHeight="1">
      <c r="A2111" t="inlineStr">
        <is>
          <t>A 14068-2023</t>
        </is>
      </c>
      <c r="B2111" s="1" t="n">
        <v>45009</v>
      </c>
      <c r="C2111" s="1" t="n">
        <v>45749</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14072-2023</t>
        </is>
      </c>
      <c r="B2112" s="1" t="n">
        <v>45009</v>
      </c>
      <c r="C2112" s="1" t="n">
        <v>45749</v>
      </c>
      <c r="D2112" t="inlineStr">
        <is>
          <t>JÄMTLANDS LÄN</t>
        </is>
      </c>
      <c r="E2112" t="inlineStr">
        <is>
          <t>STRÖMSUND</t>
        </is>
      </c>
      <c r="F2112" t="inlineStr">
        <is>
          <t>SCA</t>
        </is>
      </c>
      <c r="G2112" t="n">
        <v>24.8</v>
      </c>
      <c r="H2112" t="n">
        <v>0</v>
      </c>
      <c r="I2112" t="n">
        <v>0</v>
      </c>
      <c r="J2112" t="n">
        <v>0</v>
      </c>
      <c r="K2112" t="n">
        <v>0</v>
      </c>
      <c r="L2112" t="n">
        <v>0</v>
      </c>
      <c r="M2112" t="n">
        <v>0</v>
      </c>
      <c r="N2112" t="n">
        <v>0</v>
      </c>
      <c r="O2112" t="n">
        <v>0</v>
      </c>
      <c r="P2112" t="n">
        <v>0</v>
      </c>
      <c r="Q2112" t="n">
        <v>0</v>
      </c>
      <c r="R2112" s="2" t="inlineStr"/>
    </row>
    <row r="2113" ht="15" customHeight="1">
      <c r="A2113" t="inlineStr">
        <is>
          <t>A 14338-2023</t>
        </is>
      </c>
      <c r="B2113" s="1" t="n">
        <v>45012</v>
      </c>
      <c r="C2113" s="1" t="n">
        <v>45749</v>
      </c>
      <c r="D2113" t="inlineStr">
        <is>
          <t>JÄMTLANDS LÄN</t>
        </is>
      </c>
      <c r="E2113" t="inlineStr">
        <is>
          <t>STRÖMSUND</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14344-2023</t>
        </is>
      </c>
      <c r="B2114" s="1" t="n">
        <v>45012</v>
      </c>
      <c r="C2114" s="1" t="n">
        <v>45749</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14371-2023</t>
        </is>
      </c>
      <c r="B2115" s="1" t="n">
        <v>45012</v>
      </c>
      <c r="C2115" s="1" t="n">
        <v>45749</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14347-2023</t>
        </is>
      </c>
      <c r="B2116" s="1" t="n">
        <v>45012</v>
      </c>
      <c r="C2116" s="1" t="n">
        <v>45749</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14528-2023</t>
        </is>
      </c>
      <c r="B2117" s="1" t="n">
        <v>45012</v>
      </c>
      <c r="C2117" s="1" t="n">
        <v>45749</v>
      </c>
      <c r="D2117" t="inlineStr">
        <is>
          <t>JÄMTLANDS LÄN</t>
        </is>
      </c>
      <c r="E2117" t="inlineStr">
        <is>
          <t>STRÖMSUND</t>
        </is>
      </c>
      <c r="F2117" t="inlineStr">
        <is>
          <t>SCA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14975-2023</t>
        </is>
      </c>
      <c r="B2118" s="1" t="n">
        <v>45013</v>
      </c>
      <c r="C2118" s="1" t="n">
        <v>45749</v>
      </c>
      <c r="D2118" t="inlineStr">
        <is>
          <t>JÄMTLANDS LÄN</t>
        </is>
      </c>
      <c r="E2118" t="inlineStr">
        <is>
          <t>STRÖMSUND</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14821-2023</t>
        </is>
      </c>
      <c r="B2119" s="1" t="n">
        <v>45013</v>
      </c>
      <c r="C2119" s="1" t="n">
        <v>45749</v>
      </c>
      <c r="D2119" t="inlineStr">
        <is>
          <t>JÄMTLANDS LÄN</t>
        </is>
      </c>
      <c r="E2119" t="inlineStr">
        <is>
          <t>STRÖMSUND</t>
        </is>
      </c>
      <c r="G2119" t="n">
        <v>39.3</v>
      </c>
      <c r="H2119" t="n">
        <v>0</v>
      </c>
      <c r="I2119" t="n">
        <v>0</v>
      </c>
      <c r="J2119" t="n">
        <v>0</v>
      </c>
      <c r="K2119" t="n">
        <v>0</v>
      </c>
      <c r="L2119" t="n">
        <v>0</v>
      </c>
      <c r="M2119" t="n">
        <v>0</v>
      </c>
      <c r="N2119" t="n">
        <v>0</v>
      </c>
      <c r="O2119" t="n">
        <v>0</v>
      </c>
      <c r="P2119" t="n">
        <v>0</v>
      </c>
      <c r="Q2119" t="n">
        <v>0</v>
      </c>
      <c r="R2119" s="2" t="inlineStr"/>
    </row>
    <row r="2120" ht="15" customHeight="1">
      <c r="A2120" t="inlineStr">
        <is>
          <t>A 14861-2023</t>
        </is>
      </c>
      <c r="B2120" s="1" t="n">
        <v>45015</v>
      </c>
      <c r="C2120" s="1" t="n">
        <v>45749</v>
      </c>
      <c r="D2120" t="inlineStr">
        <is>
          <t>JÄMTLANDS LÄN</t>
        </is>
      </c>
      <c r="E2120" t="inlineStr">
        <is>
          <t>STRÖMSUND</t>
        </is>
      </c>
      <c r="F2120" t="inlineStr">
        <is>
          <t>SCA</t>
        </is>
      </c>
      <c r="G2120" t="n">
        <v>26.3</v>
      </c>
      <c r="H2120" t="n">
        <v>0</v>
      </c>
      <c r="I2120" t="n">
        <v>0</v>
      </c>
      <c r="J2120" t="n">
        <v>0</v>
      </c>
      <c r="K2120" t="n">
        <v>0</v>
      </c>
      <c r="L2120" t="n">
        <v>0</v>
      </c>
      <c r="M2120" t="n">
        <v>0</v>
      </c>
      <c r="N2120" t="n">
        <v>0</v>
      </c>
      <c r="O2120" t="n">
        <v>0</v>
      </c>
      <c r="P2120" t="n">
        <v>0</v>
      </c>
      <c r="Q2120" t="n">
        <v>0</v>
      </c>
      <c r="R2120" s="2" t="inlineStr"/>
    </row>
    <row r="2121" ht="15" customHeight="1">
      <c r="A2121" t="inlineStr">
        <is>
          <t>A 14867-2023</t>
        </is>
      </c>
      <c r="B2121" s="1" t="n">
        <v>45015</v>
      </c>
      <c r="C2121" s="1" t="n">
        <v>45749</v>
      </c>
      <c r="D2121" t="inlineStr">
        <is>
          <t>JÄMTLANDS LÄN</t>
        </is>
      </c>
      <c r="E2121" t="inlineStr">
        <is>
          <t>STRÖMSUND</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14866-2023</t>
        </is>
      </c>
      <c r="B2122" s="1" t="n">
        <v>45015</v>
      </c>
      <c r="C2122" s="1" t="n">
        <v>45749</v>
      </c>
      <c r="D2122" t="inlineStr">
        <is>
          <t>JÄMTLANDS LÄN</t>
        </is>
      </c>
      <c r="E2122" t="inlineStr">
        <is>
          <t>STRÖMSUND</t>
        </is>
      </c>
      <c r="F2122" t="inlineStr">
        <is>
          <t>SCA</t>
        </is>
      </c>
      <c r="G2122" t="n">
        <v>64.90000000000001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15064-2023</t>
        </is>
      </c>
      <c r="B2123" s="1" t="n">
        <v>45015</v>
      </c>
      <c r="C2123" s="1" t="n">
        <v>45749</v>
      </c>
      <c r="D2123" t="inlineStr">
        <is>
          <t>JÄMTLANDS LÄN</t>
        </is>
      </c>
      <c r="E2123" t="inlineStr">
        <is>
          <t>STRÖMSUND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15207-2023</t>
        </is>
      </c>
      <c r="B2124" s="1" t="n">
        <v>45018</v>
      </c>
      <c r="C2124" s="1" t="n">
        <v>45749</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15455-2023</t>
        </is>
      </c>
      <c r="B2125" s="1" t="n">
        <v>45019</v>
      </c>
      <c r="C2125" s="1" t="n">
        <v>45749</v>
      </c>
      <c r="D2125" t="inlineStr">
        <is>
          <t>JÄMTLANDS LÄN</t>
        </is>
      </c>
      <c r="E2125" t="inlineStr">
        <is>
          <t>STRÖMSUND</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15818-2023</t>
        </is>
      </c>
      <c r="B2126" s="1" t="n">
        <v>45021</v>
      </c>
      <c r="C2126" s="1" t="n">
        <v>45749</v>
      </c>
      <c r="D2126" t="inlineStr">
        <is>
          <t>JÄMTLANDS LÄN</t>
        </is>
      </c>
      <c r="E2126" t="inlineStr">
        <is>
          <t>STRÖMSUND</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16780-2023</t>
        </is>
      </c>
      <c r="B2127" s="1" t="n">
        <v>45032</v>
      </c>
      <c r="C2127" s="1" t="n">
        <v>45749</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17334-2023</t>
        </is>
      </c>
      <c r="B2128" s="1" t="n">
        <v>45033</v>
      </c>
      <c r="C2128" s="1" t="n">
        <v>45749</v>
      </c>
      <c r="D2128" t="inlineStr">
        <is>
          <t>JÄMTLANDS LÄN</t>
        </is>
      </c>
      <c r="E2128" t="inlineStr">
        <is>
          <t>STRÖMSUND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17006-2023</t>
        </is>
      </c>
      <c r="B2129" s="1" t="n">
        <v>45033</v>
      </c>
      <c r="C2129" s="1" t="n">
        <v>45749</v>
      </c>
      <c r="D2129" t="inlineStr">
        <is>
          <t>JÄMTLANDS LÄN</t>
        </is>
      </c>
      <c r="E2129" t="inlineStr">
        <is>
          <t>STRÖMSUND</t>
        </is>
      </c>
      <c r="F2129" t="inlineStr">
        <is>
          <t>SCA</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17337-2023</t>
        </is>
      </c>
      <c r="B2130" s="1" t="n">
        <v>45033</v>
      </c>
      <c r="C2130" s="1" t="n">
        <v>45749</v>
      </c>
      <c r="D2130" t="inlineStr">
        <is>
          <t>JÄMTLANDS LÄN</t>
        </is>
      </c>
      <c r="E2130" t="inlineStr">
        <is>
          <t>STRÖMSUND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17338-2023</t>
        </is>
      </c>
      <c r="B2131" s="1" t="n">
        <v>45033</v>
      </c>
      <c r="C2131" s="1" t="n">
        <v>45749</v>
      </c>
      <c r="D2131" t="inlineStr">
        <is>
          <t>JÄMTLANDS LÄN</t>
        </is>
      </c>
      <c r="E2131" t="inlineStr">
        <is>
          <t>STRÖMSUND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17222-2023</t>
        </is>
      </c>
      <c r="B2132" s="1" t="n">
        <v>45035</v>
      </c>
      <c r="C2132" s="1" t="n">
        <v>45749</v>
      </c>
      <c r="D2132" t="inlineStr">
        <is>
          <t>JÄMTLANDS LÄN</t>
        </is>
      </c>
      <c r="E2132" t="inlineStr">
        <is>
          <t>STRÖMSUND</t>
        </is>
      </c>
      <c r="F2132" t="inlineStr">
        <is>
          <t>SCA</t>
        </is>
      </c>
      <c r="G2132" t="n">
        <v>25.2</v>
      </c>
      <c r="H2132" t="n">
        <v>0</v>
      </c>
      <c r="I2132" t="n">
        <v>0</v>
      </c>
      <c r="J2132" t="n">
        <v>0</v>
      </c>
      <c r="K2132" t="n">
        <v>0</v>
      </c>
      <c r="L2132" t="n">
        <v>0</v>
      </c>
      <c r="M2132" t="n">
        <v>0</v>
      </c>
      <c r="N2132" t="n">
        <v>0</v>
      </c>
      <c r="O2132" t="n">
        <v>0</v>
      </c>
      <c r="P2132" t="n">
        <v>0</v>
      </c>
      <c r="Q2132" t="n">
        <v>0</v>
      </c>
      <c r="R2132" s="2" t="inlineStr"/>
    </row>
    <row r="2133" ht="15" customHeight="1">
      <c r="A2133" t="inlineStr">
        <is>
          <t>A 17220-2023</t>
        </is>
      </c>
      <c r="B2133" s="1" t="n">
        <v>45035</v>
      </c>
      <c r="C2133" s="1" t="n">
        <v>45749</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17433-2023</t>
        </is>
      </c>
      <c r="B2134" s="1" t="n">
        <v>45035</v>
      </c>
      <c r="C2134" s="1" t="n">
        <v>45749</v>
      </c>
      <c r="D2134" t="inlineStr">
        <is>
          <t>JÄMTLANDS LÄN</t>
        </is>
      </c>
      <c r="E2134" t="inlineStr">
        <is>
          <t>STRÖMSUND</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17663-2023</t>
        </is>
      </c>
      <c r="B2135" s="1" t="n">
        <v>45037</v>
      </c>
      <c r="C2135" s="1" t="n">
        <v>45749</v>
      </c>
      <c r="D2135" t="inlineStr">
        <is>
          <t>JÄMTLANDS LÄN</t>
        </is>
      </c>
      <c r="E2135" t="inlineStr">
        <is>
          <t>STRÖMSUND</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17662-2023</t>
        </is>
      </c>
      <c r="B2136" s="1" t="n">
        <v>45037</v>
      </c>
      <c r="C2136" s="1" t="n">
        <v>45749</v>
      </c>
      <c r="D2136" t="inlineStr">
        <is>
          <t>JÄMTLANDS LÄN</t>
        </is>
      </c>
      <c r="E2136" t="inlineStr">
        <is>
          <t>STRÖMSUND</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17798-2023</t>
        </is>
      </c>
      <c r="B2137" s="1" t="n">
        <v>45036</v>
      </c>
      <c r="C2137" s="1" t="n">
        <v>45749</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17789-2023</t>
        </is>
      </c>
      <c r="B2138" s="1" t="n">
        <v>45036</v>
      </c>
      <c r="C2138" s="1" t="n">
        <v>45749</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18158-2023</t>
        </is>
      </c>
      <c r="B2139" s="1" t="n">
        <v>45040</v>
      </c>
      <c r="C2139" s="1" t="n">
        <v>45749</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18369-2023</t>
        </is>
      </c>
      <c r="B2140" s="1" t="n">
        <v>45042</v>
      </c>
      <c r="C2140" s="1" t="n">
        <v>45749</v>
      </c>
      <c r="D2140" t="inlineStr">
        <is>
          <t>JÄMTLANDS LÄN</t>
        </is>
      </c>
      <c r="E2140" t="inlineStr">
        <is>
          <t>STRÖMSUND</t>
        </is>
      </c>
      <c r="F2140" t="inlineStr">
        <is>
          <t>SCA</t>
        </is>
      </c>
      <c r="G2140" t="n">
        <v>100.1</v>
      </c>
      <c r="H2140" t="n">
        <v>0</v>
      </c>
      <c r="I2140" t="n">
        <v>0</v>
      </c>
      <c r="J2140" t="n">
        <v>0</v>
      </c>
      <c r="K2140" t="n">
        <v>0</v>
      </c>
      <c r="L2140" t="n">
        <v>0</v>
      </c>
      <c r="M2140" t="n">
        <v>0</v>
      </c>
      <c r="N2140" t="n">
        <v>0</v>
      </c>
      <c r="O2140" t="n">
        <v>0</v>
      </c>
      <c r="P2140" t="n">
        <v>0</v>
      </c>
      <c r="Q2140" t="n">
        <v>0</v>
      </c>
      <c r="R2140" s="2" t="inlineStr"/>
    </row>
    <row r="2141" ht="15" customHeight="1">
      <c r="A2141" t="inlineStr">
        <is>
          <t>A 18374-2023</t>
        </is>
      </c>
      <c r="B2141" s="1" t="n">
        <v>45041</v>
      </c>
      <c r="C2141" s="1" t="n">
        <v>45749</v>
      </c>
      <c r="D2141" t="inlineStr">
        <is>
          <t>JÄMTLANDS LÄN</t>
        </is>
      </c>
      <c r="E2141" t="inlineStr">
        <is>
          <t>STRÖMSUND</t>
        </is>
      </c>
      <c r="F2141" t="inlineStr">
        <is>
          <t>SCA</t>
        </is>
      </c>
      <c r="G2141" t="n">
        <v>29.7</v>
      </c>
      <c r="H2141" t="n">
        <v>0</v>
      </c>
      <c r="I2141" t="n">
        <v>0</v>
      </c>
      <c r="J2141" t="n">
        <v>0</v>
      </c>
      <c r="K2141" t="n">
        <v>0</v>
      </c>
      <c r="L2141" t="n">
        <v>0</v>
      </c>
      <c r="M2141" t="n">
        <v>0</v>
      </c>
      <c r="N2141" t="n">
        <v>0</v>
      </c>
      <c r="O2141" t="n">
        <v>0</v>
      </c>
      <c r="P2141" t="n">
        <v>0</v>
      </c>
      <c r="Q2141" t="n">
        <v>0</v>
      </c>
      <c r="R2141" s="2" t="inlineStr"/>
    </row>
    <row r="2142" ht="15" customHeight="1">
      <c r="A2142" t="inlineStr">
        <is>
          <t>A 18553-2023</t>
        </is>
      </c>
      <c r="B2142" s="1" t="n">
        <v>45042</v>
      </c>
      <c r="C2142" s="1" t="n">
        <v>45749</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18564-2023</t>
        </is>
      </c>
      <c r="B2143" s="1" t="n">
        <v>45043</v>
      </c>
      <c r="C2143" s="1" t="n">
        <v>45749</v>
      </c>
      <c r="D2143" t="inlineStr">
        <is>
          <t>JÄMTLANDS LÄN</t>
        </is>
      </c>
      <c r="E2143" t="inlineStr">
        <is>
          <t>STRÖMSUND</t>
        </is>
      </c>
      <c r="F2143" t="inlineStr">
        <is>
          <t>SCA</t>
        </is>
      </c>
      <c r="G2143" t="n">
        <v>40.5</v>
      </c>
      <c r="H2143" t="n">
        <v>0</v>
      </c>
      <c r="I2143" t="n">
        <v>0</v>
      </c>
      <c r="J2143" t="n">
        <v>0</v>
      </c>
      <c r="K2143" t="n">
        <v>0</v>
      </c>
      <c r="L2143" t="n">
        <v>0</v>
      </c>
      <c r="M2143" t="n">
        <v>0</v>
      </c>
      <c r="N2143" t="n">
        <v>0</v>
      </c>
      <c r="O2143" t="n">
        <v>0</v>
      </c>
      <c r="P2143" t="n">
        <v>0</v>
      </c>
      <c r="Q2143" t="n">
        <v>0</v>
      </c>
      <c r="R2143" s="2" t="inlineStr"/>
    </row>
    <row r="2144" ht="15" customHeight="1">
      <c r="A2144" t="inlineStr">
        <is>
          <t>A 18775-2023</t>
        </is>
      </c>
      <c r="B2144" s="1" t="n">
        <v>45044</v>
      </c>
      <c r="C2144" s="1" t="n">
        <v>45749</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18773-2023</t>
        </is>
      </c>
      <c r="B2145" s="1" t="n">
        <v>45044</v>
      </c>
      <c r="C2145" s="1" t="n">
        <v>45749</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18783-2023</t>
        </is>
      </c>
      <c r="B2146" s="1" t="n">
        <v>45043</v>
      </c>
      <c r="C2146" s="1" t="n">
        <v>45749</v>
      </c>
      <c r="D2146" t="inlineStr">
        <is>
          <t>JÄMTLANDS LÄN</t>
        </is>
      </c>
      <c r="E2146" t="inlineStr">
        <is>
          <t>STRÖMSUND</t>
        </is>
      </c>
      <c r="F2146" t="inlineStr">
        <is>
          <t>SCA</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18768-2023</t>
        </is>
      </c>
      <c r="B2147" s="1" t="n">
        <v>45043</v>
      </c>
      <c r="C2147" s="1" t="n">
        <v>45749</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18777-2023</t>
        </is>
      </c>
      <c r="B2148" s="1" t="n">
        <v>45044</v>
      </c>
      <c r="C2148" s="1" t="n">
        <v>45749</v>
      </c>
      <c r="D2148" t="inlineStr">
        <is>
          <t>JÄMTLANDS LÄN</t>
        </is>
      </c>
      <c r="E2148" t="inlineStr">
        <is>
          <t>STRÖMSUND</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18774-2023</t>
        </is>
      </c>
      <c r="B2149" s="1" t="n">
        <v>45044</v>
      </c>
      <c r="C2149" s="1" t="n">
        <v>45749</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18788-2023</t>
        </is>
      </c>
      <c r="B2150" s="1" t="n">
        <v>45044</v>
      </c>
      <c r="C2150" s="1" t="n">
        <v>45749</v>
      </c>
      <c r="D2150" t="inlineStr">
        <is>
          <t>JÄMTLANDS LÄN</t>
        </is>
      </c>
      <c r="E2150" t="inlineStr">
        <is>
          <t>STRÖMSUND</t>
        </is>
      </c>
      <c r="F2150" t="inlineStr">
        <is>
          <t>SCA</t>
        </is>
      </c>
      <c r="G2150" t="n">
        <v>69.09999999999999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18992-2023</t>
        </is>
      </c>
      <c r="B2151" s="1" t="n">
        <v>45044</v>
      </c>
      <c r="C2151" s="1" t="n">
        <v>45749</v>
      </c>
      <c r="D2151" t="inlineStr">
        <is>
          <t>JÄMTLANDS LÄN</t>
        </is>
      </c>
      <c r="E2151" t="inlineStr">
        <is>
          <t>STRÖMSUND</t>
        </is>
      </c>
      <c r="F2151" t="inlineStr">
        <is>
          <t>SCA</t>
        </is>
      </c>
      <c r="G2151" t="n">
        <v>25.7</v>
      </c>
      <c r="H2151" t="n">
        <v>0</v>
      </c>
      <c r="I2151" t="n">
        <v>0</v>
      </c>
      <c r="J2151" t="n">
        <v>0</v>
      </c>
      <c r="K2151" t="n">
        <v>0</v>
      </c>
      <c r="L2151" t="n">
        <v>0</v>
      </c>
      <c r="M2151" t="n">
        <v>0</v>
      </c>
      <c r="N2151" t="n">
        <v>0</v>
      </c>
      <c r="O2151" t="n">
        <v>0</v>
      </c>
      <c r="P2151" t="n">
        <v>0</v>
      </c>
      <c r="Q2151" t="n">
        <v>0</v>
      </c>
      <c r="R2151" s="2" t="inlineStr"/>
    </row>
    <row r="2152" ht="15" customHeight="1">
      <c r="A2152" t="inlineStr">
        <is>
          <t>A 18993-2023</t>
        </is>
      </c>
      <c r="B2152" s="1" t="n">
        <v>45044</v>
      </c>
      <c r="C2152" s="1" t="n">
        <v>45749</v>
      </c>
      <c r="D2152" t="inlineStr">
        <is>
          <t>JÄMTLANDS LÄN</t>
        </is>
      </c>
      <c r="E2152" t="inlineStr">
        <is>
          <t>STRÖMSUND</t>
        </is>
      </c>
      <c r="F2152" t="inlineStr">
        <is>
          <t>SCA</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18997-2023</t>
        </is>
      </c>
      <c r="B2153" s="1" t="n">
        <v>45044</v>
      </c>
      <c r="C2153" s="1" t="n">
        <v>45749</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18994-2023</t>
        </is>
      </c>
      <c r="B2154" s="1" t="n">
        <v>45045</v>
      </c>
      <c r="C2154" s="1" t="n">
        <v>45749</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19029-2023</t>
        </is>
      </c>
      <c r="B2155" s="1" t="n">
        <v>45047</v>
      </c>
      <c r="C2155" s="1" t="n">
        <v>45749</v>
      </c>
      <c r="D2155" t="inlineStr">
        <is>
          <t>JÄMTLANDS LÄN</t>
        </is>
      </c>
      <c r="E2155" t="inlineStr">
        <is>
          <t>STRÖMSUND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19027-2023</t>
        </is>
      </c>
      <c r="B2156" s="1" t="n">
        <v>45047</v>
      </c>
      <c r="C2156" s="1" t="n">
        <v>45749</v>
      </c>
      <c r="D2156" t="inlineStr">
        <is>
          <t>JÄMTLANDS LÄN</t>
        </is>
      </c>
      <c r="E2156" t="inlineStr">
        <is>
          <t>STRÖMSUND</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19026-2023</t>
        </is>
      </c>
      <c r="B2157" s="1" t="n">
        <v>45047</v>
      </c>
      <c r="C2157" s="1" t="n">
        <v>45749</v>
      </c>
      <c r="D2157" t="inlineStr">
        <is>
          <t>JÄMTLANDS LÄN</t>
        </is>
      </c>
      <c r="E2157" t="inlineStr">
        <is>
          <t>STRÖMSUND</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19239-2023</t>
        </is>
      </c>
      <c r="B2158" s="1" t="n">
        <v>45048</v>
      </c>
      <c r="C2158" s="1" t="n">
        <v>45749</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19261-2023</t>
        </is>
      </c>
      <c r="B2159" s="1" t="n">
        <v>45048</v>
      </c>
      <c r="C2159" s="1" t="n">
        <v>45749</v>
      </c>
      <c r="D2159" t="inlineStr">
        <is>
          <t>JÄMTLANDS LÄN</t>
        </is>
      </c>
      <c r="E2159" t="inlineStr">
        <is>
          <t>STRÖMSUND</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19621-2023</t>
        </is>
      </c>
      <c r="B2160" s="1" t="n">
        <v>45051</v>
      </c>
      <c r="C2160" s="1" t="n">
        <v>45749</v>
      </c>
      <c r="D2160" t="inlineStr">
        <is>
          <t>JÄMTLANDS LÄN</t>
        </is>
      </c>
      <c r="E2160" t="inlineStr">
        <is>
          <t>STRÖMSUND</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19658-2023</t>
        </is>
      </c>
      <c r="B2161" s="1" t="n">
        <v>45050</v>
      </c>
      <c r="C2161" s="1" t="n">
        <v>45749</v>
      </c>
      <c r="D2161" t="inlineStr">
        <is>
          <t>JÄMTLANDS LÄN</t>
        </is>
      </c>
      <c r="E2161" t="inlineStr">
        <is>
          <t>STRÖMSUND</t>
        </is>
      </c>
      <c r="F2161" t="inlineStr">
        <is>
          <t>Kommuner</t>
        </is>
      </c>
      <c r="G2161" t="n">
        <v>23.7</v>
      </c>
      <c r="H2161" t="n">
        <v>0</v>
      </c>
      <c r="I2161" t="n">
        <v>0</v>
      </c>
      <c r="J2161" t="n">
        <v>0</v>
      </c>
      <c r="K2161" t="n">
        <v>0</v>
      </c>
      <c r="L2161" t="n">
        <v>0</v>
      </c>
      <c r="M2161" t="n">
        <v>0</v>
      </c>
      <c r="N2161" t="n">
        <v>0</v>
      </c>
      <c r="O2161" t="n">
        <v>0</v>
      </c>
      <c r="P2161" t="n">
        <v>0</v>
      </c>
      <c r="Q2161" t="n">
        <v>0</v>
      </c>
      <c r="R2161" s="2" t="inlineStr"/>
    </row>
    <row r="2162" ht="15" customHeight="1">
      <c r="A2162" t="inlineStr">
        <is>
          <t>A 19652-2023</t>
        </is>
      </c>
      <c r="B2162" s="1" t="n">
        <v>45050</v>
      </c>
      <c r="C2162" s="1" t="n">
        <v>45749</v>
      </c>
      <c r="D2162" t="inlineStr">
        <is>
          <t>JÄMTLANDS LÄN</t>
        </is>
      </c>
      <c r="E2162" t="inlineStr">
        <is>
          <t>STRÖMSUND</t>
        </is>
      </c>
      <c r="F2162" t="inlineStr">
        <is>
          <t>Kommuner</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19656-2023</t>
        </is>
      </c>
      <c r="B2163" s="1" t="n">
        <v>45050</v>
      </c>
      <c r="C2163" s="1" t="n">
        <v>45749</v>
      </c>
      <c r="D2163" t="inlineStr">
        <is>
          <t>JÄMTLANDS LÄN</t>
        </is>
      </c>
      <c r="E2163" t="inlineStr">
        <is>
          <t>STRÖMSUND</t>
        </is>
      </c>
      <c r="F2163" t="inlineStr">
        <is>
          <t>Kommuner</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19826-2023</t>
        </is>
      </c>
      <c r="B2164" s="1" t="n">
        <v>45052</v>
      </c>
      <c r="C2164" s="1" t="n">
        <v>45749</v>
      </c>
      <c r="D2164" t="inlineStr">
        <is>
          <t>JÄMTLANDS LÄN</t>
        </is>
      </c>
      <c r="E2164" t="inlineStr">
        <is>
          <t>STRÖMSUND</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19831-2023</t>
        </is>
      </c>
      <c r="B2165" s="1" t="n">
        <v>45052</v>
      </c>
      <c r="C2165" s="1" t="n">
        <v>45749</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20590-2023</t>
        </is>
      </c>
      <c r="B2166" s="1" t="n">
        <v>45058</v>
      </c>
      <c r="C2166" s="1" t="n">
        <v>45749</v>
      </c>
      <c r="D2166" t="inlineStr">
        <is>
          <t>JÄMTLANDS LÄN</t>
        </is>
      </c>
      <c r="E2166" t="inlineStr">
        <is>
          <t>STRÖMSUND</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20631-2023</t>
        </is>
      </c>
      <c r="B2167" s="1" t="n">
        <v>45057</v>
      </c>
      <c r="C2167" s="1" t="n">
        <v>45749</v>
      </c>
      <c r="D2167" t="inlineStr">
        <is>
          <t>JÄMTLANDS LÄN</t>
        </is>
      </c>
      <c r="E2167" t="inlineStr">
        <is>
          <t>STRÖMSUND</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21146-2023</t>
        </is>
      </c>
      <c r="B2168" s="1" t="n">
        <v>45057</v>
      </c>
      <c r="C2168" s="1" t="n">
        <v>45749</v>
      </c>
      <c r="D2168" t="inlineStr">
        <is>
          <t>JÄMTLANDS LÄN</t>
        </is>
      </c>
      <c r="E2168" t="inlineStr">
        <is>
          <t>STRÖMSUND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20597-2023</t>
        </is>
      </c>
      <c r="B2169" s="1" t="n">
        <v>45058</v>
      </c>
      <c r="C2169" s="1" t="n">
        <v>45749</v>
      </c>
      <c r="D2169" t="inlineStr">
        <is>
          <t>JÄMTLANDS LÄN</t>
        </is>
      </c>
      <c r="E2169" t="inlineStr">
        <is>
          <t>STRÖMSUND</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20592-2023</t>
        </is>
      </c>
      <c r="B2170" s="1" t="n">
        <v>45057</v>
      </c>
      <c r="C2170" s="1" t="n">
        <v>45749</v>
      </c>
      <c r="D2170" t="inlineStr">
        <is>
          <t>JÄMTLANDS LÄN</t>
        </is>
      </c>
      <c r="E2170" t="inlineStr">
        <is>
          <t>STRÖMSUND</t>
        </is>
      </c>
      <c r="F2170" t="inlineStr">
        <is>
          <t>SCA</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20887-2023</t>
        </is>
      </c>
      <c r="B2171" s="1" t="n">
        <v>45058</v>
      </c>
      <c r="C2171" s="1" t="n">
        <v>45749</v>
      </c>
      <c r="D2171" t="inlineStr">
        <is>
          <t>JÄMTLANDS LÄN</t>
        </is>
      </c>
      <c r="E2171" t="inlineStr">
        <is>
          <t>STRÖMSUND</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21115-2023</t>
        </is>
      </c>
      <c r="B2172" s="1" t="n">
        <v>45061</v>
      </c>
      <c r="C2172" s="1" t="n">
        <v>45749</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21110-2023</t>
        </is>
      </c>
      <c r="B2173" s="1" t="n">
        <v>45061</v>
      </c>
      <c r="C2173" s="1" t="n">
        <v>45749</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21358-2023</t>
        </is>
      </c>
      <c r="B2174" s="1" t="n">
        <v>45063</v>
      </c>
      <c r="C2174" s="1" t="n">
        <v>45749</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21338-2023</t>
        </is>
      </c>
      <c r="B2175" s="1" t="n">
        <v>45062</v>
      </c>
      <c r="C2175" s="1" t="n">
        <v>45749</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21339-2023</t>
        </is>
      </c>
      <c r="B2176" s="1" t="n">
        <v>45063</v>
      </c>
      <c r="C2176" s="1" t="n">
        <v>45749</v>
      </c>
      <c r="D2176" t="inlineStr">
        <is>
          <t>JÄMTLANDS LÄN</t>
        </is>
      </c>
      <c r="E2176" t="inlineStr">
        <is>
          <t>STRÖMSUND</t>
        </is>
      </c>
      <c r="F2176" t="inlineStr">
        <is>
          <t>SCA</t>
        </is>
      </c>
      <c r="G2176" t="n">
        <v>22.5</v>
      </c>
      <c r="H2176" t="n">
        <v>0</v>
      </c>
      <c r="I2176" t="n">
        <v>0</v>
      </c>
      <c r="J2176" t="n">
        <v>0</v>
      </c>
      <c r="K2176" t="n">
        <v>0</v>
      </c>
      <c r="L2176" t="n">
        <v>0</v>
      </c>
      <c r="M2176" t="n">
        <v>0</v>
      </c>
      <c r="N2176" t="n">
        <v>0</v>
      </c>
      <c r="O2176" t="n">
        <v>0</v>
      </c>
      <c r="P2176" t="n">
        <v>0</v>
      </c>
      <c r="Q2176" t="n">
        <v>0</v>
      </c>
      <c r="R2176" s="2" t="inlineStr"/>
    </row>
    <row r="2177" ht="15" customHeight="1">
      <c r="A2177" t="inlineStr">
        <is>
          <t>A 21687-2023</t>
        </is>
      </c>
      <c r="B2177" s="1" t="n">
        <v>45063</v>
      </c>
      <c r="C2177" s="1" t="n">
        <v>45749</v>
      </c>
      <c r="D2177" t="inlineStr">
        <is>
          <t>JÄMTLANDS LÄN</t>
        </is>
      </c>
      <c r="E2177" t="inlineStr">
        <is>
          <t>STRÖMSUND</t>
        </is>
      </c>
      <c r="F2177" t="inlineStr">
        <is>
          <t>SCA</t>
        </is>
      </c>
      <c r="G2177" t="n">
        <v>38.4</v>
      </c>
      <c r="H2177" t="n">
        <v>0</v>
      </c>
      <c r="I2177" t="n">
        <v>0</v>
      </c>
      <c r="J2177" t="n">
        <v>0</v>
      </c>
      <c r="K2177" t="n">
        <v>0</v>
      </c>
      <c r="L2177" t="n">
        <v>0</v>
      </c>
      <c r="M2177" t="n">
        <v>0</v>
      </c>
      <c r="N2177" t="n">
        <v>0</v>
      </c>
      <c r="O2177" t="n">
        <v>0</v>
      </c>
      <c r="P2177" t="n">
        <v>0</v>
      </c>
      <c r="Q2177" t="n">
        <v>0</v>
      </c>
      <c r="R2177" s="2" t="inlineStr"/>
    </row>
    <row r="2178" ht="15" customHeight="1">
      <c r="A2178" t="inlineStr">
        <is>
          <t>A 21685-2023</t>
        </is>
      </c>
      <c r="B2178" s="1" t="n">
        <v>45064</v>
      </c>
      <c r="C2178" s="1" t="n">
        <v>45749</v>
      </c>
      <c r="D2178" t="inlineStr">
        <is>
          <t>JÄMTLANDS LÄN</t>
        </is>
      </c>
      <c r="E2178" t="inlineStr">
        <is>
          <t>STRÖMSUND</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21711-2023</t>
        </is>
      </c>
      <c r="B2179" s="1" t="n">
        <v>45065</v>
      </c>
      <c r="C2179" s="1" t="n">
        <v>45749</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22223-2023</t>
        </is>
      </c>
      <c r="B2180" s="1" t="n">
        <v>45069</v>
      </c>
      <c r="C2180" s="1" t="n">
        <v>45749</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22475-2023</t>
        </is>
      </c>
      <c r="B2181" s="1" t="n">
        <v>45071</v>
      </c>
      <c r="C2181" s="1" t="n">
        <v>45749</v>
      </c>
      <c r="D2181" t="inlineStr">
        <is>
          <t>JÄMTLANDS LÄN</t>
        </is>
      </c>
      <c r="E2181" t="inlineStr">
        <is>
          <t>STRÖMSUND</t>
        </is>
      </c>
      <c r="F2181" t="inlineStr">
        <is>
          <t>SCA</t>
        </is>
      </c>
      <c r="G2181" t="n">
        <v>35.1</v>
      </c>
      <c r="H2181" t="n">
        <v>0</v>
      </c>
      <c r="I2181" t="n">
        <v>0</v>
      </c>
      <c r="J2181" t="n">
        <v>0</v>
      </c>
      <c r="K2181" t="n">
        <v>0</v>
      </c>
      <c r="L2181" t="n">
        <v>0</v>
      </c>
      <c r="M2181" t="n">
        <v>0</v>
      </c>
      <c r="N2181" t="n">
        <v>0</v>
      </c>
      <c r="O2181" t="n">
        <v>0</v>
      </c>
      <c r="P2181" t="n">
        <v>0</v>
      </c>
      <c r="Q2181" t="n">
        <v>0</v>
      </c>
      <c r="R2181" s="2" t="inlineStr"/>
    </row>
    <row r="2182" ht="15" customHeight="1">
      <c r="A2182" t="inlineStr">
        <is>
          <t>A 22346-2023</t>
        </is>
      </c>
      <c r="B2182" s="1" t="n">
        <v>45070</v>
      </c>
      <c r="C2182" s="1" t="n">
        <v>45749</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22468-2023</t>
        </is>
      </c>
      <c r="B2183" s="1" t="n">
        <v>45070</v>
      </c>
      <c r="C2183" s="1" t="n">
        <v>45749</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22478-2023</t>
        </is>
      </c>
      <c r="B2184" s="1" t="n">
        <v>45071</v>
      </c>
      <c r="C2184" s="1" t="n">
        <v>45749</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22476-2023</t>
        </is>
      </c>
      <c r="B2185" s="1" t="n">
        <v>45070</v>
      </c>
      <c r="C2185" s="1" t="n">
        <v>45749</v>
      </c>
      <c r="D2185" t="inlineStr">
        <is>
          <t>JÄMTLANDS LÄN</t>
        </is>
      </c>
      <c r="E2185" t="inlineStr">
        <is>
          <t>STRÖMSUND</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22477-2023</t>
        </is>
      </c>
      <c r="B2186" s="1" t="n">
        <v>45070</v>
      </c>
      <c r="C2186" s="1" t="n">
        <v>45749</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22745-2023</t>
        </is>
      </c>
      <c r="B2187" s="1" t="n">
        <v>45072</v>
      </c>
      <c r="C2187" s="1" t="n">
        <v>45749</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23303-2023</t>
        </is>
      </c>
      <c r="B2188" s="1" t="n">
        <v>45076</v>
      </c>
      <c r="C2188" s="1" t="n">
        <v>45749</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23310-2023</t>
        </is>
      </c>
      <c r="B2189" s="1" t="n">
        <v>45075</v>
      </c>
      <c r="C2189" s="1" t="n">
        <v>45749</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23309-2023</t>
        </is>
      </c>
      <c r="B2190" s="1" t="n">
        <v>45075</v>
      </c>
      <c r="C2190" s="1" t="n">
        <v>45749</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23311-2023</t>
        </is>
      </c>
      <c r="B2191" s="1" t="n">
        <v>45075</v>
      </c>
      <c r="C2191" s="1" t="n">
        <v>45749</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23906-2023</t>
        </is>
      </c>
      <c r="B2192" s="1" t="n">
        <v>45075</v>
      </c>
      <c r="C2192" s="1" t="n">
        <v>45749</v>
      </c>
      <c r="D2192" t="inlineStr">
        <is>
          <t>JÄMTLANDS LÄN</t>
        </is>
      </c>
      <c r="E2192" t="inlineStr">
        <is>
          <t>STRÖMSUND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23839-2023</t>
        </is>
      </c>
      <c r="B2193" s="1" t="n">
        <v>45075</v>
      </c>
      <c r="C2193" s="1" t="n">
        <v>45749</v>
      </c>
      <c r="D2193" t="inlineStr">
        <is>
          <t>JÄMTLANDS LÄN</t>
        </is>
      </c>
      <c r="E2193" t="inlineStr">
        <is>
          <t>STRÖMSUND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23446-2023</t>
        </is>
      </c>
      <c r="B2194" s="1" t="n">
        <v>45076</v>
      </c>
      <c r="C2194" s="1" t="n">
        <v>45749</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23406-2023</t>
        </is>
      </c>
      <c r="B2195" s="1" t="n">
        <v>45076</v>
      </c>
      <c r="C2195" s="1" t="n">
        <v>45749</v>
      </c>
      <c r="D2195" t="inlineStr">
        <is>
          <t>JÄMTLANDS LÄN</t>
        </is>
      </c>
      <c r="E2195" t="inlineStr">
        <is>
          <t>STRÖMSUND</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23528-2023</t>
        </is>
      </c>
      <c r="B2196" s="1" t="n">
        <v>45076</v>
      </c>
      <c r="C2196" s="1" t="n">
        <v>45749</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23518-2023</t>
        </is>
      </c>
      <c r="B2197" s="1" t="n">
        <v>45077</v>
      </c>
      <c r="C2197" s="1" t="n">
        <v>45749</v>
      </c>
      <c r="D2197" t="inlineStr">
        <is>
          <t>JÄMTLANDS LÄN</t>
        </is>
      </c>
      <c r="E2197" t="inlineStr">
        <is>
          <t>STRÖMSUND</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23525-2023</t>
        </is>
      </c>
      <c r="B2198" s="1" t="n">
        <v>45076</v>
      </c>
      <c r="C2198" s="1" t="n">
        <v>45749</v>
      </c>
      <c r="D2198" t="inlineStr">
        <is>
          <t>JÄMTLANDS LÄN</t>
        </is>
      </c>
      <c r="E2198" t="inlineStr">
        <is>
          <t>STRÖMSUND</t>
        </is>
      </c>
      <c r="F2198" t="inlineStr">
        <is>
          <t>SCA</t>
        </is>
      </c>
      <c r="G2198" t="n">
        <v>11.8</v>
      </c>
      <c r="H2198" t="n">
        <v>0</v>
      </c>
      <c r="I2198" t="n">
        <v>0</v>
      </c>
      <c r="J2198" t="n">
        <v>0</v>
      </c>
      <c r="K2198" t="n">
        <v>0</v>
      </c>
      <c r="L2198" t="n">
        <v>0</v>
      </c>
      <c r="M2198" t="n">
        <v>0</v>
      </c>
      <c r="N2198" t="n">
        <v>0</v>
      </c>
      <c r="O2198" t="n">
        <v>0</v>
      </c>
      <c r="P2198" t="n">
        <v>0</v>
      </c>
      <c r="Q2198" t="n">
        <v>0</v>
      </c>
      <c r="R2198" s="2" t="inlineStr"/>
    </row>
    <row r="2199" ht="15" customHeight="1">
      <c r="A2199" t="inlineStr">
        <is>
          <t>A 23748-2023</t>
        </is>
      </c>
      <c r="B2199" s="1" t="n">
        <v>45077</v>
      </c>
      <c r="C2199" s="1" t="n">
        <v>45749</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23777-2023</t>
        </is>
      </c>
      <c r="B2200" s="1" t="n">
        <v>45078</v>
      </c>
      <c r="C2200" s="1" t="n">
        <v>45749</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23770-2023</t>
        </is>
      </c>
      <c r="B2201" s="1" t="n">
        <v>45078</v>
      </c>
      <c r="C2201" s="1" t="n">
        <v>45749</v>
      </c>
      <c r="D2201" t="inlineStr">
        <is>
          <t>JÄMTLANDS LÄN</t>
        </is>
      </c>
      <c r="E2201" t="inlineStr">
        <is>
          <t>STRÖMSUND</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23780-2023</t>
        </is>
      </c>
      <c r="B2202" s="1" t="n">
        <v>45078</v>
      </c>
      <c r="C2202" s="1" t="n">
        <v>45749</v>
      </c>
      <c r="D2202" t="inlineStr">
        <is>
          <t>JÄMTLANDS LÄN</t>
        </is>
      </c>
      <c r="E2202" t="inlineStr">
        <is>
          <t>STRÖMSUND</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23779-2023</t>
        </is>
      </c>
      <c r="B2203" s="1" t="n">
        <v>45078</v>
      </c>
      <c r="C2203" s="1" t="n">
        <v>45749</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23783-2023</t>
        </is>
      </c>
      <c r="B2204" s="1" t="n">
        <v>45078</v>
      </c>
      <c r="C2204" s="1" t="n">
        <v>45749</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24073-2023</t>
        </is>
      </c>
      <c r="B2205" s="1" t="n">
        <v>45079</v>
      </c>
      <c r="C2205" s="1" t="n">
        <v>45749</v>
      </c>
      <c r="D2205" t="inlineStr">
        <is>
          <t>JÄMTLANDS LÄN</t>
        </is>
      </c>
      <c r="E2205" t="inlineStr">
        <is>
          <t>STRÖMSUND</t>
        </is>
      </c>
      <c r="F2205" t="inlineStr">
        <is>
          <t>SCA</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24071-2023</t>
        </is>
      </c>
      <c r="B2206" s="1" t="n">
        <v>45079</v>
      </c>
      <c r="C2206" s="1" t="n">
        <v>45749</v>
      </c>
      <c r="D2206" t="inlineStr">
        <is>
          <t>JÄMTLANDS LÄN</t>
        </is>
      </c>
      <c r="E2206" t="inlineStr">
        <is>
          <t>STRÖMSUND</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24070-2023</t>
        </is>
      </c>
      <c r="B2207" s="1" t="n">
        <v>45078</v>
      </c>
      <c r="C2207" s="1" t="n">
        <v>45749</v>
      </c>
      <c r="D2207" t="inlineStr">
        <is>
          <t>JÄMTLANDS LÄN</t>
        </is>
      </c>
      <c r="E2207" t="inlineStr">
        <is>
          <t>STRÖMSUND</t>
        </is>
      </c>
      <c r="F2207" t="inlineStr">
        <is>
          <t>SCA</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24315-2023</t>
        </is>
      </c>
      <c r="B2208" s="1" t="n">
        <v>45079</v>
      </c>
      <c r="C2208" s="1" t="n">
        <v>45749</v>
      </c>
      <c r="D2208" t="inlineStr">
        <is>
          <t>JÄMTLANDS LÄN</t>
        </is>
      </c>
      <c r="E2208" t="inlineStr">
        <is>
          <t>STRÖMSUND</t>
        </is>
      </c>
      <c r="F2208" t="inlineStr">
        <is>
          <t>SCA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24303-2023</t>
        </is>
      </c>
      <c r="B2209" s="1" t="n">
        <v>45079</v>
      </c>
      <c r="C2209" s="1" t="n">
        <v>45749</v>
      </c>
      <c r="D2209" t="inlineStr">
        <is>
          <t>JÄMTLANDS LÄN</t>
        </is>
      </c>
      <c r="E2209" t="inlineStr">
        <is>
          <t>STRÖMSUND</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24301-2023</t>
        </is>
      </c>
      <c r="B2210" s="1" t="n">
        <v>45080</v>
      </c>
      <c r="C2210" s="1" t="n">
        <v>45749</v>
      </c>
      <c r="D2210" t="inlineStr">
        <is>
          <t>JÄMTLANDS LÄN</t>
        </is>
      </c>
      <c r="E2210" t="inlineStr">
        <is>
          <t>STRÖMSUND</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24308-2023</t>
        </is>
      </c>
      <c r="B2211" s="1" t="n">
        <v>45080</v>
      </c>
      <c r="C2211" s="1" t="n">
        <v>45749</v>
      </c>
      <c r="D2211" t="inlineStr">
        <is>
          <t>JÄMTLANDS LÄN</t>
        </is>
      </c>
      <c r="E2211" t="inlineStr">
        <is>
          <t>STRÖMSUND</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24313-2023</t>
        </is>
      </c>
      <c r="B2212" s="1" t="n">
        <v>45080</v>
      </c>
      <c r="C2212" s="1" t="n">
        <v>45749</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24317-2023</t>
        </is>
      </c>
      <c r="B2213" s="1" t="n">
        <v>45080</v>
      </c>
      <c r="C2213" s="1" t="n">
        <v>45749</v>
      </c>
      <c r="D2213" t="inlineStr">
        <is>
          <t>JÄMTLANDS LÄN</t>
        </is>
      </c>
      <c r="E2213" t="inlineStr">
        <is>
          <t>STRÖMSUND</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24312-2023</t>
        </is>
      </c>
      <c r="B2214" s="1" t="n">
        <v>45080</v>
      </c>
      <c r="C2214" s="1" t="n">
        <v>45749</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24316-2023</t>
        </is>
      </c>
      <c r="B2215" s="1" t="n">
        <v>45079</v>
      </c>
      <c r="C2215" s="1" t="n">
        <v>45749</v>
      </c>
      <c r="D2215" t="inlineStr">
        <is>
          <t>JÄMTLANDS LÄN</t>
        </is>
      </c>
      <c r="E2215" t="inlineStr">
        <is>
          <t>STRÖMSUND</t>
        </is>
      </c>
      <c r="F2215" t="inlineStr">
        <is>
          <t>SCA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24397-2023</t>
        </is>
      </c>
      <c r="B2216" s="1" t="n">
        <v>45082</v>
      </c>
      <c r="C2216" s="1" t="n">
        <v>45749</v>
      </c>
      <c r="D2216" t="inlineStr">
        <is>
          <t>JÄMTLANDS LÄN</t>
        </is>
      </c>
      <c r="E2216" t="inlineStr">
        <is>
          <t>STRÖMSUND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24599-2023</t>
        </is>
      </c>
      <c r="B2217" s="1" t="n">
        <v>45084</v>
      </c>
      <c r="C2217" s="1" t="n">
        <v>45749</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24602-2023</t>
        </is>
      </c>
      <c r="B2218" s="1" t="n">
        <v>45083</v>
      </c>
      <c r="C2218" s="1" t="n">
        <v>45749</v>
      </c>
      <c r="D2218" t="inlineStr">
        <is>
          <t>JÄMTLANDS LÄN</t>
        </is>
      </c>
      <c r="E2218" t="inlineStr">
        <is>
          <t>STRÖMSUND</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24601-2023</t>
        </is>
      </c>
      <c r="B2219" s="1" t="n">
        <v>45084</v>
      </c>
      <c r="C2219" s="1" t="n">
        <v>45749</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24600-2023</t>
        </is>
      </c>
      <c r="B2220" s="1" t="n">
        <v>45084</v>
      </c>
      <c r="C2220" s="1" t="n">
        <v>45749</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24831-2023</t>
        </is>
      </c>
      <c r="B2221" s="1" t="n">
        <v>45085</v>
      </c>
      <c r="C2221" s="1" t="n">
        <v>45749</v>
      </c>
      <c r="D2221" t="inlineStr">
        <is>
          <t>JÄMTLANDS LÄN</t>
        </is>
      </c>
      <c r="E2221" t="inlineStr">
        <is>
          <t>STRÖMSUND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24833-2023</t>
        </is>
      </c>
      <c r="B2222" s="1" t="n">
        <v>45084</v>
      </c>
      <c r="C2222" s="1" t="n">
        <v>45749</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24830-2023</t>
        </is>
      </c>
      <c r="B2223" s="1" t="n">
        <v>45085</v>
      </c>
      <c r="C2223" s="1" t="n">
        <v>45749</v>
      </c>
      <c r="D2223" t="inlineStr">
        <is>
          <t>JÄMTLANDS LÄN</t>
        </is>
      </c>
      <c r="E2223" t="inlineStr">
        <is>
          <t>STRÖMSUND</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25052-2023</t>
        </is>
      </c>
      <c r="B2224" s="1" t="n">
        <v>45086</v>
      </c>
      <c r="C2224" s="1" t="n">
        <v>45749</v>
      </c>
      <c r="D2224" t="inlineStr">
        <is>
          <t>JÄMTLANDS LÄN</t>
        </is>
      </c>
      <c r="E2224" t="inlineStr">
        <is>
          <t>STRÖMSUND</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25026-2023</t>
        </is>
      </c>
      <c r="B2225" s="1" t="n">
        <v>45085</v>
      </c>
      <c r="C2225" s="1" t="n">
        <v>45749</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25066-2023</t>
        </is>
      </c>
      <c r="B2226" s="1" t="n">
        <v>45085</v>
      </c>
      <c r="C2226" s="1" t="n">
        <v>45749</v>
      </c>
      <c r="D2226" t="inlineStr">
        <is>
          <t>JÄMTLANDS LÄN</t>
        </is>
      </c>
      <c r="E2226" t="inlineStr">
        <is>
          <t>STRÖMSUND</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25328-2023</t>
        </is>
      </c>
      <c r="B2227" s="1" t="n">
        <v>45087</v>
      </c>
      <c r="C2227" s="1" t="n">
        <v>45749</v>
      </c>
      <c r="D2227" t="inlineStr">
        <is>
          <t>JÄMTLANDS LÄN</t>
        </is>
      </c>
      <c r="E2227" t="inlineStr">
        <is>
          <t>STRÖMSUND</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26226-2023</t>
        </is>
      </c>
      <c r="B2228" s="1" t="n">
        <v>45086</v>
      </c>
      <c r="C2228" s="1" t="n">
        <v>45749</v>
      </c>
      <c r="D2228" t="inlineStr">
        <is>
          <t>JÄMTLANDS LÄN</t>
        </is>
      </c>
      <c r="E2228" t="inlineStr">
        <is>
          <t>STRÖMSUND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25326-2023</t>
        </is>
      </c>
      <c r="B2229" s="1" t="n">
        <v>45087</v>
      </c>
      <c r="C2229" s="1" t="n">
        <v>45749</v>
      </c>
      <c r="D2229" t="inlineStr">
        <is>
          <t>JÄMTLANDS LÄN</t>
        </is>
      </c>
      <c r="E2229" t="inlineStr">
        <is>
          <t>STRÖMSUND</t>
        </is>
      </c>
      <c r="F2229" t="inlineStr">
        <is>
          <t>SCA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25673-2023</t>
        </is>
      </c>
      <c r="B2230" s="1" t="n">
        <v>45090</v>
      </c>
      <c r="C2230" s="1" t="n">
        <v>45749</v>
      </c>
      <c r="D2230" t="inlineStr">
        <is>
          <t>JÄMTLANDS LÄN</t>
        </is>
      </c>
      <c r="E2230" t="inlineStr">
        <is>
          <t>STRÖMSUND</t>
        </is>
      </c>
      <c r="F2230" t="inlineStr">
        <is>
          <t>SCA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25682-2023</t>
        </is>
      </c>
      <c r="B2231" s="1" t="n">
        <v>45089</v>
      </c>
      <c r="C2231" s="1" t="n">
        <v>45749</v>
      </c>
      <c r="D2231" t="inlineStr">
        <is>
          <t>JÄMTLANDS LÄN</t>
        </is>
      </c>
      <c r="E2231" t="inlineStr">
        <is>
          <t>STRÖMSUND</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26346-2023</t>
        </is>
      </c>
      <c r="B2232" s="1" t="n">
        <v>45092</v>
      </c>
      <c r="C2232" s="1" t="n">
        <v>45749</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26349-2023</t>
        </is>
      </c>
      <c r="B2233" s="1" t="n">
        <v>45092</v>
      </c>
      <c r="C2233" s="1" t="n">
        <v>45749</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26348-2023</t>
        </is>
      </c>
      <c r="B2234" s="1" t="n">
        <v>45092</v>
      </c>
      <c r="C2234" s="1" t="n">
        <v>45749</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26368-2023</t>
        </is>
      </c>
      <c r="B2235" s="1" t="n">
        <v>45091</v>
      </c>
      <c r="C2235" s="1" t="n">
        <v>45749</v>
      </c>
      <c r="D2235" t="inlineStr">
        <is>
          <t>JÄMTLANDS LÄN</t>
        </is>
      </c>
      <c r="E2235" t="inlineStr">
        <is>
          <t>STRÖMSUND</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26666-2023</t>
        </is>
      </c>
      <c r="B2236" s="1" t="n">
        <v>45093</v>
      </c>
      <c r="C2236" s="1" t="n">
        <v>45749</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26665-2023</t>
        </is>
      </c>
      <c r="B2237" s="1" t="n">
        <v>45093</v>
      </c>
      <c r="C2237" s="1" t="n">
        <v>45749</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26650-2023</t>
        </is>
      </c>
      <c r="B2238" s="1" t="n">
        <v>45093</v>
      </c>
      <c r="C2238" s="1" t="n">
        <v>45749</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26659-2023</t>
        </is>
      </c>
      <c r="B2239" s="1" t="n">
        <v>45092</v>
      </c>
      <c r="C2239" s="1" t="n">
        <v>45749</v>
      </c>
      <c r="D2239" t="inlineStr">
        <is>
          <t>JÄMTLANDS LÄN</t>
        </is>
      </c>
      <c r="E2239" t="inlineStr">
        <is>
          <t>STRÖMSUND</t>
        </is>
      </c>
      <c r="F2239" t="inlineStr">
        <is>
          <t>SCA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26660-2023</t>
        </is>
      </c>
      <c r="B2240" s="1" t="n">
        <v>45092</v>
      </c>
      <c r="C2240" s="1" t="n">
        <v>45749</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26799-2023</t>
        </is>
      </c>
      <c r="B2241" s="1" t="n">
        <v>45093</v>
      </c>
      <c r="C2241" s="1" t="n">
        <v>45749</v>
      </c>
      <c r="D2241" t="inlineStr">
        <is>
          <t>JÄMTLANDS LÄN</t>
        </is>
      </c>
      <c r="E2241" t="inlineStr">
        <is>
          <t>STRÖMSUND</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26735-2023</t>
        </is>
      </c>
      <c r="B2242" s="1" t="n">
        <v>45093</v>
      </c>
      <c r="C2242" s="1" t="n">
        <v>45749</v>
      </c>
      <c r="D2242" t="inlineStr">
        <is>
          <t>JÄMTLANDS LÄN</t>
        </is>
      </c>
      <c r="E2242" t="inlineStr">
        <is>
          <t>STRÖMSUND</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27389-2023</t>
        </is>
      </c>
      <c r="B2243" s="1" t="n">
        <v>45096</v>
      </c>
      <c r="C2243" s="1" t="n">
        <v>45749</v>
      </c>
      <c r="D2243" t="inlineStr">
        <is>
          <t>JÄMTLANDS LÄN</t>
        </is>
      </c>
      <c r="E2243" t="inlineStr">
        <is>
          <t>STRÖMSUND</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27366-2023</t>
        </is>
      </c>
      <c r="B2244" s="1" t="n">
        <v>45096</v>
      </c>
      <c r="C2244" s="1" t="n">
        <v>45749</v>
      </c>
      <c r="D2244" t="inlineStr">
        <is>
          <t>JÄMTLANDS LÄN</t>
        </is>
      </c>
      <c r="E2244" t="inlineStr">
        <is>
          <t>STRÖMSUND</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27386-2023</t>
        </is>
      </c>
      <c r="B2245" s="1" t="n">
        <v>45097</v>
      </c>
      <c r="C2245" s="1" t="n">
        <v>45749</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27374-2023</t>
        </is>
      </c>
      <c r="B2246" s="1" t="n">
        <v>45097</v>
      </c>
      <c r="C2246" s="1" t="n">
        <v>45749</v>
      </c>
      <c r="D2246" t="inlineStr">
        <is>
          <t>JÄMTLANDS LÄN</t>
        </is>
      </c>
      <c r="E2246" t="inlineStr">
        <is>
          <t>STRÖMSUND</t>
        </is>
      </c>
      <c r="F2246" t="inlineStr">
        <is>
          <t>SCA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27388-2023</t>
        </is>
      </c>
      <c r="B2247" s="1" t="n">
        <v>45097</v>
      </c>
      <c r="C2247" s="1" t="n">
        <v>45749</v>
      </c>
      <c r="D2247" t="inlineStr">
        <is>
          <t>JÄMTLANDS LÄN</t>
        </is>
      </c>
      <c r="E2247" t="inlineStr">
        <is>
          <t>STRÖMSUND</t>
        </is>
      </c>
      <c r="F2247" t="inlineStr">
        <is>
          <t>SCA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27368-2023</t>
        </is>
      </c>
      <c r="B2248" s="1" t="n">
        <v>45096</v>
      </c>
      <c r="C2248" s="1" t="n">
        <v>45749</v>
      </c>
      <c r="D2248" t="inlineStr">
        <is>
          <t>JÄMTLANDS LÄN</t>
        </is>
      </c>
      <c r="E2248" t="inlineStr">
        <is>
          <t>STRÖMSUND</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27365-2023</t>
        </is>
      </c>
      <c r="B2249" s="1" t="n">
        <v>45097</v>
      </c>
      <c r="C2249" s="1" t="n">
        <v>45749</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27387-2023</t>
        </is>
      </c>
      <c r="B2250" s="1" t="n">
        <v>45097</v>
      </c>
      <c r="C2250" s="1" t="n">
        <v>45749</v>
      </c>
      <c r="D2250" t="inlineStr">
        <is>
          <t>JÄMTLANDS LÄN</t>
        </is>
      </c>
      <c r="E2250" t="inlineStr">
        <is>
          <t>STRÖMSUND</t>
        </is>
      </c>
      <c r="F2250" t="inlineStr">
        <is>
          <t>SCA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27375-2023</t>
        </is>
      </c>
      <c r="B2251" s="1" t="n">
        <v>45097</v>
      </c>
      <c r="C2251" s="1" t="n">
        <v>45749</v>
      </c>
      <c r="D2251" t="inlineStr">
        <is>
          <t>JÄMTLANDS LÄN</t>
        </is>
      </c>
      <c r="E2251" t="inlineStr">
        <is>
          <t>STRÖMSUND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28660-2023</t>
        </is>
      </c>
      <c r="B2252" s="1" t="n">
        <v>45096</v>
      </c>
      <c r="C2252" s="1" t="n">
        <v>45749</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27679-2023</t>
        </is>
      </c>
      <c r="B2253" s="1" t="n">
        <v>45098</v>
      </c>
      <c r="C2253" s="1" t="n">
        <v>45749</v>
      </c>
      <c r="D2253" t="inlineStr">
        <is>
          <t>JÄMTLANDS LÄN</t>
        </is>
      </c>
      <c r="E2253" t="inlineStr">
        <is>
          <t>STRÖMSUND</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28005-2023</t>
        </is>
      </c>
      <c r="B2254" s="1" t="n">
        <v>45099</v>
      </c>
      <c r="C2254" s="1" t="n">
        <v>45749</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28006-2023</t>
        </is>
      </c>
      <c r="B2255" s="1" t="n">
        <v>45099</v>
      </c>
      <c r="C2255" s="1" t="n">
        <v>45749</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28014-2023</t>
        </is>
      </c>
      <c r="B2256" s="1" t="n">
        <v>45098</v>
      </c>
      <c r="C2256" s="1" t="n">
        <v>45749</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28003-2023</t>
        </is>
      </c>
      <c r="B2257" s="1" t="n">
        <v>45099</v>
      </c>
      <c r="C2257" s="1" t="n">
        <v>45749</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28004-2023</t>
        </is>
      </c>
      <c r="B2258" s="1" t="n">
        <v>45099</v>
      </c>
      <c r="C2258" s="1" t="n">
        <v>45749</v>
      </c>
      <c r="D2258" t="inlineStr">
        <is>
          <t>JÄMTLANDS LÄN</t>
        </is>
      </c>
      <c r="E2258" t="inlineStr">
        <is>
          <t>STRÖMSUND</t>
        </is>
      </c>
      <c r="F2258" t="inlineStr">
        <is>
          <t>SCA</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28016-2023</t>
        </is>
      </c>
      <c r="B2259" s="1" t="n">
        <v>45099</v>
      </c>
      <c r="C2259" s="1" t="n">
        <v>45749</v>
      </c>
      <c r="D2259" t="inlineStr">
        <is>
          <t>JÄMTLANDS LÄN</t>
        </is>
      </c>
      <c r="E2259" t="inlineStr">
        <is>
          <t>STRÖMSUND</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29593-2023</t>
        </is>
      </c>
      <c r="B2260" s="1" t="n">
        <v>45098</v>
      </c>
      <c r="C2260" s="1" t="n">
        <v>45749</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28297-2023</t>
        </is>
      </c>
      <c r="B2261" s="1" t="n">
        <v>45099</v>
      </c>
      <c r="C2261" s="1" t="n">
        <v>45749</v>
      </c>
      <c r="D2261" t="inlineStr">
        <is>
          <t>JÄMTLANDS LÄN</t>
        </is>
      </c>
      <c r="E2261" t="inlineStr">
        <is>
          <t>STRÖMSUND</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28365-2023</t>
        </is>
      </c>
      <c r="B2262" s="1" t="n">
        <v>45100</v>
      </c>
      <c r="C2262" s="1" t="n">
        <v>45749</v>
      </c>
      <c r="D2262" t="inlineStr">
        <is>
          <t>JÄMTLANDS LÄN</t>
        </is>
      </c>
      <c r="E2262" t="inlineStr">
        <is>
          <t>STRÖMSUND</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28376-2023</t>
        </is>
      </c>
      <c r="B2263" s="1" t="n">
        <v>45100</v>
      </c>
      <c r="C2263" s="1" t="n">
        <v>45749</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28364-2023</t>
        </is>
      </c>
      <c r="B2264" s="1" t="n">
        <v>45100</v>
      </c>
      <c r="C2264" s="1" t="n">
        <v>45749</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28362-2023</t>
        </is>
      </c>
      <c r="B2265" s="1" t="n">
        <v>45100</v>
      </c>
      <c r="C2265" s="1" t="n">
        <v>45749</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28377-2023</t>
        </is>
      </c>
      <c r="B2266" s="1" t="n">
        <v>45100</v>
      </c>
      <c r="C2266" s="1" t="n">
        <v>45749</v>
      </c>
      <c r="D2266" t="inlineStr">
        <is>
          <t>JÄMTLANDS LÄN</t>
        </is>
      </c>
      <c r="E2266" t="inlineStr">
        <is>
          <t>STRÖMSUND</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28405-2023</t>
        </is>
      </c>
      <c r="B2267" s="1" t="n">
        <v>45101</v>
      </c>
      <c r="C2267" s="1" t="n">
        <v>45749</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28715-2023</t>
        </is>
      </c>
      <c r="B2268" s="1" t="n">
        <v>45103</v>
      </c>
      <c r="C2268" s="1" t="n">
        <v>45749</v>
      </c>
      <c r="D2268" t="inlineStr">
        <is>
          <t>JÄMTLANDS LÄN</t>
        </is>
      </c>
      <c r="E2268" t="inlineStr">
        <is>
          <t>STRÖMSUND</t>
        </is>
      </c>
      <c r="F2268" t="inlineStr">
        <is>
          <t>Sveaskog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28740-2023</t>
        </is>
      </c>
      <c r="B2269" s="1" t="n">
        <v>45104</v>
      </c>
      <c r="C2269" s="1" t="n">
        <v>45749</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28744-2023</t>
        </is>
      </c>
      <c r="B2270" s="1" t="n">
        <v>45104</v>
      </c>
      <c r="C2270" s="1" t="n">
        <v>45749</v>
      </c>
      <c r="D2270" t="inlineStr">
        <is>
          <t>JÄMTLANDS LÄN</t>
        </is>
      </c>
      <c r="E2270" t="inlineStr">
        <is>
          <t>STRÖMSUND</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28753-2023</t>
        </is>
      </c>
      <c r="B2271" s="1" t="n">
        <v>45104</v>
      </c>
      <c r="C2271" s="1" t="n">
        <v>45749</v>
      </c>
      <c r="D2271" t="inlineStr">
        <is>
          <t>JÄMTLANDS LÄN</t>
        </is>
      </c>
      <c r="E2271" t="inlineStr">
        <is>
          <t>STRÖMSUND</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28766-2023</t>
        </is>
      </c>
      <c r="B2272" s="1" t="n">
        <v>45104</v>
      </c>
      <c r="C2272" s="1" t="n">
        <v>45749</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28713-2023</t>
        </is>
      </c>
      <c r="B2273" s="1" t="n">
        <v>45103</v>
      </c>
      <c r="C2273" s="1" t="n">
        <v>45749</v>
      </c>
      <c r="D2273" t="inlineStr">
        <is>
          <t>JÄMTLANDS LÄN</t>
        </is>
      </c>
      <c r="E2273" t="inlineStr">
        <is>
          <t>STRÖMSUND</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28741-2023</t>
        </is>
      </c>
      <c r="B2274" s="1" t="n">
        <v>45103</v>
      </c>
      <c r="C2274" s="1" t="n">
        <v>45749</v>
      </c>
      <c r="D2274" t="inlineStr">
        <is>
          <t>JÄMTLANDS LÄN</t>
        </is>
      </c>
      <c r="E2274" t="inlineStr">
        <is>
          <t>STRÖMSUND</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28754-2023</t>
        </is>
      </c>
      <c r="B2275" s="1" t="n">
        <v>45104</v>
      </c>
      <c r="C2275" s="1" t="n">
        <v>45749</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28767-2023</t>
        </is>
      </c>
      <c r="B2276" s="1" t="n">
        <v>45104</v>
      </c>
      <c r="C2276" s="1" t="n">
        <v>45749</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31156-2023</t>
        </is>
      </c>
      <c r="B2277" s="1" t="n">
        <v>45103</v>
      </c>
      <c r="C2277" s="1" t="n">
        <v>45749</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28714-2023</t>
        </is>
      </c>
      <c r="B2278" s="1" t="n">
        <v>45103</v>
      </c>
      <c r="C2278" s="1" t="n">
        <v>45749</v>
      </c>
      <c r="D2278" t="inlineStr">
        <is>
          <t>JÄMTLANDS LÄN</t>
        </is>
      </c>
      <c r="E2278" t="inlineStr">
        <is>
          <t>STRÖMSUND</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28735-2023</t>
        </is>
      </c>
      <c r="B2279" s="1" t="n">
        <v>45104</v>
      </c>
      <c r="C2279" s="1" t="n">
        <v>45749</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28743-2023</t>
        </is>
      </c>
      <c r="B2280" s="1" t="n">
        <v>45103</v>
      </c>
      <c r="C2280" s="1" t="n">
        <v>45749</v>
      </c>
      <c r="D2280" t="inlineStr">
        <is>
          <t>JÄMTLANDS LÄN</t>
        </is>
      </c>
      <c r="E2280" t="inlineStr">
        <is>
          <t>STRÖMSUND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28752-2023</t>
        </is>
      </c>
      <c r="B2281" s="1" t="n">
        <v>45104</v>
      </c>
      <c r="C2281" s="1" t="n">
        <v>45749</v>
      </c>
      <c r="D2281" t="inlineStr">
        <is>
          <t>JÄMTLANDS LÄN</t>
        </is>
      </c>
      <c r="E2281" t="inlineStr">
        <is>
          <t>STRÖMSUND</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29039-2023</t>
        </is>
      </c>
      <c r="B2282" s="1" t="n">
        <v>45104</v>
      </c>
      <c r="C2282" s="1" t="n">
        <v>45749</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29069-2023</t>
        </is>
      </c>
      <c r="B2283" s="1" t="n">
        <v>45105</v>
      </c>
      <c r="C2283" s="1" t="n">
        <v>45749</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29040-2023</t>
        </is>
      </c>
      <c r="B2284" s="1" t="n">
        <v>45104</v>
      </c>
      <c r="C2284" s="1" t="n">
        <v>45749</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29305-2023</t>
        </is>
      </c>
      <c r="B2285" s="1" t="n">
        <v>45106</v>
      </c>
      <c r="C2285" s="1" t="n">
        <v>45749</v>
      </c>
      <c r="D2285" t="inlineStr">
        <is>
          <t>JÄMTLANDS LÄN</t>
        </is>
      </c>
      <c r="E2285" t="inlineStr">
        <is>
          <t>STRÖMSUND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29329-2023</t>
        </is>
      </c>
      <c r="B2286" s="1" t="n">
        <v>45106</v>
      </c>
      <c r="C2286" s="1" t="n">
        <v>45749</v>
      </c>
      <c r="D2286" t="inlineStr">
        <is>
          <t>JÄMTLANDS LÄN</t>
        </is>
      </c>
      <c r="E2286" t="inlineStr">
        <is>
          <t>STRÖMSUND</t>
        </is>
      </c>
      <c r="F2286" t="inlineStr">
        <is>
          <t>SCA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29328-2023</t>
        </is>
      </c>
      <c r="B2287" s="1" t="n">
        <v>45106</v>
      </c>
      <c r="C2287" s="1" t="n">
        <v>45749</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29335-2023</t>
        </is>
      </c>
      <c r="B2288" s="1" t="n">
        <v>45106</v>
      </c>
      <c r="C2288" s="1" t="n">
        <v>45749</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29343-2023</t>
        </is>
      </c>
      <c r="B2289" s="1" t="n">
        <v>45106</v>
      </c>
      <c r="C2289" s="1" t="n">
        <v>45749</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29605-2023</t>
        </is>
      </c>
      <c r="B2290" s="1" t="n">
        <v>45107</v>
      </c>
      <c r="C2290" s="1" t="n">
        <v>45749</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29632-2023</t>
        </is>
      </c>
      <c r="B2291" s="1" t="n">
        <v>45107</v>
      </c>
      <c r="C2291" s="1" t="n">
        <v>45749</v>
      </c>
      <c r="D2291" t="inlineStr">
        <is>
          <t>JÄMTLANDS LÄN</t>
        </is>
      </c>
      <c r="E2291" t="inlineStr">
        <is>
          <t>STRÖMSUND</t>
        </is>
      </c>
      <c r="F2291" t="inlineStr">
        <is>
          <t>SCA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29631-2023</t>
        </is>
      </c>
      <c r="B2292" s="1" t="n">
        <v>45107</v>
      </c>
      <c r="C2292" s="1" t="n">
        <v>45749</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29635-2023</t>
        </is>
      </c>
      <c r="B2293" s="1" t="n">
        <v>45107</v>
      </c>
      <c r="C2293" s="1" t="n">
        <v>45749</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29965-2023</t>
        </is>
      </c>
      <c r="B2294" s="1" t="n">
        <v>45107</v>
      </c>
      <c r="C2294" s="1" t="n">
        <v>45749</v>
      </c>
      <c r="D2294" t="inlineStr">
        <is>
          <t>JÄMTLANDS LÄN</t>
        </is>
      </c>
      <c r="E2294" t="inlineStr">
        <is>
          <t>STRÖMSUND</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29959-2023</t>
        </is>
      </c>
      <c r="B2295" s="1" t="n">
        <v>45108</v>
      </c>
      <c r="C2295" s="1" t="n">
        <v>45749</v>
      </c>
      <c r="D2295" t="inlineStr">
        <is>
          <t>JÄMTLANDS LÄN</t>
        </is>
      </c>
      <c r="E2295" t="inlineStr">
        <is>
          <t>STRÖMSUND</t>
        </is>
      </c>
      <c r="F2295" t="inlineStr">
        <is>
          <t>SCA</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30170-2023</t>
        </is>
      </c>
      <c r="B2296" s="1" t="n">
        <v>45110</v>
      </c>
      <c r="C2296" s="1" t="n">
        <v>45749</v>
      </c>
      <c r="D2296" t="inlineStr">
        <is>
          <t>JÄMTLANDS LÄN</t>
        </is>
      </c>
      <c r="E2296" t="inlineStr">
        <is>
          <t>STRÖMSUND</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32379-2023</t>
        </is>
      </c>
      <c r="B2297" s="1" t="n">
        <v>45110</v>
      </c>
      <c r="C2297" s="1" t="n">
        <v>45749</v>
      </c>
      <c r="D2297" t="inlineStr">
        <is>
          <t>JÄMTLANDS LÄN</t>
        </is>
      </c>
      <c r="E2297" t="inlineStr">
        <is>
          <t>STRÖMSUND</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30284-2023</t>
        </is>
      </c>
      <c r="B2298" s="1" t="n">
        <v>45110</v>
      </c>
      <c r="C2298" s="1" t="n">
        <v>45749</v>
      </c>
      <c r="D2298" t="inlineStr">
        <is>
          <t>JÄMTLANDS LÄN</t>
        </is>
      </c>
      <c r="E2298" t="inlineStr">
        <is>
          <t>STRÖMSUND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30285-2023</t>
        </is>
      </c>
      <c r="B2299" s="1" t="n">
        <v>45110</v>
      </c>
      <c r="C2299" s="1" t="n">
        <v>45749</v>
      </c>
      <c r="D2299" t="inlineStr">
        <is>
          <t>JÄMTLANDS LÄN</t>
        </is>
      </c>
      <c r="E2299" t="inlineStr">
        <is>
          <t>STRÖMSUND</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30565-2023</t>
        </is>
      </c>
      <c r="B2300" s="1" t="n">
        <v>45112</v>
      </c>
      <c r="C2300" s="1" t="n">
        <v>45749</v>
      </c>
      <c r="D2300" t="inlineStr">
        <is>
          <t>JÄMTLANDS LÄN</t>
        </is>
      </c>
      <c r="E2300" t="inlineStr">
        <is>
          <t>STRÖMSUND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32530-2023</t>
        </is>
      </c>
      <c r="B2301" s="1" t="n">
        <v>45111</v>
      </c>
      <c r="C2301" s="1" t="n">
        <v>45749</v>
      </c>
      <c r="D2301" t="inlineStr">
        <is>
          <t>JÄMTLANDS LÄN</t>
        </is>
      </c>
      <c r="E2301" t="inlineStr">
        <is>
          <t>STRÖMSUND</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32572-2023</t>
        </is>
      </c>
      <c r="B2302" s="1" t="n">
        <v>45111</v>
      </c>
      <c r="C2302" s="1" t="n">
        <v>45749</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32546-2023</t>
        </is>
      </c>
      <c r="B2303" s="1" t="n">
        <v>45111</v>
      </c>
      <c r="C2303" s="1" t="n">
        <v>45749</v>
      </c>
      <c r="D2303" t="inlineStr">
        <is>
          <t>JÄMTLANDS LÄN</t>
        </is>
      </c>
      <c r="E2303" t="inlineStr">
        <is>
          <t>STRÖMSUND</t>
        </is>
      </c>
      <c r="F2303" t="inlineStr">
        <is>
          <t>Kommuner</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32538-2023</t>
        </is>
      </c>
      <c r="B2304" s="1" t="n">
        <v>45111</v>
      </c>
      <c r="C2304" s="1" t="n">
        <v>45749</v>
      </c>
      <c r="D2304" t="inlineStr">
        <is>
          <t>JÄMTLANDS LÄN</t>
        </is>
      </c>
      <c r="E2304" t="inlineStr">
        <is>
          <t>STRÖMSUND</t>
        </is>
      </c>
      <c r="F2304" t="inlineStr">
        <is>
          <t>Kommuner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32550-2023</t>
        </is>
      </c>
      <c r="B2305" s="1" t="n">
        <v>45111</v>
      </c>
      <c r="C2305" s="1" t="n">
        <v>45749</v>
      </c>
      <c r="D2305" t="inlineStr">
        <is>
          <t>JÄMTLANDS LÄN</t>
        </is>
      </c>
      <c r="E2305" t="inlineStr">
        <is>
          <t>STRÖMSUND</t>
        </is>
      </c>
      <c r="F2305" t="inlineStr">
        <is>
          <t>Kommuner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30818-2023</t>
        </is>
      </c>
      <c r="B2306" s="1" t="n">
        <v>45112</v>
      </c>
      <c r="C2306" s="1" t="n">
        <v>45749</v>
      </c>
      <c r="D2306" t="inlineStr">
        <is>
          <t>JÄMTLANDS LÄN</t>
        </is>
      </c>
      <c r="E2306" t="inlineStr">
        <is>
          <t>STRÖMSUND</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30830-2023</t>
        </is>
      </c>
      <c r="B2307" s="1" t="n">
        <v>45113</v>
      </c>
      <c r="C2307" s="1" t="n">
        <v>45749</v>
      </c>
      <c r="D2307" t="inlineStr">
        <is>
          <t>JÄMTLANDS LÄN</t>
        </is>
      </c>
      <c r="E2307" t="inlineStr">
        <is>
          <t>STRÖMSUND</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30842-2023</t>
        </is>
      </c>
      <c r="B2308" s="1" t="n">
        <v>45113</v>
      </c>
      <c r="C2308" s="1" t="n">
        <v>45749</v>
      </c>
      <c r="D2308" t="inlineStr">
        <is>
          <t>JÄMTLANDS LÄN</t>
        </is>
      </c>
      <c r="E2308" t="inlineStr">
        <is>
          <t>STRÖMSUND</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30849-2023</t>
        </is>
      </c>
      <c r="B2309" s="1" t="n">
        <v>45113</v>
      </c>
      <c r="C2309" s="1" t="n">
        <v>45749</v>
      </c>
      <c r="D2309" t="inlineStr">
        <is>
          <t>JÄMTLANDS LÄN</t>
        </is>
      </c>
      <c r="E2309" t="inlineStr">
        <is>
          <t>STRÖMSUND</t>
        </is>
      </c>
      <c r="F2309" t="inlineStr">
        <is>
          <t>SCA</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30819-2023</t>
        </is>
      </c>
      <c r="B2310" s="1" t="n">
        <v>45113</v>
      </c>
      <c r="C2310" s="1" t="n">
        <v>45749</v>
      </c>
      <c r="D2310" t="inlineStr">
        <is>
          <t>JÄMTLANDS LÄN</t>
        </is>
      </c>
      <c r="E2310" t="inlineStr">
        <is>
          <t>STRÖMSUND</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30831-2023</t>
        </is>
      </c>
      <c r="B2311" s="1" t="n">
        <v>45113</v>
      </c>
      <c r="C2311" s="1" t="n">
        <v>45749</v>
      </c>
      <c r="D2311" t="inlineStr">
        <is>
          <t>JÄMTLANDS LÄN</t>
        </is>
      </c>
      <c r="E2311" t="inlineStr">
        <is>
          <t>STRÖMSUND</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30816-2023</t>
        </is>
      </c>
      <c r="B2312" s="1" t="n">
        <v>45112</v>
      </c>
      <c r="C2312" s="1" t="n">
        <v>45749</v>
      </c>
      <c r="D2312" t="inlineStr">
        <is>
          <t>JÄMTLANDS LÄN</t>
        </is>
      </c>
      <c r="E2312" t="inlineStr">
        <is>
          <t>STRÖMSUND</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30828-2023</t>
        </is>
      </c>
      <c r="B2313" s="1" t="n">
        <v>45113</v>
      </c>
      <c r="C2313" s="1" t="n">
        <v>45749</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30832-2023</t>
        </is>
      </c>
      <c r="B2314" s="1" t="n">
        <v>45112</v>
      </c>
      <c r="C2314" s="1" t="n">
        <v>45749</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30836-2023</t>
        </is>
      </c>
      <c r="B2315" s="1" t="n">
        <v>45113</v>
      </c>
      <c r="C2315" s="1" t="n">
        <v>45749</v>
      </c>
      <c r="D2315" t="inlineStr">
        <is>
          <t>JÄMTLANDS LÄN</t>
        </is>
      </c>
      <c r="E2315" t="inlineStr">
        <is>
          <t>STRÖMSUND</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32871-2023</t>
        </is>
      </c>
      <c r="B2316" s="1" t="n">
        <v>45112</v>
      </c>
      <c r="C2316" s="1" t="n">
        <v>45749</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32873-2023</t>
        </is>
      </c>
      <c r="B2317" s="1" t="n">
        <v>45112</v>
      </c>
      <c r="C2317" s="1" t="n">
        <v>45749</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32882-2023</t>
        </is>
      </c>
      <c r="B2318" s="1" t="n">
        <v>45112</v>
      </c>
      <c r="C2318" s="1" t="n">
        <v>45749</v>
      </c>
      <c r="D2318" t="inlineStr">
        <is>
          <t>JÄMTLANDS LÄN</t>
        </is>
      </c>
      <c r="E2318" t="inlineStr">
        <is>
          <t>STRÖMSUND</t>
        </is>
      </c>
      <c r="F2318" t="inlineStr">
        <is>
          <t>Kommuner</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32883-2023</t>
        </is>
      </c>
      <c r="B2319" s="1" t="n">
        <v>45112</v>
      </c>
      <c r="C2319" s="1" t="n">
        <v>45749</v>
      </c>
      <c r="D2319" t="inlineStr">
        <is>
          <t>JÄMTLANDS LÄN</t>
        </is>
      </c>
      <c r="E2319" t="inlineStr">
        <is>
          <t>STRÖMSUND</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32884-2023</t>
        </is>
      </c>
      <c r="B2320" s="1" t="n">
        <v>45112</v>
      </c>
      <c r="C2320" s="1" t="n">
        <v>45749</v>
      </c>
      <c r="D2320" t="inlineStr">
        <is>
          <t>JÄMTLANDS LÄN</t>
        </is>
      </c>
      <c r="E2320" t="inlineStr">
        <is>
          <t>STRÖMSUND</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31201-2023</t>
        </is>
      </c>
      <c r="B2321" s="1" t="n">
        <v>45113</v>
      </c>
      <c r="C2321" s="1" t="n">
        <v>45749</v>
      </c>
      <c r="D2321" t="inlineStr">
        <is>
          <t>JÄMTLANDS LÄN</t>
        </is>
      </c>
      <c r="E2321" t="inlineStr">
        <is>
          <t>STRÖMSUND</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31210-2023</t>
        </is>
      </c>
      <c r="B2322" s="1" t="n">
        <v>45114</v>
      </c>
      <c r="C2322" s="1" t="n">
        <v>45749</v>
      </c>
      <c r="D2322" t="inlineStr">
        <is>
          <t>JÄMTLANDS LÄN</t>
        </is>
      </c>
      <c r="E2322" t="inlineStr">
        <is>
          <t>STRÖMSUND</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31182-2023</t>
        </is>
      </c>
      <c r="B2323" s="1" t="n">
        <v>45113</v>
      </c>
      <c r="C2323" s="1" t="n">
        <v>45749</v>
      </c>
      <c r="D2323" t="inlineStr">
        <is>
          <t>JÄMTLANDS LÄN</t>
        </is>
      </c>
      <c r="E2323" t="inlineStr">
        <is>
          <t>STRÖMSUND</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31491-2023</t>
        </is>
      </c>
      <c r="B2324" s="1" t="n">
        <v>45114</v>
      </c>
      <c r="C2324" s="1" t="n">
        <v>45749</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31497-2023</t>
        </is>
      </c>
      <c r="B2325" s="1" t="n">
        <v>45115</v>
      </c>
      <c r="C2325" s="1" t="n">
        <v>45749</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31929-2023</t>
        </is>
      </c>
      <c r="B2326" s="1" t="n">
        <v>45118</v>
      </c>
      <c r="C2326" s="1" t="n">
        <v>45749</v>
      </c>
      <c r="D2326" t="inlineStr">
        <is>
          <t>JÄMTLANDS LÄN</t>
        </is>
      </c>
      <c r="E2326" t="inlineStr">
        <is>
          <t>STRÖMSUND</t>
        </is>
      </c>
      <c r="F2326" t="inlineStr">
        <is>
          <t>SCA</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32210-2023</t>
        </is>
      </c>
      <c r="B2327" s="1" t="n">
        <v>45120</v>
      </c>
      <c r="C2327" s="1" t="n">
        <v>45749</v>
      </c>
      <c r="D2327" t="inlineStr">
        <is>
          <t>JÄMTLANDS LÄN</t>
        </is>
      </c>
      <c r="E2327" t="inlineStr">
        <is>
          <t>STRÖMSUND</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32220-2023</t>
        </is>
      </c>
      <c r="B2328" s="1" t="n">
        <v>45120</v>
      </c>
      <c r="C2328" s="1" t="n">
        <v>45749</v>
      </c>
      <c r="D2328" t="inlineStr">
        <is>
          <t>JÄMTLANDS LÄN</t>
        </is>
      </c>
      <c r="E2328" t="inlineStr">
        <is>
          <t>STRÖMSUND</t>
        </is>
      </c>
      <c r="F2328" t="inlineStr">
        <is>
          <t>SCA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32231-2023</t>
        </is>
      </c>
      <c r="B2329" s="1" t="n">
        <v>45120</v>
      </c>
      <c r="C2329" s="1" t="n">
        <v>45749</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32730-2023</t>
        </is>
      </c>
      <c r="B2330" s="1" t="n">
        <v>45122</v>
      </c>
      <c r="C2330" s="1" t="n">
        <v>45749</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32724-2023</t>
        </is>
      </c>
      <c r="B2331" s="1" t="n">
        <v>45121</v>
      </c>
      <c r="C2331" s="1" t="n">
        <v>45749</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32729-2023</t>
        </is>
      </c>
      <c r="B2332" s="1" t="n">
        <v>45122</v>
      </c>
      <c r="C2332" s="1" t="n">
        <v>45749</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32731-2023</t>
        </is>
      </c>
      <c r="B2333" s="1" t="n">
        <v>45122</v>
      </c>
      <c r="C2333" s="1" t="n">
        <v>45749</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32907-2023</t>
        </is>
      </c>
      <c r="B2334" s="1" t="n">
        <v>45124</v>
      </c>
      <c r="C2334" s="1" t="n">
        <v>45749</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32911-2023</t>
        </is>
      </c>
      <c r="B2335" s="1" t="n">
        <v>45125</v>
      </c>
      <c r="C2335" s="1" t="n">
        <v>45749</v>
      </c>
      <c r="D2335" t="inlineStr">
        <is>
          <t>JÄMTLANDS LÄN</t>
        </is>
      </c>
      <c r="E2335" t="inlineStr">
        <is>
          <t>STRÖMSUND</t>
        </is>
      </c>
      <c r="F2335" t="inlineStr">
        <is>
          <t>SCA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32906-2023</t>
        </is>
      </c>
      <c r="B2336" s="1" t="n">
        <v>45125</v>
      </c>
      <c r="C2336" s="1" t="n">
        <v>45749</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32910-2023</t>
        </is>
      </c>
      <c r="B2337" s="1" t="n">
        <v>45125</v>
      </c>
      <c r="C2337" s="1" t="n">
        <v>45749</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33045-2023</t>
        </is>
      </c>
      <c r="B2338" s="1" t="n">
        <v>45126</v>
      </c>
      <c r="C2338" s="1" t="n">
        <v>45749</v>
      </c>
      <c r="D2338" t="inlineStr">
        <is>
          <t>JÄMTLANDS LÄN</t>
        </is>
      </c>
      <c r="E2338" t="inlineStr">
        <is>
          <t>STRÖMSUND</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33176-2023</t>
        </is>
      </c>
      <c r="B2339" s="1" t="n">
        <v>45127</v>
      </c>
      <c r="C2339" s="1" t="n">
        <v>45749</v>
      </c>
      <c r="D2339" t="inlineStr">
        <is>
          <t>JÄMTLANDS LÄN</t>
        </is>
      </c>
      <c r="E2339" t="inlineStr">
        <is>
          <t>STRÖMSUND</t>
        </is>
      </c>
      <c r="F2339" t="inlineStr">
        <is>
          <t>SCA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33426-2023</t>
        </is>
      </c>
      <c r="B2340" s="1" t="n">
        <v>45129</v>
      </c>
      <c r="C2340" s="1" t="n">
        <v>45749</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33427-2023</t>
        </is>
      </c>
      <c r="B2341" s="1" t="n">
        <v>45128</v>
      </c>
      <c r="C2341" s="1" t="n">
        <v>45749</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33433-2023</t>
        </is>
      </c>
      <c r="B2342" s="1" t="n">
        <v>45129</v>
      </c>
      <c r="C2342" s="1" t="n">
        <v>45749</v>
      </c>
      <c r="D2342" t="inlineStr">
        <is>
          <t>JÄMTLANDS LÄN</t>
        </is>
      </c>
      <c r="E2342" t="inlineStr">
        <is>
          <t>STRÖMSUND</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33453-2023</t>
        </is>
      </c>
      <c r="B2343" s="1" t="n">
        <v>45130</v>
      </c>
      <c r="C2343" s="1" t="n">
        <v>45749</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33532-2023</t>
        </is>
      </c>
      <c r="B2344" s="1" t="n">
        <v>45131</v>
      </c>
      <c r="C2344" s="1" t="n">
        <v>45749</v>
      </c>
      <c r="D2344" t="inlineStr">
        <is>
          <t>JÄMTLANDS LÄN</t>
        </is>
      </c>
      <c r="E2344" t="inlineStr">
        <is>
          <t>STRÖMSUND</t>
        </is>
      </c>
      <c r="F2344" t="inlineStr">
        <is>
          <t>Kyrkan</t>
        </is>
      </c>
      <c r="G2344" t="n">
        <v>20.3</v>
      </c>
      <c r="H2344" t="n">
        <v>0</v>
      </c>
      <c r="I2344" t="n">
        <v>0</v>
      </c>
      <c r="J2344" t="n">
        <v>0</v>
      </c>
      <c r="K2344" t="n">
        <v>0</v>
      </c>
      <c r="L2344" t="n">
        <v>0</v>
      </c>
      <c r="M2344" t="n">
        <v>0</v>
      </c>
      <c r="N2344" t="n">
        <v>0</v>
      </c>
      <c r="O2344" t="n">
        <v>0</v>
      </c>
      <c r="P2344" t="n">
        <v>0</v>
      </c>
      <c r="Q2344" t="n">
        <v>0</v>
      </c>
      <c r="R2344" s="2" t="inlineStr"/>
    </row>
    <row r="2345" ht="15" customHeight="1">
      <c r="A2345" t="inlineStr">
        <is>
          <t>A 33590-2023</t>
        </is>
      </c>
      <c r="B2345" s="1" t="n">
        <v>45132</v>
      </c>
      <c r="C2345" s="1" t="n">
        <v>45749</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33718-2023</t>
        </is>
      </c>
      <c r="B2346" s="1" t="n">
        <v>45133</v>
      </c>
      <c r="C2346" s="1" t="n">
        <v>45749</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34002-2023</t>
        </is>
      </c>
      <c r="B2347" s="1" t="n">
        <v>45135</v>
      </c>
      <c r="C2347" s="1" t="n">
        <v>45749</v>
      </c>
      <c r="D2347" t="inlineStr">
        <is>
          <t>JÄMTLANDS LÄN</t>
        </is>
      </c>
      <c r="E2347" t="inlineStr">
        <is>
          <t>STRÖMSUND</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34010-2023</t>
        </is>
      </c>
      <c r="B2348" s="1" t="n">
        <v>45134</v>
      </c>
      <c r="C2348" s="1" t="n">
        <v>45749</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34001-2023</t>
        </is>
      </c>
      <c r="B2349" s="1" t="n">
        <v>45135</v>
      </c>
      <c r="C2349" s="1" t="n">
        <v>45749</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34005-2023</t>
        </is>
      </c>
      <c r="B2350" s="1" t="n">
        <v>45134</v>
      </c>
      <c r="C2350" s="1" t="n">
        <v>45749</v>
      </c>
      <c r="D2350" t="inlineStr">
        <is>
          <t>JÄMTLANDS LÄN</t>
        </is>
      </c>
      <c r="E2350" t="inlineStr">
        <is>
          <t>STRÖMSUND</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34003-2023</t>
        </is>
      </c>
      <c r="B2351" s="1" t="n">
        <v>45135</v>
      </c>
      <c r="C2351" s="1" t="n">
        <v>45749</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34007-2023</t>
        </is>
      </c>
      <c r="B2352" s="1" t="n">
        <v>45135</v>
      </c>
      <c r="C2352" s="1" t="n">
        <v>45749</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34009-2023</t>
        </is>
      </c>
      <c r="B2353" s="1" t="n">
        <v>45135</v>
      </c>
      <c r="C2353" s="1" t="n">
        <v>45749</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34004-2023</t>
        </is>
      </c>
      <c r="B2354" s="1" t="n">
        <v>45135</v>
      </c>
      <c r="C2354" s="1" t="n">
        <v>45749</v>
      </c>
      <c r="D2354" t="inlineStr">
        <is>
          <t>JÄMTLANDS LÄN</t>
        </is>
      </c>
      <c r="E2354" t="inlineStr">
        <is>
          <t>STRÖMSUND</t>
        </is>
      </c>
      <c r="F2354" t="inlineStr">
        <is>
          <t>SCA</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34008-2023</t>
        </is>
      </c>
      <c r="B2355" s="1" t="n">
        <v>45134</v>
      </c>
      <c r="C2355" s="1" t="n">
        <v>45749</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34479-2023</t>
        </is>
      </c>
      <c r="B2356" s="1" t="n">
        <v>45139</v>
      </c>
      <c r="C2356" s="1" t="n">
        <v>45749</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34480-2023</t>
        </is>
      </c>
      <c r="B2357" s="1" t="n">
        <v>45140</v>
      </c>
      <c r="C2357" s="1" t="n">
        <v>45749</v>
      </c>
      <c r="D2357" t="inlineStr">
        <is>
          <t>JÄMTLANDS LÄN</t>
        </is>
      </c>
      <c r="E2357" t="inlineStr">
        <is>
          <t>STRÖMSUND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34824-2023</t>
        </is>
      </c>
      <c r="B2358" s="1" t="n">
        <v>45141</v>
      </c>
      <c r="C2358" s="1" t="n">
        <v>45749</v>
      </c>
      <c r="D2358" t="inlineStr">
        <is>
          <t>JÄMTLANDS LÄN</t>
        </is>
      </c>
      <c r="E2358" t="inlineStr">
        <is>
          <t>STRÖMSUND</t>
        </is>
      </c>
      <c r="F2358" t="inlineStr">
        <is>
          <t>Kyrkan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34907-2023</t>
        </is>
      </c>
      <c r="B2359" s="1" t="n">
        <v>45141</v>
      </c>
      <c r="C2359" s="1" t="n">
        <v>45749</v>
      </c>
      <c r="D2359" t="inlineStr">
        <is>
          <t>JÄMTLANDS LÄN</t>
        </is>
      </c>
      <c r="E2359" t="inlineStr">
        <is>
          <t>STRÖMSUND</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35004-2023</t>
        </is>
      </c>
      <c r="B2360" s="1" t="n">
        <v>45143</v>
      </c>
      <c r="C2360" s="1" t="n">
        <v>45749</v>
      </c>
      <c r="D2360" t="inlineStr">
        <is>
          <t>JÄMTLANDS LÄN</t>
        </is>
      </c>
      <c r="E2360" t="inlineStr">
        <is>
          <t>STRÖMSUND</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35007-2023</t>
        </is>
      </c>
      <c r="B2361" s="1" t="n">
        <v>45143</v>
      </c>
      <c r="C2361" s="1" t="n">
        <v>45749</v>
      </c>
      <c r="D2361" t="inlineStr">
        <is>
          <t>JÄMTLANDS LÄN</t>
        </is>
      </c>
      <c r="E2361" t="inlineStr">
        <is>
          <t>STRÖMSUND</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35012-2023</t>
        </is>
      </c>
      <c r="B2362" s="1" t="n">
        <v>45143</v>
      </c>
      <c r="C2362" s="1" t="n">
        <v>45749</v>
      </c>
      <c r="D2362" t="inlineStr">
        <is>
          <t>JÄMTLANDS LÄN</t>
        </is>
      </c>
      <c r="E2362" t="inlineStr">
        <is>
          <t>STRÖMSUND</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35011-2023</t>
        </is>
      </c>
      <c r="B2363" s="1" t="n">
        <v>45143</v>
      </c>
      <c r="C2363" s="1" t="n">
        <v>45749</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35279-2023</t>
        </is>
      </c>
      <c r="B2364" s="1" t="n">
        <v>45146</v>
      </c>
      <c r="C2364" s="1" t="n">
        <v>45749</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35385-2023</t>
        </is>
      </c>
      <c r="B2365" s="1" t="n">
        <v>45145</v>
      </c>
      <c r="C2365" s="1" t="n">
        <v>45749</v>
      </c>
      <c r="D2365" t="inlineStr">
        <is>
          <t>JÄMTLANDS LÄN</t>
        </is>
      </c>
      <c r="E2365" t="inlineStr">
        <is>
          <t>STRÖMSUND</t>
        </is>
      </c>
      <c r="G2365" t="n">
        <v>29.8</v>
      </c>
      <c r="H2365" t="n">
        <v>0</v>
      </c>
      <c r="I2365" t="n">
        <v>0</v>
      </c>
      <c r="J2365" t="n">
        <v>0</v>
      </c>
      <c r="K2365" t="n">
        <v>0</v>
      </c>
      <c r="L2365" t="n">
        <v>0</v>
      </c>
      <c r="M2365" t="n">
        <v>0</v>
      </c>
      <c r="N2365" t="n">
        <v>0</v>
      </c>
      <c r="O2365" t="n">
        <v>0</v>
      </c>
      <c r="P2365" t="n">
        <v>0</v>
      </c>
      <c r="Q2365" t="n">
        <v>0</v>
      </c>
      <c r="R2365" s="2" t="inlineStr"/>
    </row>
    <row r="2366" ht="15" customHeight="1">
      <c r="A2366" t="inlineStr">
        <is>
          <t>A 35278-2023</t>
        </is>
      </c>
      <c r="B2366" s="1" t="n">
        <v>45146</v>
      </c>
      <c r="C2366" s="1" t="n">
        <v>45749</v>
      </c>
      <c r="D2366" t="inlineStr">
        <is>
          <t>JÄMTLANDS LÄN</t>
        </is>
      </c>
      <c r="E2366" t="inlineStr">
        <is>
          <t>STRÖMSUND</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35461-2023</t>
        </is>
      </c>
      <c r="B2367" s="1" t="n">
        <v>45146</v>
      </c>
      <c r="C2367" s="1" t="n">
        <v>45749</v>
      </c>
      <c r="D2367" t="inlineStr">
        <is>
          <t>JÄMTLANDS LÄN</t>
        </is>
      </c>
      <c r="E2367" t="inlineStr">
        <is>
          <t>STRÖMSUND</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35897-2023</t>
        </is>
      </c>
      <c r="B2368" s="1" t="n">
        <v>45148</v>
      </c>
      <c r="C2368" s="1" t="n">
        <v>45749</v>
      </c>
      <c r="D2368" t="inlineStr">
        <is>
          <t>JÄMTLANDS LÄN</t>
        </is>
      </c>
      <c r="E2368" t="inlineStr">
        <is>
          <t>STRÖMSUND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36503-2023</t>
        </is>
      </c>
      <c r="B2369" s="1" t="n">
        <v>45153</v>
      </c>
      <c r="C2369" s="1" t="n">
        <v>45749</v>
      </c>
      <c r="D2369" t="inlineStr">
        <is>
          <t>JÄMTLANDS LÄN</t>
        </is>
      </c>
      <c r="E2369" t="inlineStr">
        <is>
          <t>STRÖMSUND</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36507-2023</t>
        </is>
      </c>
      <c r="B2370" s="1" t="n">
        <v>45152</v>
      </c>
      <c r="C2370" s="1" t="n">
        <v>45749</v>
      </c>
      <c r="D2370" t="inlineStr">
        <is>
          <t>JÄMTLANDS LÄN</t>
        </is>
      </c>
      <c r="E2370" t="inlineStr">
        <is>
          <t>STRÖMSUND</t>
        </is>
      </c>
      <c r="F2370" t="inlineStr">
        <is>
          <t>SCA</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36524-2023</t>
        </is>
      </c>
      <c r="B2371" s="1" t="n">
        <v>45152</v>
      </c>
      <c r="C2371" s="1" t="n">
        <v>45749</v>
      </c>
      <c r="D2371" t="inlineStr">
        <is>
          <t>JÄMTLANDS LÄN</t>
        </is>
      </c>
      <c r="E2371" t="inlineStr">
        <is>
          <t>STRÖMSUND</t>
        </is>
      </c>
      <c r="G2371" t="n">
        <v>20.7</v>
      </c>
      <c r="H2371" t="n">
        <v>0</v>
      </c>
      <c r="I2371" t="n">
        <v>0</v>
      </c>
      <c r="J2371" t="n">
        <v>0</v>
      </c>
      <c r="K2371" t="n">
        <v>0</v>
      </c>
      <c r="L2371" t="n">
        <v>0</v>
      </c>
      <c r="M2371" t="n">
        <v>0</v>
      </c>
      <c r="N2371" t="n">
        <v>0</v>
      </c>
      <c r="O2371" t="n">
        <v>0</v>
      </c>
      <c r="P2371" t="n">
        <v>0</v>
      </c>
      <c r="Q2371" t="n">
        <v>0</v>
      </c>
      <c r="R2371" s="2" t="inlineStr"/>
    </row>
    <row r="2372" ht="15" customHeight="1">
      <c r="A2372" t="inlineStr">
        <is>
          <t>A 36394-2023</t>
        </is>
      </c>
      <c r="B2372" s="1" t="n">
        <v>45152</v>
      </c>
      <c r="C2372" s="1" t="n">
        <v>45749</v>
      </c>
      <c r="D2372" t="inlineStr">
        <is>
          <t>JÄMTLANDS LÄN</t>
        </is>
      </c>
      <c r="E2372" t="inlineStr">
        <is>
          <t>STRÖMSUND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36502-2023</t>
        </is>
      </c>
      <c r="B2373" s="1" t="n">
        <v>45153</v>
      </c>
      <c r="C2373" s="1" t="n">
        <v>45749</v>
      </c>
      <c r="D2373" t="inlineStr">
        <is>
          <t>JÄMTLANDS LÄN</t>
        </is>
      </c>
      <c r="E2373" t="inlineStr">
        <is>
          <t>STRÖMSUND</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36764-2023</t>
        </is>
      </c>
      <c r="B2374" s="1" t="n">
        <v>45154</v>
      </c>
      <c r="C2374" s="1" t="n">
        <v>45749</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36749-2023</t>
        </is>
      </c>
      <c r="B2375" s="1" t="n">
        <v>45154</v>
      </c>
      <c r="C2375" s="1" t="n">
        <v>45749</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36773-2023</t>
        </is>
      </c>
      <c r="B2376" s="1" t="n">
        <v>45154</v>
      </c>
      <c r="C2376" s="1" t="n">
        <v>45749</v>
      </c>
      <c r="D2376" t="inlineStr">
        <is>
          <t>JÄMTLANDS LÄN</t>
        </is>
      </c>
      <c r="E2376" t="inlineStr">
        <is>
          <t>STRÖMSUND</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36968-2023</t>
        </is>
      </c>
      <c r="B2377" s="1" t="n">
        <v>45155</v>
      </c>
      <c r="C2377" s="1" t="n">
        <v>45749</v>
      </c>
      <c r="D2377" t="inlineStr">
        <is>
          <t>JÄMTLANDS LÄN</t>
        </is>
      </c>
      <c r="E2377" t="inlineStr">
        <is>
          <t>STRÖMSUND</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36993-2023</t>
        </is>
      </c>
      <c r="B2378" s="1" t="n">
        <v>45155</v>
      </c>
      <c r="C2378" s="1" t="n">
        <v>45749</v>
      </c>
      <c r="D2378" t="inlineStr">
        <is>
          <t>JÄMTLANDS LÄN</t>
        </is>
      </c>
      <c r="E2378" t="inlineStr">
        <is>
          <t>STRÖMSUND</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36959-2023</t>
        </is>
      </c>
      <c r="B2379" s="1" t="n">
        <v>45155</v>
      </c>
      <c r="C2379" s="1" t="n">
        <v>45749</v>
      </c>
      <c r="D2379" t="inlineStr">
        <is>
          <t>JÄMTLANDS LÄN</t>
        </is>
      </c>
      <c r="E2379" t="inlineStr">
        <is>
          <t>STRÖMSUND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37146-2023</t>
        </is>
      </c>
      <c r="B2380" s="1" t="n">
        <v>45155</v>
      </c>
      <c r="C2380" s="1" t="n">
        <v>45749</v>
      </c>
      <c r="D2380" t="inlineStr">
        <is>
          <t>JÄMTLANDS LÄN</t>
        </is>
      </c>
      <c r="E2380" t="inlineStr">
        <is>
          <t>STRÖMSUND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37261-2023</t>
        </is>
      </c>
      <c r="B2381" s="1" t="n">
        <v>45155</v>
      </c>
      <c r="C2381" s="1" t="n">
        <v>45749</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37143-2023</t>
        </is>
      </c>
      <c r="B2382" s="1" t="n">
        <v>45155</v>
      </c>
      <c r="C2382" s="1" t="n">
        <v>45749</v>
      </c>
      <c r="D2382" t="inlineStr">
        <is>
          <t>JÄMTLANDS LÄN</t>
        </is>
      </c>
      <c r="E2382" t="inlineStr">
        <is>
          <t>STRÖMSUND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37260-2023</t>
        </is>
      </c>
      <c r="B2383" s="1" t="n">
        <v>45155</v>
      </c>
      <c r="C2383" s="1" t="n">
        <v>45749</v>
      </c>
      <c r="D2383" t="inlineStr">
        <is>
          <t>JÄMTLANDS LÄN</t>
        </is>
      </c>
      <c r="E2383" t="inlineStr">
        <is>
          <t>STRÖMSUND</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37258-2023</t>
        </is>
      </c>
      <c r="B2384" s="1" t="n">
        <v>45156</v>
      </c>
      <c r="C2384" s="1" t="n">
        <v>45749</v>
      </c>
      <c r="D2384" t="inlineStr">
        <is>
          <t>JÄMTLANDS LÄN</t>
        </is>
      </c>
      <c r="E2384" t="inlineStr">
        <is>
          <t>STRÖMSUND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37469-2023</t>
        </is>
      </c>
      <c r="B2385" s="1" t="n">
        <v>45157</v>
      </c>
      <c r="C2385" s="1" t="n">
        <v>45749</v>
      </c>
      <c r="D2385" t="inlineStr">
        <is>
          <t>JÄMTLANDS LÄN</t>
        </is>
      </c>
      <c r="E2385" t="inlineStr">
        <is>
          <t>STRÖMSUND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37490-2023</t>
        </is>
      </c>
      <c r="B2386" s="1" t="n">
        <v>45157</v>
      </c>
      <c r="C2386" s="1" t="n">
        <v>45749</v>
      </c>
      <c r="D2386" t="inlineStr">
        <is>
          <t>JÄMTLANDS LÄN</t>
        </is>
      </c>
      <c r="E2386" t="inlineStr">
        <is>
          <t>STRÖMSUND</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37803-2023</t>
        </is>
      </c>
      <c r="B2387" s="1" t="n">
        <v>45160</v>
      </c>
      <c r="C2387" s="1" t="n">
        <v>45749</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37809-2023</t>
        </is>
      </c>
      <c r="B2388" s="1" t="n">
        <v>45160</v>
      </c>
      <c r="C2388" s="1" t="n">
        <v>45749</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38418-2023</t>
        </is>
      </c>
      <c r="B2389" s="1" t="n">
        <v>45160</v>
      </c>
      <c r="C2389" s="1" t="n">
        <v>45749</v>
      </c>
      <c r="D2389" t="inlineStr">
        <is>
          <t>JÄMTLANDS LÄN</t>
        </is>
      </c>
      <c r="E2389" t="inlineStr">
        <is>
          <t>STRÖMSUND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38248-2023</t>
        </is>
      </c>
      <c r="B2390" s="1" t="n">
        <v>45161</v>
      </c>
      <c r="C2390" s="1" t="n">
        <v>45749</v>
      </c>
      <c r="D2390" t="inlineStr">
        <is>
          <t>JÄMTLANDS LÄN</t>
        </is>
      </c>
      <c r="E2390" t="inlineStr">
        <is>
          <t>STRÖMSUND</t>
        </is>
      </c>
      <c r="F2390" t="inlineStr">
        <is>
          <t>Holmen skog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38374-2023</t>
        </is>
      </c>
      <c r="B2391" s="1" t="n">
        <v>45162</v>
      </c>
      <c r="C2391" s="1" t="n">
        <v>45749</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38642-2023</t>
        </is>
      </c>
      <c r="B2392" s="1" t="n">
        <v>45162</v>
      </c>
      <c r="C2392" s="1" t="n">
        <v>45749</v>
      </c>
      <c r="D2392" t="inlineStr">
        <is>
          <t>JÄMTLANDS LÄN</t>
        </is>
      </c>
      <c r="E2392" t="inlineStr">
        <is>
          <t>STRÖMSUND</t>
        </is>
      </c>
      <c r="F2392" t="inlineStr">
        <is>
          <t>Holmen skog AB</t>
        </is>
      </c>
      <c r="G2392" t="n">
        <v>12.6</v>
      </c>
      <c r="H2392" t="n">
        <v>0</v>
      </c>
      <c r="I2392" t="n">
        <v>0</v>
      </c>
      <c r="J2392" t="n">
        <v>0</v>
      </c>
      <c r="K2392" t="n">
        <v>0</v>
      </c>
      <c r="L2392" t="n">
        <v>0</v>
      </c>
      <c r="M2392" t="n">
        <v>0</v>
      </c>
      <c r="N2392" t="n">
        <v>0</v>
      </c>
      <c r="O2392" t="n">
        <v>0</v>
      </c>
      <c r="P2392" t="n">
        <v>0</v>
      </c>
      <c r="Q2392" t="n">
        <v>0</v>
      </c>
      <c r="R2392" s="2" t="inlineStr"/>
    </row>
    <row r="2393" ht="15" customHeight="1">
      <c r="A2393" t="inlineStr">
        <is>
          <t>A 38842-2023</t>
        </is>
      </c>
      <c r="B2393" s="1" t="n">
        <v>45163</v>
      </c>
      <c r="C2393" s="1" t="n">
        <v>45749</v>
      </c>
      <c r="D2393" t="inlineStr">
        <is>
          <t>JÄMTLANDS LÄN</t>
        </is>
      </c>
      <c r="E2393" t="inlineStr">
        <is>
          <t>STRÖMSUND</t>
        </is>
      </c>
      <c r="F2393" t="inlineStr">
        <is>
          <t>Holmen skog AB</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39051-2023</t>
        </is>
      </c>
      <c r="B2394" s="1" t="n">
        <v>45163</v>
      </c>
      <c r="C2394" s="1" t="n">
        <v>45749</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39054-2023</t>
        </is>
      </c>
      <c r="B2395" s="1" t="n">
        <v>45164</v>
      </c>
      <c r="C2395" s="1" t="n">
        <v>45749</v>
      </c>
      <c r="D2395" t="inlineStr">
        <is>
          <t>JÄMTLANDS LÄN</t>
        </is>
      </c>
      <c r="E2395" t="inlineStr">
        <is>
          <t>STRÖMSUND</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39066-2023</t>
        </is>
      </c>
      <c r="B2396" s="1" t="n">
        <v>45164</v>
      </c>
      <c r="C2396" s="1" t="n">
        <v>45749</v>
      </c>
      <c r="D2396" t="inlineStr">
        <is>
          <t>JÄMTLANDS LÄN</t>
        </is>
      </c>
      <c r="E2396" t="inlineStr">
        <is>
          <t>STRÖMSUND</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38698-2023</t>
        </is>
      </c>
      <c r="B2397" s="1" t="n">
        <v>45163</v>
      </c>
      <c r="C2397" s="1" t="n">
        <v>45749</v>
      </c>
      <c r="D2397" t="inlineStr">
        <is>
          <t>JÄMTLANDS LÄN</t>
        </is>
      </c>
      <c r="E2397" t="inlineStr">
        <is>
          <t>STRÖMSUND</t>
        </is>
      </c>
      <c r="F2397" t="inlineStr">
        <is>
          <t>Holmen skog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39064-2023</t>
        </is>
      </c>
      <c r="B2398" s="1" t="n">
        <v>45163</v>
      </c>
      <c r="C2398" s="1" t="n">
        <v>45749</v>
      </c>
      <c r="D2398" t="inlineStr">
        <is>
          <t>JÄMTLANDS LÄN</t>
        </is>
      </c>
      <c r="E2398" t="inlineStr">
        <is>
          <t>STRÖMSUND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39080-2023</t>
        </is>
      </c>
      <c r="B2399" s="1" t="n">
        <v>45164</v>
      </c>
      <c r="C2399" s="1" t="n">
        <v>45749</v>
      </c>
      <c r="D2399" t="inlineStr">
        <is>
          <t>JÄMTLANDS LÄN</t>
        </is>
      </c>
      <c r="E2399" t="inlineStr">
        <is>
          <t>STRÖMSUND</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38740-2023</t>
        </is>
      </c>
      <c r="B2400" s="1" t="n">
        <v>45163</v>
      </c>
      <c r="C2400" s="1" t="n">
        <v>45749</v>
      </c>
      <c r="D2400" t="inlineStr">
        <is>
          <t>JÄMTLANDS LÄN</t>
        </is>
      </c>
      <c r="E2400" t="inlineStr">
        <is>
          <t>STRÖMSUND</t>
        </is>
      </c>
      <c r="F2400" t="inlineStr">
        <is>
          <t>Holmen skog AB</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39480-2023</t>
        </is>
      </c>
      <c r="B2401" s="1" t="n">
        <v>45167</v>
      </c>
      <c r="C2401" s="1" t="n">
        <v>45749</v>
      </c>
      <c r="D2401" t="inlineStr">
        <is>
          <t>JÄMTLANDS LÄN</t>
        </is>
      </c>
      <c r="E2401" t="inlineStr">
        <is>
          <t>STRÖMSUND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39479-2023</t>
        </is>
      </c>
      <c r="B2402" s="1" t="n">
        <v>45167</v>
      </c>
      <c r="C2402" s="1" t="n">
        <v>45749</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39490-2023</t>
        </is>
      </c>
      <c r="B2403" s="1" t="n">
        <v>45166</v>
      </c>
      <c r="C2403" s="1" t="n">
        <v>45749</v>
      </c>
      <c r="D2403" t="inlineStr">
        <is>
          <t>JÄMTLANDS LÄN</t>
        </is>
      </c>
      <c r="E2403" t="inlineStr">
        <is>
          <t>STRÖMSUND</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39671-2023</t>
        </is>
      </c>
      <c r="B2404" s="1" t="n">
        <v>45167</v>
      </c>
      <c r="C2404" s="1" t="n">
        <v>45749</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39799-2023</t>
        </is>
      </c>
      <c r="B2405" s="1" t="n">
        <v>45168</v>
      </c>
      <c r="C2405" s="1" t="n">
        <v>45749</v>
      </c>
      <c r="D2405" t="inlineStr">
        <is>
          <t>JÄMTLANDS LÄN</t>
        </is>
      </c>
      <c r="E2405" t="inlineStr">
        <is>
          <t>STRÖMSUND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39817-2023</t>
        </is>
      </c>
      <c r="B2406" s="1" t="n">
        <v>45168</v>
      </c>
      <c r="C2406" s="1" t="n">
        <v>45749</v>
      </c>
      <c r="D2406" t="inlineStr">
        <is>
          <t>JÄMTLANDS LÄN</t>
        </is>
      </c>
      <c r="E2406" t="inlineStr">
        <is>
          <t>STRÖMSUND</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39792-2023</t>
        </is>
      </c>
      <c r="B2407" s="1" t="n">
        <v>45168</v>
      </c>
      <c r="C2407" s="1" t="n">
        <v>45749</v>
      </c>
      <c r="D2407" t="inlineStr">
        <is>
          <t>JÄMTLANDS LÄN</t>
        </is>
      </c>
      <c r="E2407" t="inlineStr">
        <is>
          <t>STRÖMSUND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39800-2023</t>
        </is>
      </c>
      <c r="B2408" s="1" t="n">
        <v>45168</v>
      </c>
      <c r="C2408" s="1" t="n">
        <v>45749</v>
      </c>
      <c r="D2408" t="inlineStr">
        <is>
          <t>JÄMTLANDS LÄN</t>
        </is>
      </c>
      <c r="E2408" t="inlineStr">
        <is>
          <t>STRÖMSUND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39870-2023</t>
        </is>
      </c>
      <c r="B2409" s="1" t="n">
        <v>45168</v>
      </c>
      <c r="C2409" s="1" t="n">
        <v>45749</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39922-2023</t>
        </is>
      </c>
      <c r="B2410" s="1" t="n">
        <v>45168</v>
      </c>
      <c r="C2410" s="1" t="n">
        <v>45749</v>
      </c>
      <c r="D2410" t="inlineStr">
        <is>
          <t>JÄMTLANDS LÄN</t>
        </is>
      </c>
      <c r="E2410" t="inlineStr">
        <is>
          <t>STRÖMSUND</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39946-2023</t>
        </is>
      </c>
      <c r="B2411" s="1" t="n">
        <v>45168</v>
      </c>
      <c r="C2411" s="1" t="n">
        <v>45749</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40104-2023</t>
        </is>
      </c>
      <c r="B2412" s="1" t="n">
        <v>45169</v>
      </c>
      <c r="C2412" s="1" t="n">
        <v>45749</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40102-2023</t>
        </is>
      </c>
      <c r="B2413" s="1" t="n">
        <v>45169</v>
      </c>
      <c r="C2413" s="1" t="n">
        <v>45749</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40110-2023</t>
        </is>
      </c>
      <c r="B2414" s="1" t="n">
        <v>45168</v>
      </c>
      <c r="C2414" s="1" t="n">
        <v>45749</v>
      </c>
      <c r="D2414" t="inlineStr">
        <is>
          <t>JÄMTLANDS LÄN</t>
        </is>
      </c>
      <c r="E2414" t="inlineStr">
        <is>
          <t>STRÖMSUND</t>
        </is>
      </c>
      <c r="F2414" t="inlineStr">
        <is>
          <t>SCA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40103-2023</t>
        </is>
      </c>
      <c r="B2415" s="1" t="n">
        <v>45169</v>
      </c>
      <c r="C2415" s="1" t="n">
        <v>45749</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40101-2023</t>
        </is>
      </c>
      <c r="B2416" s="1" t="n">
        <v>45169</v>
      </c>
      <c r="C2416" s="1" t="n">
        <v>45749</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40105-2023</t>
        </is>
      </c>
      <c r="B2417" s="1" t="n">
        <v>45169</v>
      </c>
      <c r="C2417" s="1" t="n">
        <v>45749</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40109-2023</t>
        </is>
      </c>
      <c r="B2418" s="1" t="n">
        <v>45168</v>
      </c>
      <c r="C2418" s="1" t="n">
        <v>45749</v>
      </c>
      <c r="D2418" t="inlineStr">
        <is>
          <t>JÄMTLANDS LÄN</t>
        </is>
      </c>
      <c r="E2418" t="inlineStr">
        <is>
          <t>STRÖMSUND</t>
        </is>
      </c>
      <c r="F2418" t="inlineStr">
        <is>
          <t>SCA</t>
        </is>
      </c>
      <c r="G2418" t="n">
        <v>55.1</v>
      </c>
      <c r="H2418" t="n">
        <v>0</v>
      </c>
      <c r="I2418" t="n">
        <v>0</v>
      </c>
      <c r="J2418" t="n">
        <v>0</v>
      </c>
      <c r="K2418" t="n">
        <v>0</v>
      </c>
      <c r="L2418" t="n">
        <v>0</v>
      </c>
      <c r="M2418" t="n">
        <v>0</v>
      </c>
      <c r="N2418" t="n">
        <v>0</v>
      </c>
      <c r="O2418" t="n">
        <v>0</v>
      </c>
      <c r="P2418" t="n">
        <v>0</v>
      </c>
      <c r="Q2418" t="n">
        <v>0</v>
      </c>
      <c r="R2418" s="2" t="inlineStr"/>
    </row>
    <row r="2419" ht="15" customHeight="1">
      <c r="A2419" t="inlineStr">
        <is>
          <t>A 40395-2023</t>
        </is>
      </c>
      <c r="B2419" s="1" t="n">
        <v>45170</v>
      </c>
      <c r="C2419" s="1" t="n">
        <v>45749</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40399-2023</t>
        </is>
      </c>
      <c r="B2420" s="1" t="n">
        <v>45170</v>
      </c>
      <c r="C2420" s="1" t="n">
        <v>45749</v>
      </c>
      <c r="D2420" t="inlineStr">
        <is>
          <t>JÄMTLANDS LÄN</t>
        </is>
      </c>
      <c r="E2420" t="inlineStr">
        <is>
          <t>STRÖMSUND</t>
        </is>
      </c>
      <c r="F2420" t="inlineStr">
        <is>
          <t>SCA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40407-2023</t>
        </is>
      </c>
      <c r="B2421" s="1" t="n">
        <v>45170</v>
      </c>
      <c r="C2421" s="1" t="n">
        <v>45749</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40398-2023</t>
        </is>
      </c>
      <c r="B2422" s="1" t="n">
        <v>45170</v>
      </c>
      <c r="C2422" s="1" t="n">
        <v>45749</v>
      </c>
      <c r="D2422" t="inlineStr">
        <is>
          <t>JÄMTLANDS LÄN</t>
        </is>
      </c>
      <c r="E2422" t="inlineStr">
        <is>
          <t>STRÖMSUND</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40440-2023</t>
        </is>
      </c>
      <c r="B2423" s="1" t="n">
        <v>45170</v>
      </c>
      <c r="C2423" s="1" t="n">
        <v>45749</v>
      </c>
      <c r="D2423" t="inlineStr">
        <is>
          <t>JÄMTLANDS LÄN</t>
        </is>
      </c>
      <c r="E2423" t="inlineStr">
        <is>
          <t>STRÖMSUND</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40427-2023</t>
        </is>
      </c>
      <c r="B2424" s="1" t="n">
        <v>45170</v>
      </c>
      <c r="C2424" s="1" t="n">
        <v>45749</v>
      </c>
      <c r="D2424" t="inlineStr">
        <is>
          <t>JÄMTLANDS LÄN</t>
        </is>
      </c>
      <c r="E2424" t="inlineStr">
        <is>
          <t>STRÖMSUND</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40402-2023</t>
        </is>
      </c>
      <c r="B2425" s="1" t="n">
        <v>45170</v>
      </c>
      <c r="C2425" s="1" t="n">
        <v>45749</v>
      </c>
      <c r="D2425" t="inlineStr">
        <is>
          <t>JÄMTLANDS LÄN</t>
        </is>
      </c>
      <c r="E2425" t="inlineStr">
        <is>
          <t>STRÖMSUND</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40396-2023</t>
        </is>
      </c>
      <c r="B2426" s="1" t="n">
        <v>45170</v>
      </c>
      <c r="C2426" s="1" t="n">
        <v>45749</v>
      </c>
      <c r="D2426" t="inlineStr">
        <is>
          <t>JÄMTLANDS LÄN</t>
        </is>
      </c>
      <c r="E2426" t="inlineStr">
        <is>
          <t>STRÖMSUND</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40439-2023</t>
        </is>
      </c>
      <c r="B2427" s="1" t="n">
        <v>45169</v>
      </c>
      <c r="C2427" s="1" t="n">
        <v>45749</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40408-2023</t>
        </is>
      </c>
      <c r="B2428" s="1" t="n">
        <v>45170</v>
      </c>
      <c r="C2428" s="1" t="n">
        <v>45749</v>
      </c>
      <c r="D2428" t="inlineStr">
        <is>
          <t>JÄMTLANDS LÄN</t>
        </is>
      </c>
      <c r="E2428" t="inlineStr">
        <is>
          <t>STRÖMSUND</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40424-2023</t>
        </is>
      </c>
      <c r="B2429" s="1" t="n">
        <v>45170</v>
      </c>
      <c r="C2429" s="1" t="n">
        <v>45749</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40441-2023</t>
        </is>
      </c>
      <c r="B2430" s="1" t="n">
        <v>45169</v>
      </c>
      <c r="C2430" s="1" t="n">
        <v>45749</v>
      </c>
      <c r="D2430" t="inlineStr">
        <is>
          <t>JÄMTLANDS LÄN</t>
        </is>
      </c>
      <c r="E2430" t="inlineStr">
        <is>
          <t>STRÖMSUND</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40625-2023</t>
        </is>
      </c>
      <c r="B2431" s="1" t="n">
        <v>45169</v>
      </c>
      <c r="C2431" s="1" t="n">
        <v>45749</v>
      </c>
      <c r="D2431" t="inlineStr">
        <is>
          <t>JÄMTLANDS LÄN</t>
        </is>
      </c>
      <c r="E2431" t="inlineStr">
        <is>
          <t>STRÖMSUND</t>
        </is>
      </c>
      <c r="G2431" t="n">
        <v>12.9</v>
      </c>
      <c r="H2431" t="n">
        <v>0</v>
      </c>
      <c r="I2431" t="n">
        <v>0</v>
      </c>
      <c r="J2431" t="n">
        <v>0</v>
      </c>
      <c r="K2431" t="n">
        <v>0</v>
      </c>
      <c r="L2431" t="n">
        <v>0</v>
      </c>
      <c r="M2431" t="n">
        <v>0</v>
      </c>
      <c r="N2431" t="n">
        <v>0</v>
      </c>
      <c r="O2431" t="n">
        <v>0</v>
      </c>
      <c r="P2431" t="n">
        <v>0</v>
      </c>
      <c r="Q2431" t="n">
        <v>0</v>
      </c>
      <c r="R2431" s="2" t="inlineStr"/>
    </row>
    <row r="2432" ht="15" customHeight="1">
      <c r="A2432" t="inlineStr">
        <is>
          <t>A 41150-2023</t>
        </is>
      </c>
      <c r="B2432" s="1" t="n">
        <v>45174</v>
      </c>
      <c r="C2432" s="1" t="n">
        <v>45749</v>
      </c>
      <c r="D2432" t="inlineStr">
        <is>
          <t>JÄMTLANDS LÄN</t>
        </is>
      </c>
      <c r="E2432" t="inlineStr">
        <is>
          <t>STRÖMSUND</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41536-2023</t>
        </is>
      </c>
      <c r="B2433" s="1" t="n">
        <v>45173</v>
      </c>
      <c r="C2433" s="1" t="n">
        <v>45749</v>
      </c>
      <c r="D2433" t="inlineStr">
        <is>
          <t>JÄMTLANDS LÄN</t>
        </is>
      </c>
      <c r="E2433" t="inlineStr">
        <is>
          <t>STRÖMSUND</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41268-2023</t>
        </is>
      </c>
      <c r="B2434" s="1" t="n">
        <v>45174</v>
      </c>
      <c r="C2434" s="1" t="n">
        <v>45749</v>
      </c>
      <c r="D2434" t="inlineStr">
        <is>
          <t>JÄMTLANDS LÄN</t>
        </is>
      </c>
      <c r="E2434" t="inlineStr">
        <is>
          <t>STRÖMSUND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41970-2023</t>
        </is>
      </c>
      <c r="B2435" s="1" t="n">
        <v>45174</v>
      </c>
      <c r="C2435" s="1" t="n">
        <v>45749</v>
      </c>
      <c r="D2435" t="inlineStr">
        <is>
          <t>JÄMTLANDS LÄN</t>
        </is>
      </c>
      <c r="E2435" t="inlineStr">
        <is>
          <t>STRÖMSUND</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41978-2023</t>
        </is>
      </c>
      <c r="B2436" s="1" t="n">
        <v>45174</v>
      </c>
      <c r="C2436" s="1" t="n">
        <v>45749</v>
      </c>
      <c r="D2436" t="inlineStr">
        <is>
          <t>JÄMTLANDS LÄN</t>
        </is>
      </c>
      <c r="E2436" t="inlineStr">
        <is>
          <t>STRÖMSUND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41644-2023</t>
        </is>
      </c>
      <c r="B2437" s="1" t="n">
        <v>45175</v>
      </c>
      <c r="C2437" s="1" t="n">
        <v>45749</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41902-2023</t>
        </is>
      </c>
      <c r="B2438" s="1" t="n">
        <v>45176</v>
      </c>
      <c r="C2438" s="1" t="n">
        <v>45749</v>
      </c>
      <c r="D2438" t="inlineStr">
        <is>
          <t>JÄMTLANDS LÄN</t>
        </is>
      </c>
      <c r="E2438" t="inlineStr">
        <is>
          <t>STRÖMSUND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41917-2023</t>
        </is>
      </c>
      <c r="B2439" s="1" t="n">
        <v>45177</v>
      </c>
      <c r="C2439" s="1" t="n">
        <v>45749</v>
      </c>
      <c r="D2439" t="inlineStr">
        <is>
          <t>JÄMTLANDS LÄN</t>
        </is>
      </c>
      <c r="E2439" t="inlineStr">
        <is>
          <t>STRÖMSUND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41921-2023</t>
        </is>
      </c>
      <c r="B2440" s="1" t="n">
        <v>45177</v>
      </c>
      <c r="C2440" s="1" t="n">
        <v>45749</v>
      </c>
      <c r="D2440" t="inlineStr">
        <is>
          <t>JÄMTLANDS LÄN</t>
        </is>
      </c>
      <c r="E2440" t="inlineStr">
        <is>
          <t>STRÖMSUND</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41903-2023</t>
        </is>
      </c>
      <c r="B2441" s="1" t="n">
        <v>45176</v>
      </c>
      <c r="C2441" s="1" t="n">
        <v>45749</v>
      </c>
      <c r="D2441" t="inlineStr">
        <is>
          <t>JÄMTLANDS LÄN</t>
        </is>
      </c>
      <c r="E2441" t="inlineStr">
        <is>
          <t>STRÖMSUND</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41916-2023</t>
        </is>
      </c>
      <c r="B2442" s="1" t="n">
        <v>45177</v>
      </c>
      <c r="C2442" s="1" t="n">
        <v>45749</v>
      </c>
      <c r="D2442" t="inlineStr">
        <is>
          <t>JÄMTLANDS LÄN</t>
        </is>
      </c>
      <c r="E2442" t="inlineStr">
        <is>
          <t>STRÖMSUND</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41939-2023</t>
        </is>
      </c>
      <c r="B2443" s="1" t="n">
        <v>45177</v>
      </c>
      <c r="C2443" s="1" t="n">
        <v>45749</v>
      </c>
      <c r="D2443" t="inlineStr">
        <is>
          <t>JÄMTLANDS LÄN</t>
        </is>
      </c>
      <c r="E2443" t="inlineStr">
        <is>
          <t>STRÖMSUND</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41940-2023</t>
        </is>
      </c>
      <c r="B2444" s="1" t="n">
        <v>45176</v>
      </c>
      <c r="C2444" s="1" t="n">
        <v>45749</v>
      </c>
      <c r="D2444" t="inlineStr">
        <is>
          <t>JÄMTLANDS LÄN</t>
        </is>
      </c>
      <c r="E2444" t="inlineStr">
        <is>
          <t>STRÖMSUND</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42284-2023</t>
        </is>
      </c>
      <c r="B2445" s="1" t="n">
        <v>45180</v>
      </c>
      <c r="C2445" s="1" t="n">
        <v>45749</v>
      </c>
      <c r="D2445" t="inlineStr">
        <is>
          <t>JÄMTLANDS LÄN</t>
        </is>
      </c>
      <c r="E2445" t="inlineStr">
        <is>
          <t>STRÖMSUND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42502-2023</t>
        </is>
      </c>
      <c r="B2446" s="1" t="n">
        <v>45181</v>
      </c>
      <c r="C2446" s="1" t="n">
        <v>45749</v>
      </c>
      <c r="D2446" t="inlineStr">
        <is>
          <t>JÄMTLANDS LÄN</t>
        </is>
      </c>
      <c r="E2446" t="inlineStr">
        <is>
          <t>STRÖMSUND</t>
        </is>
      </c>
      <c r="F2446" t="inlineStr">
        <is>
          <t>SCA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42287-2023</t>
        </is>
      </c>
      <c r="B2447" s="1" t="n">
        <v>45180</v>
      </c>
      <c r="C2447" s="1" t="n">
        <v>45749</v>
      </c>
      <c r="D2447" t="inlineStr">
        <is>
          <t>JÄMTLANDS LÄN</t>
        </is>
      </c>
      <c r="E2447" t="inlineStr">
        <is>
          <t>STRÖMSUND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42291-2023</t>
        </is>
      </c>
      <c r="B2448" s="1" t="n">
        <v>45180</v>
      </c>
      <c r="C2448" s="1" t="n">
        <v>45749</v>
      </c>
      <c r="D2448" t="inlineStr">
        <is>
          <t>JÄMTLANDS LÄN</t>
        </is>
      </c>
      <c r="E2448" t="inlineStr">
        <is>
          <t>STRÖMSUND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42428-2023</t>
        </is>
      </c>
      <c r="B2449" s="1" t="n">
        <v>45180</v>
      </c>
      <c r="C2449" s="1" t="n">
        <v>45749</v>
      </c>
      <c r="D2449" t="inlineStr">
        <is>
          <t>JÄMTLANDS LÄN</t>
        </is>
      </c>
      <c r="E2449" t="inlineStr">
        <is>
          <t>STRÖMSUND</t>
        </is>
      </c>
      <c r="F2449" t="inlineStr">
        <is>
          <t>Holmen skog AB</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42448-2023</t>
        </is>
      </c>
      <c r="B2450" s="1" t="n">
        <v>45180</v>
      </c>
      <c r="C2450" s="1" t="n">
        <v>45749</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43565-2023</t>
        </is>
      </c>
      <c r="B2451" s="1" t="n">
        <v>45181</v>
      </c>
      <c r="C2451" s="1" t="n">
        <v>45749</v>
      </c>
      <c r="D2451" t="inlineStr">
        <is>
          <t>JÄMTLANDS LÄN</t>
        </is>
      </c>
      <c r="E2451" t="inlineStr">
        <is>
          <t>STRÖMSUND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43558-2023</t>
        </is>
      </c>
      <c r="B2452" s="1" t="n">
        <v>45181</v>
      </c>
      <c r="C2452" s="1" t="n">
        <v>45749</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42966-2023</t>
        </is>
      </c>
      <c r="B2453" s="1" t="n">
        <v>45182</v>
      </c>
      <c r="C2453" s="1" t="n">
        <v>45749</v>
      </c>
      <c r="D2453" t="inlineStr">
        <is>
          <t>JÄMTLANDS LÄN</t>
        </is>
      </c>
      <c r="E2453" t="inlineStr">
        <is>
          <t>STRÖMSUND</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42964-2023</t>
        </is>
      </c>
      <c r="B2454" s="1" t="n">
        <v>45182</v>
      </c>
      <c r="C2454" s="1" t="n">
        <v>45749</v>
      </c>
      <c r="D2454" t="inlineStr">
        <is>
          <t>JÄMTLANDS LÄN</t>
        </is>
      </c>
      <c r="E2454" t="inlineStr">
        <is>
          <t>STRÖMSUND</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43112-2023</t>
        </is>
      </c>
      <c r="B2455" s="1" t="n">
        <v>45183</v>
      </c>
      <c r="C2455" s="1" t="n">
        <v>45749</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43421-2023</t>
        </is>
      </c>
      <c r="B2456" s="1" t="n">
        <v>45184</v>
      </c>
      <c r="C2456" s="1" t="n">
        <v>45749</v>
      </c>
      <c r="D2456" t="inlineStr">
        <is>
          <t>JÄMTLANDS LÄN</t>
        </is>
      </c>
      <c r="E2456" t="inlineStr">
        <is>
          <t>STRÖMSUND</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44642-2023</t>
        </is>
      </c>
      <c r="B2457" s="1" t="n">
        <v>45184</v>
      </c>
      <c r="C2457" s="1" t="n">
        <v>45749</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43947-2023</t>
        </is>
      </c>
      <c r="B2458" s="1" t="n">
        <v>45188</v>
      </c>
      <c r="C2458" s="1" t="n">
        <v>45749</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43955-2023</t>
        </is>
      </c>
      <c r="B2459" s="1" t="n">
        <v>45188</v>
      </c>
      <c r="C2459" s="1" t="n">
        <v>45749</v>
      </c>
      <c r="D2459" t="inlineStr">
        <is>
          <t>JÄMTLANDS LÄN</t>
        </is>
      </c>
      <c r="E2459" t="inlineStr">
        <is>
          <t>STRÖMSUND</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43953-2023</t>
        </is>
      </c>
      <c r="B2460" s="1" t="n">
        <v>45187</v>
      </c>
      <c r="C2460" s="1" t="n">
        <v>45749</v>
      </c>
      <c r="D2460" t="inlineStr">
        <is>
          <t>JÄMTLANDS LÄN</t>
        </is>
      </c>
      <c r="E2460" t="inlineStr">
        <is>
          <t>STRÖMSUND</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43956-2023</t>
        </is>
      </c>
      <c r="B2461" s="1" t="n">
        <v>45188</v>
      </c>
      <c r="C2461" s="1" t="n">
        <v>45749</v>
      </c>
      <c r="D2461" t="inlineStr">
        <is>
          <t>JÄMTLANDS LÄN</t>
        </is>
      </c>
      <c r="E2461" t="inlineStr">
        <is>
          <t>STRÖMSUND</t>
        </is>
      </c>
      <c r="F2461" t="inlineStr">
        <is>
          <t>SCA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43976-2023</t>
        </is>
      </c>
      <c r="B2462" s="1" t="n">
        <v>45187</v>
      </c>
      <c r="C2462" s="1" t="n">
        <v>45749</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44385-2023</t>
        </is>
      </c>
      <c r="B2463" s="1" t="n">
        <v>45189</v>
      </c>
      <c r="C2463" s="1" t="n">
        <v>45749</v>
      </c>
      <c r="D2463" t="inlineStr">
        <is>
          <t>JÄMTLANDS LÄN</t>
        </is>
      </c>
      <c r="E2463" t="inlineStr">
        <is>
          <t>STRÖMSUND</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44384-2023</t>
        </is>
      </c>
      <c r="B2464" s="1" t="n">
        <v>45189</v>
      </c>
      <c r="C2464" s="1" t="n">
        <v>45749</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44411-2023</t>
        </is>
      </c>
      <c r="B2465" s="1" t="n">
        <v>45189</v>
      </c>
      <c r="C2465" s="1" t="n">
        <v>45749</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44390-2023</t>
        </is>
      </c>
      <c r="B2466" s="1" t="n">
        <v>45189</v>
      </c>
      <c r="C2466" s="1" t="n">
        <v>45749</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44402-2023</t>
        </is>
      </c>
      <c r="B2467" s="1" t="n">
        <v>45188</v>
      </c>
      <c r="C2467" s="1" t="n">
        <v>45749</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45928-2023</t>
        </is>
      </c>
      <c r="B2468" s="1" t="n">
        <v>45189</v>
      </c>
      <c r="C2468" s="1" t="n">
        <v>45749</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44995-2023</t>
        </is>
      </c>
      <c r="B2469" s="1" t="n">
        <v>45191</v>
      </c>
      <c r="C2469" s="1" t="n">
        <v>45749</v>
      </c>
      <c r="D2469" t="inlineStr">
        <is>
          <t>JÄMTLANDS LÄN</t>
        </is>
      </c>
      <c r="E2469" t="inlineStr">
        <is>
          <t>STRÖMSUND</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44813-2023</t>
        </is>
      </c>
      <c r="B2470" s="1" t="n">
        <v>45190</v>
      </c>
      <c r="C2470" s="1" t="n">
        <v>45749</v>
      </c>
      <c r="D2470" t="inlineStr">
        <is>
          <t>JÄMTLANDS LÄN</t>
        </is>
      </c>
      <c r="E2470" t="inlineStr">
        <is>
          <t>STRÖMSUND</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44969-2023</t>
        </is>
      </c>
      <c r="B2471" s="1" t="n">
        <v>45191</v>
      </c>
      <c r="C2471" s="1" t="n">
        <v>45749</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45091-2023</t>
        </is>
      </c>
      <c r="B2472" s="1" t="n">
        <v>45191</v>
      </c>
      <c r="C2472" s="1" t="n">
        <v>45749</v>
      </c>
      <c r="D2472" t="inlineStr">
        <is>
          <t>JÄMTLANDS LÄN</t>
        </is>
      </c>
      <c r="E2472" t="inlineStr">
        <is>
          <t>STRÖMSUND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45329-2023</t>
        </is>
      </c>
      <c r="B2473" s="1" t="n">
        <v>45192</v>
      </c>
      <c r="C2473" s="1" t="n">
        <v>45749</v>
      </c>
      <c r="D2473" t="inlineStr">
        <is>
          <t>JÄMTLANDS LÄN</t>
        </is>
      </c>
      <c r="E2473" t="inlineStr">
        <is>
          <t>STRÖMSUND</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45341-2023</t>
        </is>
      </c>
      <c r="B2474" s="1" t="n">
        <v>45192</v>
      </c>
      <c r="C2474" s="1" t="n">
        <v>45749</v>
      </c>
      <c r="D2474" t="inlineStr">
        <is>
          <t>JÄMTLANDS LÄN</t>
        </is>
      </c>
      <c r="E2474" t="inlineStr">
        <is>
          <t>STRÖMSUND</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45340-2023</t>
        </is>
      </c>
      <c r="B2475" s="1" t="n">
        <v>45192</v>
      </c>
      <c r="C2475" s="1" t="n">
        <v>45749</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45315-2023</t>
        </is>
      </c>
      <c r="B2476" s="1" t="n">
        <v>45191</v>
      </c>
      <c r="C2476" s="1" t="n">
        <v>45749</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45339-2023</t>
        </is>
      </c>
      <c r="B2477" s="1" t="n">
        <v>45192</v>
      </c>
      <c r="C2477" s="1" t="n">
        <v>45749</v>
      </c>
      <c r="D2477" t="inlineStr">
        <is>
          <t>JÄMTLANDS LÄN</t>
        </is>
      </c>
      <c r="E2477" t="inlineStr">
        <is>
          <t>STRÖMSUND</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45366-2023</t>
        </is>
      </c>
      <c r="B2478" s="1" t="n">
        <v>45192</v>
      </c>
      <c r="C2478" s="1" t="n">
        <v>45749</v>
      </c>
      <c r="D2478" t="inlineStr">
        <is>
          <t>JÄMTLANDS LÄN</t>
        </is>
      </c>
      <c r="E2478" t="inlineStr">
        <is>
          <t>STRÖMSUND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45497-2023</t>
        </is>
      </c>
      <c r="B2479" s="1" t="n">
        <v>45194</v>
      </c>
      <c r="C2479" s="1" t="n">
        <v>45749</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45566-2023</t>
        </is>
      </c>
      <c r="B2480" s="1" t="n">
        <v>45194</v>
      </c>
      <c r="C2480" s="1" t="n">
        <v>45749</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45506-2023</t>
        </is>
      </c>
      <c r="B2481" s="1" t="n">
        <v>45194</v>
      </c>
      <c r="C2481" s="1" t="n">
        <v>45749</v>
      </c>
      <c r="D2481" t="inlineStr">
        <is>
          <t>JÄMTLANDS LÄN</t>
        </is>
      </c>
      <c r="E2481" t="inlineStr">
        <is>
          <t>STRÖMSUND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45584-2023</t>
        </is>
      </c>
      <c r="B2482" s="1" t="n">
        <v>45194</v>
      </c>
      <c r="C2482" s="1" t="n">
        <v>45749</v>
      </c>
      <c r="D2482" t="inlineStr">
        <is>
          <t>JÄMTLANDS LÄN</t>
        </is>
      </c>
      <c r="E2482" t="inlineStr">
        <is>
          <t>STRÖMSUND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45502-2023</t>
        </is>
      </c>
      <c r="B2483" s="1" t="n">
        <v>45194</v>
      </c>
      <c r="C2483" s="1" t="n">
        <v>45749</v>
      </c>
      <c r="D2483" t="inlineStr">
        <is>
          <t>JÄMTLANDS LÄN</t>
        </is>
      </c>
      <c r="E2483" t="inlineStr">
        <is>
          <t>STRÖMSUND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45809-2023</t>
        </is>
      </c>
      <c r="B2484" s="1" t="n">
        <v>45195</v>
      </c>
      <c r="C2484" s="1" t="n">
        <v>45749</v>
      </c>
      <c r="D2484" t="inlineStr">
        <is>
          <t>JÄMTLANDS LÄN</t>
        </is>
      </c>
      <c r="E2484" t="inlineStr">
        <is>
          <t>STRÖMSUND</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45938-2023</t>
        </is>
      </c>
      <c r="B2485" s="1" t="n">
        <v>45196</v>
      </c>
      <c r="C2485" s="1" t="n">
        <v>45749</v>
      </c>
      <c r="D2485" t="inlineStr">
        <is>
          <t>JÄMTLANDS LÄN</t>
        </is>
      </c>
      <c r="E2485" t="inlineStr">
        <is>
          <t>STRÖMSUND</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46788-2023</t>
        </is>
      </c>
      <c r="B2486" s="1" t="n">
        <v>45195</v>
      </c>
      <c r="C2486" s="1" t="n">
        <v>45749</v>
      </c>
      <c r="D2486" t="inlineStr">
        <is>
          <t>JÄMTLANDS LÄN</t>
        </is>
      </c>
      <c r="E2486" t="inlineStr">
        <is>
          <t>STRÖMSUND</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45975-2023</t>
        </is>
      </c>
      <c r="B2487" s="1" t="n">
        <v>45196</v>
      </c>
      <c r="C2487" s="1" t="n">
        <v>45749</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46789-2023</t>
        </is>
      </c>
      <c r="B2488" s="1" t="n">
        <v>45195</v>
      </c>
      <c r="C2488" s="1" t="n">
        <v>45749</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46776-2023</t>
        </is>
      </c>
      <c r="B2489" s="1" t="n">
        <v>45195</v>
      </c>
      <c r="C2489" s="1" t="n">
        <v>45749</v>
      </c>
      <c r="D2489" t="inlineStr">
        <is>
          <t>JÄMTLANDS LÄN</t>
        </is>
      </c>
      <c r="E2489" t="inlineStr">
        <is>
          <t>STRÖMSUND</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46794-2023</t>
        </is>
      </c>
      <c r="B2490" s="1" t="n">
        <v>45195</v>
      </c>
      <c r="C2490" s="1" t="n">
        <v>45749</v>
      </c>
      <c r="D2490" t="inlineStr">
        <is>
          <t>JÄMTLANDS LÄN</t>
        </is>
      </c>
      <c r="E2490" t="inlineStr">
        <is>
          <t>STRÖMSUND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46793-2023</t>
        </is>
      </c>
      <c r="B2491" s="1" t="n">
        <v>45195</v>
      </c>
      <c r="C2491" s="1" t="n">
        <v>45749</v>
      </c>
      <c r="D2491" t="inlineStr">
        <is>
          <t>JÄMTLANDS LÄN</t>
        </is>
      </c>
      <c r="E2491" t="inlineStr">
        <is>
          <t>STRÖMSUND</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46258-2023</t>
        </is>
      </c>
      <c r="B2492" s="1" t="n">
        <v>45197</v>
      </c>
      <c r="C2492" s="1" t="n">
        <v>45749</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46265-2023</t>
        </is>
      </c>
      <c r="B2493" s="1" t="n">
        <v>45196</v>
      </c>
      <c r="C2493" s="1" t="n">
        <v>45749</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46259-2023</t>
        </is>
      </c>
      <c r="B2494" s="1" t="n">
        <v>45197</v>
      </c>
      <c r="C2494" s="1" t="n">
        <v>45749</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46365-2023</t>
        </is>
      </c>
      <c r="B2495" s="1" t="n">
        <v>45197</v>
      </c>
      <c r="C2495" s="1" t="n">
        <v>45749</v>
      </c>
      <c r="D2495" t="inlineStr">
        <is>
          <t>JÄMTLANDS LÄN</t>
        </is>
      </c>
      <c r="E2495" t="inlineStr">
        <is>
          <t>STRÖMSUND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46545-2023</t>
        </is>
      </c>
      <c r="B2496" s="1" t="n">
        <v>45198</v>
      </c>
      <c r="C2496" s="1" t="n">
        <v>45749</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46556-2023</t>
        </is>
      </c>
      <c r="B2497" s="1" t="n">
        <v>45198</v>
      </c>
      <c r="C2497" s="1" t="n">
        <v>45749</v>
      </c>
      <c r="D2497" t="inlineStr">
        <is>
          <t>JÄMTLANDS LÄN</t>
        </is>
      </c>
      <c r="E2497" t="inlineStr">
        <is>
          <t>STRÖMSUND</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46557-2023</t>
        </is>
      </c>
      <c r="B2498" s="1" t="n">
        <v>45197</v>
      </c>
      <c r="C2498" s="1" t="n">
        <v>45749</v>
      </c>
      <c r="D2498" t="inlineStr">
        <is>
          <t>JÄMTLANDS LÄN</t>
        </is>
      </c>
      <c r="E2498" t="inlineStr">
        <is>
          <t>STRÖMSUND</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46807-2023</t>
        </is>
      </c>
      <c r="B2499" s="1" t="n">
        <v>45199</v>
      </c>
      <c r="C2499" s="1" t="n">
        <v>45749</v>
      </c>
      <c r="D2499" t="inlineStr">
        <is>
          <t>JÄMTLANDS LÄN</t>
        </is>
      </c>
      <c r="E2499" t="inlineStr">
        <is>
          <t>STRÖMSUND</t>
        </is>
      </c>
      <c r="F2499" t="inlineStr">
        <is>
          <t>SCA</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46811-2023</t>
        </is>
      </c>
      <c r="B2500" s="1" t="n">
        <v>45199</v>
      </c>
      <c r="C2500" s="1" t="n">
        <v>45749</v>
      </c>
      <c r="D2500" t="inlineStr">
        <is>
          <t>JÄMTLANDS LÄN</t>
        </is>
      </c>
      <c r="E2500" t="inlineStr">
        <is>
          <t>STRÖMSUND</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46813-2023</t>
        </is>
      </c>
      <c r="B2501" s="1" t="n">
        <v>45199</v>
      </c>
      <c r="C2501" s="1" t="n">
        <v>45749</v>
      </c>
      <c r="D2501" t="inlineStr">
        <is>
          <t>JÄMTLANDS LÄN</t>
        </is>
      </c>
      <c r="E2501" t="inlineStr">
        <is>
          <t>STRÖMSUND</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46770-2023</t>
        </is>
      </c>
      <c r="B2502" s="1" t="n">
        <v>45198</v>
      </c>
      <c r="C2502" s="1" t="n">
        <v>45749</v>
      </c>
      <c r="D2502" t="inlineStr">
        <is>
          <t>JÄMTLANDS LÄN</t>
        </is>
      </c>
      <c r="E2502" t="inlineStr">
        <is>
          <t>STRÖMSUND</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46774-2023</t>
        </is>
      </c>
      <c r="B2503" s="1" t="n">
        <v>45198</v>
      </c>
      <c r="C2503" s="1" t="n">
        <v>45749</v>
      </c>
      <c r="D2503" t="inlineStr">
        <is>
          <t>JÄMTLANDS LÄN</t>
        </is>
      </c>
      <c r="E2503" t="inlineStr">
        <is>
          <t>STRÖMSUND</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47151-2023</t>
        </is>
      </c>
      <c r="B2504" s="1" t="n">
        <v>45201</v>
      </c>
      <c r="C2504" s="1" t="n">
        <v>45749</v>
      </c>
      <c r="D2504" t="inlineStr">
        <is>
          <t>JÄMTLANDS LÄN</t>
        </is>
      </c>
      <c r="E2504" t="inlineStr">
        <is>
          <t>STRÖMSUND</t>
        </is>
      </c>
      <c r="F2504" t="inlineStr">
        <is>
          <t>Holmen skog AB</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47178-2023</t>
        </is>
      </c>
      <c r="B2505" s="1" t="n">
        <v>45201</v>
      </c>
      <c r="C2505" s="1" t="n">
        <v>45749</v>
      </c>
      <c r="D2505" t="inlineStr">
        <is>
          <t>JÄMTLANDS LÄN</t>
        </is>
      </c>
      <c r="E2505" t="inlineStr">
        <is>
          <t>STRÖMSUND</t>
        </is>
      </c>
      <c r="F2505" t="inlineStr">
        <is>
          <t>SCA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47182-2023</t>
        </is>
      </c>
      <c r="B2506" s="1" t="n">
        <v>45202</v>
      </c>
      <c r="C2506" s="1" t="n">
        <v>45749</v>
      </c>
      <c r="D2506" t="inlineStr">
        <is>
          <t>JÄMTLANDS LÄN</t>
        </is>
      </c>
      <c r="E2506" t="inlineStr">
        <is>
          <t>STRÖMSUND</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47116-2023</t>
        </is>
      </c>
      <c r="B2507" s="1" t="n">
        <v>45201</v>
      </c>
      <c r="C2507" s="1" t="n">
        <v>45749</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48328-2023</t>
        </is>
      </c>
      <c r="B2508" s="1" t="n">
        <v>45201</v>
      </c>
      <c r="C2508" s="1" t="n">
        <v>45749</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47491-2023</t>
        </is>
      </c>
      <c r="B2509" s="1" t="n">
        <v>45203</v>
      </c>
      <c r="C2509" s="1" t="n">
        <v>45749</v>
      </c>
      <c r="D2509" t="inlineStr">
        <is>
          <t>JÄMTLANDS LÄN</t>
        </is>
      </c>
      <c r="E2509" t="inlineStr">
        <is>
          <t>STRÖMSUND</t>
        </is>
      </c>
      <c r="F2509" t="inlineStr">
        <is>
          <t>SCA</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47843-2023</t>
        </is>
      </c>
      <c r="B2510" s="1" t="n">
        <v>45204</v>
      </c>
      <c r="C2510" s="1" t="n">
        <v>45749</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48038-2023</t>
        </is>
      </c>
      <c r="B2511" s="1" t="n">
        <v>45204</v>
      </c>
      <c r="C2511" s="1" t="n">
        <v>45749</v>
      </c>
      <c r="D2511" t="inlineStr">
        <is>
          <t>JÄMTLANDS LÄN</t>
        </is>
      </c>
      <c r="E2511" t="inlineStr">
        <is>
          <t>STRÖMSUND</t>
        </is>
      </c>
      <c r="F2511" t="inlineStr">
        <is>
          <t>Holmen skog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48042-2023</t>
        </is>
      </c>
      <c r="B2512" s="1" t="n">
        <v>45204</v>
      </c>
      <c r="C2512" s="1" t="n">
        <v>45749</v>
      </c>
      <c r="D2512" t="inlineStr">
        <is>
          <t>JÄMTLANDS LÄN</t>
        </is>
      </c>
      <c r="E2512" t="inlineStr">
        <is>
          <t>STRÖMSUND</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48071-2023</t>
        </is>
      </c>
      <c r="B2513" s="1" t="n">
        <v>45205</v>
      </c>
      <c r="C2513" s="1" t="n">
        <v>45749</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48070-2023</t>
        </is>
      </c>
      <c r="B2514" s="1" t="n">
        <v>45204</v>
      </c>
      <c r="C2514" s="1" t="n">
        <v>45749</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48982-2023</t>
        </is>
      </c>
      <c r="B2515" s="1" t="n">
        <v>45204</v>
      </c>
      <c r="C2515" s="1" t="n">
        <v>45749</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48994-2023</t>
        </is>
      </c>
      <c r="B2516" s="1" t="n">
        <v>45204</v>
      </c>
      <c r="C2516" s="1" t="n">
        <v>45749</v>
      </c>
      <c r="D2516" t="inlineStr">
        <is>
          <t>JÄMTLANDS LÄN</t>
        </is>
      </c>
      <c r="E2516" t="inlineStr">
        <is>
          <t>STRÖMSUND</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49008-2023</t>
        </is>
      </c>
      <c r="B2517" s="1" t="n">
        <v>45204</v>
      </c>
      <c r="C2517" s="1" t="n">
        <v>45749</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48976-2023</t>
        </is>
      </c>
      <c r="B2518" s="1" t="n">
        <v>45204</v>
      </c>
      <c r="C2518" s="1" t="n">
        <v>45749</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48991-2023</t>
        </is>
      </c>
      <c r="B2519" s="1" t="n">
        <v>45204</v>
      </c>
      <c r="C2519" s="1" t="n">
        <v>45749</v>
      </c>
      <c r="D2519" t="inlineStr">
        <is>
          <t>JÄMTLANDS LÄN</t>
        </is>
      </c>
      <c r="E2519" t="inlineStr">
        <is>
          <t>STRÖMSUND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48988-2023</t>
        </is>
      </c>
      <c r="B2520" s="1" t="n">
        <v>45204</v>
      </c>
      <c r="C2520" s="1" t="n">
        <v>45749</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48997-2023</t>
        </is>
      </c>
      <c r="B2521" s="1" t="n">
        <v>45204</v>
      </c>
      <c r="C2521" s="1" t="n">
        <v>45749</v>
      </c>
      <c r="D2521" t="inlineStr">
        <is>
          <t>JÄMTLANDS LÄN</t>
        </is>
      </c>
      <c r="E2521" t="inlineStr">
        <is>
          <t>STRÖMSUND</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49091-2023</t>
        </is>
      </c>
      <c r="B2522" s="1" t="n">
        <v>45204</v>
      </c>
      <c r="C2522" s="1" t="n">
        <v>45749</v>
      </c>
      <c r="D2522" t="inlineStr">
        <is>
          <t>JÄMTLANDS LÄN</t>
        </is>
      </c>
      <c r="E2522" t="inlineStr">
        <is>
          <t>STRÖMSUND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48388-2023</t>
        </is>
      </c>
      <c r="B2523" s="1" t="n">
        <v>45205</v>
      </c>
      <c r="C2523" s="1" t="n">
        <v>45749</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48420-2023</t>
        </is>
      </c>
      <c r="B2524" s="1" t="n">
        <v>45205</v>
      </c>
      <c r="C2524" s="1" t="n">
        <v>45749</v>
      </c>
      <c r="D2524" t="inlineStr">
        <is>
          <t>JÄMTLANDS LÄN</t>
        </is>
      </c>
      <c r="E2524" t="inlineStr">
        <is>
          <t>STRÖMSUND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48476-2023</t>
        </is>
      </c>
      <c r="B2525" s="1" t="n">
        <v>45206</v>
      </c>
      <c r="C2525" s="1" t="n">
        <v>45749</v>
      </c>
      <c r="D2525" t="inlineStr">
        <is>
          <t>JÄMTLANDS LÄN</t>
        </is>
      </c>
      <c r="E2525" t="inlineStr">
        <is>
          <t>STRÖMSUND</t>
        </is>
      </c>
      <c r="F2525" t="inlineStr">
        <is>
          <t>SCA</t>
        </is>
      </c>
      <c r="G2525" t="n">
        <v>16.7</v>
      </c>
      <c r="H2525" t="n">
        <v>0</v>
      </c>
      <c r="I2525" t="n">
        <v>0</v>
      </c>
      <c r="J2525" t="n">
        <v>0</v>
      </c>
      <c r="K2525" t="n">
        <v>0</v>
      </c>
      <c r="L2525" t="n">
        <v>0</v>
      </c>
      <c r="M2525" t="n">
        <v>0</v>
      </c>
      <c r="N2525" t="n">
        <v>0</v>
      </c>
      <c r="O2525" t="n">
        <v>0</v>
      </c>
      <c r="P2525" t="n">
        <v>0</v>
      </c>
      <c r="Q2525" t="n">
        <v>0</v>
      </c>
      <c r="R2525" s="2" t="inlineStr"/>
    </row>
    <row r="2526" ht="15" customHeight="1">
      <c r="A2526" t="inlineStr">
        <is>
          <t>A 48775-2023</t>
        </is>
      </c>
      <c r="B2526" s="1" t="n">
        <v>45209</v>
      </c>
      <c r="C2526" s="1" t="n">
        <v>45749</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48637-2023</t>
        </is>
      </c>
      <c r="B2527" s="1" t="n">
        <v>45208</v>
      </c>
      <c r="C2527" s="1" t="n">
        <v>45749</v>
      </c>
      <c r="D2527" t="inlineStr">
        <is>
          <t>JÄMTLANDS LÄN</t>
        </is>
      </c>
      <c r="E2527" t="inlineStr">
        <is>
          <t>STRÖMSUND</t>
        </is>
      </c>
      <c r="F2527" t="inlineStr">
        <is>
          <t>Kommuner</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49763-2023</t>
        </is>
      </c>
      <c r="B2528" s="1" t="n">
        <v>45208</v>
      </c>
      <c r="C2528" s="1" t="n">
        <v>45749</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49147-2023</t>
        </is>
      </c>
      <c r="B2529" s="1" t="n">
        <v>45210</v>
      </c>
      <c r="C2529" s="1" t="n">
        <v>45749</v>
      </c>
      <c r="D2529" t="inlineStr">
        <is>
          <t>JÄMTLANDS LÄN</t>
        </is>
      </c>
      <c r="E2529" t="inlineStr">
        <is>
          <t>STRÖMSUND</t>
        </is>
      </c>
      <c r="F2529" t="inlineStr">
        <is>
          <t>Holmen skog AB</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50647-2023</t>
        </is>
      </c>
      <c r="B2530" s="1" t="n">
        <v>45210</v>
      </c>
      <c r="C2530" s="1" t="n">
        <v>45749</v>
      </c>
      <c r="D2530" t="inlineStr">
        <is>
          <t>JÄMTLANDS LÄN</t>
        </is>
      </c>
      <c r="E2530" t="inlineStr">
        <is>
          <t>STRÖMSUND</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49377-2023</t>
        </is>
      </c>
      <c r="B2531" s="1" t="n">
        <v>45211</v>
      </c>
      <c r="C2531" s="1" t="n">
        <v>45749</v>
      </c>
      <c r="D2531" t="inlineStr">
        <is>
          <t>JÄMTLANDS LÄN</t>
        </is>
      </c>
      <c r="E2531" t="inlineStr">
        <is>
          <t>STRÖMSUND</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49415-2023</t>
        </is>
      </c>
      <c r="B2532" s="1" t="n">
        <v>45211</v>
      </c>
      <c r="C2532" s="1" t="n">
        <v>45749</v>
      </c>
      <c r="D2532" t="inlineStr">
        <is>
          <t>JÄMTLANDS LÄN</t>
        </is>
      </c>
      <c r="E2532" t="inlineStr">
        <is>
          <t>STRÖMSUND</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51074-2023</t>
        </is>
      </c>
      <c r="B2533" s="1" t="n">
        <v>45211</v>
      </c>
      <c r="C2533" s="1" t="n">
        <v>45749</v>
      </c>
      <c r="D2533" t="inlineStr">
        <is>
          <t>JÄMTLANDS LÄN</t>
        </is>
      </c>
      <c r="E2533" t="inlineStr">
        <is>
          <t>STRÖMSUND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51077-2023</t>
        </is>
      </c>
      <c r="B2534" s="1" t="n">
        <v>45211</v>
      </c>
      <c r="C2534" s="1" t="n">
        <v>45749</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51075-2023</t>
        </is>
      </c>
      <c r="B2535" s="1" t="n">
        <v>45211</v>
      </c>
      <c r="C2535" s="1" t="n">
        <v>45749</v>
      </c>
      <c r="D2535" t="inlineStr">
        <is>
          <t>JÄMTLANDS LÄN</t>
        </is>
      </c>
      <c r="E2535" t="inlineStr">
        <is>
          <t>STRÖMSUND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49861-2023</t>
        </is>
      </c>
      <c r="B2536" s="1" t="n">
        <v>45212</v>
      </c>
      <c r="C2536" s="1" t="n">
        <v>45749</v>
      </c>
      <c r="D2536" t="inlineStr">
        <is>
          <t>JÄMTLANDS LÄN</t>
        </is>
      </c>
      <c r="E2536" t="inlineStr">
        <is>
          <t>STRÖMSUND</t>
        </is>
      </c>
      <c r="F2536" t="inlineStr">
        <is>
          <t>SCA</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50203-2023</t>
        </is>
      </c>
      <c r="B2537" s="1" t="n">
        <v>45216</v>
      </c>
      <c r="C2537" s="1" t="n">
        <v>45749</v>
      </c>
      <c r="D2537" t="inlineStr">
        <is>
          <t>JÄMTLANDS LÄN</t>
        </is>
      </c>
      <c r="E2537" t="inlineStr">
        <is>
          <t>STRÖMSUND</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50495-2023</t>
        </is>
      </c>
      <c r="B2538" s="1" t="n">
        <v>45216</v>
      </c>
      <c r="C2538" s="1" t="n">
        <v>45749</v>
      </c>
      <c r="D2538" t="inlineStr">
        <is>
          <t>JÄMTLANDS LÄN</t>
        </is>
      </c>
      <c r="E2538" t="inlineStr">
        <is>
          <t>STRÖMSUND</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52303-2023</t>
        </is>
      </c>
      <c r="B2539" s="1" t="n">
        <v>45217</v>
      </c>
      <c r="C2539" s="1" t="n">
        <v>45749</v>
      </c>
      <c r="D2539" t="inlineStr">
        <is>
          <t>JÄMTLANDS LÄN</t>
        </is>
      </c>
      <c r="E2539" t="inlineStr">
        <is>
          <t>STRÖMSUND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51429-2023</t>
        </is>
      </c>
      <c r="B2540" s="1" t="n">
        <v>45220</v>
      </c>
      <c r="C2540" s="1" t="n">
        <v>45749</v>
      </c>
      <c r="D2540" t="inlineStr">
        <is>
          <t>JÄMTLANDS LÄN</t>
        </is>
      </c>
      <c r="E2540" t="inlineStr">
        <is>
          <t>STRÖMSUND</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51795-2023</t>
        </is>
      </c>
      <c r="B2541" s="1" t="n">
        <v>45222</v>
      </c>
      <c r="C2541" s="1" t="n">
        <v>45749</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51799-2023</t>
        </is>
      </c>
      <c r="B2542" s="1" t="n">
        <v>45223</v>
      </c>
      <c r="C2542" s="1" t="n">
        <v>45749</v>
      </c>
      <c r="D2542" t="inlineStr">
        <is>
          <t>JÄMTLANDS LÄN</t>
        </is>
      </c>
      <c r="E2542" t="inlineStr">
        <is>
          <t>STRÖMSUND</t>
        </is>
      </c>
      <c r="F2542" t="inlineStr">
        <is>
          <t>SCA</t>
        </is>
      </c>
      <c r="G2542" t="n">
        <v>42.6</v>
      </c>
      <c r="H2542" t="n">
        <v>0</v>
      </c>
      <c r="I2542" t="n">
        <v>0</v>
      </c>
      <c r="J2542" t="n">
        <v>0</v>
      </c>
      <c r="K2542" t="n">
        <v>0</v>
      </c>
      <c r="L2542" t="n">
        <v>0</v>
      </c>
      <c r="M2542" t="n">
        <v>0</v>
      </c>
      <c r="N2542" t="n">
        <v>0</v>
      </c>
      <c r="O2542" t="n">
        <v>0</v>
      </c>
      <c r="P2542" t="n">
        <v>0</v>
      </c>
      <c r="Q2542" t="n">
        <v>0</v>
      </c>
      <c r="R2542" s="2" t="inlineStr"/>
    </row>
    <row r="2543" ht="15" customHeight="1">
      <c r="A2543" t="inlineStr">
        <is>
          <t>A 51796-2023</t>
        </is>
      </c>
      <c r="B2543" s="1" t="n">
        <v>45222</v>
      </c>
      <c r="C2543" s="1" t="n">
        <v>45749</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53025-2023</t>
        </is>
      </c>
      <c r="B2544" s="1" t="n">
        <v>45222</v>
      </c>
      <c r="C2544" s="1" t="n">
        <v>45749</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53024-2023</t>
        </is>
      </c>
      <c r="B2545" s="1" t="n">
        <v>45222</v>
      </c>
      <c r="C2545" s="1" t="n">
        <v>45749</v>
      </c>
      <c r="D2545" t="inlineStr">
        <is>
          <t>JÄMTLANDS LÄN</t>
        </is>
      </c>
      <c r="E2545" t="inlineStr">
        <is>
          <t>STRÖMSUND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51786-2023</t>
        </is>
      </c>
      <c r="B2546" s="1" t="n">
        <v>45222</v>
      </c>
      <c r="C2546" s="1" t="n">
        <v>45749</v>
      </c>
      <c r="D2546" t="inlineStr">
        <is>
          <t>JÄMTLANDS LÄN</t>
        </is>
      </c>
      <c r="E2546" t="inlineStr">
        <is>
          <t>STRÖMSUND</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52139-2023</t>
        </is>
      </c>
      <c r="B2547" s="1" t="n">
        <v>45223</v>
      </c>
      <c r="C2547" s="1" t="n">
        <v>45749</v>
      </c>
      <c r="D2547" t="inlineStr">
        <is>
          <t>JÄMTLANDS LÄN</t>
        </is>
      </c>
      <c r="E2547" t="inlineStr">
        <is>
          <t>STRÖMSUND</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52108-2023</t>
        </is>
      </c>
      <c r="B2548" s="1" t="n">
        <v>45224</v>
      </c>
      <c r="C2548" s="1" t="n">
        <v>45749</v>
      </c>
      <c r="D2548" t="inlineStr">
        <is>
          <t>JÄMTLANDS LÄN</t>
        </is>
      </c>
      <c r="E2548" t="inlineStr">
        <is>
          <t>STRÖMSUND</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52113-2023</t>
        </is>
      </c>
      <c r="B2549" s="1" t="n">
        <v>45224</v>
      </c>
      <c r="C2549" s="1" t="n">
        <v>45749</v>
      </c>
      <c r="D2549" t="inlineStr">
        <is>
          <t>JÄMTLANDS LÄN</t>
        </is>
      </c>
      <c r="E2549" t="inlineStr">
        <is>
          <t>STRÖMSUND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52121-2023</t>
        </is>
      </c>
      <c r="B2550" s="1" t="n">
        <v>45223</v>
      </c>
      <c r="C2550" s="1" t="n">
        <v>45749</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52134-2023</t>
        </is>
      </c>
      <c r="B2551" s="1" t="n">
        <v>45223</v>
      </c>
      <c r="C2551" s="1" t="n">
        <v>45749</v>
      </c>
      <c r="D2551" t="inlineStr">
        <is>
          <t>JÄMTLANDS LÄN</t>
        </is>
      </c>
      <c r="E2551" t="inlineStr">
        <is>
          <t>STRÖMSUND</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52402-2023</t>
        </is>
      </c>
      <c r="B2552" s="1" t="n">
        <v>45225</v>
      </c>
      <c r="C2552" s="1" t="n">
        <v>45749</v>
      </c>
      <c r="D2552" t="inlineStr">
        <is>
          <t>JÄMTLANDS LÄN</t>
        </is>
      </c>
      <c r="E2552" t="inlineStr">
        <is>
          <t>STRÖMSUND</t>
        </is>
      </c>
      <c r="F2552" t="inlineStr">
        <is>
          <t>SCA</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52478-2023</t>
        </is>
      </c>
      <c r="B2553" s="1" t="n">
        <v>45225</v>
      </c>
      <c r="C2553" s="1" t="n">
        <v>45749</v>
      </c>
      <c r="D2553" t="inlineStr">
        <is>
          <t>JÄMTLANDS LÄN</t>
        </is>
      </c>
      <c r="E2553" t="inlineStr">
        <is>
          <t>STRÖMSUND</t>
        </is>
      </c>
      <c r="F2553" t="inlineStr">
        <is>
          <t>Holmen skog AB</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52725-2023</t>
        </is>
      </c>
      <c r="B2554" s="1" t="n">
        <v>45226</v>
      </c>
      <c r="C2554" s="1" t="n">
        <v>45749</v>
      </c>
      <c r="D2554" t="inlineStr">
        <is>
          <t>JÄMTLANDS LÄN</t>
        </is>
      </c>
      <c r="E2554" t="inlineStr">
        <is>
          <t>STRÖMSUND</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52733-2023</t>
        </is>
      </c>
      <c r="B2555" s="1" t="n">
        <v>45226</v>
      </c>
      <c r="C2555" s="1" t="n">
        <v>45749</v>
      </c>
      <c r="D2555" t="inlineStr">
        <is>
          <t>JÄMTLANDS LÄN</t>
        </is>
      </c>
      <c r="E2555" t="inlineStr">
        <is>
          <t>STRÖMSUND</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52737-2023</t>
        </is>
      </c>
      <c r="B2556" s="1" t="n">
        <v>45226</v>
      </c>
      <c r="C2556" s="1" t="n">
        <v>45749</v>
      </c>
      <c r="D2556" t="inlineStr">
        <is>
          <t>JÄMTLANDS LÄN</t>
        </is>
      </c>
      <c r="E2556" t="inlineStr">
        <is>
          <t>STRÖMSUND</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52735-2023</t>
        </is>
      </c>
      <c r="B2557" s="1" t="n">
        <v>45225</v>
      </c>
      <c r="C2557" s="1" t="n">
        <v>45749</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52736-2023</t>
        </is>
      </c>
      <c r="B2558" s="1" t="n">
        <v>45226</v>
      </c>
      <c r="C2558" s="1" t="n">
        <v>45749</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52726-2023</t>
        </is>
      </c>
      <c r="B2559" s="1" t="n">
        <v>45225</v>
      </c>
      <c r="C2559" s="1" t="n">
        <v>45749</v>
      </c>
      <c r="D2559" t="inlineStr">
        <is>
          <t>JÄMTLANDS LÄN</t>
        </is>
      </c>
      <c r="E2559" t="inlineStr">
        <is>
          <t>STRÖMSUND</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52734-2023</t>
        </is>
      </c>
      <c r="B2560" s="1" t="n">
        <v>45225</v>
      </c>
      <c r="C2560" s="1" t="n">
        <v>45749</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52756-2023</t>
        </is>
      </c>
      <c r="B2561" s="1" t="n">
        <v>45225</v>
      </c>
      <c r="C2561" s="1" t="n">
        <v>45749</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54549-2023</t>
        </is>
      </c>
      <c r="B2562" s="1" t="n">
        <v>45226</v>
      </c>
      <c r="C2562" s="1" t="n">
        <v>45749</v>
      </c>
      <c r="D2562" t="inlineStr">
        <is>
          <t>JÄMTLANDS LÄN</t>
        </is>
      </c>
      <c r="E2562" t="inlineStr">
        <is>
          <t>STRÖMSUND</t>
        </is>
      </c>
      <c r="G2562" t="n">
        <v>29.2</v>
      </c>
      <c r="H2562" t="n">
        <v>0</v>
      </c>
      <c r="I2562" t="n">
        <v>0</v>
      </c>
      <c r="J2562" t="n">
        <v>0</v>
      </c>
      <c r="K2562" t="n">
        <v>0</v>
      </c>
      <c r="L2562" t="n">
        <v>0</v>
      </c>
      <c r="M2562" t="n">
        <v>0</v>
      </c>
      <c r="N2562" t="n">
        <v>0</v>
      </c>
      <c r="O2562" t="n">
        <v>0</v>
      </c>
      <c r="P2562" t="n">
        <v>0</v>
      </c>
      <c r="Q2562" t="n">
        <v>0</v>
      </c>
      <c r="R2562" s="2" t="inlineStr"/>
    </row>
    <row r="2563" ht="15" customHeight="1">
      <c r="A2563" t="inlineStr">
        <is>
          <t>A 53050-2023</t>
        </is>
      </c>
      <c r="B2563" s="1" t="n">
        <v>45227</v>
      </c>
      <c r="C2563" s="1" t="n">
        <v>45749</v>
      </c>
      <c r="D2563" t="inlineStr">
        <is>
          <t>JÄMTLANDS LÄN</t>
        </is>
      </c>
      <c r="E2563" t="inlineStr">
        <is>
          <t>STRÖMSUND</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52855-2023</t>
        </is>
      </c>
      <c r="B2564" s="1" t="n">
        <v>45226</v>
      </c>
      <c r="C2564" s="1" t="n">
        <v>45749</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52850-2023</t>
        </is>
      </c>
      <c r="B2565" s="1" t="n">
        <v>45226</v>
      </c>
      <c r="C2565" s="1" t="n">
        <v>45749</v>
      </c>
      <c r="D2565" t="inlineStr">
        <is>
          <t>JÄMTLANDS LÄN</t>
        </is>
      </c>
      <c r="E2565" t="inlineStr">
        <is>
          <t>STRÖMSUND</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52826-2023</t>
        </is>
      </c>
      <c r="B2566" s="1" t="n">
        <v>45226</v>
      </c>
      <c r="C2566" s="1" t="n">
        <v>45749</v>
      </c>
      <c r="D2566" t="inlineStr">
        <is>
          <t>JÄMTLANDS LÄN</t>
        </is>
      </c>
      <c r="E2566" t="inlineStr">
        <is>
          <t>STRÖMSUND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52818-2023</t>
        </is>
      </c>
      <c r="B2567" s="1" t="n">
        <v>45226</v>
      </c>
      <c r="C2567" s="1" t="n">
        <v>45749</v>
      </c>
      <c r="D2567" t="inlineStr">
        <is>
          <t>JÄMTLANDS LÄN</t>
        </is>
      </c>
      <c r="E2567" t="inlineStr">
        <is>
          <t>STRÖMSUND</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53051-2023</t>
        </is>
      </c>
      <c r="B2568" s="1" t="n">
        <v>45227</v>
      </c>
      <c r="C2568" s="1" t="n">
        <v>45749</v>
      </c>
      <c r="D2568" t="inlineStr">
        <is>
          <t>JÄMTLANDS LÄN</t>
        </is>
      </c>
      <c r="E2568" t="inlineStr">
        <is>
          <t>STRÖMSUND</t>
        </is>
      </c>
      <c r="F2568" t="inlineStr">
        <is>
          <t>SCA</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53053-2023</t>
        </is>
      </c>
      <c r="B2569" s="1" t="n">
        <v>45226</v>
      </c>
      <c r="C2569" s="1" t="n">
        <v>45749</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53052-2023</t>
        </is>
      </c>
      <c r="B2570" s="1" t="n">
        <v>45226</v>
      </c>
      <c r="C2570" s="1" t="n">
        <v>45749</v>
      </c>
      <c r="D2570" t="inlineStr">
        <is>
          <t>JÄMTLANDS LÄN</t>
        </is>
      </c>
      <c r="E2570" t="inlineStr">
        <is>
          <t>STRÖMSUND</t>
        </is>
      </c>
      <c r="F2570" t="inlineStr">
        <is>
          <t>SCA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53142-2023</t>
        </is>
      </c>
      <c r="B2571" s="1" t="n">
        <v>45229</v>
      </c>
      <c r="C2571" s="1" t="n">
        <v>45749</v>
      </c>
      <c r="D2571" t="inlineStr">
        <is>
          <t>JÄMTLANDS LÄN</t>
        </is>
      </c>
      <c r="E2571" t="inlineStr">
        <is>
          <t>STRÖMSUND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54899-2023</t>
        </is>
      </c>
      <c r="B2572" s="1" t="n">
        <v>45229</v>
      </c>
      <c r="C2572" s="1" t="n">
        <v>45749</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54063-2023</t>
        </is>
      </c>
      <c r="B2573" s="1" t="n">
        <v>45231</v>
      </c>
      <c r="C2573" s="1" t="n">
        <v>45749</v>
      </c>
      <c r="D2573" t="inlineStr">
        <is>
          <t>JÄMTLANDS LÄN</t>
        </is>
      </c>
      <c r="E2573" t="inlineStr">
        <is>
          <t>STRÖMSUND</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54038-2023</t>
        </is>
      </c>
      <c r="B2574" s="1" t="n">
        <v>45231</v>
      </c>
      <c r="C2574" s="1" t="n">
        <v>45749</v>
      </c>
      <c r="D2574" t="inlineStr">
        <is>
          <t>JÄMTLANDS LÄN</t>
        </is>
      </c>
      <c r="E2574" t="inlineStr">
        <is>
          <t>STRÖMSUND</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54042-2023</t>
        </is>
      </c>
      <c r="B2575" s="1" t="n">
        <v>45232</v>
      </c>
      <c r="C2575" s="1" t="n">
        <v>45749</v>
      </c>
      <c r="D2575" t="inlineStr">
        <is>
          <t>JÄMTLANDS LÄN</t>
        </is>
      </c>
      <c r="E2575" t="inlineStr">
        <is>
          <t>STRÖMSUND</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54066-2023</t>
        </is>
      </c>
      <c r="B2576" s="1" t="n">
        <v>45231</v>
      </c>
      <c r="C2576" s="1" t="n">
        <v>45749</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54031-2023</t>
        </is>
      </c>
      <c r="B2577" s="1" t="n">
        <v>45231</v>
      </c>
      <c r="C2577" s="1" t="n">
        <v>45749</v>
      </c>
      <c r="D2577" t="inlineStr">
        <is>
          <t>JÄMTLANDS LÄN</t>
        </is>
      </c>
      <c r="E2577" t="inlineStr">
        <is>
          <t>STRÖMSUND</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54028-2023</t>
        </is>
      </c>
      <c r="B2578" s="1" t="n">
        <v>45231</v>
      </c>
      <c r="C2578" s="1" t="n">
        <v>45749</v>
      </c>
      <c r="D2578" t="inlineStr">
        <is>
          <t>JÄMTLANDS LÄN</t>
        </is>
      </c>
      <c r="E2578" t="inlineStr">
        <is>
          <t>STRÖMSUND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54032-2023</t>
        </is>
      </c>
      <c r="B2579" s="1" t="n">
        <v>45231</v>
      </c>
      <c r="C2579" s="1" t="n">
        <v>45749</v>
      </c>
      <c r="D2579" t="inlineStr">
        <is>
          <t>JÄMTLANDS LÄN</t>
        </is>
      </c>
      <c r="E2579" t="inlineStr">
        <is>
          <t>STRÖMSUND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54061-2023</t>
        </is>
      </c>
      <c r="B2580" s="1" t="n">
        <v>45232</v>
      </c>
      <c r="C2580" s="1" t="n">
        <v>45749</v>
      </c>
      <c r="D2580" t="inlineStr">
        <is>
          <t>JÄMTLANDS LÄN</t>
        </is>
      </c>
      <c r="E2580" t="inlineStr">
        <is>
          <t>STRÖMSUND</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54077-2023</t>
        </is>
      </c>
      <c r="B2581" s="1" t="n">
        <v>45231</v>
      </c>
      <c r="C2581" s="1" t="n">
        <v>45749</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54315-2023</t>
        </is>
      </c>
      <c r="B2582" s="1" t="n">
        <v>45232</v>
      </c>
      <c r="C2582" s="1" t="n">
        <v>45749</v>
      </c>
      <c r="D2582" t="inlineStr">
        <is>
          <t>JÄMTLANDS LÄN</t>
        </is>
      </c>
      <c r="E2582" t="inlineStr">
        <is>
          <t>STRÖMSUND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54319-2023</t>
        </is>
      </c>
      <c r="B2583" s="1" t="n">
        <v>45232</v>
      </c>
      <c r="C2583" s="1" t="n">
        <v>45749</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56074-2023</t>
        </is>
      </c>
      <c r="B2584" s="1" t="n">
        <v>45233</v>
      </c>
      <c r="C2584" s="1" t="n">
        <v>45749</v>
      </c>
      <c r="D2584" t="inlineStr">
        <is>
          <t>JÄMTLANDS LÄN</t>
        </is>
      </c>
      <c r="E2584" t="inlineStr">
        <is>
          <t>STRÖMSUND</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54482-2023</t>
        </is>
      </c>
      <c r="B2585" s="1" t="n">
        <v>45233</v>
      </c>
      <c r="C2585" s="1" t="n">
        <v>45749</v>
      </c>
      <c r="D2585" t="inlineStr">
        <is>
          <t>JÄMTLANDS LÄN</t>
        </is>
      </c>
      <c r="E2585" t="inlineStr">
        <is>
          <t>STRÖMSUND</t>
        </is>
      </c>
      <c r="F2585" t="inlineStr">
        <is>
          <t>Holmen skog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54478-2023</t>
        </is>
      </c>
      <c r="B2586" s="1" t="n">
        <v>45233</v>
      </c>
      <c r="C2586" s="1" t="n">
        <v>45749</v>
      </c>
      <c r="D2586" t="inlineStr">
        <is>
          <t>JÄMTLANDS LÄN</t>
        </is>
      </c>
      <c r="E2586" t="inlineStr">
        <is>
          <t>STRÖMSUND</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54598-2023</t>
        </is>
      </c>
      <c r="B2587" s="1" t="n">
        <v>45233</v>
      </c>
      <c r="C2587" s="1" t="n">
        <v>45749</v>
      </c>
      <c r="D2587" t="inlineStr">
        <is>
          <t>JÄMTLANDS LÄN</t>
        </is>
      </c>
      <c r="E2587" t="inlineStr">
        <is>
          <t>STRÖMSUND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54479-2023</t>
        </is>
      </c>
      <c r="B2588" s="1" t="n">
        <v>45233</v>
      </c>
      <c r="C2588" s="1" t="n">
        <v>45749</v>
      </c>
      <c r="D2588" t="inlineStr">
        <is>
          <t>JÄMTLANDS LÄN</t>
        </is>
      </c>
      <c r="E2588" t="inlineStr">
        <is>
          <t>STRÖMSUND</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54753-2023</t>
        </is>
      </c>
      <c r="B2589" s="1" t="n">
        <v>45236</v>
      </c>
      <c r="C2589" s="1" t="n">
        <v>45749</v>
      </c>
      <c r="D2589" t="inlineStr">
        <is>
          <t>JÄMTLANDS LÄN</t>
        </is>
      </c>
      <c r="E2589" t="inlineStr">
        <is>
          <t>STRÖMSUND</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54980-2023</t>
        </is>
      </c>
      <c r="B2590" s="1" t="n">
        <v>45237</v>
      </c>
      <c r="C2590" s="1" t="n">
        <v>45749</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54974-2023</t>
        </is>
      </c>
      <c r="B2591" s="1" t="n">
        <v>45236</v>
      </c>
      <c r="C2591" s="1" t="n">
        <v>45749</v>
      </c>
      <c r="D2591" t="inlineStr">
        <is>
          <t>JÄMTLANDS LÄN</t>
        </is>
      </c>
      <c r="E2591" t="inlineStr">
        <is>
          <t>STRÖMSUND</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55073-2023</t>
        </is>
      </c>
      <c r="B2592" s="1" t="n">
        <v>45237</v>
      </c>
      <c r="C2592" s="1" t="n">
        <v>45749</v>
      </c>
      <c r="D2592" t="inlineStr">
        <is>
          <t>JÄMTLANDS LÄN</t>
        </is>
      </c>
      <c r="E2592" t="inlineStr">
        <is>
          <t>STRÖMSUND</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55177-2023</t>
        </is>
      </c>
      <c r="B2593" s="1" t="n">
        <v>45237</v>
      </c>
      <c r="C2593" s="1" t="n">
        <v>45749</v>
      </c>
      <c r="D2593" t="inlineStr">
        <is>
          <t>JÄMTLANDS LÄN</t>
        </is>
      </c>
      <c r="E2593" t="inlineStr">
        <is>
          <t>STRÖMSUND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55067-2023</t>
        </is>
      </c>
      <c r="B2594" s="1" t="n">
        <v>45237</v>
      </c>
      <c r="C2594" s="1" t="n">
        <v>45749</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55156-2023</t>
        </is>
      </c>
      <c r="B2595" s="1" t="n">
        <v>45237</v>
      </c>
      <c r="C2595" s="1" t="n">
        <v>45749</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55321-2023</t>
        </is>
      </c>
      <c r="B2596" s="1" t="n">
        <v>45237</v>
      </c>
      <c r="C2596" s="1" t="n">
        <v>45749</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55322-2023</t>
        </is>
      </c>
      <c r="B2597" s="1" t="n">
        <v>45237</v>
      </c>
      <c r="C2597" s="1" t="n">
        <v>45749</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56468-2023</t>
        </is>
      </c>
      <c r="B2598" s="1" t="n">
        <v>45237</v>
      </c>
      <c r="C2598" s="1" t="n">
        <v>45749</v>
      </c>
      <c r="D2598" t="inlineStr">
        <is>
          <t>JÄMTLANDS LÄN</t>
        </is>
      </c>
      <c r="E2598" t="inlineStr">
        <is>
          <t>STRÖMSUND</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55340-2023</t>
        </is>
      </c>
      <c r="B2599" s="1" t="n">
        <v>45237</v>
      </c>
      <c r="C2599" s="1" t="n">
        <v>45749</v>
      </c>
      <c r="D2599" t="inlineStr">
        <is>
          <t>JÄMTLANDS LÄN</t>
        </is>
      </c>
      <c r="E2599" t="inlineStr">
        <is>
          <t>STRÖMSUND</t>
        </is>
      </c>
      <c r="F2599" t="inlineStr">
        <is>
          <t>SCA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56422-2023</t>
        </is>
      </c>
      <c r="B2600" s="1" t="n">
        <v>45237</v>
      </c>
      <c r="C2600" s="1" t="n">
        <v>45749</v>
      </c>
      <c r="D2600" t="inlineStr">
        <is>
          <t>JÄMTLANDS LÄN</t>
        </is>
      </c>
      <c r="E2600" t="inlineStr">
        <is>
          <t>STRÖMSUND</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56437-2023</t>
        </is>
      </c>
      <c r="B2601" s="1" t="n">
        <v>45237</v>
      </c>
      <c r="C2601" s="1" t="n">
        <v>45749</v>
      </c>
      <c r="D2601" t="inlineStr">
        <is>
          <t>JÄMTLANDS LÄN</t>
        </is>
      </c>
      <c r="E2601" t="inlineStr">
        <is>
          <t>STRÖMSUND</t>
        </is>
      </c>
      <c r="G2601" t="n">
        <v>35.8</v>
      </c>
      <c r="H2601" t="n">
        <v>0</v>
      </c>
      <c r="I2601" t="n">
        <v>0</v>
      </c>
      <c r="J2601" t="n">
        <v>0</v>
      </c>
      <c r="K2601" t="n">
        <v>0</v>
      </c>
      <c r="L2601" t="n">
        <v>0</v>
      </c>
      <c r="M2601" t="n">
        <v>0</v>
      </c>
      <c r="N2601" t="n">
        <v>0</v>
      </c>
      <c r="O2601" t="n">
        <v>0</v>
      </c>
      <c r="P2601" t="n">
        <v>0</v>
      </c>
      <c r="Q2601" t="n">
        <v>0</v>
      </c>
      <c r="R2601" s="2" t="inlineStr"/>
    </row>
    <row r="2602" ht="15" customHeight="1">
      <c r="A2602" t="inlineStr">
        <is>
          <t>A 55323-2023</t>
        </is>
      </c>
      <c r="B2602" s="1" t="n">
        <v>45237</v>
      </c>
      <c r="C2602" s="1" t="n">
        <v>45749</v>
      </c>
      <c r="D2602" t="inlineStr">
        <is>
          <t>JÄMTLANDS LÄN</t>
        </is>
      </c>
      <c r="E2602" t="inlineStr">
        <is>
          <t>STRÖMSUND</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56484-2023</t>
        </is>
      </c>
      <c r="B2603" s="1" t="n">
        <v>45237</v>
      </c>
      <c r="C2603" s="1" t="n">
        <v>45749</v>
      </c>
      <c r="D2603" t="inlineStr">
        <is>
          <t>JÄMTLANDS LÄN</t>
        </is>
      </c>
      <c r="E2603" t="inlineStr">
        <is>
          <t>STRÖMSUND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56480-2023</t>
        </is>
      </c>
      <c r="B2604" s="1" t="n">
        <v>45237</v>
      </c>
      <c r="C2604" s="1" t="n">
        <v>45749</v>
      </c>
      <c r="D2604" t="inlineStr">
        <is>
          <t>JÄMTLANDS LÄN</t>
        </is>
      </c>
      <c r="E2604" t="inlineStr">
        <is>
          <t>STRÖMSUND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56490-2023</t>
        </is>
      </c>
      <c r="B2605" s="1" t="n">
        <v>45237</v>
      </c>
      <c r="C2605" s="1" t="n">
        <v>45749</v>
      </c>
      <c r="D2605" t="inlineStr">
        <is>
          <t>JÄMTLANDS LÄN</t>
        </is>
      </c>
      <c r="E2605" t="inlineStr">
        <is>
          <t>STRÖMSUND</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55657-2023</t>
        </is>
      </c>
      <c r="B2606" s="1" t="n">
        <v>45238</v>
      </c>
      <c r="C2606" s="1" t="n">
        <v>45749</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55656-2023</t>
        </is>
      </c>
      <c r="B2607" s="1" t="n">
        <v>45239</v>
      </c>
      <c r="C2607" s="1" t="n">
        <v>45749</v>
      </c>
      <c r="D2607" t="inlineStr">
        <is>
          <t>JÄMTLANDS LÄN</t>
        </is>
      </c>
      <c r="E2607" t="inlineStr">
        <is>
          <t>STRÖMSUND</t>
        </is>
      </c>
      <c r="F2607" t="inlineStr">
        <is>
          <t>SCA</t>
        </is>
      </c>
      <c r="G2607" t="n">
        <v>11.1</v>
      </c>
      <c r="H2607" t="n">
        <v>0</v>
      </c>
      <c r="I2607" t="n">
        <v>0</v>
      </c>
      <c r="J2607" t="n">
        <v>0</v>
      </c>
      <c r="K2607" t="n">
        <v>0</v>
      </c>
      <c r="L2607" t="n">
        <v>0</v>
      </c>
      <c r="M2607" t="n">
        <v>0</v>
      </c>
      <c r="N2607" t="n">
        <v>0</v>
      </c>
      <c r="O2607" t="n">
        <v>0</v>
      </c>
      <c r="P2607" t="n">
        <v>0</v>
      </c>
      <c r="Q2607" t="n">
        <v>0</v>
      </c>
      <c r="R2607" s="2" t="inlineStr"/>
    </row>
    <row r="2608" ht="15" customHeight="1">
      <c r="A2608" t="inlineStr">
        <is>
          <t>A 55655-2023</t>
        </is>
      </c>
      <c r="B2608" s="1" t="n">
        <v>45239</v>
      </c>
      <c r="C2608" s="1" t="n">
        <v>45749</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57476-2023</t>
        </is>
      </c>
      <c r="B2609" s="1" t="n">
        <v>45240</v>
      </c>
      <c r="C2609" s="1" t="n">
        <v>45749</v>
      </c>
      <c r="D2609" t="inlineStr">
        <is>
          <t>JÄMTLANDS LÄN</t>
        </is>
      </c>
      <c r="E2609" t="inlineStr">
        <is>
          <t>STRÖMSUND</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57348-2023</t>
        </is>
      </c>
      <c r="B2610" s="1" t="n">
        <v>45240</v>
      </c>
      <c r="C2610" s="1" t="n">
        <v>45749</v>
      </c>
      <c r="D2610" t="inlineStr">
        <is>
          <t>JÄMTLANDS LÄN</t>
        </is>
      </c>
      <c r="E2610" t="inlineStr">
        <is>
          <t>STRÖMSUND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57361-2023</t>
        </is>
      </c>
      <c r="B2611" s="1" t="n">
        <v>45240</v>
      </c>
      <c r="C2611" s="1" t="n">
        <v>45749</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57431-2023</t>
        </is>
      </c>
      <c r="B2612" s="1" t="n">
        <v>45240</v>
      </c>
      <c r="C2612" s="1" t="n">
        <v>45749</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57429-2023</t>
        </is>
      </c>
      <c r="B2613" s="1" t="n">
        <v>45240</v>
      </c>
      <c r="C2613" s="1" t="n">
        <v>45749</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56312-2023</t>
        </is>
      </c>
      <c r="B2614" s="1" t="n">
        <v>45242</v>
      </c>
      <c r="C2614" s="1" t="n">
        <v>45749</v>
      </c>
      <c r="D2614" t="inlineStr">
        <is>
          <t>JÄMTLANDS LÄN</t>
        </is>
      </c>
      <c r="E2614" t="inlineStr">
        <is>
          <t>STRÖMSUND</t>
        </is>
      </c>
      <c r="F2614" t="inlineStr">
        <is>
          <t>SCA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56313-2023</t>
        </is>
      </c>
      <c r="B2615" s="1" t="n">
        <v>45243</v>
      </c>
      <c r="C2615" s="1" t="n">
        <v>45749</v>
      </c>
      <c r="D2615" t="inlineStr">
        <is>
          <t>JÄMTLANDS LÄN</t>
        </is>
      </c>
      <c r="E2615" t="inlineStr">
        <is>
          <t>STRÖMSUND</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56314-2023</t>
        </is>
      </c>
      <c r="B2616" s="1" t="n">
        <v>45243</v>
      </c>
      <c r="C2616" s="1" t="n">
        <v>45749</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56691-2023</t>
        </is>
      </c>
      <c r="B2617" s="1" t="n">
        <v>45244</v>
      </c>
      <c r="C2617" s="1" t="n">
        <v>45749</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57805-2023</t>
        </is>
      </c>
      <c r="B2618" s="1" t="n">
        <v>45243</v>
      </c>
      <c r="C2618" s="1" t="n">
        <v>45749</v>
      </c>
      <c r="D2618" t="inlineStr">
        <is>
          <t>JÄMTLANDS LÄN</t>
        </is>
      </c>
      <c r="E2618" t="inlineStr">
        <is>
          <t>STRÖMSUND</t>
        </is>
      </c>
      <c r="F2618" t="inlineStr">
        <is>
          <t>SCA</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57729-2023</t>
        </is>
      </c>
      <c r="B2619" s="1" t="n">
        <v>45243</v>
      </c>
      <c r="C2619" s="1" t="n">
        <v>45749</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57804-2023</t>
        </is>
      </c>
      <c r="B2620" s="1" t="n">
        <v>45243</v>
      </c>
      <c r="C2620" s="1" t="n">
        <v>45749</v>
      </c>
      <c r="D2620" t="inlineStr">
        <is>
          <t>JÄMTLANDS LÄN</t>
        </is>
      </c>
      <c r="E2620" t="inlineStr">
        <is>
          <t>STRÖMSUND</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57055-2023</t>
        </is>
      </c>
      <c r="B2621" s="1" t="n">
        <v>45244</v>
      </c>
      <c r="C2621" s="1" t="n">
        <v>45749</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57048-2023</t>
        </is>
      </c>
      <c r="B2622" s="1" t="n">
        <v>45244</v>
      </c>
      <c r="C2622" s="1" t="n">
        <v>45749</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57068-2023</t>
        </is>
      </c>
      <c r="B2623" s="1" t="n">
        <v>45244</v>
      </c>
      <c r="C2623" s="1" t="n">
        <v>45749</v>
      </c>
      <c r="D2623" t="inlineStr">
        <is>
          <t>JÄMTLANDS LÄN</t>
        </is>
      </c>
      <c r="E2623" t="inlineStr">
        <is>
          <t>STRÖMSUND</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57084-2023</t>
        </is>
      </c>
      <c r="B2624" s="1" t="n">
        <v>45245</v>
      </c>
      <c r="C2624" s="1" t="n">
        <v>45749</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57083-2023</t>
        </is>
      </c>
      <c r="B2625" s="1" t="n">
        <v>45244</v>
      </c>
      <c r="C2625" s="1" t="n">
        <v>45749</v>
      </c>
      <c r="D2625" t="inlineStr">
        <is>
          <t>JÄMTLANDS LÄN</t>
        </is>
      </c>
      <c r="E2625" t="inlineStr">
        <is>
          <t>STRÖMSUND</t>
        </is>
      </c>
      <c r="F2625" t="inlineStr">
        <is>
          <t>SCA</t>
        </is>
      </c>
      <c r="G2625" t="n">
        <v>31.1</v>
      </c>
      <c r="H2625" t="n">
        <v>0</v>
      </c>
      <c r="I2625" t="n">
        <v>0</v>
      </c>
      <c r="J2625" t="n">
        <v>0</v>
      </c>
      <c r="K2625" t="n">
        <v>0</v>
      </c>
      <c r="L2625" t="n">
        <v>0</v>
      </c>
      <c r="M2625" t="n">
        <v>0</v>
      </c>
      <c r="N2625" t="n">
        <v>0</v>
      </c>
      <c r="O2625" t="n">
        <v>0</v>
      </c>
      <c r="P2625" t="n">
        <v>0</v>
      </c>
      <c r="Q2625" t="n">
        <v>0</v>
      </c>
      <c r="R2625" s="2" t="inlineStr"/>
    </row>
    <row r="2626" ht="15" customHeight="1">
      <c r="A2626" t="inlineStr">
        <is>
          <t>A 57082-2023</t>
        </is>
      </c>
      <c r="B2626" s="1" t="n">
        <v>45245</v>
      </c>
      <c r="C2626" s="1" t="n">
        <v>45749</v>
      </c>
      <c r="D2626" t="inlineStr">
        <is>
          <t>JÄMTLANDS LÄN</t>
        </is>
      </c>
      <c r="E2626" t="inlineStr">
        <is>
          <t>STRÖMSUND</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57049-2023</t>
        </is>
      </c>
      <c r="B2627" s="1" t="n">
        <v>45244</v>
      </c>
      <c r="C2627" s="1" t="n">
        <v>45749</v>
      </c>
      <c r="D2627" t="inlineStr">
        <is>
          <t>JÄMTLANDS LÄN</t>
        </is>
      </c>
      <c r="E2627" t="inlineStr">
        <is>
          <t>STRÖMSUND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57069-2023</t>
        </is>
      </c>
      <c r="B2628" s="1" t="n">
        <v>45244</v>
      </c>
      <c r="C2628" s="1" t="n">
        <v>45749</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57077-2023</t>
        </is>
      </c>
      <c r="B2629" s="1" t="n">
        <v>45245</v>
      </c>
      <c r="C2629" s="1" t="n">
        <v>45749</v>
      </c>
      <c r="D2629" t="inlineStr">
        <is>
          <t>JÄMTLANDS LÄN</t>
        </is>
      </c>
      <c r="E2629" t="inlineStr">
        <is>
          <t>STRÖMSUND</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57081-2023</t>
        </is>
      </c>
      <c r="B2630" s="1" t="n">
        <v>45244</v>
      </c>
      <c r="C2630" s="1" t="n">
        <v>45749</v>
      </c>
      <c r="D2630" t="inlineStr">
        <is>
          <t>JÄMTLANDS LÄN</t>
        </is>
      </c>
      <c r="E2630" t="inlineStr">
        <is>
          <t>STRÖMSUND</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57416-2023</t>
        </is>
      </c>
      <c r="B2631" s="1" t="n">
        <v>45245</v>
      </c>
      <c r="C2631" s="1" t="n">
        <v>45749</v>
      </c>
      <c r="D2631" t="inlineStr">
        <is>
          <t>JÄMTLANDS LÄN</t>
        </is>
      </c>
      <c r="E2631" t="inlineStr">
        <is>
          <t>STRÖMSUND</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57382-2023</t>
        </is>
      </c>
      <c r="B2632" s="1" t="n">
        <v>45245</v>
      </c>
      <c r="C2632" s="1" t="n">
        <v>45749</v>
      </c>
      <c r="D2632" t="inlineStr">
        <is>
          <t>JÄMTLANDS LÄN</t>
        </is>
      </c>
      <c r="E2632" t="inlineStr">
        <is>
          <t>STRÖMSUND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57385-2023</t>
        </is>
      </c>
      <c r="B2633" s="1" t="n">
        <v>45245</v>
      </c>
      <c r="C2633" s="1" t="n">
        <v>45749</v>
      </c>
      <c r="D2633" t="inlineStr">
        <is>
          <t>JÄMTLANDS LÄN</t>
        </is>
      </c>
      <c r="E2633" t="inlineStr">
        <is>
          <t>STRÖMSUND</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57383-2023</t>
        </is>
      </c>
      <c r="B2634" s="1" t="n">
        <v>45245</v>
      </c>
      <c r="C2634" s="1" t="n">
        <v>45749</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57387-2023</t>
        </is>
      </c>
      <c r="B2635" s="1" t="n">
        <v>45245</v>
      </c>
      <c r="C2635" s="1" t="n">
        <v>45749</v>
      </c>
      <c r="D2635" t="inlineStr">
        <is>
          <t>JÄMTLANDS LÄN</t>
        </is>
      </c>
      <c r="E2635" t="inlineStr">
        <is>
          <t>STRÖMSUND</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57415-2023</t>
        </is>
      </c>
      <c r="B2636" s="1" t="n">
        <v>45246</v>
      </c>
      <c r="C2636" s="1" t="n">
        <v>45749</v>
      </c>
      <c r="D2636" t="inlineStr">
        <is>
          <t>JÄMTLANDS LÄN</t>
        </is>
      </c>
      <c r="E2636" t="inlineStr">
        <is>
          <t>STRÖMSUND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57501-2023</t>
        </is>
      </c>
      <c r="B2637" s="1" t="n">
        <v>45246</v>
      </c>
      <c r="C2637" s="1" t="n">
        <v>45749</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57581-2023</t>
        </is>
      </c>
      <c r="B2638" s="1" t="n">
        <v>45246</v>
      </c>
      <c r="C2638" s="1" t="n">
        <v>45749</v>
      </c>
      <c r="D2638" t="inlineStr">
        <is>
          <t>JÄMTLANDS LÄN</t>
        </is>
      </c>
      <c r="E2638" t="inlineStr">
        <is>
          <t>STRÖMSUND</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57450-2023</t>
        </is>
      </c>
      <c r="B2639" s="1" t="n">
        <v>45246</v>
      </c>
      <c r="C2639" s="1" t="n">
        <v>45749</v>
      </c>
      <c r="D2639" t="inlineStr">
        <is>
          <t>JÄMTLANDS LÄN</t>
        </is>
      </c>
      <c r="E2639" t="inlineStr">
        <is>
          <t>STRÖMSUND</t>
        </is>
      </c>
      <c r="F2639" t="inlineStr">
        <is>
          <t>Holmen skog AB</t>
        </is>
      </c>
      <c r="G2639" t="n">
        <v>19.5</v>
      </c>
      <c r="H2639" t="n">
        <v>0</v>
      </c>
      <c r="I2639" t="n">
        <v>0</v>
      </c>
      <c r="J2639" t="n">
        <v>0</v>
      </c>
      <c r="K2639" t="n">
        <v>0</v>
      </c>
      <c r="L2639" t="n">
        <v>0</v>
      </c>
      <c r="M2639" t="n">
        <v>0</v>
      </c>
      <c r="N2639" t="n">
        <v>0</v>
      </c>
      <c r="O2639" t="n">
        <v>0</v>
      </c>
      <c r="P2639" t="n">
        <v>0</v>
      </c>
      <c r="Q2639" t="n">
        <v>0</v>
      </c>
      <c r="R2639" s="2" t="inlineStr"/>
    </row>
    <row r="2640" ht="15" customHeight="1">
      <c r="A2640" t="inlineStr">
        <is>
          <t>A 57454-2023</t>
        </is>
      </c>
      <c r="B2640" s="1" t="n">
        <v>45246</v>
      </c>
      <c r="C2640" s="1" t="n">
        <v>45749</v>
      </c>
      <c r="D2640" t="inlineStr">
        <is>
          <t>JÄMTLANDS LÄN</t>
        </is>
      </c>
      <c r="E2640" t="inlineStr">
        <is>
          <t>STRÖMSUND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57499-2023</t>
        </is>
      </c>
      <c r="B2641" s="1" t="n">
        <v>45246</v>
      </c>
      <c r="C2641" s="1" t="n">
        <v>45749</v>
      </c>
      <c r="D2641" t="inlineStr">
        <is>
          <t>JÄMTLANDS LÄN</t>
        </is>
      </c>
      <c r="E2641" t="inlineStr">
        <is>
          <t>STRÖMSUND</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57504-2023</t>
        </is>
      </c>
      <c r="B2642" s="1" t="n">
        <v>45246</v>
      </c>
      <c r="C2642" s="1" t="n">
        <v>45749</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57507-2023</t>
        </is>
      </c>
      <c r="B2643" s="1" t="n">
        <v>45246</v>
      </c>
      <c r="C2643" s="1" t="n">
        <v>45749</v>
      </c>
      <c r="D2643" t="inlineStr">
        <is>
          <t>JÄMTLANDS LÄN</t>
        </is>
      </c>
      <c r="E2643" t="inlineStr">
        <is>
          <t>STRÖMSUND</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57540-2023</t>
        </is>
      </c>
      <c r="B2644" s="1" t="n">
        <v>45246</v>
      </c>
      <c r="C2644" s="1" t="n">
        <v>45749</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57549-2023</t>
        </is>
      </c>
      <c r="B2645" s="1" t="n">
        <v>45246</v>
      </c>
      <c r="C2645" s="1" t="n">
        <v>45749</v>
      </c>
      <c r="D2645" t="inlineStr">
        <is>
          <t>JÄMTLANDS LÄN</t>
        </is>
      </c>
      <c r="E2645" t="inlineStr">
        <is>
          <t>STRÖMSUND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57445-2023</t>
        </is>
      </c>
      <c r="B2646" s="1" t="n">
        <v>45246</v>
      </c>
      <c r="C2646" s="1" t="n">
        <v>45749</v>
      </c>
      <c r="D2646" t="inlineStr">
        <is>
          <t>JÄMTLANDS LÄN</t>
        </is>
      </c>
      <c r="E2646" t="inlineStr">
        <is>
          <t>STRÖMSUND</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57537-2023</t>
        </is>
      </c>
      <c r="B2647" s="1" t="n">
        <v>45246</v>
      </c>
      <c r="C2647" s="1" t="n">
        <v>45749</v>
      </c>
      <c r="D2647" t="inlineStr">
        <is>
          <t>JÄMTLANDS LÄN</t>
        </is>
      </c>
      <c r="E2647" t="inlineStr">
        <is>
          <t>STRÖMSUND</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57542-2023</t>
        </is>
      </c>
      <c r="B2648" s="1" t="n">
        <v>45246</v>
      </c>
      <c r="C2648" s="1" t="n">
        <v>45749</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57748-2023</t>
        </is>
      </c>
      <c r="B2649" s="1" t="n">
        <v>45246</v>
      </c>
      <c r="C2649" s="1" t="n">
        <v>45749</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57596-2023</t>
        </is>
      </c>
      <c r="B2650" s="1" t="n">
        <v>45246</v>
      </c>
      <c r="C2650" s="1" t="n">
        <v>45749</v>
      </c>
      <c r="D2650" t="inlineStr">
        <is>
          <t>JÄMTLANDS LÄN</t>
        </is>
      </c>
      <c r="E2650" t="inlineStr">
        <is>
          <t>STRÖMSUND</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57789-2023</t>
        </is>
      </c>
      <c r="B2651" s="1" t="n">
        <v>45247</v>
      </c>
      <c r="C2651" s="1" t="n">
        <v>45749</v>
      </c>
      <c r="D2651" t="inlineStr">
        <is>
          <t>JÄMTLANDS LÄN</t>
        </is>
      </c>
      <c r="E2651" t="inlineStr">
        <is>
          <t>STRÖMSUND</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58584-2023</t>
        </is>
      </c>
      <c r="B2652" s="1" t="n">
        <v>45246</v>
      </c>
      <c r="C2652" s="1" t="n">
        <v>45749</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57907-2023</t>
        </is>
      </c>
      <c r="B2653" s="1" t="n">
        <v>45247</v>
      </c>
      <c r="C2653" s="1" t="n">
        <v>45749</v>
      </c>
      <c r="D2653" t="inlineStr">
        <is>
          <t>JÄMTLANDS LÄN</t>
        </is>
      </c>
      <c r="E2653" t="inlineStr">
        <is>
          <t>STRÖMSUND</t>
        </is>
      </c>
      <c r="F2653" t="inlineStr">
        <is>
          <t>Kyrkan</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57912-2023</t>
        </is>
      </c>
      <c r="B2654" s="1" t="n">
        <v>45247</v>
      </c>
      <c r="C2654" s="1" t="n">
        <v>45749</v>
      </c>
      <c r="D2654" t="inlineStr">
        <is>
          <t>JÄMTLANDS LÄN</t>
        </is>
      </c>
      <c r="E2654" t="inlineStr">
        <is>
          <t>STRÖMSUND</t>
        </is>
      </c>
      <c r="F2654" t="inlineStr">
        <is>
          <t>Kyrkan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57894-2023</t>
        </is>
      </c>
      <c r="B2655" s="1" t="n">
        <v>45247</v>
      </c>
      <c r="C2655" s="1" t="n">
        <v>45749</v>
      </c>
      <c r="D2655" t="inlineStr">
        <is>
          <t>JÄMTLANDS LÄN</t>
        </is>
      </c>
      <c r="E2655" t="inlineStr">
        <is>
          <t>STRÖMSUND</t>
        </is>
      </c>
      <c r="F2655" t="inlineStr">
        <is>
          <t>Kyrkan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57905-2023</t>
        </is>
      </c>
      <c r="B2656" s="1" t="n">
        <v>45247</v>
      </c>
      <c r="C2656" s="1" t="n">
        <v>45749</v>
      </c>
      <c r="D2656" t="inlineStr">
        <is>
          <t>JÄMTLANDS LÄN</t>
        </is>
      </c>
      <c r="E2656" t="inlineStr">
        <is>
          <t>STRÖMSUND</t>
        </is>
      </c>
      <c r="F2656" t="inlineStr">
        <is>
          <t>Kyrkan</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58076-2023</t>
        </is>
      </c>
      <c r="B2657" s="1" t="n">
        <v>45247</v>
      </c>
      <c r="C2657" s="1" t="n">
        <v>45749</v>
      </c>
      <c r="D2657" t="inlineStr">
        <is>
          <t>JÄMTLANDS LÄN</t>
        </is>
      </c>
      <c r="E2657" t="inlineStr">
        <is>
          <t>STRÖMSUND</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58152-2023</t>
        </is>
      </c>
      <c r="B2658" s="1" t="n">
        <v>45250</v>
      </c>
      <c r="C2658" s="1" t="n">
        <v>45749</v>
      </c>
      <c r="D2658" t="inlineStr">
        <is>
          <t>JÄMTLANDS LÄN</t>
        </is>
      </c>
      <c r="E2658" t="inlineStr">
        <is>
          <t>STRÖMSUND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58446-2023</t>
        </is>
      </c>
      <c r="B2659" s="1" t="n">
        <v>45250</v>
      </c>
      <c r="C2659" s="1" t="n">
        <v>45749</v>
      </c>
      <c r="D2659" t="inlineStr">
        <is>
          <t>JÄMTLANDS LÄN</t>
        </is>
      </c>
      <c r="E2659" t="inlineStr">
        <is>
          <t>STRÖMSUND</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58445-2023</t>
        </is>
      </c>
      <c r="B2660" s="1" t="n">
        <v>45250</v>
      </c>
      <c r="C2660" s="1" t="n">
        <v>45749</v>
      </c>
      <c r="D2660" t="inlineStr">
        <is>
          <t>JÄMTLANDS LÄN</t>
        </is>
      </c>
      <c r="E2660" t="inlineStr">
        <is>
          <t>STRÖMSUND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58580-2023</t>
        </is>
      </c>
      <c r="B2661" s="1" t="n">
        <v>45251</v>
      </c>
      <c r="C2661" s="1" t="n">
        <v>45749</v>
      </c>
      <c r="D2661" t="inlineStr">
        <is>
          <t>JÄMTLANDS LÄN</t>
        </is>
      </c>
      <c r="E2661" t="inlineStr">
        <is>
          <t>STRÖMSUND</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58587-2023</t>
        </is>
      </c>
      <c r="B2662" s="1" t="n">
        <v>45251</v>
      </c>
      <c r="C2662" s="1" t="n">
        <v>45749</v>
      </c>
      <c r="D2662" t="inlineStr">
        <is>
          <t>JÄMTLANDS LÄN</t>
        </is>
      </c>
      <c r="E2662" t="inlineStr">
        <is>
          <t>STRÖMSUND</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59108-2023</t>
        </is>
      </c>
      <c r="B2663" s="1" t="n">
        <v>45251</v>
      </c>
      <c r="C2663" s="1" t="n">
        <v>45749</v>
      </c>
      <c r="D2663" t="inlineStr">
        <is>
          <t>JÄMTLANDS LÄN</t>
        </is>
      </c>
      <c r="E2663" t="inlineStr">
        <is>
          <t>STRÖMSUND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59149-2023</t>
        </is>
      </c>
      <c r="B2664" s="1" t="n">
        <v>45251</v>
      </c>
      <c r="C2664" s="1" t="n">
        <v>45749</v>
      </c>
      <c r="D2664" t="inlineStr">
        <is>
          <t>JÄMTLANDS LÄN</t>
        </is>
      </c>
      <c r="E2664" t="inlineStr">
        <is>
          <t>STRÖMSUND</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58871-2023</t>
        </is>
      </c>
      <c r="B2665" s="1" t="n">
        <v>45252</v>
      </c>
      <c r="C2665" s="1" t="n">
        <v>45749</v>
      </c>
      <c r="D2665" t="inlineStr">
        <is>
          <t>JÄMTLANDS LÄN</t>
        </is>
      </c>
      <c r="E2665" t="inlineStr">
        <is>
          <t>STRÖMSUND</t>
        </is>
      </c>
      <c r="F2665" t="inlineStr">
        <is>
          <t>Holmen skog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58881-2023</t>
        </is>
      </c>
      <c r="B2666" s="1" t="n">
        <v>45252</v>
      </c>
      <c r="C2666" s="1" t="n">
        <v>45749</v>
      </c>
      <c r="D2666" t="inlineStr">
        <is>
          <t>JÄMTLANDS LÄN</t>
        </is>
      </c>
      <c r="E2666" t="inlineStr">
        <is>
          <t>STRÖMSUND</t>
        </is>
      </c>
      <c r="F2666" t="inlineStr">
        <is>
          <t>Holmen skog AB</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59097-2023</t>
        </is>
      </c>
      <c r="B2667" s="1" t="n">
        <v>45253</v>
      </c>
      <c r="C2667" s="1" t="n">
        <v>45749</v>
      </c>
      <c r="D2667" t="inlineStr">
        <is>
          <t>JÄMTLANDS LÄN</t>
        </is>
      </c>
      <c r="E2667" t="inlineStr">
        <is>
          <t>STRÖMSUND</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59334-2023</t>
        </is>
      </c>
      <c r="B2668" s="1" t="n">
        <v>45252</v>
      </c>
      <c r="C2668" s="1" t="n">
        <v>45749</v>
      </c>
      <c r="D2668" t="inlineStr">
        <is>
          <t>JÄMTLANDS LÄN</t>
        </is>
      </c>
      <c r="E2668" t="inlineStr">
        <is>
          <t>STRÖMSUND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59360-2023</t>
        </is>
      </c>
      <c r="B2669" s="1" t="n">
        <v>45253</v>
      </c>
      <c r="C2669" s="1" t="n">
        <v>45749</v>
      </c>
      <c r="D2669" t="inlineStr">
        <is>
          <t>JÄMTLANDS LÄN</t>
        </is>
      </c>
      <c r="E2669" t="inlineStr">
        <is>
          <t>STRÖMSUND</t>
        </is>
      </c>
      <c r="F2669" t="inlineStr">
        <is>
          <t>Holmen skog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59358-2023</t>
        </is>
      </c>
      <c r="B2670" s="1" t="n">
        <v>45253</v>
      </c>
      <c r="C2670" s="1" t="n">
        <v>45749</v>
      </c>
      <c r="D2670" t="inlineStr">
        <is>
          <t>JÄMTLANDS LÄN</t>
        </is>
      </c>
      <c r="E2670" t="inlineStr">
        <is>
          <t>STRÖMSUND</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59403-2023</t>
        </is>
      </c>
      <c r="B2671" s="1" t="n">
        <v>45253</v>
      </c>
      <c r="C2671" s="1" t="n">
        <v>45749</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59436-2023</t>
        </is>
      </c>
      <c r="B2672" s="1" t="n">
        <v>45253</v>
      </c>
      <c r="C2672" s="1" t="n">
        <v>45749</v>
      </c>
      <c r="D2672" t="inlineStr">
        <is>
          <t>JÄMTLANDS LÄN</t>
        </is>
      </c>
      <c r="E2672" t="inlineStr">
        <is>
          <t>STRÖMSUND</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59506-2023</t>
        </is>
      </c>
      <c r="B2673" s="1" t="n">
        <v>45253</v>
      </c>
      <c r="C2673" s="1" t="n">
        <v>45749</v>
      </c>
      <c r="D2673" t="inlineStr">
        <is>
          <t>JÄMTLANDS LÄN</t>
        </is>
      </c>
      <c r="E2673" t="inlineStr">
        <is>
          <t>STRÖMSUND</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59476-2023</t>
        </is>
      </c>
      <c r="B2674" s="1" t="n">
        <v>45254</v>
      </c>
      <c r="C2674" s="1" t="n">
        <v>45749</v>
      </c>
      <c r="D2674" t="inlineStr">
        <is>
          <t>JÄMTLANDS LÄN</t>
        </is>
      </c>
      <c r="E2674" t="inlineStr">
        <is>
          <t>STRÖMSUND</t>
        </is>
      </c>
      <c r="F2674" t="inlineStr">
        <is>
          <t>Holmen skog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59469-2023</t>
        </is>
      </c>
      <c r="B2675" s="1" t="n">
        <v>45254</v>
      </c>
      <c r="C2675" s="1" t="n">
        <v>45749</v>
      </c>
      <c r="D2675" t="inlineStr">
        <is>
          <t>JÄMTLANDS LÄN</t>
        </is>
      </c>
      <c r="E2675" t="inlineStr">
        <is>
          <t>STRÖMSUND</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59478-2023</t>
        </is>
      </c>
      <c r="B2676" s="1" t="n">
        <v>45254</v>
      </c>
      <c r="C2676" s="1" t="n">
        <v>45749</v>
      </c>
      <c r="D2676" t="inlineStr">
        <is>
          <t>JÄMTLANDS LÄN</t>
        </is>
      </c>
      <c r="E2676" t="inlineStr">
        <is>
          <t>STRÖMSUND</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59969-2023</t>
        </is>
      </c>
      <c r="B2677" s="1" t="n">
        <v>45254</v>
      </c>
      <c r="C2677" s="1" t="n">
        <v>45749</v>
      </c>
      <c r="D2677" t="inlineStr">
        <is>
          <t>JÄMTLANDS LÄN</t>
        </is>
      </c>
      <c r="E2677" t="inlineStr">
        <is>
          <t>STRÖMSUND</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59967-2023</t>
        </is>
      </c>
      <c r="B2678" s="1" t="n">
        <v>45254</v>
      </c>
      <c r="C2678" s="1" t="n">
        <v>45749</v>
      </c>
      <c r="D2678" t="inlineStr">
        <is>
          <t>JÄMTLANDS LÄN</t>
        </is>
      </c>
      <c r="E2678" t="inlineStr">
        <is>
          <t>STRÖMSUND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59742-2023</t>
        </is>
      </c>
      <c r="B2679" s="1" t="n">
        <v>45257</v>
      </c>
      <c r="C2679" s="1" t="n">
        <v>45749</v>
      </c>
      <c r="D2679" t="inlineStr">
        <is>
          <t>JÄMTLANDS LÄN</t>
        </is>
      </c>
      <c r="E2679" t="inlineStr">
        <is>
          <t>STRÖMSUND</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60175-2023</t>
        </is>
      </c>
      <c r="B2680" s="1" t="n">
        <v>45257</v>
      </c>
      <c r="C2680" s="1" t="n">
        <v>45749</v>
      </c>
      <c r="D2680" t="inlineStr">
        <is>
          <t>JÄMTLANDS LÄN</t>
        </is>
      </c>
      <c r="E2680" t="inlineStr">
        <is>
          <t>STRÖMSUND</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60009-2023</t>
        </is>
      </c>
      <c r="B2681" s="1" t="n">
        <v>45258</v>
      </c>
      <c r="C2681" s="1" t="n">
        <v>45749</v>
      </c>
      <c r="D2681" t="inlineStr">
        <is>
          <t>JÄMTLANDS LÄN</t>
        </is>
      </c>
      <c r="E2681" t="inlineStr">
        <is>
          <t>STRÖMSUND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60014-2023</t>
        </is>
      </c>
      <c r="B2682" s="1" t="n">
        <v>45258</v>
      </c>
      <c r="C2682" s="1" t="n">
        <v>45749</v>
      </c>
      <c r="D2682" t="inlineStr">
        <is>
          <t>JÄMTLANDS LÄN</t>
        </is>
      </c>
      <c r="E2682" t="inlineStr">
        <is>
          <t>STRÖMSUND</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60166-2023</t>
        </is>
      </c>
      <c r="B2683" s="1" t="n">
        <v>45257</v>
      </c>
      <c r="C2683" s="1" t="n">
        <v>45749</v>
      </c>
      <c r="D2683" t="inlineStr">
        <is>
          <t>JÄMTLANDS LÄN</t>
        </is>
      </c>
      <c r="E2683" t="inlineStr">
        <is>
          <t>STRÖMSUND</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60010-2023</t>
        </is>
      </c>
      <c r="B2684" s="1" t="n">
        <v>45257</v>
      </c>
      <c r="C2684" s="1" t="n">
        <v>45749</v>
      </c>
      <c r="D2684" t="inlineStr">
        <is>
          <t>JÄMTLANDS LÄN</t>
        </is>
      </c>
      <c r="E2684" t="inlineStr">
        <is>
          <t>STRÖMSUND</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60517-2023</t>
        </is>
      </c>
      <c r="B2685" s="1" t="n">
        <v>45257</v>
      </c>
      <c r="C2685" s="1" t="n">
        <v>45749</v>
      </c>
      <c r="D2685" t="inlineStr">
        <is>
          <t>JÄMTLANDS LÄN</t>
        </is>
      </c>
      <c r="E2685" t="inlineStr">
        <is>
          <t>STRÖMSUND</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60078-2023</t>
        </is>
      </c>
      <c r="B2686" s="1" t="n">
        <v>45258</v>
      </c>
      <c r="C2686" s="1" t="n">
        <v>45749</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60334-2023</t>
        </is>
      </c>
      <c r="B2687" s="1" t="n">
        <v>45258</v>
      </c>
      <c r="C2687" s="1" t="n">
        <v>45749</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60335-2023</t>
        </is>
      </c>
      <c r="B2688" s="1" t="n">
        <v>45258</v>
      </c>
      <c r="C2688" s="1" t="n">
        <v>45749</v>
      </c>
      <c r="D2688" t="inlineStr">
        <is>
          <t>JÄMTLANDS LÄN</t>
        </is>
      </c>
      <c r="E2688" t="inlineStr">
        <is>
          <t>STRÖMSUND</t>
        </is>
      </c>
      <c r="F2688" t="inlineStr">
        <is>
          <t>SCA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60661-2023</t>
        </is>
      </c>
      <c r="B2689" s="1" t="n">
        <v>45259</v>
      </c>
      <c r="C2689" s="1" t="n">
        <v>45749</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60684-2023</t>
        </is>
      </c>
      <c r="B2690" s="1" t="n">
        <v>45259</v>
      </c>
      <c r="C2690" s="1" t="n">
        <v>45749</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60726-2023</t>
        </is>
      </c>
      <c r="B2691" s="1" t="n">
        <v>45259</v>
      </c>
      <c r="C2691" s="1" t="n">
        <v>45749</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60848-2023</t>
        </is>
      </c>
      <c r="B2692" s="1" t="n">
        <v>45260</v>
      </c>
      <c r="C2692" s="1" t="n">
        <v>45749</v>
      </c>
      <c r="D2692" t="inlineStr">
        <is>
          <t>JÄMTLANDS LÄN</t>
        </is>
      </c>
      <c r="E2692" t="inlineStr">
        <is>
          <t>STRÖMSUND</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60850-2023</t>
        </is>
      </c>
      <c r="B2693" s="1" t="n">
        <v>45260</v>
      </c>
      <c r="C2693" s="1" t="n">
        <v>45749</v>
      </c>
      <c r="D2693" t="inlineStr">
        <is>
          <t>JÄMTLANDS LÄN</t>
        </is>
      </c>
      <c r="E2693" t="inlineStr">
        <is>
          <t>STRÖMSUND</t>
        </is>
      </c>
      <c r="G2693" t="n">
        <v>11.8</v>
      </c>
      <c r="H2693" t="n">
        <v>0</v>
      </c>
      <c r="I2693" t="n">
        <v>0</v>
      </c>
      <c r="J2693" t="n">
        <v>0</v>
      </c>
      <c r="K2693" t="n">
        <v>0</v>
      </c>
      <c r="L2693" t="n">
        <v>0</v>
      </c>
      <c r="M2693" t="n">
        <v>0</v>
      </c>
      <c r="N2693" t="n">
        <v>0</v>
      </c>
      <c r="O2693" t="n">
        <v>0</v>
      </c>
      <c r="P2693" t="n">
        <v>0</v>
      </c>
      <c r="Q2693" t="n">
        <v>0</v>
      </c>
      <c r="R2693" s="2" t="inlineStr"/>
    </row>
    <row r="2694" ht="15" customHeight="1">
      <c r="A2694" t="inlineStr">
        <is>
          <t>A 60849-2023</t>
        </is>
      </c>
      <c r="B2694" s="1" t="n">
        <v>45260</v>
      </c>
      <c r="C2694" s="1" t="n">
        <v>45749</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60894-2023</t>
        </is>
      </c>
      <c r="B2695" s="1" t="n">
        <v>45261</v>
      </c>
      <c r="C2695" s="1" t="n">
        <v>45749</v>
      </c>
      <c r="D2695" t="inlineStr">
        <is>
          <t>JÄMTLANDS LÄN</t>
        </is>
      </c>
      <c r="E2695" t="inlineStr">
        <is>
          <t>STRÖMSUND</t>
        </is>
      </c>
      <c r="F2695" t="inlineStr">
        <is>
          <t>Holmen skog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61131-2023</t>
        </is>
      </c>
      <c r="B2696" s="1" t="n">
        <v>45261</v>
      </c>
      <c r="C2696" s="1" t="n">
        <v>45749</v>
      </c>
      <c r="D2696" t="inlineStr">
        <is>
          <t>JÄMTLANDS LÄN</t>
        </is>
      </c>
      <c r="E2696" t="inlineStr">
        <is>
          <t>STRÖMSUND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61136-2023</t>
        </is>
      </c>
      <c r="B2697" s="1" t="n">
        <v>45261</v>
      </c>
      <c r="C2697" s="1" t="n">
        <v>45749</v>
      </c>
      <c r="D2697" t="inlineStr">
        <is>
          <t>JÄMTLANDS LÄN</t>
        </is>
      </c>
      <c r="E2697" t="inlineStr">
        <is>
          <t>STRÖMSUND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61494-2023</t>
        </is>
      </c>
      <c r="B2698" s="1" t="n">
        <v>45264</v>
      </c>
      <c r="C2698" s="1" t="n">
        <v>45749</v>
      </c>
      <c r="D2698" t="inlineStr">
        <is>
          <t>JÄMTLANDS LÄN</t>
        </is>
      </c>
      <c r="E2698" t="inlineStr">
        <is>
          <t>STRÖMSUND</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61500-2023</t>
        </is>
      </c>
      <c r="B2699" s="1" t="n">
        <v>45264</v>
      </c>
      <c r="C2699" s="1" t="n">
        <v>45749</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61833-2023</t>
        </is>
      </c>
      <c r="B2700" s="1" t="n">
        <v>45264</v>
      </c>
      <c r="C2700" s="1" t="n">
        <v>45749</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62356-2023</t>
        </is>
      </c>
      <c r="B2701" s="1" t="n">
        <v>45267</v>
      </c>
      <c r="C2701" s="1" t="n">
        <v>45749</v>
      </c>
      <c r="D2701" t="inlineStr">
        <is>
          <t>JÄMTLANDS LÄN</t>
        </is>
      </c>
      <c r="E2701" t="inlineStr">
        <is>
          <t>STRÖMSUND</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62543-2023</t>
        </is>
      </c>
      <c r="B2702" s="1" t="n">
        <v>45267</v>
      </c>
      <c r="C2702" s="1" t="n">
        <v>45749</v>
      </c>
      <c r="D2702" t="inlineStr">
        <is>
          <t>JÄMTLANDS LÄN</t>
        </is>
      </c>
      <c r="E2702" t="inlineStr">
        <is>
          <t>STRÖMSUND</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62544-2023</t>
        </is>
      </c>
      <c r="B2703" s="1" t="n">
        <v>45267</v>
      </c>
      <c r="C2703" s="1" t="n">
        <v>45749</v>
      </c>
      <c r="D2703" t="inlineStr">
        <is>
          <t>JÄMTLANDS LÄN</t>
        </is>
      </c>
      <c r="E2703" t="inlineStr">
        <is>
          <t>STRÖMSUND</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62470-2023</t>
        </is>
      </c>
      <c r="B2704" s="1" t="n">
        <v>45267</v>
      </c>
      <c r="C2704" s="1" t="n">
        <v>45749</v>
      </c>
      <c r="D2704" t="inlineStr">
        <is>
          <t>JÄMTLANDS LÄN</t>
        </is>
      </c>
      <c r="E2704" t="inlineStr">
        <is>
          <t>STRÖMSUND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62493-2023</t>
        </is>
      </c>
      <c r="B2705" s="1" t="n">
        <v>45268</v>
      </c>
      <c r="C2705" s="1" t="n">
        <v>45749</v>
      </c>
      <c r="D2705" t="inlineStr">
        <is>
          <t>JÄMTLANDS LÄN</t>
        </is>
      </c>
      <c r="E2705" t="inlineStr">
        <is>
          <t>STRÖMSUND</t>
        </is>
      </c>
      <c r="F2705" t="inlineStr">
        <is>
          <t>Holmen skog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62760-2023</t>
        </is>
      </c>
      <c r="B2706" s="1" t="n">
        <v>45268</v>
      </c>
      <c r="C2706" s="1" t="n">
        <v>45749</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63054-2023</t>
        </is>
      </c>
      <c r="B2707" s="1" t="n">
        <v>45272</v>
      </c>
      <c r="C2707" s="1" t="n">
        <v>45749</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63140-2023</t>
        </is>
      </c>
      <c r="B2708" s="1" t="n">
        <v>45273</v>
      </c>
      <c r="C2708" s="1" t="n">
        <v>45749</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63286-2023</t>
        </is>
      </c>
      <c r="B2709" s="1" t="n">
        <v>45273</v>
      </c>
      <c r="C2709" s="1" t="n">
        <v>45749</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63362-2023</t>
        </is>
      </c>
      <c r="B2710" s="1" t="n">
        <v>45273</v>
      </c>
      <c r="C2710" s="1" t="n">
        <v>45749</v>
      </c>
      <c r="D2710" t="inlineStr">
        <is>
          <t>JÄMTLANDS LÄN</t>
        </is>
      </c>
      <c r="E2710" t="inlineStr">
        <is>
          <t>STRÖMSUND</t>
        </is>
      </c>
      <c r="G2710" t="n">
        <v>17.9</v>
      </c>
      <c r="H2710" t="n">
        <v>0</v>
      </c>
      <c r="I2710" t="n">
        <v>0</v>
      </c>
      <c r="J2710" t="n">
        <v>0</v>
      </c>
      <c r="K2710" t="n">
        <v>0</v>
      </c>
      <c r="L2710" t="n">
        <v>0</v>
      </c>
      <c r="M2710" t="n">
        <v>0</v>
      </c>
      <c r="N2710" t="n">
        <v>0</v>
      </c>
      <c r="O2710" t="n">
        <v>0</v>
      </c>
      <c r="P2710" t="n">
        <v>0</v>
      </c>
      <c r="Q2710" t="n">
        <v>0</v>
      </c>
      <c r="R2710" s="2" t="inlineStr"/>
    </row>
    <row r="2711" ht="15" customHeight="1">
      <c r="A2711" t="inlineStr">
        <is>
          <t>A 63354-2023</t>
        </is>
      </c>
      <c r="B2711" s="1" t="n">
        <v>45273</v>
      </c>
      <c r="C2711" s="1" t="n">
        <v>45749</v>
      </c>
      <c r="D2711" t="inlineStr">
        <is>
          <t>JÄMTLANDS LÄN</t>
        </is>
      </c>
      <c r="E2711" t="inlineStr">
        <is>
          <t>STRÖMSUND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63287-2023</t>
        </is>
      </c>
      <c r="B2712" s="1" t="n">
        <v>45273</v>
      </c>
      <c r="C2712" s="1" t="n">
        <v>45749</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63291-2023</t>
        </is>
      </c>
      <c r="B2713" s="1" t="n">
        <v>45273</v>
      </c>
      <c r="C2713" s="1" t="n">
        <v>45749</v>
      </c>
      <c r="D2713" t="inlineStr">
        <is>
          <t>JÄMTLANDS LÄN</t>
        </is>
      </c>
      <c r="E2713" t="inlineStr">
        <is>
          <t>STRÖMSUND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63403-2023</t>
        </is>
      </c>
      <c r="B2714" s="1" t="n">
        <v>45274</v>
      </c>
      <c r="C2714" s="1" t="n">
        <v>45749</v>
      </c>
      <c r="D2714" t="inlineStr">
        <is>
          <t>JÄMTLANDS LÄN</t>
        </is>
      </c>
      <c r="E2714" t="inlineStr">
        <is>
          <t>STRÖMSUND</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63425-2023</t>
        </is>
      </c>
      <c r="B2715" s="1" t="n">
        <v>45274</v>
      </c>
      <c r="C2715" s="1" t="n">
        <v>45749</v>
      </c>
      <c r="D2715" t="inlineStr">
        <is>
          <t>JÄMTLANDS LÄN</t>
        </is>
      </c>
      <c r="E2715" t="inlineStr">
        <is>
          <t>STRÖMSUND</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63497-2023</t>
        </is>
      </c>
      <c r="B2716" s="1" t="n">
        <v>45274</v>
      </c>
      <c r="C2716" s="1" t="n">
        <v>45749</v>
      </c>
      <c r="D2716" t="inlineStr">
        <is>
          <t>JÄMTLANDS LÄN</t>
        </is>
      </c>
      <c r="E2716" t="inlineStr">
        <is>
          <t>STRÖMSUND</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63756-2023</t>
        </is>
      </c>
      <c r="B2717" s="1" t="n">
        <v>45278</v>
      </c>
      <c r="C2717" s="1" t="n">
        <v>45749</v>
      </c>
      <c r="D2717" t="inlineStr">
        <is>
          <t>JÄMTLANDS LÄN</t>
        </is>
      </c>
      <c r="E2717" t="inlineStr">
        <is>
          <t>STRÖMSUND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63754-2023</t>
        </is>
      </c>
      <c r="B2718" s="1" t="n">
        <v>45278</v>
      </c>
      <c r="C2718" s="1" t="n">
        <v>45749</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63753-2023</t>
        </is>
      </c>
      <c r="B2719" s="1" t="n">
        <v>45278</v>
      </c>
      <c r="C2719" s="1" t="n">
        <v>45749</v>
      </c>
      <c r="D2719" t="inlineStr">
        <is>
          <t>JÄMTLANDS LÄN</t>
        </is>
      </c>
      <c r="E2719" t="inlineStr">
        <is>
          <t>STRÖMSUND</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64007-2023</t>
        </is>
      </c>
      <c r="B2720" s="1" t="n">
        <v>45278</v>
      </c>
      <c r="C2720" s="1" t="n">
        <v>45749</v>
      </c>
      <c r="D2720" t="inlineStr">
        <is>
          <t>JÄMTLANDS LÄN</t>
        </is>
      </c>
      <c r="E2720" t="inlineStr">
        <is>
          <t>STRÖMSUND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64149-2023</t>
        </is>
      </c>
      <c r="B2721" s="1" t="n">
        <v>45279</v>
      </c>
      <c r="C2721" s="1" t="n">
        <v>45749</v>
      </c>
      <c r="D2721" t="inlineStr">
        <is>
          <t>JÄMTLANDS LÄN</t>
        </is>
      </c>
      <c r="E2721" t="inlineStr">
        <is>
          <t>STRÖMSUND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64437-2023</t>
        </is>
      </c>
      <c r="B2722" s="1" t="n">
        <v>45280</v>
      </c>
      <c r="C2722" s="1" t="n">
        <v>45749</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64505-2023</t>
        </is>
      </c>
      <c r="B2723" s="1" t="n">
        <v>45280</v>
      </c>
      <c r="C2723" s="1" t="n">
        <v>45749</v>
      </c>
      <c r="D2723" t="inlineStr">
        <is>
          <t>JÄMTLANDS LÄN</t>
        </is>
      </c>
      <c r="E2723" t="inlineStr">
        <is>
          <t>STRÖMSUND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64559-2023</t>
        </is>
      </c>
      <c r="B2724" s="1" t="n">
        <v>45281</v>
      </c>
      <c r="C2724" s="1" t="n">
        <v>45749</v>
      </c>
      <c r="D2724" t="inlineStr">
        <is>
          <t>JÄMTLANDS LÄN</t>
        </is>
      </c>
      <c r="E2724" t="inlineStr">
        <is>
          <t>STRÖMSUND</t>
        </is>
      </c>
      <c r="F2724" t="inlineStr">
        <is>
          <t>Kyrkan</t>
        </is>
      </c>
      <c r="G2724" t="n">
        <v>16.2</v>
      </c>
      <c r="H2724" t="n">
        <v>0</v>
      </c>
      <c r="I2724" t="n">
        <v>0</v>
      </c>
      <c r="J2724" t="n">
        <v>0</v>
      </c>
      <c r="K2724" t="n">
        <v>0</v>
      </c>
      <c r="L2724" t="n">
        <v>0</v>
      </c>
      <c r="M2724" t="n">
        <v>0</v>
      </c>
      <c r="N2724" t="n">
        <v>0</v>
      </c>
      <c r="O2724" t="n">
        <v>0</v>
      </c>
      <c r="P2724" t="n">
        <v>0</v>
      </c>
      <c r="Q2724" t="n">
        <v>0</v>
      </c>
      <c r="R2724" s="2" t="inlineStr"/>
    </row>
    <row r="2725" ht="15" customHeight="1">
      <c r="A2725" t="inlineStr">
        <is>
          <t>A 64599-2023</t>
        </is>
      </c>
      <c r="B2725" s="1" t="n">
        <v>45281</v>
      </c>
      <c r="C2725" s="1" t="n">
        <v>45749</v>
      </c>
      <c r="D2725" t="inlineStr">
        <is>
          <t>JÄMTLANDS LÄN</t>
        </is>
      </c>
      <c r="E2725" t="inlineStr">
        <is>
          <t>STRÖMSUND</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64759-2023</t>
        </is>
      </c>
      <c r="B2726" s="1" t="n">
        <v>45282</v>
      </c>
      <c r="C2726" s="1" t="n">
        <v>45749</v>
      </c>
      <c r="D2726" t="inlineStr">
        <is>
          <t>JÄMTLANDS LÄN</t>
        </is>
      </c>
      <c r="E2726" t="inlineStr">
        <is>
          <t>STRÖMSUND</t>
        </is>
      </c>
      <c r="G2726" t="n">
        <v>25.2</v>
      </c>
      <c r="H2726" t="n">
        <v>0</v>
      </c>
      <c r="I2726" t="n">
        <v>0</v>
      </c>
      <c r="J2726" t="n">
        <v>0</v>
      </c>
      <c r="K2726" t="n">
        <v>0</v>
      </c>
      <c r="L2726" t="n">
        <v>0</v>
      </c>
      <c r="M2726" t="n">
        <v>0</v>
      </c>
      <c r="N2726" t="n">
        <v>0</v>
      </c>
      <c r="O2726" t="n">
        <v>0</v>
      </c>
      <c r="P2726" t="n">
        <v>0</v>
      </c>
      <c r="Q2726" t="n">
        <v>0</v>
      </c>
      <c r="R2726" s="2" t="inlineStr"/>
    </row>
    <row r="2727" ht="15" customHeight="1">
      <c r="A2727" t="inlineStr">
        <is>
          <t>A 6-2024</t>
        </is>
      </c>
      <c r="B2727" s="1" t="n">
        <v>45293</v>
      </c>
      <c r="C2727" s="1" t="n">
        <v>45749</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254-2024</t>
        </is>
      </c>
      <c r="B2728" s="1" t="n">
        <v>45294</v>
      </c>
      <c r="C2728" s="1" t="n">
        <v>45749</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247-2024</t>
        </is>
      </c>
      <c r="B2729" s="1" t="n">
        <v>45294</v>
      </c>
      <c r="C2729" s="1" t="n">
        <v>45749</v>
      </c>
      <c r="D2729" t="inlineStr">
        <is>
          <t>JÄMTLANDS LÄN</t>
        </is>
      </c>
      <c r="E2729" t="inlineStr">
        <is>
          <t>STRÖMSUND</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508-2024</t>
        </is>
      </c>
      <c r="B2730" s="1" t="n">
        <v>45299</v>
      </c>
      <c r="C2730" s="1" t="n">
        <v>45749</v>
      </c>
      <c r="D2730" t="inlineStr">
        <is>
          <t>JÄMTLANDS LÄN</t>
        </is>
      </c>
      <c r="E2730" t="inlineStr">
        <is>
          <t>STRÖMSUND</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655-2024</t>
        </is>
      </c>
      <c r="B2731" s="1" t="n">
        <v>45299</v>
      </c>
      <c r="C2731" s="1" t="n">
        <v>45749</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872-2024</t>
        </is>
      </c>
      <c r="B2732" s="1" t="n">
        <v>45301</v>
      </c>
      <c r="C2732" s="1" t="n">
        <v>45749</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1053-2024</t>
        </is>
      </c>
      <c r="B2733" s="1" t="n">
        <v>45302</v>
      </c>
      <c r="C2733" s="1" t="n">
        <v>45749</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1055-2024</t>
        </is>
      </c>
      <c r="B2734" s="1" t="n">
        <v>45302</v>
      </c>
      <c r="C2734" s="1" t="n">
        <v>45749</v>
      </c>
      <c r="D2734" t="inlineStr">
        <is>
          <t>JÄMTLANDS LÄN</t>
        </is>
      </c>
      <c r="E2734" t="inlineStr">
        <is>
          <t>STRÖMSUND</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1226-2024</t>
        </is>
      </c>
      <c r="B2735" s="1" t="n">
        <v>45302</v>
      </c>
      <c r="C2735" s="1" t="n">
        <v>45749</v>
      </c>
      <c r="D2735" t="inlineStr">
        <is>
          <t>JÄMTLANDS LÄN</t>
        </is>
      </c>
      <c r="E2735" t="inlineStr">
        <is>
          <t>STRÖMSUND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1271-2024</t>
        </is>
      </c>
      <c r="B2736" s="1" t="n">
        <v>45302</v>
      </c>
      <c r="C2736" s="1" t="n">
        <v>45749</v>
      </c>
      <c r="D2736" t="inlineStr">
        <is>
          <t>JÄMTLANDS LÄN</t>
        </is>
      </c>
      <c r="E2736" t="inlineStr">
        <is>
          <t>STRÖMSUND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1113-2024</t>
        </is>
      </c>
      <c r="B2737" s="1" t="n">
        <v>45302</v>
      </c>
      <c r="C2737" s="1" t="n">
        <v>45749</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1270-2024</t>
        </is>
      </c>
      <c r="B2738" s="1" t="n">
        <v>45302</v>
      </c>
      <c r="C2738" s="1" t="n">
        <v>45749</v>
      </c>
      <c r="D2738" t="inlineStr">
        <is>
          <t>JÄMTLANDS LÄN</t>
        </is>
      </c>
      <c r="E2738" t="inlineStr">
        <is>
          <t>STRÖMSUND</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1609-2024</t>
        </is>
      </c>
      <c r="B2739" s="1" t="n">
        <v>45306</v>
      </c>
      <c r="C2739" s="1" t="n">
        <v>45749</v>
      </c>
      <c r="D2739" t="inlineStr">
        <is>
          <t>JÄMTLANDS LÄN</t>
        </is>
      </c>
      <c r="E2739" t="inlineStr">
        <is>
          <t>STRÖMSUND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1676-2024</t>
        </is>
      </c>
      <c r="B2740" s="1" t="n">
        <v>45307</v>
      </c>
      <c r="C2740" s="1" t="n">
        <v>45749</v>
      </c>
      <c r="D2740" t="inlineStr">
        <is>
          <t>JÄMTLANDS LÄN</t>
        </is>
      </c>
      <c r="E2740" t="inlineStr">
        <is>
          <t>STRÖMSUND</t>
        </is>
      </c>
      <c r="F2740" t="inlineStr">
        <is>
          <t>SCA</t>
        </is>
      </c>
      <c r="G2740" t="n">
        <v>29.6</v>
      </c>
      <c r="H2740" t="n">
        <v>0</v>
      </c>
      <c r="I2740" t="n">
        <v>0</v>
      </c>
      <c r="J2740" t="n">
        <v>0</v>
      </c>
      <c r="K2740" t="n">
        <v>0</v>
      </c>
      <c r="L2740" t="n">
        <v>0</v>
      </c>
      <c r="M2740" t="n">
        <v>0</v>
      </c>
      <c r="N2740" t="n">
        <v>0</v>
      </c>
      <c r="O2740" t="n">
        <v>0</v>
      </c>
      <c r="P2740" t="n">
        <v>0</v>
      </c>
      <c r="Q2740" t="n">
        <v>0</v>
      </c>
      <c r="R2740" s="2" t="inlineStr"/>
    </row>
    <row r="2741" ht="15" customHeight="1">
      <c r="A2741" t="inlineStr">
        <is>
          <t>A 1677-2024</t>
        </is>
      </c>
      <c r="B2741" s="1" t="n">
        <v>45307</v>
      </c>
      <c r="C2741" s="1" t="n">
        <v>45749</v>
      </c>
      <c r="D2741" t="inlineStr">
        <is>
          <t>JÄMTLANDS LÄN</t>
        </is>
      </c>
      <c r="E2741" t="inlineStr">
        <is>
          <t>STRÖMSUND</t>
        </is>
      </c>
      <c r="F2741" t="inlineStr">
        <is>
          <t>SCA</t>
        </is>
      </c>
      <c r="G2741" t="n">
        <v>30.1</v>
      </c>
      <c r="H2741" t="n">
        <v>0</v>
      </c>
      <c r="I2741" t="n">
        <v>0</v>
      </c>
      <c r="J2741" t="n">
        <v>0</v>
      </c>
      <c r="K2741" t="n">
        <v>0</v>
      </c>
      <c r="L2741" t="n">
        <v>0</v>
      </c>
      <c r="M2741" t="n">
        <v>0</v>
      </c>
      <c r="N2741" t="n">
        <v>0</v>
      </c>
      <c r="O2741" t="n">
        <v>0</v>
      </c>
      <c r="P2741" t="n">
        <v>0</v>
      </c>
      <c r="Q2741" t="n">
        <v>0</v>
      </c>
      <c r="R2741" s="2" t="inlineStr"/>
    </row>
    <row r="2742" ht="15" customHeight="1">
      <c r="A2742" t="inlineStr">
        <is>
          <t>A 1798-2024</t>
        </is>
      </c>
      <c r="B2742" s="1" t="n">
        <v>45307</v>
      </c>
      <c r="C2742" s="1" t="n">
        <v>45749</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1801-2024</t>
        </is>
      </c>
      <c r="B2743" s="1" t="n">
        <v>45307</v>
      </c>
      <c r="C2743" s="1" t="n">
        <v>45749</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1929-2024</t>
        </is>
      </c>
      <c r="B2744" s="1" t="n">
        <v>45308</v>
      </c>
      <c r="C2744" s="1" t="n">
        <v>45749</v>
      </c>
      <c r="D2744" t="inlineStr">
        <is>
          <t>JÄMTLANDS LÄN</t>
        </is>
      </c>
      <c r="E2744" t="inlineStr">
        <is>
          <t>STRÖMSUND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2109-2024</t>
        </is>
      </c>
      <c r="B2745" s="1" t="n">
        <v>45309</v>
      </c>
      <c r="C2745" s="1" t="n">
        <v>45749</v>
      </c>
      <c r="D2745" t="inlineStr">
        <is>
          <t>JÄMTLANDS LÄN</t>
        </is>
      </c>
      <c r="E2745" t="inlineStr">
        <is>
          <t>STRÖMSUND</t>
        </is>
      </c>
      <c r="G2745" t="n">
        <v>23.5</v>
      </c>
      <c r="H2745" t="n">
        <v>0</v>
      </c>
      <c r="I2745" t="n">
        <v>0</v>
      </c>
      <c r="J2745" t="n">
        <v>0</v>
      </c>
      <c r="K2745" t="n">
        <v>0</v>
      </c>
      <c r="L2745" t="n">
        <v>0</v>
      </c>
      <c r="M2745" t="n">
        <v>0</v>
      </c>
      <c r="N2745" t="n">
        <v>0</v>
      </c>
      <c r="O2745" t="n">
        <v>0</v>
      </c>
      <c r="P2745" t="n">
        <v>0</v>
      </c>
      <c r="Q2745" t="n">
        <v>0</v>
      </c>
      <c r="R2745" s="2" t="inlineStr"/>
    </row>
    <row r="2746" ht="15" customHeight="1">
      <c r="A2746" t="inlineStr">
        <is>
          <t>A 2625-2024</t>
        </is>
      </c>
      <c r="B2746" s="1" t="n">
        <v>45313</v>
      </c>
      <c r="C2746" s="1" t="n">
        <v>45749</v>
      </c>
      <c r="D2746" t="inlineStr">
        <is>
          <t>JÄMTLANDS LÄN</t>
        </is>
      </c>
      <c r="E2746" t="inlineStr">
        <is>
          <t>STRÖMSUND</t>
        </is>
      </c>
      <c r="F2746" t="inlineStr">
        <is>
          <t>SCA</t>
        </is>
      </c>
      <c r="G2746" t="n">
        <v>32.2</v>
      </c>
      <c r="H2746" t="n">
        <v>0</v>
      </c>
      <c r="I2746" t="n">
        <v>0</v>
      </c>
      <c r="J2746" t="n">
        <v>0</v>
      </c>
      <c r="K2746" t="n">
        <v>0</v>
      </c>
      <c r="L2746" t="n">
        <v>0</v>
      </c>
      <c r="M2746" t="n">
        <v>0</v>
      </c>
      <c r="N2746" t="n">
        <v>0</v>
      </c>
      <c r="O2746" t="n">
        <v>0</v>
      </c>
      <c r="P2746" t="n">
        <v>0</v>
      </c>
      <c r="Q2746" t="n">
        <v>0</v>
      </c>
      <c r="R2746" s="2" t="inlineStr"/>
    </row>
    <row r="2747" ht="15" customHeight="1">
      <c r="A2747" t="inlineStr">
        <is>
          <t>A 2619-2024</t>
        </is>
      </c>
      <c r="B2747" s="1" t="n">
        <v>45313</v>
      </c>
      <c r="C2747" s="1" t="n">
        <v>45749</v>
      </c>
      <c r="D2747" t="inlineStr">
        <is>
          <t>JÄMTLANDS LÄN</t>
        </is>
      </c>
      <c r="E2747" t="inlineStr">
        <is>
          <t>STRÖMSUND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2623-2024</t>
        </is>
      </c>
      <c r="B2748" s="1" t="n">
        <v>45313</v>
      </c>
      <c r="C2748" s="1" t="n">
        <v>45749</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2626-2024</t>
        </is>
      </c>
      <c r="B2749" s="1" t="n">
        <v>45313</v>
      </c>
      <c r="C2749" s="1" t="n">
        <v>45749</v>
      </c>
      <c r="D2749" t="inlineStr">
        <is>
          <t>JÄMTLANDS LÄN</t>
        </is>
      </c>
      <c r="E2749" t="inlineStr">
        <is>
          <t>STRÖMSUND</t>
        </is>
      </c>
      <c r="F2749" t="inlineStr">
        <is>
          <t>SCA</t>
        </is>
      </c>
      <c r="G2749" t="n">
        <v>22.4</v>
      </c>
      <c r="H2749" t="n">
        <v>0</v>
      </c>
      <c r="I2749" t="n">
        <v>0</v>
      </c>
      <c r="J2749" t="n">
        <v>0</v>
      </c>
      <c r="K2749" t="n">
        <v>0</v>
      </c>
      <c r="L2749" t="n">
        <v>0</v>
      </c>
      <c r="M2749" t="n">
        <v>0</v>
      </c>
      <c r="N2749" t="n">
        <v>0</v>
      </c>
      <c r="O2749" t="n">
        <v>0</v>
      </c>
      <c r="P2749" t="n">
        <v>0</v>
      </c>
      <c r="Q2749" t="n">
        <v>0</v>
      </c>
      <c r="R2749" s="2" t="inlineStr"/>
    </row>
    <row r="2750" ht="15" customHeight="1">
      <c r="A2750" t="inlineStr">
        <is>
          <t>A 2624-2024</t>
        </is>
      </c>
      <c r="B2750" s="1" t="n">
        <v>45313</v>
      </c>
      <c r="C2750" s="1" t="n">
        <v>45749</v>
      </c>
      <c r="D2750" t="inlineStr">
        <is>
          <t>JÄMTLANDS LÄN</t>
        </is>
      </c>
      <c r="E2750" t="inlineStr">
        <is>
          <t>STRÖMSUND</t>
        </is>
      </c>
      <c r="F2750" t="inlineStr">
        <is>
          <t>SCA</t>
        </is>
      </c>
      <c r="G2750" t="n">
        <v>41.4</v>
      </c>
      <c r="H2750" t="n">
        <v>0</v>
      </c>
      <c r="I2750" t="n">
        <v>0</v>
      </c>
      <c r="J2750" t="n">
        <v>0</v>
      </c>
      <c r="K2750" t="n">
        <v>0</v>
      </c>
      <c r="L2750" t="n">
        <v>0</v>
      </c>
      <c r="M2750" t="n">
        <v>0</v>
      </c>
      <c r="N2750" t="n">
        <v>0</v>
      </c>
      <c r="O2750" t="n">
        <v>0</v>
      </c>
      <c r="P2750" t="n">
        <v>0</v>
      </c>
      <c r="Q2750" t="n">
        <v>0</v>
      </c>
      <c r="R2750" s="2" t="inlineStr"/>
    </row>
    <row r="2751" ht="15" customHeight="1">
      <c r="A2751" t="inlineStr">
        <is>
          <t>A 2663-2024</t>
        </is>
      </c>
      <c r="B2751" s="1" t="n">
        <v>45314</v>
      </c>
      <c r="C2751" s="1" t="n">
        <v>45749</v>
      </c>
      <c r="D2751" t="inlineStr">
        <is>
          <t>JÄMTLANDS LÄN</t>
        </is>
      </c>
      <c r="E2751" t="inlineStr">
        <is>
          <t>STRÖMSUND</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2643-2024</t>
        </is>
      </c>
      <c r="B2752" s="1" t="n">
        <v>45314</v>
      </c>
      <c r="C2752" s="1" t="n">
        <v>45749</v>
      </c>
      <c r="D2752" t="inlineStr">
        <is>
          <t>JÄMTLANDS LÄN</t>
        </is>
      </c>
      <c r="E2752" t="inlineStr">
        <is>
          <t>STRÖMSUND</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3239-2024</t>
        </is>
      </c>
      <c r="B2753" s="1" t="n">
        <v>45316</v>
      </c>
      <c r="C2753" s="1" t="n">
        <v>45749</v>
      </c>
      <c r="D2753" t="inlineStr">
        <is>
          <t>JÄMTLANDS LÄN</t>
        </is>
      </c>
      <c r="E2753" t="inlineStr">
        <is>
          <t>STRÖMSUND</t>
        </is>
      </c>
      <c r="F2753" t="inlineStr">
        <is>
          <t>SCA</t>
        </is>
      </c>
      <c r="G2753" t="n">
        <v>26.1</v>
      </c>
      <c r="H2753" t="n">
        <v>0</v>
      </c>
      <c r="I2753" t="n">
        <v>0</v>
      </c>
      <c r="J2753" t="n">
        <v>0</v>
      </c>
      <c r="K2753" t="n">
        <v>0</v>
      </c>
      <c r="L2753" t="n">
        <v>0</v>
      </c>
      <c r="M2753" t="n">
        <v>0</v>
      </c>
      <c r="N2753" t="n">
        <v>0</v>
      </c>
      <c r="O2753" t="n">
        <v>0</v>
      </c>
      <c r="P2753" t="n">
        <v>0</v>
      </c>
      <c r="Q2753" t="n">
        <v>0</v>
      </c>
      <c r="R2753" s="2" t="inlineStr"/>
    </row>
    <row r="2754" ht="15" customHeight="1">
      <c r="A2754" t="inlineStr">
        <is>
          <t>A 3519-2024</t>
        </is>
      </c>
      <c r="B2754" s="1" t="n">
        <v>45320</v>
      </c>
      <c r="C2754" s="1" t="n">
        <v>45749</v>
      </c>
      <c r="D2754" t="inlineStr">
        <is>
          <t>JÄMTLANDS LÄN</t>
        </is>
      </c>
      <c r="E2754" t="inlineStr">
        <is>
          <t>STRÖMSUND</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3623-2024</t>
        </is>
      </c>
      <c r="B2755" s="1" t="n">
        <v>45320</v>
      </c>
      <c r="C2755" s="1" t="n">
        <v>45749</v>
      </c>
      <c r="D2755" t="inlineStr">
        <is>
          <t>JÄMTLANDS LÄN</t>
        </is>
      </c>
      <c r="E2755" t="inlineStr">
        <is>
          <t>STRÖMSUND</t>
        </is>
      </c>
      <c r="F2755" t="inlineStr">
        <is>
          <t>SCA</t>
        </is>
      </c>
      <c r="G2755" t="n">
        <v>22.9</v>
      </c>
      <c r="H2755" t="n">
        <v>0</v>
      </c>
      <c r="I2755" t="n">
        <v>0</v>
      </c>
      <c r="J2755" t="n">
        <v>0</v>
      </c>
      <c r="K2755" t="n">
        <v>0</v>
      </c>
      <c r="L2755" t="n">
        <v>0</v>
      </c>
      <c r="M2755" t="n">
        <v>0</v>
      </c>
      <c r="N2755" t="n">
        <v>0</v>
      </c>
      <c r="O2755" t="n">
        <v>0</v>
      </c>
      <c r="P2755" t="n">
        <v>0</v>
      </c>
      <c r="Q2755" t="n">
        <v>0</v>
      </c>
      <c r="R2755" s="2" t="inlineStr"/>
    </row>
    <row r="2756" ht="15" customHeight="1">
      <c r="A2756" t="inlineStr">
        <is>
          <t>A 3629-2024</t>
        </is>
      </c>
      <c r="B2756" s="1" t="n">
        <v>45320</v>
      </c>
      <c r="C2756" s="1" t="n">
        <v>45749</v>
      </c>
      <c r="D2756" t="inlineStr">
        <is>
          <t>JÄMTLANDS LÄN</t>
        </is>
      </c>
      <c r="E2756" t="inlineStr">
        <is>
          <t>STRÖMSUND</t>
        </is>
      </c>
      <c r="F2756" t="inlineStr">
        <is>
          <t>SCA</t>
        </is>
      </c>
      <c r="G2756" t="n">
        <v>29.9</v>
      </c>
      <c r="H2756" t="n">
        <v>0</v>
      </c>
      <c r="I2756" t="n">
        <v>0</v>
      </c>
      <c r="J2756" t="n">
        <v>0</v>
      </c>
      <c r="K2756" t="n">
        <v>0</v>
      </c>
      <c r="L2756" t="n">
        <v>0</v>
      </c>
      <c r="M2756" t="n">
        <v>0</v>
      </c>
      <c r="N2756" t="n">
        <v>0</v>
      </c>
      <c r="O2756" t="n">
        <v>0</v>
      </c>
      <c r="P2756" t="n">
        <v>0</v>
      </c>
      <c r="Q2756" t="n">
        <v>0</v>
      </c>
      <c r="R2756" s="2" t="inlineStr"/>
    </row>
    <row r="2757" ht="15" customHeight="1">
      <c r="A2757" t="inlineStr">
        <is>
          <t>A 3622-2024</t>
        </is>
      </c>
      <c r="B2757" s="1" t="n">
        <v>45320</v>
      </c>
      <c r="C2757" s="1" t="n">
        <v>45749</v>
      </c>
      <c r="D2757" t="inlineStr">
        <is>
          <t>JÄMTLANDS LÄN</t>
        </is>
      </c>
      <c r="E2757" t="inlineStr">
        <is>
          <t>STRÖMSUND</t>
        </is>
      </c>
      <c r="F2757" t="inlineStr">
        <is>
          <t>SCA</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3628-2024</t>
        </is>
      </c>
      <c r="B2758" s="1" t="n">
        <v>45320</v>
      </c>
      <c r="C2758" s="1" t="n">
        <v>45749</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3743-2024</t>
        </is>
      </c>
      <c r="B2759" s="1" t="n">
        <v>45321</v>
      </c>
      <c r="C2759" s="1" t="n">
        <v>45749</v>
      </c>
      <c r="D2759" t="inlineStr">
        <is>
          <t>JÄMTLANDS LÄN</t>
        </is>
      </c>
      <c r="E2759" t="inlineStr">
        <is>
          <t>STRÖMSUND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3835-2024</t>
        </is>
      </c>
      <c r="B2760" s="1" t="n">
        <v>45321</v>
      </c>
      <c r="C2760" s="1" t="n">
        <v>45749</v>
      </c>
      <c r="D2760" t="inlineStr">
        <is>
          <t>JÄMTLANDS LÄN</t>
        </is>
      </c>
      <c r="E2760" t="inlineStr">
        <is>
          <t>STRÖMSUND</t>
        </is>
      </c>
      <c r="F2760" t="inlineStr">
        <is>
          <t>SCA</t>
        </is>
      </c>
      <c r="G2760" t="n">
        <v>28.5</v>
      </c>
      <c r="H2760" t="n">
        <v>0</v>
      </c>
      <c r="I2760" t="n">
        <v>0</v>
      </c>
      <c r="J2760" t="n">
        <v>0</v>
      </c>
      <c r="K2760" t="n">
        <v>0</v>
      </c>
      <c r="L2760" t="n">
        <v>0</v>
      </c>
      <c r="M2760" t="n">
        <v>0</v>
      </c>
      <c r="N2760" t="n">
        <v>0</v>
      </c>
      <c r="O2760" t="n">
        <v>0</v>
      </c>
      <c r="P2760" t="n">
        <v>0</v>
      </c>
      <c r="Q2760" t="n">
        <v>0</v>
      </c>
      <c r="R2760" s="2" t="inlineStr"/>
    </row>
    <row r="2761" ht="15" customHeight="1">
      <c r="A2761" t="inlineStr">
        <is>
          <t>A 3834-2024</t>
        </is>
      </c>
      <c r="B2761" s="1" t="n">
        <v>45321</v>
      </c>
      <c r="C2761" s="1" t="n">
        <v>45749</v>
      </c>
      <c r="D2761" t="inlineStr">
        <is>
          <t>JÄMTLANDS LÄN</t>
        </is>
      </c>
      <c r="E2761" t="inlineStr">
        <is>
          <t>STRÖMSUND</t>
        </is>
      </c>
      <c r="F2761" t="inlineStr">
        <is>
          <t>SCA</t>
        </is>
      </c>
      <c r="G2761" t="n">
        <v>30.9</v>
      </c>
      <c r="H2761" t="n">
        <v>0</v>
      </c>
      <c r="I2761" t="n">
        <v>0</v>
      </c>
      <c r="J2761" t="n">
        <v>0</v>
      </c>
      <c r="K2761" t="n">
        <v>0</v>
      </c>
      <c r="L2761" t="n">
        <v>0</v>
      </c>
      <c r="M2761" t="n">
        <v>0</v>
      </c>
      <c r="N2761" t="n">
        <v>0</v>
      </c>
      <c r="O2761" t="n">
        <v>0</v>
      </c>
      <c r="P2761" t="n">
        <v>0</v>
      </c>
      <c r="Q2761" t="n">
        <v>0</v>
      </c>
      <c r="R2761" s="2" t="inlineStr"/>
    </row>
    <row r="2762" ht="15" customHeight="1">
      <c r="A2762" t="inlineStr">
        <is>
          <t>A 3841-2024</t>
        </is>
      </c>
      <c r="B2762" s="1" t="n">
        <v>45321</v>
      </c>
      <c r="C2762" s="1" t="n">
        <v>45749</v>
      </c>
      <c r="D2762" t="inlineStr">
        <is>
          <t>JÄMTLANDS LÄN</t>
        </is>
      </c>
      <c r="E2762" t="inlineStr">
        <is>
          <t>STRÖMSUND</t>
        </is>
      </c>
      <c r="F2762" t="inlineStr">
        <is>
          <t>SCA</t>
        </is>
      </c>
      <c r="G2762" t="n">
        <v>19.4</v>
      </c>
      <c r="H2762" t="n">
        <v>0</v>
      </c>
      <c r="I2762" t="n">
        <v>0</v>
      </c>
      <c r="J2762" t="n">
        <v>0</v>
      </c>
      <c r="K2762" t="n">
        <v>0</v>
      </c>
      <c r="L2762" t="n">
        <v>0</v>
      </c>
      <c r="M2762" t="n">
        <v>0</v>
      </c>
      <c r="N2762" t="n">
        <v>0</v>
      </c>
      <c r="O2762" t="n">
        <v>0</v>
      </c>
      <c r="P2762" t="n">
        <v>0</v>
      </c>
      <c r="Q2762" t="n">
        <v>0</v>
      </c>
      <c r="R2762" s="2" t="inlineStr"/>
    </row>
    <row r="2763" ht="15" customHeight="1">
      <c r="A2763" t="inlineStr">
        <is>
          <t>A 3994-2024</t>
        </is>
      </c>
      <c r="B2763" s="1" t="n">
        <v>45322</v>
      </c>
      <c r="C2763" s="1" t="n">
        <v>45749</v>
      </c>
      <c r="D2763" t="inlineStr">
        <is>
          <t>JÄMTLANDS LÄN</t>
        </is>
      </c>
      <c r="E2763" t="inlineStr">
        <is>
          <t>STRÖMSUND</t>
        </is>
      </c>
      <c r="F2763" t="inlineStr">
        <is>
          <t>SCA</t>
        </is>
      </c>
      <c r="G2763" t="n">
        <v>40.8</v>
      </c>
      <c r="H2763" t="n">
        <v>0</v>
      </c>
      <c r="I2763" t="n">
        <v>0</v>
      </c>
      <c r="J2763" t="n">
        <v>0</v>
      </c>
      <c r="K2763" t="n">
        <v>0</v>
      </c>
      <c r="L2763" t="n">
        <v>0</v>
      </c>
      <c r="M2763" t="n">
        <v>0</v>
      </c>
      <c r="N2763" t="n">
        <v>0</v>
      </c>
      <c r="O2763" t="n">
        <v>0</v>
      </c>
      <c r="P2763" t="n">
        <v>0</v>
      </c>
      <c r="Q2763" t="n">
        <v>0</v>
      </c>
      <c r="R2763" s="2" t="inlineStr"/>
    </row>
    <row r="2764" ht="15" customHeight="1">
      <c r="A2764" t="inlineStr">
        <is>
          <t>A 3997-2024</t>
        </is>
      </c>
      <c r="B2764" s="1" t="n">
        <v>45322</v>
      </c>
      <c r="C2764" s="1" t="n">
        <v>45749</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4178-2024</t>
        </is>
      </c>
      <c r="B2765" s="1" t="n">
        <v>45323</v>
      </c>
      <c r="C2765" s="1" t="n">
        <v>45749</v>
      </c>
      <c r="D2765" t="inlineStr">
        <is>
          <t>JÄMTLANDS LÄN</t>
        </is>
      </c>
      <c r="E2765" t="inlineStr">
        <is>
          <t>STRÖMSUND</t>
        </is>
      </c>
      <c r="F2765" t="inlineStr">
        <is>
          <t>SCA</t>
        </is>
      </c>
      <c r="G2765" t="n">
        <v>36.4</v>
      </c>
      <c r="H2765" t="n">
        <v>0</v>
      </c>
      <c r="I2765" t="n">
        <v>0</v>
      </c>
      <c r="J2765" t="n">
        <v>0</v>
      </c>
      <c r="K2765" t="n">
        <v>0</v>
      </c>
      <c r="L2765" t="n">
        <v>0</v>
      </c>
      <c r="M2765" t="n">
        <v>0</v>
      </c>
      <c r="N2765" t="n">
        <v>0</v>
      </c>
      <c r="O2765" t="n">
        <v>0</v>
      </c>
      <c r="P2765" t="n">
        <v>0</v>
      </c>
      <c r="Q2765" t="n">
        <v>0</v>
      </c>
      <c r="R2765" s="2" t="inlineStr"/>
    </row>
    <row r="2766" ht="15" customHeight="1">
      <c r="A2766" t="inlineStr">
        <is>
          <t>A 4177-2024</t>
        </is>
      </c>
      <c r="B2766" s="1" t="n">
        <v>45323</v>
      </c>
      <c r="C2766" s="1" t="n">
        <v>45749</v>
      </c>
      <c r="D2766" t="inlineStr">
        <is>
          <t>JÄMTLANDS LÄN</t>
        </is>
      </c>
      <c r="E2766" t="inlineStr">
        <is>
          <t>STRÖMSUND</t>
        </is>
      </c>
      <c r="F2766" t="inlineStr">
        <is>
          <t>SCA</t>
        </is>
      </c>
      <c r="G2766" t="n">
        <v>37.5</v>
      </c>
      <c r="H2766" t="n">
        <v>0</v>
      </c>
      <c r="I2766" t="n">
        <v>0</v>
      </c>
      <c r="J2766" t="n">
        <v>0</v>
      </c>
      <c r="K2766" t="n">
        <v>0</v>
      </c>
      <c r="L2766" t="n">
        <v>0</v>
      </c>
      <c r="M2766" t="n">
        <v>0</v>
      </c>
      <c r="N2766" t="n">
        <v>0</v>
      </c>
      <c r="O2766" t="n">
        <v>0</v>
      </c>
      <c r="P2766" t="n">
        <v>0</v>
      </c>
      <c r="Q2766" t="n">
        <v>0</v>
      </c>
      <c r="R2766" s="2" t="inlineStr"/>
    </row>
    <row r="2767" ht="15" customHeight="1">
      <c r="A2767" t="inlineStr">
        <is>
          <t>A 4179-2024</t>
        </is>
      </c>
      <c r="B2767" s="1" t="n">
        <v>45323</v>
      </c>
      <c r="C2767" s="1" t="n">
        <v>45749</v>
      </c>
      <c r="D2767" t="inlineStr">
        <is>
          <t>JÄMTLANDS LÄN</t>
        </is>
      </c>
      <c r="E2767" t="inlineStr">
        <is>
          <t>STRÖMSUND</t>
        </is>
      </c>
      <c r="F2767" t="inlineStr">
        <is>
          <t>SCA</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4449-2024</t>
        </is>
      </c>
      <c r="B2768" s="1" t="n">
        <v>45324</v>
      </c>
      <c r="C2768" s="1" t="n">
        <v>45749</v>
      </c>
      <c r="D2768" t="inlineStr">
        <is>
          <t>JÄMTLANDS LÄN</t>
        </is>
      </c>
      <c r="E2768" t="inlineStr">
        <is>
          <t>STRÖMSUND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4378-2024</t>
        </is>
      </c>
      <c r="B2769" s="1" t="n">
        <v>45326</v>
      </c>
      <c r="C2769" s="1" t="n">
        <v>45749</v>
      </c>
      <c r="D2769" t="inlineStr">
        <is>
          <t>JÄMTLANDS LÄN</t>
        </is>
      </c>
      <c r="E2769" t="inlineStr">
        <is>
          <t>STRÖMSUND</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4436-2024</t>
        </is>
      </c>
      <c r="B2770" s="1" t="n">
        <v>45327</v>
      </c>
      <c r="C2770" s="1" t="n">
        <v>45749</v>
      </c>
      <c r="D2770" t="inlineStr">
        <is>
          <t>JÄMTLANDS LÄN</t>
        </is>
      </c>
      <c r="E2770" t="inlineStr">
        <is>
          <t>STRÖMSUND</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4507-2024</t>
        </is>
      </c>
      <c r="B2771" s="1" t="n">
        <v>45327</v>
      </c>
      <c r="C2771" s="1" t="n">
        <v>45749</v>
      </c>
      <c r="D2771" t="inlineStr">
        <is>
          <t>JÄMTLANDS LÄN</t>
        </is>
      </c>
      <c r="E2771" t="inlineStr">
        <is>
          <t>STRÖMSUND</t>
        </is>
      </c>
      <c r="F2771" t="inlineStr">
        <is>
          <t>Kyrkan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4514-2024</t>
        </is>
      </c>
      <c r="B2772" s="1" t="n">
        <v>45327</v>
      </c>
      <c r="C2772" s="1" t="n">
        <v>45749</v>
      </c>
      <c r="D2772" t="inlineStr">
        <is>
          <t>JÄMTLANDS LÄN</t>
        </is>
      </c>
      <c r="E2772" t="inlineStr">
        <is>
          <t>STRÖMSUND</t>
        </is>
      </c>
      <c r="F2772" t="inlineStr">
        <is>
          <t>Kyrkan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4586-2024</t>
        </is>
      </c>
      <c r="B2773" s="1" t="n">
        <v>45327</v>
      </c>
      <c r="C2773" s="1" t="n">
        <v>45749</v>
      </c>
      <c r="D2773" t="inlineStr">
        <is>
          <t>JÄMTLANDS LÄN</t>
        </is>
      </c>
      <c r="E2773" t="inlineStr">
        <is>
          <t>STRÖMSUND</t>
        </is>
      </c>
      <c r="F2773" t="inlineStr">
        <is>
          <t>SCA</t>
        </is>
      </c>
      <c r="G2773" t="n">
        <v>28.8</v>
      </c>
      <c r="H2773" t="n">
        <v>0</v>
      </c>
      <c r="I2773" t="n">
        <v>0</v>
      </c>
      <c r="J2773" t="n">
        <v>0</v>
      </c>
      <c r="K2773" t="n">
        <v>0</v>
      </c>
      <c r="L2773" t="n">
        <v>0</v>
      </c>
      <c r="M2773" t="n">
        <v>0</v>
      </c>
      <c r="N2773" t="n">
        <v>0</v>
      </c>
      <c r="O2773" t="n">
        <v>0</v>
      </c>
      <c r="P2773" t="n">
        <v>0</v>
      </c>
      <c r="Q2773" t="n">
        <v>0</v>
      </c>
      <c r="R2773" s="2" t="inlineStr"/>
    </row>
    <row r="2774" ht="15" customHeight="1">
      <c r="A2774" t="inlineStr">
        <is>
          <t>A 4579-2024</t>
        </is>
      </c>
      <c r="B2774" s="1" t="n">
        <v>45327</v>
      </c>
      <c r="C2774" s="1" t="n">
        <v>45749</v>
      </c>
      <c r="D2774" t="inlineStr">
        <is>
          <t>JÄMTLANDS LÄN</t>
        </is>
      </c>
      <c r="E2774" t="inlineStr">
        <is>
          <t>STRÖMSUND</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4588-2024</t>
        </is>
      </c>
      <c r="B2775" s="1" t="n">
        <v>45327</v>
      </c>
      <c r="C2775" s="1" t="n">
        <v>45749</v>
      </c>
      <c r="D2775" t="inlineStr">
        <is>
          <t>JÄMTLANDS LÄN</t>
        </is>
      </c>
      <c r="E2775" t="inlineStr">
        <is>
          <t>STRÖMSUND</t>
        </is>
      </c>
      <c r="F2775" t="inlineStr">
        <is>
          <t>SCA</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4663-2024</t>
        </is>
      </c>
      <c r="B2776" s="1" t="n">
        <v>45328</v>
      </c>
      <c r="C2776" s="1" t="n">
        <v>45749</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4825-2024</t>
        </is>
      </c>
      <c r="B2777" s="1" t="n">
        <v>45328</v>
      </c>
      <c r="C2777" s="1" t="n">
        <v>45749</v>
      </c>
      <c r="D2777" t="inlineStr">
        <is>
          <t>JÄMTLANDS LÄN</t>
        </is>
      </c>
      <c r="E2777" t="inlineStr">
        <is>
          <t>STRÖMSUND</t>
        </is>
      </c>
      <c r="F2777" t="inlineStr">
        <is>
          <t>SCA</t>
        </is>
      </c>
      <c r="G2777" t="n">
        <v>33.1</v>
      </c>
      <c r="H2777" t="n">
        <v>0</v>
      </c>
      <c r="I2777" t="n">
        <v>0</v>
      </c>
      <c r="J2777" t="n">
        <v>0</v>
      </c>
      <c r="K2777" t="n">
        <v>0</v>
      </c>
      <c r="L2777" t="n">
        <v>0</v>
      </c>
      <c r="M2777" t="n">
        <v>0</v>
      </c>
      <c r="N2777" t="n">
        <v>0</v>
      </c>
      <c r="O2777" t="n">
        <v>0</v>
      </c>
      <c r="P2777" t="n">
        <v>0</v>
      </c>
      <c r="Q2777" t="n">
        <v>0</v>
      </c>
      <c r="R2777" s="2" t="inlineStr"/>
    </row>
    <row r="2778" ht="15" customHeight="1">
      <c r="A2778" t="inlineStr">
        <is>
          <t>A 4823-2024</t>
        </is>
      </c>
      <c r="B2778" s="1" t="n">
        <v>45328</v>
      </c>
      <c r="C2778" s="1" t="n">
        <v>45749</v>
      </c>
      <c r="D2778" t="inlineStr">
        <is>
          <t>JÄMTLANDS LÄN</t>
        </is>
      </c>
      <c r="E2778" t="inlineStr">
        <is>
          <t>STRÖMSUND</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5068-2024</t>
        </is>
      </c>
      <c r="B2779" s="1" t="n">
        <v>45329</v>
      </c>
      <c r="C2779" s="1" t="n">
        <v>45749</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5105-2024</t>
        </is>
      </c>
      <c r="B2780" s="1" t="n">
        <v>45330</v>
      </c>
      <c r="C2780" s="1" t="n">
        <v>45749</v>
      </c>
      <c r="D2780" t="inlineStr">
        <is>
          <t>JÄMTLANDS LÄN</t>
        </is>
      </c>
      <c r="E2780" t="inlineStr">
        <is>
          <t>STRÖMSUND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5260-2024</t>
        </is>
      </c>
      <c r="B2781" s="1" t="n">
        <v>45331</v>
      </c>
      <c r="C2781" s="1" t="n">
        <v>45749</v>
      </c>
      <c r="D2781" t="inlineStr">
        <is>
          <t>JÄMTLANDS LÄN</t>
        </is>
      </c>
      <c r="E2781" t="inlineStr">
        <is>
          <t>STRÖMSUND</t>
        </is>
      </c>
      <c r="F2781" t="inlineStr">
        <is>
          <t>SCA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5259-2024</t>
        </is>
      </c>
      <c r="B2782" s="1" t="n">
        <v>45330</v>
      </c>
      <c r="C2782" s="1" t="n">
        <v>45749</v>
      </c>
      <c r="D2782" t="inlineStr">
        <is>
          <t>JÄMTLANDS LÄN</t>
        </is>
      </c>
      <c r="E2782" t="inlineStr">
        <is>
          <t>STRÖMSUND</t>
        </is>
      </c>
      <c r="F2782" t="inlineStr">
        <is>
          <t>SCA</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5262-2024</t>
        </is>
      </c>
      <c r="B2783" s="1" t="n">
        <v>45330</v>
      </c>
      <c r="C2783" s="1" t="n">
        <v>45749</v>
      </c>
      <c r="D2783" t="inlineStr">
        <is>
          <t>JÄMTLANDS LÄN</t>
        </is>
      </c>
      <c r="E2783" t="inlineStr">
        <is>
          <t>STRÖMSUND</t>
        </is>
      </c>
      <c r="F2783" t="inlineStr">
        <is>
          <t>SCA</t>
        </is>
      </c>
      <c r="G2783" t="n">
        <v>19.7</v>
      </c>
      <c r="H2783" t="n">
        <v>0</v>
      </c>
      <c r="I2783" t="n">
        <v>0</v>
      </c>
      <c r="J2783" t="n">
        <v>0</v>
      </c>
      <c r="K2783" t="n">
        <v>0</v>
      </c>
      <c r="L2783" t="n">
        <v>0</v>
      </c>
      <c r="M2783" t="n">
        <v>0</v>
      </c>
      <c r="N2783" t="n">
        <v>0</v>
      </c>
      <c r="O2783" t="n">
        <v>0</v>
      </c>
      <c r="P2783" t="n">
        <v>0</v>
      </c>
      <c r="Q2783" t="n">
        <v>0</v>
      </c>
      <c r="R2783" s="2" t="inlineStr"/>
    </row>
    <row r="2784" ht="15" customHeight="1">
      <c r="A2784" t="inlineStr">
        <is>
          <t>A 5267-2024</t>
        </is>
      </c>
      <c r="B2784" s="1" t="n">
        <v>45331</v>
      </c>
      <c r="C2784" s="1" t="n">
        <v>45749</v>
      </c>
      <c r="D2784" t="inlineStr">
        <is>
          <t>JÄMTLANDS LÄN</t>
        </is>
      </c>
      <c r="E2784" t="inlineStr">
        <is>
          <t>STRÖMSUND</t>
        </is>
      </c>
      <c r="F2784" t="inlineStr">
        <is>
          <t>SCA</t>
        </is>
      </c>
      <c r="G2784" t="n">
        <v>29.1</v>
      </c>
      <c r="H2784" t="n">
        <v>0</v>
      </c>
      <c r="I2784" t="n">
        <v>0</v>
      </c>
      <c r="J2784" t="n">
        <v>0</v>
      </c>
      <c r="K2784" t="n">
        <v>0</v>
      </c>
      <c r="L2784" t="n">
        <v>0</v>
      </c>
      <c r="M2784" t="n">
        <v>0</v>
      </c>
      <c r="N2784" t="n">
        <v>0</v>
      </c>
      <c r="O2784" t="n">
        <v>0</v>
      </c>
      <c r="P2784" t="n">
        <v>0</v>
      </c>
      <c r="Q2784" t="n">
        <v>0</v>
      </c>
      <c r="R2784" s="2" t="inlineStr"/>
    </row>
    <row r="2785" ht="15" customHeight="1">
      <c r="A2785" t="inlineStr">
        <is>
          <t>A 5261-2024</t>
        </is>
      </c>
      <c r="B2785" s="1" t="n">
        <v>45331</v>
      </c>
      <c r="C2785" s="1" t="n">
        <v>45749</v>
      </c>
      <c r="D2785" t="inlineStr">
        <is>
          <t>JÄMTLANDS LÄN</t>
        </is>
      </c>
      <c r="E2785" t="inlineStr">
        <is>
          <t>STRÖMSUND</t>
        </is>
      </c>
      <c r="F2785" t="inlineStr">
        <is>
          <t>SCA</t>
        </is>
      </c>
      <c r="G2785" t="n">
        <v>29.7</v>
      </c>
      <c r="H2785" t="n">
        <v>0</v>
      </c>
      <c r="I2785" t="n">
        <v>0</v>
      </c>
      <c r="J2785" t="n">
        <v>0</v>
      </c>
      <c r="K2785" t="n">
        <v>0</v>
      </c>
      <c r="L2785" t="n">
        <v>0</v>
      </c>
      <c r="M2785" t="n">
        <v>0</v>
      </c>
      <c r="N2785" t="n">
        <v>0</v>
      </c>
      <c r="O2785" t="n">
        <v>0</v>
      </c>
      <c r="P2785" t="n">
        <v>0</v>
      </c>
      <c r="Q2785" t="n">
        <v>0</v>
      </c>
      <c r="R2785" s="2" t="inlineStr"/>
    </row>
    <row r="2786" ht="15" customHeight="1">
      <c r="A2786" t="inlineStr">
        <is>
          <t>A 5333-2024</t>
        </is>
      </c>
      <c r="B2786" s="1" t="n">
        <v>45331</v>
      </c>
      <c r="C2786" s="1" t="n">
        <v>45749</v>
      </c>
      <c r="D2786" t="inlineStr">
        <is>
          <t>JÄMTLANDS LÄN</t>
        </is>
      </c>
      <c r="E2786" t="inlineStr">
        <is>
          <t>STRÖMSUND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5350-2024</t>
        </is>
      </c>
      <c r="B2787" s="1" t="n">
        <v>45331</v>
      </c>
      <c r="C2787" s="1" t="n">
        <v>45749</v>
      </c>
      <c r="D2787" t="inlineStr">
        <is>
          <t>JÄMTLANDS LÄN</t>
        </is>
      </c>
      <c r="E2787" t="inlineStr">
        <is>
          <t>STRÖMSUND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5327-2024</t>
        </is>
      </c>
      <c r="B2788" s="1" t="n">
        <v>45331</v>
      </c>
      <c r="C2788" s="1" t="n">
        <v>45749</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5443-2024</t>
        </is>
      </c>
      <c r="B2789" s="1" t="n">
        <v>45331</v>
      </c>
      <c r="C2789" s="1" t="n">
        <v>45749</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5449-2024</t>
        </is>
      </c>
      <c r="B2790" s="1" t="n">
        <v>45331</v>
      </c>
      <c r="C2790" s="1" t="n">
        <v>45749</v>
      </c>
      <c r="D2790" t="inlineStr">
        <is>
          <t>JÄMTLANDS LÄN</t>
        </is>
      </c>
      <c r="E2790" t="inlineStr">
        <is>
          <t>STRÖMSUND</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5453-2024</t>
        </is>
      </c>
      <c r="B2791" s="1" t="n">
        <v>45331</v>
      </c>
      <c r="C2791" s="1" t="n">
        <v>45749</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5451-2024</t>
        </is>
      </c>
      <c r="B2792" s="1" t="n">
        <v>45331</v>
      </c>
      <c r="C2792" s="1" t="n">
        <v>45749</v>
      </c>
      <c r="D2792" t="inlineStr">
        <is>
          <t>JÄMTLANDS LÄN</t>
        </is>
      </c>
      <c r="E2792" t="inlineStr">
        <is>
          <t>STRÖMSUND</t>
        </is>
      </c>
      <c r="F2792" t="inlineStr">
        <is>
          <t>SCA</t>
        </is>
      </c>
      <c r="G2792" t="n">
        <v>13.5</v>
      </c>
      <c r="H2792" t="n">
        <v>0</v>
      </c>
      <c r="I2792" t="n">
        <v>0</v>
      </c>
      <c r="J2792" t="n">
        <v>0</v>
      </c>
      <c r="K2792" t="n">
        <v>0</v>
      </c>
      <c r="L2792" t="n">
        <v>0</v>
      </c>
      <c r="M2792" t="n">
        <v>0</v>
      </c>
      <c r="N2792" t="n">
        <v>0</v>
      </c>
      <c r="O2792" t="n">
        <v>0</v>
      </c>
      <c r="P2792" t="n">
        <v>0</v>
      </c>
      <c r="Q2792" t="n">
        <v>0</v>
      </c>
      <c r="R2792" s="2" t="inlineStr"/>
    </row>
    <row r="2793" ht="15" customHeight="1">
      <c r="A2793" t="inlineStr">
        <is>
          <t>A 5444-2024</t>
        </is>
      </c>
      <c r="B2793" s="1" t="n">
        <v>45331</v>
      </c>
      <c r="C2793" s="1" t="n">
        <v>45749</v>
      </c>
      <c r="D2793" t="inlineStr">
        <is>
          <t>JÄMTLANDS LÄN</t>
        </is>
      </c>
      <c r="E2793" t="inlineStr">
        <is>
          <t>STRÖMSUND</t>
        </is>
      </c>
      <c r="F2793" t="inlineStr">
        <is>
          <t>SCA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5450-2024</t>
        </is>
      </c>
      <c r="B2794" s="1" t="n">
        <v>45331</v>
      </c>
      <c r="C2794" s="1" t="n">
        <v>45749</v>
      </c>
      <c r="D2794" t="inlineStr">
        <is>
          <t>JÄMTLANDS LÄN</t>
        </is>
      </c>
      <c r="E2794" t="inlineStr">
        <is>
          <t>STRÖMSUND</t>
        </is>
      </c>
      <c r="F2794" t="inlineStr">
        <is>
          <t>SCA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5454-2024</t>
        </is>
      </c>
      <c r="B2795" s="1" t="n">
        <v>45331</v>
      </c>
      <c r="C2795" s="1" t="n">
        <v>45749</v>
      </c>
      <c r="D2795" t="inlineStr">
        <is>
          <t>JÄMTLANDS LÄN</t>
        </is>
      </c>
      <c r="E2795" t="inlineStr">
        <is>
          <t>STRÖMSUND</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5736-2024</t>
        </is>
      </c>
      <c r="B2796" s="1" t="n">
        <v>45334</v>
      </c>
      <c r="C2796" s="1" t="n">
        <v>45749</v>
      </c>
      <c r="D2796" t="inlineStr">
        <is>
          <t>JÄMTLANDS LÄN</t>
        </is>
      </c>
      <c r="E2796" t="inlineStr">
        <is>
          <t>STRÖMSUND</t>
        </is>
      </c>
      <c r="F2796" t="inlineStr">
        <is>
          <t>SCA</t>
        </is>
      </c>
      <c r="G2796" t="n">
        <v>30.3</v>
      </c>
      <c r="H2796" t="n">
        <v>0</v>
      </c>
      <c r="I2796" t="n">
        <v>0</v>
      </c>
      <c r="J2796" t="n">
        <v>0</v>
      </c>
      <c r="K2796" t="n">
        <v>0</v>
      </c>
      <c r="L2796" t="n">
        <v>0</v>
      </c>
      <c r="M2796" t="n">
        <v>0</v>
      </c>
      <c r="N2796" t="n">
        <v>0</v>
      </c>
      <c r="O2796" t="n">
        <v>0</v>
      </c>
      <c r="P2796" t="n">
        <v>0</v>
      </c>
      <c r="Q2796" t="n">
        <v>0</v>
      </c>
      <c r="R2796" s="2" t="inlineStr"/>
    </row>
    <row r="2797" ht="15" customHeight="1">
      <c r="A2797" t="inlineStr">
        <is>
          <t>A 6083-2024</t>
        </is>
      </c>
      <c r="B2797" s="1" t="n">
        <v>45337</v>
      </c>
      <c r="C2797" s="1" t="n">
        <v>45749</v>
      </c>
      <c r="D2797" t="inlineStr">
        <is>
          <t>JÄMTLANDS LÄN</t>
        </is>
      </c>
      <c r="E2797" t="inlineStr">
        <is>
          <t>STRÖMSUND</t>
        </is>
      </c>
      <c r="F2797" t="inlineStr">
        <is>
          <t>SCA</t>
        </is>
      </c>
      <c r="G2797" t="n">
        <v>45.8</v>
      </c>
      <c r="H2797" t="n">
        <v>0</v>
      </c>
      <c r="I2797" t="n">
        <v>0</v>
      </c>
      <c r="J2797" t="n">
        <v>0</v>
      </c>
      <c r="K2797" t="n">
        <v>0</v>
      </c>
      <c r="L2797" t="n">
        <v>0</v>
      </c>
      <c r="M2797" t="n">
        <v>0</v>
      </c>
      <c r="N2797" t="n">
        <v>0</v>
      </c>
      <c r="O2797" t="n">
        <v>0</v>
      </c>
      <c r="P2797" t="n">
        <v>0</v>
      </c>
      <c r="Q2797" t="n">
        <v>0</v>
      </c>
      <c r="R2797" s="2" t="inlineStr"/>
    </row>
    <row r="2798" ht="15" customHeight="1">
      <c r="A2798" t="inlineStr">
        <is>
          <t>A 5930-2024</t>
        </is>
      </c>
      <c r="B2798" s="1" t="n">
        <v>45336</v>
      </c>
      <c r="C2798" s="1" t="n">
        <v>45749</v>
      </c>
      <c r="D2798" t="inlineStr">
        <is>
          <t>JÄMTLANDS LÄN</t>
        </is>
      </c>
      <c r="E2798" t="inlineStr">
        <is>
          <t>STRÖMSUND</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6085-2024</t>
        </is>
      </c>
      <c r="B2799" s="1" t="n">
        <v>45336</v>
      </c>
      <c r="C2799" s="1" t="n">
        <v>45749</v>
      </c>
      <c r="D2799" t="inlineStr">
        <is>
          <t>JÄMTLANDS LÄN</t>
        </is>
      </c>
      <c r="E2799" t="inlineStr">
        <is>
          <t>STRÖMSUND</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6174-2024</t>
        </is>
      </c>
      <c r="B2800" s="1" t="n">
        <v>45337</v>
      </c>
      <c r="C2800" s="1" t="n">
        <v>45749</v>
      </c>
      <c r="D2800" t="inlineStr">
        <is>
          <t>JÄMTLANDS LÄN</t>
        </is>
      </c>
      <c r="E2800" t="inlineStr">
        <is>
          <t>STRÖMSUND</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6112-2024</t>
        </is>
      </c>
      <c r="B2801" s="1" t="n">
        <v>45337</v>
      </c>
      <c r="C2801" s="1" t="n">
        <v>45749</v>
      </c>
      <c r="D2801" t="inlineStr">
        <is>
          <t>JÄMTLANDS LÄN</t>
        </is>
      </c>
      <c r="E2801" t="inlineStr">
        <is>
          <t>STRÖMSUND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6287-2024</t>
        </is>
      </c>
      <c r="B2802" s="1" t="n">
        <v>45337</v>
      </c>
      <c r="C2802" s="1" t="n">
        <v>45749</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6476-2024</t>
        </is>
      </c>
      <c r="B2803" s="1" t="n">
        <v>45338</v>
      </c>
      <c r="C2803" s="1" t="n">
        <v>45749</v>
      </c>
      <c r="D2803" t="inlineStr">
        <is>
          <t>JÄMTLANDS LÄN</t>
        </is>
      </c>
      <c r="E2803" t="inlineStr">
        <is>
          <t>STRÖMSUND</t>
        </is>
      </c>
      <c r="F2803" t="inlineStr">
        <is>
          <t>SCA</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6478-2024</t>
        </is>
      </c>
      <c r="B2804" s="1" t="n">
        <v>45338</v>
      </c>
      <c r="C2804" s="1" t="n">
        <v>45749</v>
      </c>
      <c r="D2804" t="inlineStr">
        <is>
          <t>JÄMTLANDS LÄN</t>
        </is>
      </c>
      <c r="E2804" t="inlineStr">
        <is>
          <t>STRÖMSUND</t>
        </is>
      </c>
      <c r="F2804" t="inlineStr">
        <is>
          <t>SCA</t>
        </is>
      </c>
      <c r="G2804" t="n">
        <v>17.6</v>
      </c>
      <c r="H2804" t="n">
        <v>0</v>
      </c>
      <c r="I2804" t="n">
        <v>0</v>
      </c>
      <c r="J2804" t="n">
        <v>0</v>
      </c>
      <c r="K2804" t="n">
        <v>0</v>
      </c>
      <c r="L2804" t="n">
        <v>0</v>
      </c>
      <c r="M2804" t="n">
        <v>0</v>
      </c>
      <c r="N2804" t="n">
        <v>0</v>
      </c>
      <c r="O2804" t="n">
        <v>0</v>
      </c>
      <c r="P2804" t="n">
        <v>0</v>
      </c>
      <c r="Q2804" t="n">
        <v>0</v>
      </c>
      <c r="R2804" s="2" t="inlineStr"/>
    </row>
    <row r="2805" ht="15" customHeight="1">
      <c r="A2805" t="inlineStr">
        <is>
          <t>A 6475-2024</t>
        </is>
      </c>
      <c r="B2805" s="1" t="n">
        <v>45338</v>
      </c>
      <c r="C2805" s="1" t="n">
        <v>45749</v>
      </c>
      <c r="D2805" t="inlineStr">
        <is>
          <t>JÄMTLANDS LÄN</t>
        </is>
      </c>
      <c r="E2805" t="inlineStr">
        <is>
          <t>STRÖMSUND</t>
        </is>
      </c>
      <c r="F2805" t="inlineStr">
        <is>
          <t>SCA</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6479-2024</t>
        </is>
      </c>
      <c r="B2806" s="1" t="n">
        <v>45338</v>
      </c>
      <c r="C2806" s="1" t="n">
        <v>45749</v>
      </c>
      <c r="D2806" t="inlineStr">
        <is>
          <t>JÄMTLANDS LÄN</t>
        </is>
      </c>
      <c r="E2806" t="inlineStr">
        <is>
          <t>STRÖMSUND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6512-2024</t>
        </is>
      </c>
      <c r="B2807" s="1" t="n">
        <v>45340</v>
      </c>
      <c r="C2807" s="1" t="n">
        <v>45749</v>
      </c>
      <c r="D2807" t="inlineStr">
        <is>
          <t>JÄMTLANDS LÄN</t>
        </is>
      </c>
      <c r="E2807" t="inlineStr">
        <is>
          <t>STRÖMSUND</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6566-2024</t>
        </is>
      </c>
      <c r="B2808" s="1" t="n">
        <v>45341</v>
      </c>
      <c r="C2808" s="1" t="n">
        <v>45749</v>
      </c>
      <c r="D2808" t="inlineStr">
        <is>
          <t>JÄMTLANDS LÄN</t>
        </is>
      </c>
      <c r="E2808" t="inlineStr">
        <is>
          <t>STRÖMSUND</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6693-2024</t>
        </is>
      </c>
      <c r="B2809" s="1" t="n">
        <v>45341</v>
      </c>
      <c r="C2809" s="1" t="n">
        <v>45749</v>
      </c>
      <c r="D2809" t="inlineStr">
        <is>
          <t>JÄMTLANDS LÄN</t>
        </is>
      </c>
      <c r="E2809" t="inlineStr">
        <is>
          <t>STRÖMSUND</t>
        </is>
      </c>
      <c r="F2809" t="inlineStr">
        <is>
          <t>SCA</t>
        </is>
      </c>
      <c r="G2809" t="n">
        <v>14.2</v>
      </c>
      <c r="H2809" t="n">
        <v>0</v>
      </c>
      <c r="I2809" t="n">
        <v>0</v>
      </c>
      <c r="J2809" t="n">
        <v>0</v>
      </c>
      <c r="K2809" t="n">
        <v>0</v>
      </c>
      <c r="L2809" t="n">
        <v>0</v>
      </c>
      <c r="M2809" t="n">
        <v>0</v>
      </c>
      <c r="N2809" t="n">
        <v>0</v>
      </c>
      <c r="O2809" t="n">
        <v>0</v>
      </c>
      <c r="P2809" t="n">
        <v>0</v>
      </c>
      <c r="Q2809" t="n">
        <v>0</v>
      </c>
      <c r="R2809" s="2" t="inlineStr"/>
    </row>
    <row r="2810" ht="15" customHeight="1">
      <c r="A2810" t="inlineStr">
        <is>
          <t>A 6696-2024</t>
        </is>
      </c>
      <c r="B2810" s="1" t="n">
        <v>45341</v>
      </c>
      <c r="C2810" s="1" t="n">
        <v>45749</v>
      </c>
      <c r="D2810" t="inlineStr">
        <is>
          <t>JÄMTLANDS LÄN</t>
        </is>
      </c>
      <c r="E2810" t="inlineStr">
        <is>
          <t>STRÖMSUND</t>
        </is>
      </c>
      <c r="F2810" t="inlineStr">
        <is>
          <t>SCA</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6695-2024</t>
        </is>
      </c>
      <c r="B2811" s="1" t="n">
        <v>45341</v>
      </c>
      <c r="C2811" s="1" t="n">
        <v>45749</v>
      </c>
      <c r="D2811" t="inlineStr">
        <is>
          <t>JÄMTLANDS LÄN</t>
        </is>
      </c>
      <c r="E2811" t="inlineStr">
        <is>
          <t>STRÖMSUND</t>
        </is>
      </c>
      <c r="F2811" t="inlineStr">
        <is>
          <t>SCA</t>
        </is>
      </c>
      <c r="G2811" t="n">
        <v>19.5</v>
      </c>
      <c r="H2811" t="n">
        <v>0</v>
      </c>
      <c r="I2811" t="n">
        <v>0</v>
      </c>
      <c r="J2811" t="n">
        <v>0</v>
      </c>
      <c r="K2811" t="n">
        <v>0</v>
      </c>
      <c r="L2811" t="n">
        <v>0</v>
      </c>
      <c r="M2811" t="n">
        <v>0</v>
      </c>
      <c r="N2811" t="n">
        <v>0</v>
      </c>
      <c r="O2811" t="n">
        <v>0</v>
      </c>
      <c r="P2811" t="n">
        <v>0</v>
      </c>
      <c r="Q2811" t="n">
        <v>0</v>
      </c>
      <c r="R2811" s="2" t="inlineStr"/>
    </row>
    <row r="2812" ht="15" customHeight="1">
      <c r="A2812" t="inlineStr">
        <is>
          <t>A 6894-2024</t>
        </is>
      </c>
      <c r="B2812" s="1" t="n">
        <v>45342</v>
      </c>
      <c r="C2812" s="1" t="n">
        <v>45749</v>
      </c>
      <c r="D2812" t="inlineStr">
        <is>
          <t>JÄMTLANDS LÄN</t>
        </is>
      </c>
      <c r="E2812" t="inlineStr">
        <is>
          <t>STRÖMSUND</t>
        </is>
      </c>
      <c r="G2812" t="n">
        <v>16.3</v>
      </c>
      <c r="H2812" t="n">
        <v>0</v>
      </c>
      <c r="I2812" t="n">
        <v>0</v>
      </c>
      <c r="J2812" t="n">
        <v>0</v>
      </c>
      <c r="K2812" t="n">
        <v>0</v>
      </c>
      <c r="L2812" t="n">
        <v>0</v>
      </c>
      <c r="M2812" t="n">
        <v>0</v>
      </c>
      <c r="N2812" t="n">
        <v>0</v>
      </c>
      <c r="O2812" t="n">
        <v>0</v>
      </c>
      <c r="P2812" t="n">
        <v>0</v>
      </c>
      <c r="Q2812" t="n">
        <v>0</v>
      </c>
      <c r="R2812" s="2" t="inlineStr"/>
    </row>
    <row r="2813" ht="15" customHeight="1">
      <c r="A2813" t="inlineStr">
        <is>
          <t>A 6961-2024</t>
        </is>
      </c>
      <c r="B2813" s="1" t="n">
        <v>45343</v>
      </c>
      <c r="C2813" s="1" t="n">
        <v>45749</v>
      </c>
      <c r="D2813" t="inlineStr">
        <is>
          <t>JÄMTLANDS LÄN</t>
        </is>
      </c>
      <c r="E2813" t="inlineStr">
        <is>
          <t>STRÖMSUND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7112-2024</t>
        </is>
      </c>
      <c r="B2814" s="1" t="n">
        <v>45343</v>
      </c>
      <c r="C2814" s="1" t="n">
        <v>45749</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7293-2024</t>
        </is>
      </c>
      <c r="B2815" s="1" t="n">
        <v>45344</v>
      </c>
      <c r="C2815" s="1" t="n">
        <v>45749</v>
      </c>
      <c r="D2815" t="inlineStr">
        <is>
          <t>JÄMTLANDS LÄN</t>
        </is>
      </c>
      <c r="E2815" t="inlineStr">
        <is>
          <t>STRÖMSUND</t>
        </is>
      </c>
      <c r="F2815" t="inlineStr">
        <is>
          <t>SCA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7302-2024</t>
        </is>
      </c>
      <c r="B2816" s="1" t="n">
        <v>45344</v>
      </c>
      <c r="C2816" s="1" t="n">
        <v>45749</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7301-2024</t>
        </is>
      </c>
      <c r="B2817" s="1" t="n">
        <v>45344</v>
      </c>
      <c r="C2817" s="1" t="n">
        <v>45749</v>
      </c>
      <c r="D2817" t="inlineStr">
        <is>
          <t>JÄMTLANDS LÄN</t>
        </is>
      </c>
      <c r="E2817" t="inlineStr">
        <is>
          <t>STRÖMSUND</t>
        </is>
      </c>
      <c r="F2817" t="inlineStr">
        <is>
          <t>SCA</t>
        </is>
      </c>
      <c r="G2817" t="n">
        <v>28.2</v>
      </c>
      <c r="H2817" t="n">
        <v>0</v>
      </c>
      <c r="I2817" t="n">
        <v>0</v>
      </c>
      <c r="J2817" t="n">
        <v>0</v>
      </c>
      <c r="K2817" t="n">
        <v>0</v>
      </c>
      <c r="L2817" t="n">
        <v>0</v>
      </c>
      <c r="M2817" t="n">
        <v>0</v>
      </c>
      <c r="N2817" t="n">
        <v>0</v>
      </c>
      <c r="O2817" t="n">
        <v>0</v>
      </c>
      <c r="P2817" t="n">
        <v>0</v>
      </c>
      <c r="Q2817" t="n">
        <v>0</v>
      </c>
      <c r="R2817" s="2" t="inlineStr"/>
    </row>
    <row r="2818" ht="15" customHeight="1">
      <c r="A2818" t="inlineStr">
        <is>
          <t>A 7572-2024</t>
        </is>
      </c>
      <c r="B2818" s="1" t="n">
        <v>45348</v>
      </c>
      <c r="C2818" s="1" t="n">
        <v>45749</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7803-2024</t>
        </is>
      </c>
      <c r="B2819" s="1" t="n">
        <v>45348</v>
      </c>
      <c r="C2819" s="1" t="n">
        <v>45749</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7690-2024</t>
        </is>
      </c>
      <c r="B2820" s="1" t="n">
        <v>45349</v>
      </c>
      <c r="C2820" s="1" t="n">
        <v>45749</v>
      </c>
      <c r="D2820" t="inlineStr">
        <is>
          <t>JÄMTLANDS LÄN</t>
        </is>
      </c>
      <c r="E2820" t="inlineStr">
        <is>
          <t>STRÖMSUND</t>
        </is>
      </c>
      <c r="F2820" t="inlineStr">
        <is>
          <t>SCA</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8134-2024</t>
        </is>
      </c>
      <c r="B2821" s="1" t="n">
        <v>45349</v>
      </c>
      <c r="C2821" s="1" t="n">
        <v>45749</v>
      </c>
      <c r="D2821" t="inlineStr">
        <is>
          <t>JÄMTLANDS LÄN</t>
        </is>
      </c>
      <c r="E2821" t="inlineStr">
        <is>
          <t>STRÖMSUND</t>
        </is>
      </c>
      <c r="G2821" t="n">
        <v>22.9</v>
      </c>
      <c r="H2821" t="n">
        <v>0</v>
      </c>
      <c r="I2821" t="n">
        <v>0</v>
      </c>
      <c r="J2821" t="n">
        <v>0</v>
      </c>
      <c r="K2821" t="n">
        <v>0</v>
      </c>
      <c r="L2821" t="n">
        <v>0</v>
      </c>
      <c r="M2821" t="n">
        <v>0</v>
      </c>
      <c r="N2821" t="n">
        <v>0</v>
      </c>
      <c r="O2821" t="n">
        <v>0</v>
      </c>
      <c r="P2821" t="n">
        <v>0</v>
      </c>
      <c r="Q2821" t="n">
        <v>0</v>
      </c>
      <c r="R2821" s="2" t="inlineStr"/>
    </row>
    <row r="2822" ht="15" customHeight="1">
      <c r="A2822" t="inlineStr">
        <is>
          <t>A 8133-2024</t>
        </is>
      </c>
      <c r="B2822" s="1" t="n">
        <v>45349</v>
      </c>
      <c r="C2822" s="1" t="n">
        <v>45749</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7854-2024</t>
        </is>
      </c>
      <c r="B2823" s="1" t="n">
        <v>45350</v>
      </c>
      <c r="C2823" s="1" t="n">
        <v>45749</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8297-2024</t>
        </is>
      </c>
      <c r="B2824" s="1" t="n">
        <v>45350</v>
      </c>
      <c r="C2824" s="1" t="n">
        <v>45749</v>
      </c>
      <c r="D2824" t="inlineStr">
        <is>
          <t>JÄMTLANDS LÄN</t>
        </is>
      </c>
      <c r="E2824" t="inlineStr">
        <is>
          <t>STRÖMSUND</t>
        </is>
      </c>
      <c r="F2824" t="inlineStr">
        <is>
          <t>Kyrkan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8419-2024</t>
        </is>
      </c>
      <c r="B2825" s="1" t="n">
        <v>45352</v>
      </c>
      <c r="C2825" s="1" t="n">
        <v>45749</v>
      </c>
      <c r="D2825" t="inlineStr">
        <is>
          <t>JÄMTLANDS LÄN</t>
        </is>
      </c>
      <c r="E2825" t="inlineStr">
        <is>
          <t>STRÖMSUND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8420-2024</t>
        </is>
      </c>
      <c r="B2826" s="1" t="n">
        <v>45352</v>
      </c>
      <c r="C2826" s="1" t="n">
        <v>45749</v>
      </c>
      <c r="D2826" t="inlineStr">
        <is>
          <t>JÄMTLANDS LÄN</t>
        </is>
      </c>
      <c r="E2826" t="inlineStr">
        <is>
          <t>STRÖMSUND</t>
        </is>
      </c>
      <c r="F2826" t="inlineStr">
        <is>
          <t>SCA</t>
        </is>
      </c>
      <c r="G2826" t="n">
        <v>9.800000000000001</v>
      </c>
      <c r="H2826" t="n">
        <v>0</v>
      </c>
      <c r="I2826" t="n">
        <v>0</v>
      </c>
      <c r="J2826" t="n">
        <v>0</v>
      </c>
      <c r="K2826" t="n">
        <v>0</v>
      </c>
      <c r="L2826" t="n">
        <v>0</v>
      </c>
      <c r="M2826" t="n">
        <v>0</v>
      </c>
      <c r="N2826" t="n">
        <v>0</v>
      </c>
      <c r="O2826" t="n">
        <v>0</v>
      </c>
      <c r="P2826" t="n">
        <v>0</v>
      </c>
      <c r="Q2826" t="n">
        <v>0</v>
      </c>
      <c r="R2826" s="2" t="inlineStr"/>
      <c r="U2826">
        <f>HYPERLINK("https://klasma.github.io/Logging_2313/knärot/A 8420-2024 karta knärot.png", "A 8420-2024")</f>
        <v/>
      </c>
      <c r="V2826">
        <f>HYPERLINK("https://klasma.github.io/Logging_2313/klagomål/A 8420-2024 FSC-klagomål.docx", "A 8420-2024")</f>
        <v/>
      </c>
      <c r="W2826">
        <f>HYPERLINK("https://klasma.github.io/Logging_2313/klagomålsmail/A 8420-2024 FSC-klagomål mail.docx", "A 8420-2024")</f>
        <v/>
      </c>
      <c r="X2826">
        <f>HYPERLINK("https://klasma.github.io/Logging_2313/tillsyn/A 8420-2024 tillsynsbegäran.docx", "A 8420-2024")</f>
        <v/>
      </c>
      <c r="Y2826">
        <f>HYPERLINK("https://klasma.github.io/Logging_2313/tillsynsmail/A 8420-2024 tillsynsbegäran mail.docx", "A 8420-2024")</f>
        <v/>
      </c>
    </row>
    <row r="2827" ht="15" customHeight="1">
      <c r="A2827" t="inlineStr">
        <is>
          <t>A 8421-2024</t>
        </is>
      </c>
      <c r="B2827" s="1" t="n">
        <v>45353</v>
      </c>
      <c r="C2827" s="1" t="n">
        <v>45749</v>
      </c>
      <c r="D2827" t="inlineStr">
        <is>
          <t>JÄMTLANDS LÄN</t>
        </is>
      </c>
      <c r="E2827" t="inlineStr">
        <is>
          <t>STRÖMSUND</t>
        </is>
      </c>
      <c r="F2827" t="inlineStr">
        <is>
          <t>SCA</t>
        </is>
      </c>
      <c r="G2827" t="n">
        <v>35.8</v>
      </c>
      <c r="H2827" t="n">
        <v>0</v>
      </c>
      <c r="I2827" t="n">
        <v>0</v>
      </c>
      <c r="J2827" t="n">
        <v>0</v>
      </c>
      <c r="K2827" t="n">
        <v>0</v>
      </c>
      <c r="L2827" t="n">
        <v>0</v>
      </c>
      <c r="M2827" t="n">
        <v>0</v>
      </c>
      <c r="N2827" t="n">
        <v>0</v>
      </c>
      <c r="O2827" t="n">
        <v>0</v>
      </c>
      <c r="P2827" t="n">
        <v>0</v>
      </c>
      <c r="Q2827" t="n">
        <v>0</v>
      </c>
      <c r="R2827" s="2" t="inlineStr"/>
    </row>
    <row r="2828" ht="15" customHeight="1">
      <c r="A2828" t="inlineStr">
        <is>
          <t>A 8663-2024</t>
        </is>
      </c>
      <c r="B2828" s="1" t="n">
        <v>45356</v>
      </c>
      <c r="C2828" s="1" t="n">
        <v>45749</v>
      </c>
      <c r="D2828" t="inlineStr">
        <is>
          <t>JÄMTLANDS LÄN</t>
        </is>
      </c>
      <c r="E2828" t="inlineStr">
        <is>
          <t>STRÖMSUND</t>
        </is>
      </c>
      <c r="F2828" t="inlineStr">
        <is>
          <t>SCA</t>
        </is>
      </c>
      <c r="G2828" t="n">
        <v>24.8</v>
      </c>
      <c r="H2828" t="n">
        <v>0</v>
      </c>
      <c r="I2828" t="n">
        <v>0</v>
      </c>
      <c r="J2828" t="n">
        <v>0</v>
      </c>
      <c r="K2828" t="n">
        <v>0</v>
      </c>
      <c r="L2828" t="n">
        <v>0</v>
      </c>
      <c r="M2828" t="n">
        <v>0</v>
      </c>
      <c r="N2828" t="n">
        <v>0</v>
      </c>
      <c r="O2828" t="n">
        <v>0</v>
      </c>
      <c r="P2828" t="n">
        <v>0</v>
      </c>
      <c r="Q2828" t="n">
        <v>0</v>
      </c>
      <c r="R2828" s="2" t="inlineStr"/>
    </row>
    <row r="2829" ht="15" customHeight="1">
      <c r="A2829" t="inlineStr">
        <is>
          <t>A 8637-2024</t>
        </is>
      </c>
      <c r="B2829" s="1" t="n">
        <v>45356</v>
      </c>
      <c r="C2829" s="1" t="n">
        <v>45749</v>
      </c>
      <c r="D2829" t="inlineStr">
        <is>
          <t>JÄMTLANDS LÄN</t>
        </is>
      </c>
      <c r="E2829" t="inlineStr">
        <is>
          <t>STRÖMSUND</t>
        </is>
      </c>
      <c r="F2829" t="inlineStr">
        <is>
          <t>SCA</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8661-2024</t>
        </is>
      </c>
      <c r="B2830" s="1" t="n">
        <v>45356</v>
      </c>
      <c r="C2830" s="1" t="n">
        <v>45749</v>
      </c>
      <c r="D2830" t="inlineStr">
        <is>
          <t>JÄMTLANDS LÄN</t>
        </is>
      </c>
      <c r="E2830" t="inlineStr">
        <is>
          <t>STRÖMSUND</t>
        </is>
      </c>
      <c r="F2830" t="inlineStr">
        <is>
          <t>SCA</t>
        </is>
      </c>
      <c r="G2830" t="n">
        <v>28.8</v>
      </c>
      <c r="H2830" t="n">
        <v>0</v>
      </c>
      <c r="I2830" t="n">
        <v>0</v>
      </c>
      <c r="J2830" t="n">
        <v>0</v>
      </c>
      <c r="K2830" t="n">
        <v>0</v>
      </c>
      <c r="L2830" t="n">
        <v>0</v>
      </c>
      <c r="M2830" t="n">
        <v>0</v>
      </c>
      <c r="N2830" t="n">
        <v>0</v>
      </c>
      <c r="O2830" t="n">
        <v>0</v>
      </c>
      <c r="P2830" t="n">
        <v>0</v>
      </c>
      <c r="Q2830" t="n">
        <v>0</v>
      </c>
      <c r="R2830" s="2" t="inlineStr"/>
    </row>
    <row r="2831" ht="15" customHeight="1">
      <c r="A2831" t="inlineStr">
        <is>
          <t>A 8743-2024</t>
        </is>
      </c>
      <c r="B2831" s="1" t="n">
        <v>45356</v>
      </c>
      <c r="C2831" s="1" t="n">
        <v>45749</v>
      </c>
      <c r="D2831" t="inlineStr">
        <is>
          <t>JÄMTLANDS LÄN</t>
        </is>
      </c>
      <c r="E2831" t="inlineStr">
        <is>
          <t>STRÖMSUND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8662-2024</t>
        </is>
      </c>
      <c r="B2832" s="1" t="n">
        <v>45356</v>
      </c>
      <c r="C2832" s="1" t="n">
        <v>45749</v>
      </c>
      <c r="D2832" t="inlineStr">
        <is>
          <t>JÄMTLANDS LÄN</t>
        </is>
      </c>
      <c r="E2832" t="inlineStr">
        <is>
          <t>STRÖMSUND</t>
        </is>
      </c>
      <c r="F2832" t="inlineStr">
        <is>
          <t>SCA</t>
        </is>
      </c>
      <c r="G2832" t="n">
        <v>24.6</v>
      </c>
      <c r="H2832" t="n">
        <v>0</v>
      </c>
      <c r="I2832" t="n">
        <v>0</v>
      </c>
      <c r="J2832" t="n">
        <v>0</v>
      </c>
      <c r="K2832" t="n">
        <v>0</v>
      </c>
      <c r="L2832" t="n">
        <v>0</v>
      </c>
      <c r="M2832" t="n">
        <v>0</v>
      </c>
      <c r="N2832" t="n">
        <v>0</v>
      </c>
      <c r="O2832" t="n">
        <v>0</v>
      </c>
      <c r="P2832" t="n">
        <v>0</v>
      </c>
      <c r="Q2832" t="n">
        <v>0</v>
      </c>
      <c r="R2832" s="2" t="inlineStr"/>
    </row>
    <row r="2833" ht="15" customHeight="1">
      <c r="A2833" t="inlineStr">
        <is>
          <t>A 8745-2024</t>
        </is>
      </c>
      <c r="B2833" s="1" t="n">
        <v>45356</v>
      </c>
      <c r="C2833" s="1" t="n">
        <v>45749</v>
      </c>
      <c r="D2833" t="inlineStr">
        <is>
          <t>JÄMTLANDS LÄN</t>
        </is>
      </c>
      <c r="E2833" t="inlineStr">
        <is>
          <t>STRÖMSUND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9035-2024</t>
        </is>
      </c>
      <c r="B2834" s="1" t="n">
        <v>45356</v>
      </c>
      <c r="C2834" s="1" t="n">
        <v>45749</v>
      </c>
      <c r="D2834" t="inlineStr">
        <is>
          <t>JÄMTLANDS LÄN</t>
        </is>
      </c>
      <c r="E2834" t="inlineStr">
        <is>
          <t>STRÖMSUND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8895-2024</t>
        </is>
      </c>
      <c r="B2835" s="1" t="n">
        <v>45357</v>
      </c>
      <c r="C2835" s="1" t="n">
        <v>45749</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9329-2024</t>
        </is>
      </c>
      <c r="B2836" s="1" t="n">
        <v>45359</v>
      </c>
      <c r="C2836" s="1" t="n">
        <v>45749</v>
      </c>
      <c r="D2836" t="inlineStr">
        <is>
          <t>JÄMTLANDS LÄN</t>
        </is>
      </c>
      <c r="E2836" t="inlineStr">
        <is>
          <t>STRÖMSUND</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9514-2024</t>
        </is>
      </c>
      <c r="B2837" s="1" t="n">
        <v>45359</v>
      </c>
      <c r="C2837" s="1" t="n">
        <v>45749</v>
      </c>
      <c r="D2837" t="inlineStr">
        <is>
          <t>JÄMTLANDS LÄN</t>
        </is>
      </c>
      <c r="E2837" t="inlineStr">
        <is>
          <t>STRÖMSUND</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9559-2024</t>
        </is>
      </c>
      <c r="B2838" s="1" t="n">
        <v>45360</v>
      </c>
      <c r="C2838" s="1" t="n">
        <v>45749</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9706-2024</t>
        </is>
      </c>
      <c r="B2839" s="1" t="n">
        <v>45362</v>
      </c>
      <c r="C2839" s="1" t="n">
        <v>45749</v>
      </c>
      <c r="D2839" t="inlineStr">
        <is>
          <t>JÄMTLANDS LÄN</t>
        </is>
      </c>
      <c r="E2839" t="inlineStr">
        <is>
          <t>STRÖMSUND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9707-2024</t>
        </is>
      </c>
      <c r="B2840" s="1" t="n">
        <v>45362</v>
      </c>
      <c r="C2840" s="1" t="n">
        <v>45749</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9824-2024</t>
        </is>
      </c>
      <c r="B2841" s="1" t="n">
        <v>45363</v>
      </c>
      <c r="C2841" s="1" t="n">
        <v>45749</v>
      </c>
      <c r="D2841" t="inlineStr">
        <is>
          <t>JÄMTLANDS LÄN</t>
        </is>
      </c>
      <c r="E2841" t="inlineStr">
        <is>
          <t>STRÖMSUND</t>
        </is>
      </c>
      <c r="F2841" t="inlineStr">
        <is>
          <t>SCA</t>
        </is>
      </c>
      <c r="G2841" t="n">
        <v>21.5</v>
      </c>
      <c r="H2841" t="n">
        <v>0</v>
      </c>
      <c r="I2841" t="n">
        <v>0</v>
      </c>
      <c r="J2841" t="n">
        <v>0</v>
      </c>
      <c r="K2841" t="n">
        <v>0</v>
      </c>
      <c r="L2841" t="n">
        <v>0</v>
      </c>
      <c r="M2841" t="n">
        <v>0</v>
      </c>
      <c r="N2841" t="n">
        <v>0</v>
      </c>
      <c r="O2841" t="n">
        <v>0</v>
      </c>
      <c r="P2841" t="n">
        <v>0</v>
      </c>
      <c r="Q2841" t="n">
        <v>0</v>
      </c>
      <c r="R2841" s="2" t="inlineStr"/>
    </row>
    <row r="2842" ht="15" customHeight="1">
      <c r="A2842" t="inlineStr">
        <is>
          <t>A 9940-2024</t>
        </is>
      </c>
      <c r="B2842" s="1" t="n">
        <v>45363</v>
      </c>
      <c r="C2842" s="1" t="n">
        <v>45749</v>
      </c>
      <c r="D2842" t="inlineStr">
        <is>
          <t>JÄMTLANDS LÄN</t>
        </is>
      </c>
      <c r="E2842" t="inlineStr">
        <is>
          <t>STRÖMSUND</t>
        </is>
      </c>
      <c r="F2842" t="inlineStr">
        <is>
          <t>Holmen skog AB</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10033-2024</t>
        </is>
      </c>
      <c r="B2843" s="1" t="n">
        <v>45364</v>
      </c>
      <c r="C2843" s="1" t="n">
        <v>45749</v>
      </c>
      <c r="D2843" t="inlineStr">
        <is>
          <t>JÄMTLANDS LÄN</t>
        </is>
      </c>
      <c r="E2843" t="inlineStr">
        <is>
          <t>STRÖMSUND</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10041-2024</t>
        </is>
      </c>
      <c r="B2844" s="1" t="n">
        <v>45364</v>
      </c>
      <c r="C2844" s="1" t="n">
        <v>45749</v>
      </c>
      <c r="D2844" t="inlineStr">
        <is>
          <t>JÄMTLANDS LÄN</t>
        </is>
      </c>
      <c r="E2844" t="inlineStr">
        <is>
          <t>STRÖMSUND</t>
        </is>
      </c>
      <c r="F2844" t="inlineStr">
        <is>
          <t>SCA</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10031-2024</t>
        </is>
      </c>
      <c r="B2845" s="1" t="n">
        <v>45364</v>
      </c>
      <c r="C2845" s="1" t="n">
        <v>45749</v>
      </c>
      <c r="D2845" t="inlineStr">
        <is>
          <t>JÄMTLANDS LÄN</t>
        </is>
      </c>
      <c r="E2845" t="inlineStr">
        <is>
          <t>STRÖMSUND</t>
        </is>
      </c>
      <c r="F2845" t="inlineStr">
        <is>
          <t>SCA</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10043-2024</t>
        </is>
      </c>
      <c r="B2846" s="1" t="n">
        <v>45364</v>
      </c>
      <c r="C2846" s="1" t="n">
        <v>45749</v>
      </c>
      <c r="D2846" t="inlineStr">
        <is>
          <t>JÄMTLANDS LÄN</t>
        </is>
      </c>
      <c r="E2846" t="inlineStr">
        <is>
          <t>STRÖMSUND</t>
        </is>
      </c>
      <c r="F2846" t="inlineStr">
        <is>
          <t>SCA</t>
        </is>
      </c>
      <c r="G2846" t="n">
        <v>18.7</v>
      </c>
      <c r="H2846" t="n">
        <v>0</v>
      </c>
      <c r="I2846" t="n">
        <v>0</v>
      </c>
      <c r="J2846" t="n">
        <v>0</v>
      </c>
      <c r="K2846" t="n">
        <v>0</v>
      </c>
      <c r="L2846" t="n">
        <v>0</v>
      </c>
      <c r="M2846" t="n">
        <v>0</v>
      </c>
      <c r="N2846" t="n">
        <v>0</v>
      </c>
      <c r="O2846" t="n">
        <v>0</v>
      </c>
      <c r="P2846" t="n">
        <v>0</v>
      </c>
      <c r="Q2846" t="n">
        <v>0</v>
      </c>
      <c r="R2846" s="2" t="inlineStr"/>
    </row>
    <row r="2847" ht="15" customHeight="1">
      <c r="A2847" t="inlineStr">
        <is>
          <t>A 10030-2024</t>
        </is>
      </c>
      <c r="B2847" s="1" t="n">
        <v>45364</v>
      </c>
      <c r="C2847" s="1" t="n">
        <v>45749</v>
      </c>
      <c r="D2847" t="inlineStr">
        <is>
          <t>JÄMTLANDS LÄN</t>
        </is>
      </c>
      <c r="E2847" t="inlineStr">
        <is>
          <t>STRÖMSUND</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10034-2024</t>
        </is>
      </c>
      <c r="B2848" s="1" t="n">
        <v>45364</v>
      </c>
      <c r="C2848" s="1" t="n">
        <v>45749</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10042-2024</t>
        </is>
      </c>
      <c r="B2849" s="1" t="n">
        <v>45364</v>
      </c>
      <c r="C2849" s="1" t="n">
        <v>45749</v>
      </c>
      <c r="D2849" t="inlineStr">
        <is>
          <t>JÄMTLANDS LÄN</t>
        </is>
      </c>
      <c r="E2849" t="inlineStr">
        <is>
          <t>STRÖMSUND</t>
        </is>
      </c>
      <c r="F2849" t="inlineStr">
        <is>
          <t>SCA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10032-2024</t>
        </is>
      </c>
      <c r="B2850" s="1" t="n">
        <v>45364</v>
      </c>
      <c r="C2850" s="1" t="n">
        <v>45749</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10212-2024</t>
        </is>
      </c>
      <c r="B2851" s="1" t="n">
        <v>45364</v>
      </c>
      <c r="C2851" s="1" t="n">
        <v>45749</v>
      </c>
      <c r="D2851" t="inlineStr">
        <is>
          <t>JÄMTLANDS LÄN</t>
        </is>
      </c>
      <c r="E2851" t="inlineStr">
        <is>
          <t>STRÖMSUND</t>
        </is>
      </c>
      <c r="F2851" t="inlineStr">
        <is>
          <t>SCA</t>
        </is>
      </c>
      <c r="G2851" t="n">
        <v>36.5</v>
      </c>
      <c r="H2851" t="n">
        <v>0</v>
      </c>
      <c r="I2851" t="n">
        <v>0</v>
      </c>
      <c r="J2851" t="n">
        <v>0</v>
      </c>
      <c r="K2851" t="n">
        <v>0</v>
      </c>
      <c r="L2851" t="n">
        <v>0</v>
      </c>
      <c r="M2851" t="n">
        <v>0</v>
      </c>
      <c r="N2851" t="n">
        <v>0</v>
      </c>
      <c r="O2851" t="n">
        <v>0</v>
      </c>
      <c r="P2851" t="n">
        <v>0</v>
      </c>
      <c r="Q2851" t="n">
        <v>0</v>
      </c>
      <c r="R2851" s="2" t="inlineStr"/>
    </row>
    <row r="2852" ht="15" customHeight="1">
      <c r="A2852" t="inlineStr">
        <is>
          <t>A 10216-2024</t>
        </is>
      </c>
      <c r="B2852" s="1" t="n">
        <v>45364</v>
      </c>
      <c r="C2852" s="1" t="n">
        <v>45749</v>
      </c>
      <c r="D2852" t="inlineStr">
        <is>
          <t>JÄMTLANDS LÄN</t>
        </is>
      </c>
      <c r="E2852" t="inlineStr">
        <is>
          <t>STRÖMSUND</t>
        </is>
      </c>
      <c r="F2852" t="inlineStr">
        <is>
          <t>SCA</t>
        </is>
      </c>
      <c r="G2852" t="n">
        <v>31.2</v>
      </c>
      <c r="H2852" t="n">
        <v>0</v>
      </c>
      <c r="I2852" t="n">
        <v>0</v>
      </c>
      <c r="J2852" t="n">
        <v>0</v>
      </c>
      <c r="K2852" t="n">
        <v>0</v>
      </c>
      <c r="L2852" t="n">
        <v>0</v>
      </c>
      <c r="M2852" t="n">
        <v>0</v>
      </c>
      <c r="N2852" t="n">
        <v>0</v>
      </c>
      <c r="O2852" t="n">
        <v>0</v>
      </c>
      <c r="P2852" t="n">
        <v>0</v>
      </c>
      <c r="Q2852" t="n">
        <v>0</v>
      </c>
      <c r="R2852" s="2" t="inlineStr"/>
    </row>
    <row r="2853" ht="15" customHeight="1">
      <c r="A2853" t="inlineStr">
        <is>
          <t>A 10422-2024</t>
        </is>
      </c>
      <c r="B2853" s="1" t="n">
        <v>45365</v>
      </c>
      <c r="C2853" s="1" t="n">
        <v>45749</v>
      </c>
      <c r="D2853" t="inlineStr">
        <is>
          <t>JÄMTLANDS LÄN</t>
        </is>
      </c>
      <c r="E2853" t="inlineStr">
        <is>
          <t>STRÖMSUND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10611-2024</t>
        </is>
      </c>
      <c r="B2854" s="1" t="n">
        <v>45367</v>
      </c>
      <c r="C2854" s="1" t="n">
        <v>45749</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10622-2024</t>
        </is>
      </c>
      <c r="B2855" s="1" t="n">
        <v>45367</v>
      </c>
      <c r="C2855" s="1" t="n">
        <v>45749</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10865-2024</t>
        </is>
      </c>
      <c r="B2856" s="1" t="n">
        <v>45370</v>
      </c>
      <c r="C2856" s="1" t="n">
        <v>45749</v>
      </c>
      <c r="D2856" t="inlineStr">
        <is>
          <t>JÄMTLANDS LÄN</t>
        </is>
      </c>
      <c r="E2856" t="inlineStr">
        <is>
          <t>STRÖMSUND</t>
        </is>
      </c>
      <c r="F2856" t="inlineStr">
        <is>
          <t>SCA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10864-2024</t>
        </is>
      </c>
      <c r="B2857" s="1" t="n">
        <v>45370</v>
      </c>
      <c r="C2857" s="1" t="n">
        <v>45749</v>
      </c>
      <c r="D2857" t="inlineStr">
        <is>
          <t>JÄMTLANDS LÄN</t>
        </is>
      </c>
      <c r="E2857" t="inlineStr">
        <is>
          <t>STRÖMSUND</t>
        </is>
      </c>
      <c r="F2857" t="inlineStr">
        <is>
          <t>SCA</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11340-2024</t>
        </is>
      </c>
      <c r="B2858" s="1" t="n">
        <v>45372</v>
      </c>
      <c r="C2858" s="1" t="n">
        <v>45749</v>
      </c>
      <c r="D2858" t="inlineStr">
        <is>
          <t>JÄMTLANDS LÄN</t>
        </is>
      </c>
      <c r="E2858" t="inlineStr">
        <is>
          <t>STRÖMSUND</t>
        </is>
      </c>
      <c r="F2858" t="inlineStr">
        <is>
          <t>SCA</t>
        </is>
      </c>
      <c r="G2858" t="n">
        <v>13.7</v>
      </c>
      <c r="H2858" t="n">
        <v>0</v>
      </c>
      <c r="I2858" t="n">
        <v>0</v>
      </c>
      <c r="J2858" t="n">
        <v>0</v>
      </c>
      <c r="K2858" t="n">
        <v>0</v>
      </c>
      <c r="L2858" t="n">
        <v>0</v>
      </c>
      <c r="M2858" t="n">
        <v>0</v>
      </c>
      <c r="N2858" t="n">
        <v>0</v>
      </c>
      <c r="O2858" t="n">
        <v>0</v>
      </c>
      <c r="P2858" t="n">
        <v>0</v>
      </c>
      <c r="Q2858" t="n">
        <v>0</v>
      </c>
      <c r="R2858" s="2" t="inlineStr"/>
      <c r="U2858">
        <f>HYPERLINK("https://klasma.github.io/Logging_2313/knärot/A 11340-2024 karta knärot.png", "A 11340-2024")</f>
        <v/>
      </c>
      <c r="V2858">
        <f>HYPERLINK("https://klasma.github.io/Logging_2313/klagomål/A 11340-2024 FSC-klagomål.docx", "A 11340-2024")</f>
        <v/>
      </c>
      <c r="W2858">
        <f>HYPERLINK("https://klasma.github.io/Logging_2313/klagomålsmail/A 11340-2024 FSC-klagomål mail.docx", "A 11340-2024")</f>
        <v/>
      </c>
      <c r="X2858">
        <f>HYPERLINK("https://klasma.github.io/Logging_2313/tillsyn/A 11340-2024 tillsynsbegäran.docx", "A 11340-2024")</f>
        <v/>
      </c>
      <c r="Y2858">
        <f>HYPERLINK("https://klasma.github.io/Logging_2313/tillsynsmail/A 11340-2024 tillsynsbegäran mail.docx", "A 11340-2024")</f>
        <v/>
      </c>
    </row>
    <row r="2859" ht="15" customHeight="1">
      <c r="A2859" t="inlineStr">
        <is>
          <t>A 11341-2024</t>
        </is>
      </c>
      <c r="B2859" s="1" t="n">
        <v>45372</v>
      </c>
      <c r="C2859" s="1" t="n">
        <v>45749</v>
      </c>
      <c r="D2859" t="inlineStr">
        <is>
          <t>JÄMTLANDS LÄN</t>
        </is>
      </c>
      <c r="E2859" t="inlineStr">
        <is>
          <t>STRÖMSUND</t>
        </is>
      </c>
      <c r="F2859" t="inlineStr">
        <is>
          <t>SCA</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11753-2024</t>
        </is>
      </c>
      <c r="B2860" s="1" t="n">
        <v>45373</v>
      </c>
      <c r="C2860" s="1" t="n">
        <v>45749</v>
      </c>
      <c r="D2860" t="inlineStr">
        <is>
          <t>JÄMTLANDS LÄN</t>
        </is>
      </c>
      <c r="E2860" t="inlineStr">
        <is>
          <t>STRÖMSUND</t>
        </is>
      </c>
      <c r="F2860" t="inlineStr">
        <is>
          <t>SCA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11763-2024</t>
        </is>
      </c>
      <c r="B2861" s="1" t="n">
        <v>45373</v>
      </c>
      <c r="C2861" s="1" t="n">
        <v>45749</v>
      </c>
      <c r="D2861" t="inlineStr">
        <is>
          <t>JÄMTLANDS LÄN</t>
        </is>
      </c>
      <c r="E2861" t="inlineStr">
        <is>
          <t>STRÖMSUND</t>
        </is>
      </c>
      <c r="F2861" t="inlineStr">
        <is>
          <t>SCA</t>
        </is>
      </c>
      <c r="G2861" t="n">
        <v>31.6</v>
      </c>
      <c r="H2861" t="n">
        <v>0</v>
      </c>
      <c r="I2861" t="n">
        <v>0</v>
      </c>
      <c r="J2861" t="n">
        <v>0</v>
      </c>
      <c r="K2861" t="n">
        <v>0</v>
      </c>
      <c r="L2861" t="n">
        <v>0</v>
      </c>
      <c r="M2861" t="n">
        <v>0</v>
      </c>
      <c r="N2861" t="n">
        <v>0</v>
      </c>
      <c r="O2861" t="n">
        <v>0</v>
      </c>
      <c r="P2861" t="n">
        <v>0</v>
      </c>
      <c r="Q2861" t="n">
        <v>0</v>
      </c>
      <c r="R2861" s="2" t="inlineStr"/>
    </row>
    <row r="2862" ht="15" customHeight="1">
      <c r="A2862" t="inlineStr">
        <is>
          <t>A 11755-2024</t>
        </is>
      </c>
      <c r="B2862" s="1" t="n">
        <v>45373</v>
      </c>
      <c r="C2862" s="1" t="n">
        <v>45749</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11762-2024</t>
        </is>
      </c>
      <c r="B2863" s="1" t="n">
        <v>45373</v>
      </c>
      <c r="C2863" s="1" t="n">
        <v>45749</v>
      </c>
      <c r="D2863" t="inlineStr">
        <is>
          <t>JÄMTLANDS LÄN</t>
        </is>
      </c>
      <c r="E2863" t="inlineStr">
        <is>
          <t>STRÖMSUND</t>
        </is>
      </c>
      <c r="F2863" t="inlineStr">
        <is>
          <t>SCA</t>
        </is>
      </c>
      <c r="G2863" t="n">
        <v>26.7</v>
      </c>
      <c r="H2863" t="n">
        <v>0</v>
      </c>
      <c r="I2863" t="n">
        <v>0</v>
      </c>
      <c r="J2863" t="n">
        <v>0</v>
      </c>
      <c r="K2863" t="n">
        <v>0</v>
      </c>
      <c r="L2863" t="n">
        <v>0</v>
      </c>
      <c r="M2863" t="n">
        <v>0</v>
      </c>
      <c r="N2863" t="n">
        <v>0</v>
      </c>
      <c r="O2863" t="n">
        <v>0</v>
      </c>
      <c r="P2863" t="n">
        <v>0</v>
      </c>
      <c r="Q2863" t="n">
        <v>0</v>
      </c>
      <c r="R2863" s="2" t="inlineStr"/>
    </row>
    <row r="2864" ht="15" customHeight="1">
      <c r="A2864" t="inlineStr">
        <is>
          <t>A 11811-2024</t>
        </is>
      </c>
      <c r="B2864" s="1" t="n">
        <v>45376</v>
      </c>
      <c r="C2864" s="1" t="n">
        <v>45749</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11978-2024</t>
        </is>
      </c>
      <c r="B2865" s="1" t="n">
        <v>45376</v>
      </c>
      <c r="C2865" s="1" t="n">
        <v>45749</v>
      </c>
      <c r="D2865" t="inlineStr">
        <is>
          <t>JÄMTLANDS LÄN</t>
        </is>
      </c>
      <c r="E2865" t="inlineStr">
        <is>
          <t>STRÖMSUND</t>
        </is>
      </c>
      <c r="F2865" t="inlineStr">
        <is>
          <t>SCA</t>
        </is>
      </c>
      <c r="G2865" t="n">
        <v>11.1</v>
      </c>
      <c r="H2865" t="n">
        <v>0</v>
      </c>
      <c r="I2865" t="n">
        <v>0</v>
      </c>
      <c r="J2865" t="n">
        <v>0</v>
      </c>
      <c r="K2865" t="n">
        <v>0</v>
      </c>
      <c r="L2865" t="n">
        <v>0</v>
      </c>
      <c r="M2865" t="n">
        <v>0</v>
      </c>
      <c r="N2865" t="n">
        <v>0</v>
      </c>
      <c r="O2865" t="n">
        <v>0</v>
      </c>
      <c r="P2865" t="n">
        <v>0</v>
      </c>
      <c r="Q2865" t="n">
        <v>0</v>
      </c>
      <c r="R2865" s="2" t="inlineStr"/>
    </row>
    <row r="2866" ht="15" customHeight="1">
      <c r="A2866" t="inlineStr">
        <is>
          <t>A 12078-2024</t>
        </is>
      </c>
      <c r="B2866" s="1" t="n">
        <v>45377</v>
      </c>
      <c r="C2866" s="1" t="n">
        <v>45749</v>
      </c>
      <c r="D2866" t="inlineStr">
        <is>
          <t>JÄMTLANDS LÄN</t>
        </is>
      </c>
      <c r="E2866" t="inlineStr">
        <is>
          <t>STRÖMSUND</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12869-2024</t>
        </is>
      </c>
      <c r="B2867" s="1" t="n">
        <v>45385</v>
      </c>
      <c r="C2867" s="1" t="n">
        <v>45749</v>
      </c>
      <c r="D2867" t="inlineStr">
        <is>
          <t>JÄMTLANDS LÄN</t>
        </is>
      </c>
      <c r="E2867" t="inlineStr">
        <is>
          <t>STRÖMSUND</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12866-2024</t>
        </is>
      </c>
      <c r="B2868" s="1" t="n">
        <v>45385</v>
      </c>
      <c r="C2868" s="1" t="n">
        <v>45749</v>
      </c>
      <c r="D2868" t="inlineStr">
        <is>
          <t>JÄMTLANDS LÄN</t>
        </is>
      </c>
      <c r="E2868" t="inlineStr">
        <is>
          <t>STRÖMSUND</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12956-2024</t>
        </is>
      </c>
      <c r="B2869" s="1" t="n">
        <v>45385</v>
      </c>
      <c r="C2869" s="1" t="n">
        <v>45749</v>
      </c>
      <c r="D2869" t="inlineStr">
        <is>
          <t>JÄMTLANDS LÄN</t>
        </is>
      </c>
      <c r="E2869" t="inlineStr">
        <is>
          <t>STRÖMSUND</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13129-2024</t>
        </is>
      </c>
      <c r="B2870" s="1" t="n">
        <v>45386</v>
      </c>
      <c r="C2870" s="1" t="n">
        <v>45749</v>
      </c>
      <c r="D2870" t="inlineStr">
        <is>
          <t>JÄMTLANDS LÄN</t>
        </is>
      </c>
      <c r="E2870" t="inlineStr">
        <is>
          <t>STRÖMSUND</t>
        </is>
      </c>
      <c r="F2870" t="inlineStr">
        <is>
          <t>SCA</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13236-2024</t>
        </is>
      </c>
      <c r="B2871" s="1" t="n">
        <v>45386</v>
      </c>
      <c r="C2871" s="1" t="n">
        <v>45749</v>
      </c>
      <c r="D2871" t="inlineStr">
        <is>
          <t>JÄMTLANDS LÄN</t>
        </is>
      </c>
      <c r="E2871" t="inlineStr">
        <is>
          <t>STRÖMSUND</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13339-2024</t>
        </is>
      </c>
      <c r="B2872" s="1" t="n">
        <v>45387</v>
      </c>
      <c r="C2872" s="1" t="n">
        <v>45749</v>
      </c>
      <c r="D2872" t="inlineStr">
        <is>
          <t>JÄMTLANDS LÄN</t>
        </is>
      </c>
      <c r="E2872" t="inlineStr">
        <is>
          <t>STRÖMSUND</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13499-2024</t>
        </is>
      </c>
      <c r="B2873" s="1" t="n">
        <v>45387</v>
      </c>
      <c r="C2873" s="1" t="n">
        <v>45749</v>
      </c>
      <c r="D2873" t="inlineStr">
        <is>
          <t>JÄMTLANDS LÄN</t>
        </is>
      </c>
      <c r="E2873" t="inlineStr">
        <is>
          <t>STRÖMSUND</t>
        </is>
      </c>
      <c r="F2873" t="inlineStr">
        <is>
          <t>Kommuner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13494-2024</t>
        </is>
      </c>
      <c r="B2874" s="1" t="n">
        <v>45387</v>
      </c>
      <c r="C2874" s="1" t="n">
        <v>45749</v>
      </c>
      <c r="D2874" t="inlineStr">
        <is>
          <t>JÄMTLANDS LÄN</t>
        </is>
      </c>
      <c r="E2874" t="inlineStr">
        <is>
          <t>STRÖMSUND</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13590-2024</t>
        </is>
      </c>
      <c r="B2875" s="1" t="n">
        <v>45389</v>
      </c>
      <c r="C2875" s="1" t="n">
        <v>45749</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13584-2024</t>
        </is>
      </c>
      <c r="B2876" s="1" t="n">
        <v>45389</v>
      </c>
      <c r="C2876" s="1" t="n">
        <v>45749</v>
      </c>
      <c r="D2876" t="inlineStr">
        <is>
          <t>JÄMTLANDS LÄN</t>
        </is>
      </c>
      <c r="E2876" t="inlineStr">
        <is>
          <t>STRÖMSUND</t>
        </is>
      </c>
      <c r="G2876" t="n">
        <v>47.8</v>
      </c>
      <c r="H2876" t="n">
        <v>0</v>
      </c>
      <c r="I2876" t="n">
        <v>0</v>
      </c>
      <c r="J2876" t="n">
        <v>0</v>
      </c>
      <c r="K2876" t="n">
        <v>0</v>
      </c>
      <c r="L2876" t="n">
        <v>0</v>
      </c>
      <c r="M2876" t="n">
        <v>0</v>
      </c>
      <c r="N2876" t="n">
        <v>0</v>
      </c>
      <c r="O2876" t="n">
        <v>0</v>
      </c>
      <c r="P2876" t="n">
        <v>0</v>
      </c>
      <c r="Q2876" t="n">
        <v>0</v>
      </c>
      <c r="R2876" s="2" t="inlineStr"/>
    </row>
    <row r="2877" ht="15" customHeight="1">
      <c r="A2877" t="inlineStr">
        <is>
          <t>A 13894-2024</t>
        </is>
      </c>
      <c r="B2877" s="1" t="n">
        <v>45391</v>
      </c>
      <c r="C2877" s="1" t="n">
        <v>45749</v>
      </c>
      <c r="D2877" t="inlineStr">
        <is>
          <t>JÄMTLANDS LÄN</t>
        </is>
      </c>
      <c r="E2877" t="inlineStr">
        <is>
          <t>STRÖMSUND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13924-2024</t>
        </is>
      </c>
      <c r="B2878" s="1" t="n">
        <v>45392</v>
      </c>
      <c r="C2878" s="1" t="n">
        <v>45749</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14570-2024</t>
        </is>
      </c>
      <c r="B2879" s="1" t="n">
        <v>45395</v>
      </c>
      <c r="C2879" s="1" t="n">
        <v>45749</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14568-2024</t>
        </is>
      </c>
      <c r="B2880" s="1" t="n">
        <v>45394</v>
      </c>
      <c r="C2880" s="1" t="n">
        <v>45749</v>
      </c>
      <c r="D2880" t="inlineStr">
        <is>
          <t>JÄMTLANDS LÄN</t>
        </is>
      </c>
      <c r="E2880" t="inlineStr">
        <is>
          <t>STRÖMSUND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14583-2024</t>
        </is>
      </c>
      <c r="B2881" s="1" t="n">
        <v>45395</v>
      </c>
      <c r="C2881" s="1" t="n">
        <v>45749</v>
      </c>
      <c r="D2881" t="inlineStr">
        <is>
          <t>JÄMTLANDS LÄN</t>
        </is>
      </c>
      <c r="E2881" t="inlineStr">
        <is>
          <t>STRÖMSUND</t>
        </is>
      </c>
      <c r="F2881" t="inlineStr">
        <is>
          <t>SCA</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14569-2024</t>
        </is>
      </c>
      <c r="B2882" s="1" t="n">
        <v>45394</v>
      </c>
      <c r="C2882" s="1" t="n">
        <v>45749</v>
      </c>
      <c r="D2882" t="inlineStr">
        <is>
          <t>JÄMTLANDS LÄN</t>
        </is>
      </c>
      <c r="E2882" t="inlineStr">
        <is>
          <t>STRÖMSUND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14812-2024</t>
        </is>
      </c>
      <c r="B2883" s="1" t="n">
        <v>45397</v>
      </c>
      <c r="C2883" s="1" t="n">
        <v>45749</v>
      </c>
      <c r="D2883" t="inlineStr">
        <is>
          <t>JÄMTLANDS LÄN</t>
        </is>
      </c>
      <c r="E2883" t="inlineStr">
        <is>
          <t>STRÖMSUND</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14966-2024</t>
        </is>
      </c>
      <c r="B2884" s="1" t="n">
        <v>45399</v>
      </c>
      <c r="C2884" s="1" t="n">
        <v>45749</v>
      </c>
      <c r="D2884" t="inlineStr">
        <is>
          <t>JÄMTLANDS LÄN</t>
        </is>
      </c>
      <c r="E2884" t="inlineStr">
        <is>
          <t>STRÖMSUND</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14978-2024</t>
        </is>
      </c>
      <c r="B2885" s="1" t="n">
        <v>45399</v>
      </c>
      <c r="C2885" s="1" t="n">
        <v>45749</v>
      </c>
      <c r="D2885" t="inlineStr">
        <is>
          <t>JÄMTLANDS LÄN</t>
        </is>
      </c>
      <c r="E2885" t="inlineStr">
        <is>
          <t>STRÖMSUND</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14967-2024</t>
        </is>
      </c>
      <c r="B2886" s="1" t="n">
        <v>45399</v>
      </c>
      <c r="C2886" s="1" t="n">
        <v>45749</v>
      </c>
      <c r="D2886" t="inlineStr">
        <is>
          <t>JÄMTLANDS LÄN</t>
        </is>
      </c>
      <c r="E2886" t="inlineStr">
        <is>
          <t>STRÖMSUND</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15364-2024</t>
        </is>
      </c>
      <c r="B2887" s="1" t="n">
        <v>45400</v>
      </c>
      <c r="C2887" s="1" t="n">
        <v>45749</v>
      </c>
      <c r="D2887" t="inlineStr">
        <is>
          <t>JÄMTLANDS LÄN</t>
        </is>
      </c>
      <c r="E2887" t="inlineStr">
        <is>
          <t>STRÖMSUND</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15375-2024</t>
        </is>
      </c>
      <c r="B2888" s="1" t="n">
        <v>45400</v>
      </c>
      <c r="C2888" s="1" t="n">
        <v>45749</v>
      </c>
      <c r="D2888" t="inlineStr">
        <is>
          <t>JÄMTLANDS LÄN</t>
        </is>
      </c>
      <c r="E2888" t="inlineStr">
        <is>
          <t>STRÖMSUND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15858-2024</t>
        </is>
      </c>
      <c r="B2889" s="1" t="n">
        <v>45405</v>
      </c>
      <c r="C2889" s="1" t="n">
        <v>45749</v>
      </c>
      <c r="D2889" t="inlineStr">
        <is>
          <t>JÄMTLANDS LÄN</t>
        </is>
      </c>
      <c r="E2889" t="inlineStr">
        <is>
          <t>STRÖMSUND</t>
        </is>
      </c>
      <c r="F2889" t="inlineStr">
        <is>
          <t>SCA</t>
        </is>
      </c>
      <c r="G2889" t="n">
        <v>33.8</v>
      </c>
      <c r="H2889" t="n">
        <v>0</v>
      </c>
      <c r="I2889" t="n">
        <v>0</v>
      </c>
      <c r="J2889" t="n">
        <v>0</v>
      </c>
      <c r="K2889" t="n">
        <v>0</v>
      </c>
      <c r="L2889" t="n">
        <v>0</v>
      </c>
      <c r="M2889" t="n">
        <v>0</v>
      </c>
      <c r="N2889" t="n">
        <v>0</v>
      </c>
      <c r="O2889" t="n">
        <v>0</v>
      </c>
      <c r="P2889" t="n">
        <v>0</v>
      </c>
      <c r="Q2889" t="n">
        <v>0</v>
      </c>
      <c r="R2889" s="2" t="inlineStr"/>
    </row>
    <row r="2890" ht="15" customHeight="1">
      <c r="A2890" t="inlineStr">
        <is>
          <t>A 16053-2024</t>
        </is>
      </c>
      <c r="B2890" s="1" t="n">
        <v>45406</v>
      </c>
      <c r="C2890" s="1" t="n">
        <v>45749</v>
      </c>
      <c r="D2890" t="inlineStr">
        <is>
          <t>JÄMTLANDS LÄN</t>
        </is>
      </c>
      <c r="E2890" t="inlineStr">
        <is>
          <t>STRÖMSUND</t>
        </is>
      </c>
      <c r="F2890" t="inlineStr">
        <is>
          <t>SCA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16242-2024</t>
        </is>
      </c>
      <c r="B2891" s="1" t="n">
        <v>45407</v>
      </c>
      <c r="C2891" s="1" t="n">
        <v>45749</v>
      </c>
      <c r="D2891" t="inlineStr">
        <is>
          <t>JÄMTLANDS LÄN</t>
        </is>
      </c>
      <c r="E2891" t="inlineStr">
        <is>
          <t>STRÖMSUND</t>
        </is>
      </c>
      <c r="F2891" t="inlineStr">
        <is>
          <t>SCA</t>
        </is>
      </c>
      <c r="G2891" t="n">
        <v>31.2</v>
      </c>
      <c r="H2891" t="n">
        <v>0</v>
      </c>
      <c r="I2891" t="n">
        <v>0</v>
      </c>
      <c r="J2891" t="n">
        <v>0</v>
      </c>
      <c r="K2891" t="n">
        <v>0</v>
      </c>
      <c r="L2891" t="n">
        <v>0</v>
      </c>
      <c r="M2891" t="n">
        <v>0</v>
      </c>
      <c r="N2891" t="n">
        <v>0</v>
      </c>
      <c r="O2891" t="n">
        <v>0</v>
      </c>
      <c r="P2891" t="n">
        <v>0</v>
      </c>
      <c r="Q2891" t="n">
        <v>0</v>
      </c>
      <c r="R2891" s="2" t="inlineStr"/>
    </row>
    <row r="2892" ht="15" customHeight="1">
      <c r="A2892" t="inlineStr">
        <is>
          <t>A 16236-2024</t>
        </is>
      </c>
      <c r="B2892" s="1" t="n">
        <v>45407</v>
      </c>
      <c r="C2892" s="1" t="n">
        <v>45749</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16458-2024</t>
        </is>
      </c>
      <c r="B2893" s="1" t="n">
        <v>45408</v>
      </c>
      <c r="C2893" s="1" t="n">
        <v>45749</v>
      </c>
      <c r="D2893" t="inlineStr">
        <is>
          <t>JÄMTLANDS LÄN</t>
        </is>
      </c>
      <c r="E2893" t="inlineStr">
        <is>
          <t>STRÖMSUND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16464-2024</t>
        </is>
      </c>
      <c r="B2894" s="1" t="n">
        <v>45408</v>
      </c>
      <c r="C2894" s="1" t="n">
        <v>45749</v>
      </c>
      <c r="D2894" t="inlineStr">
        <is>
          <t>JÄMTLANDS LÄN</t>
        </is>
      </c>
      <c r="E2894" t="inlineStr">
        <is>
          <t>STRÖMSUND</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16490-2024</t>
        </is>
      </c>
      <c r="B2895" s="1" t="n">
        <v>45408</v>
      </c>
      <c r="C2895" s="1" t="n">
        <v>45749</v>
      </c>
      <c r="D2895" t="inlineStr">
        <is>
          <t>JÄMTLANDS LÄN</t>
        </is>
      </c>
      <c r="E2895" t="inlineStr">
        <is>
          <t>STRÖMSUND</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17098-2024</t>
        </is>
      </c>
      <c r="B2896" s="1" t="n">
        <v>45412</v>
      </c>
      <c r="C2896" s="1" t="n">
        <v>45749</v>
      </c>
      <c r="D2896" t="inlineStr">
        <is>
          <t>JÄMTLANDS LÄN</t>
        </is>
      </c>
      <c r="E2896" t="inlineStr">
        <is>
          <t>STRÖMSUND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17105-2024</t>
        </is>
      </c>
      <c r="B2897" s="1" t="n">
        <v>45412</v>
      </c>
      <c r="C2897" s="1" t="n">
        <v>45749</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17435-2024</t>
        </is>
      </c>
      <c r="B2898" s="1" t="n">
        <v>45415</v>
      </c>
      <c r="C2898" s="1" t="n">
        <v>45749</v>
      </c>
      <c r="D2898" t="inlineStr">
        <is>
          <t>JÄMTLANDS LÄN</t>
        </is>
      </c>
      <c r="E2898" t="inlineStr">
        <is>
          <t>STRÖMSUND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17442-2024</t>
        </is>
      </c>
      <c r="B2899" s="1" t="n">
        <v>45415</v>
      </c>
      <c r="C2899" s="1" t="n">
        <v>45749</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17728-2024</t>
        </is>
      </c>
      <c r="B2900" s="1" t="n">
        <v>45418</v>
      </c>
      <c r="C2900" s="1" t="n">
        <v>45749</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18234-2024</t>
        </is>
      </c>
      <c r="B2901" s="1" t="n">
        <v>45421</v>
      </c>
      <c r="C2901" s="1" t="n">
        <v>45749</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18233-2024</t>
        </is>
      </c>
      <c r="B2902" s="1" t="n">
        <v>45421</v>
      </c>
      <c r="C2902" s="1" t="n">
        <v>45749</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18237-2024</t>
        </is>
      </c>
      <c r="B2903" s="1" t="n">
        <v>45421</v>
      </c>
      <c r="C2903" s="1" t="n">
        <v>45749</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18236-2024</t>
        </is>
      </c>
      <c r="B2904" s="1" t="n">
        <v>45421</v>
      </c>
      <c r="C2904" s="1" t="n">
        <v>45749</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18240-2024</t>
        </is>
      </c>
      <c r="B2905" s="1" t="n">
        <v>45421</v>
      </c>
      <c r="C2905" s="1" t="n">
        <v>45749</v>
      </c>
      <c r="D2905" t="inlineStr">
        <is>
          <t>JÄMTLANDS LÄN</t>
        </is>
      </c>
      <c r="E2905" t="inlineStr">
        <is>
          <t>STRÖMSUND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18235-2024</t>
        </is>
      </c>
      <c r="B2906" s="1" t="n">
        <v>45421</v>
      </c>
      <c r="C2906" s="1" t="n">
        <v>45749</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18298-2024</t>
        </is>
      </c>
      <c r="B2907" s="1" t="n">
        <v>45421</v>
      </c>
      <c r="C2907" s="1" t="n">
        <v>45749</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18325-2024</t>
        </is>
      </c>
      <c r="B2908" s="1" t="n">
        <v>45422</v>
      </c>
      <c r="C2908" s="1" t="n">
        <v>45749</v>
      </c>
      <c r="D2908" t="inlineStr">
        <is>
          <t>JÄMTLANDS LÄN</t>
        </is>
      </c>
      <c r="E2908" t="inlineStr">
        <is>
          <t>STRÖMSUND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18770-2024</t>
        </is>
      </c>
      <c r="B2909" s="1" t="n">
        <v>45426</v>
      </c>
      <c r="C2909" s="1" t="n">
        <v>45749</v>
      </c>
      <c r="D2909" t="inlineStr">
        <is>
          <t>JÄMTLANDS LÄN</t>
        </is>
      </c>
      <c r="E2909" t="inlineStr">
        <is>
          <t>STRÖMSUND</t>
        </is>
      </c>
      <c r="F2909" t="inlineStr">
        <is>
          <t>Kyrkan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18912-2024</t>
        </is>
      </c>
      <c r="B2910" s="1" t="n">
        <v>45426</v>
      </c>
      <c r="C2910" s="1" t="n">
        <v>45749</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18915-2024</t>
        </is>
      </c>
      <c r="B2911" s="1" t="n">
        <v>45426</v>
      </c>
      <c r="C2911" s="1" t="n">
        <v>45749</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19006-2024</t>
        </is>
      </c>
      <c r="B2912" s="1" t="n">
        <v>45427</v>
      </c>
      <c r="C2912" s="1" t="n">
        <v>45749</v>
      </c>
      <c r="D2912" t="inlineStr">
        <is>
          <t>JÄMTLANDS LÄN</t>
        </is>
      </c>
      <c r="E2912" t="inlineStr">
        <is>
          <t>STRÖMSUND</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19340-2024</t>
        </is>
      </c>
      <c r="B2913" s="1" t="n">
        <v>45429</v>
      </c>
      <c r="C2913" s="1" t="n">
        <v>45749</v>
      </c>
      <c r="D2913" t="inlineStr">
        <is>
          <t>JÄMTLANDS LÄN</t>
        </is>
      </c>
      <c r="E2913" t="inlineStr">
        <is>
          <t>STRÖMSUND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19346-2024</t>
        </is>
      </c>
      <c r="B2914" s="1" t="n">
        <v>45429</v>
      </c>
      <c r="C2914" s="1" t="n">
        <v>45749</v>
      </c>
      <c r="D2914" t="inlineStr">
        <is>
          <t>JÄMTLANDS LÄN</t>
        </is>
      </c>
      <c r="E2914" t="inlineStr">
        <is>
          <t>STRÖMSUND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19483-2024</t>
        </is>
      </c>
      <c r="B2915" s="1" t="n">
        <v>45429</v>
      </c>
      <c r="C2915" s="1" t="n">
        <v>45749</v>
      </c>
      <c r="D2915" t="inlineStr">
        <is>
          <t>JÄMTLANDS LÄN</t>
        </is>
      </c>
      <c r="E2915" t="inlineStr">
        <is>
          <t>STRÖMSUND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19794-2024</t>
        </is>
      </c>
      <c r="B2916" s="1" t="n">
        <v>45433</v>
      </c>
      <c r="C2916" s="1" t="n">
        <v>45749</v>
      </c>
      <c r="D2916" t="inlineStr">
        <is>
          <t>JÄMTLANDS LÄN</t>
        </is>
      </c>
      <c r="E2916" t="inlineStr">
        <is>
          <t>STRÖMSUND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19995-2024</t>
        </is>
      </c>
      <c r="B2917" s="1" t="n">
        <v>45434</v>
      </c>
      <c r="C2917" s="1" t="n">
        <v>45749</v>
      </c>
      <c r="D2917" t="inlineStr">
        <is>
          <t>JÄMTLANDS LÄN</t>
        </is>
      </c>
      <c r="E2917" t="inlineStr">
        <is>
          <t>STRÖMSUND</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20274-2024</t>
        </is>
      </c>
      <c r="B2918" s="1" t="n">
        <v>45435</v>
      </c>
      <c r="C2918" s="1" t="n">
        <v>45749</v>
      </c>
      <c r="D2918" t="inlineStr">
        <is>
          <t>JÄMTLANDS LÄN</t>
        </is>
      </c>
      <c r="E2918" t="inlineStr">
        <is>
          <t>STRÖMSUND</t>
        </is>
      </c>
      <c r="F2918" t="inlineStr">
        <is>
          <t>SCA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20271-2024</t>
        </is>
      </c>
      <c r="B2919" s="1" t="n">
        <v>45435</v>
      </c>
      <c r="C2919" s="1" t="n">
        <v>45749</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20275-2024</t>
        </is>
      </c>
      <c r="B2920" s="1" t="n">
        <v>45435</v>
      </c>
      <c r="C2920" s="1" t="n">
        <v>45749</v>
      </c>
      <c r="D2920" t="inlineStr">
        <is>
          <t>JÄMTLANDS LÄN</t>
        </is>
      </c>
      <c r="E2920" t="inlineStr">
        <is>
          <t>STRÖMSUND</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20273-2024</t>
        </is>
      </c>
      <c r="B2921" s="1" t="n">
        <v>45434</v>
      </c>
      <c r="C2921" s="1" t="n">
        <v>45749</v>
      </c>
      <c r="D2921" t="inlineStr">
        <is>
          <t>JÄMTLANDS LÄN</t>
        </is>
      </c>
      <c r="E2921" t="inlineStr">
        <is>
          <t>STRÖMSUND</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20180-2024</t>
        </is>
      </c>
      <c r="B2922" s="1" t="n">
        <v>45434</v>
      </c>
      <c r="C2922" s="1" t="n">
        <v>45749</v>
      </c>
      <c r="D2922" t="inlineStr">
        <is>
          <t>JÄMTLANDS LÄN</t>
        </is>
      </c>
      <c r="E2922" t="inlineStr">
        <is>
          <t>STRÖMSUND</t>
        </is>
      </c>
      <c r="F2922" t="inlineStr">
        <is>
          <t>Holmen skog AB</t>
        </is>
      </c>
      <c r="G2922" t="n">
        <v>21.5</v>
      </c>
      <c r="H2922" t="n">
        <v>0</v>
      </c>
      <c r="I2922" t="n">
        <v>0</v>
      </c>
      <c r="J2922" t="n">
        <v>0</v>
      </c>
      <c r="K2922" t="n">
        <v>0</v>
      </c>
      <c r="L2922" t="n">
        <v>0</v>
      </c>
      <c r="M2922" t="n">
        <v>0</v>
      </c>
      <c r="N2922" t="n">
        <v>0</v>
      </c>
      <c r="O2922" t="n">
        <v>0</v>
      </c>
      <c r="P2922" t="n">
        <v>0</v>
      </c>
      <c r="Q2922" t="n">
        <v>0</v>
      </c>
      <c r="R2922" s="2" t="inlineStr"/>
    </row>
    <row r="2923" ht="15" customHeight="1">
      <c r="A2923" t="inlineStr">
        <is>
          <t>A 20272-2024</t>
        </is>
      </c>
      <c r="B2923" s="1" t="n">
        <v>45435</v>
      </c>
      <c r="C2923" s="1" t="n">
        <v>45749</v>
      </c>
      <c r="D2923" t="inlineStr">
        <is>
          <t>JÄMTLANDS LÄN</t>
        </is>
      </c>
      <c r="E2923" t="inlineStr">
        <is>
          <t>STRÖMSUND</t>
        </is>
      </c>
      <c r="F2923" t="inlineStr">
        <is>
          <t>SCA</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20505-2024</t>
        </is>
      </c>
      <c r="B2924" s="1" t="n">
        <v>45436</v>
      </c>
      <c r="C2924" s="1" t="n">
        <v>45749</v>
      </c>
      <c r="D2924" t="inlineStr">
        <is>
          <t>JÄMTLANDS LÄN</t>
        </is>
      </c>
      <c r="E2924" t="inlineStr">
        <is>
          <t>STRÖMSUND</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20508-2024</t>
        </is>
      </c>
      <c r="B2925" s="1" t="n">
        <v>45436</v>
      </c>
      <c r="C2925" s="1" t="n">
        <v>45749</v>
      </c>
      <c r="D2925" t="inlineStr">
        <is>
          <t>JÄMTLANDS LÄN</t>
        </is>
      </c>
      <c r="E2925" t="inlineStr">
        <is>
          <t>STRÖMSUND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20693-2024</t>
        </is>
      </c>
      <c r="B2926" s="1" t="n">
        <v>45436</v>
      </c>
      <c r="C2926" s="1" t="n">
        <v>45749</v>
      </c>
      <c r="D2926" t="inlineStr">
        <is>
          <t>JÄMTLANDS LÄN</t>
        </is>
      </c>
      <c r="E2926" t="inlineStr">
        <is>
          <t>STRÖMSUND</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20767-2024</t>
        </is>
      </c>
      <c r="B2927" s="1" t="n">
        <v>45436</v>
      </c>
      <c r="C2927" s="1" t="n">
        <v>45749</v>
      </c>
      <c r="D2927" t="inlineStr">
        <is>
          <t>JÄMTLANDS LÄN</t>
        </is>
      </c>
      <c r="E2927" t="inlineStr">
        <is>
          <t>STRÖMSUND</t>
        </is>
      </c>
      <c r="F2927" t="inlineStr">
        <is>
          <t>SCA</t>
        </is>
      </c>
      <c r="G2927" t="n">
        <v>22.2</v>
      </c>
      <c r="H2927" t="n">
        <v>0</v>
      </c>
      <c r="I2927" t="n">
        <v>0</v>
      </c>
      <c r="J2927" t="n">
        <v>0</v>
      </c>
      <c r="K2927" t="n">
        <v>0</v>
      </c>
      <c r="L2927" t="n">
        <v>0</v>
      </c>
      <c r="M2927" t="n">
        <v>0</v>
      </c>
      <c r="N2927" t="n">
        <v>0</v>
      </c>
      <c r="O2927" t="n">
        <v>0</v>
      </c>
      <c r="P2927" t="n">
        <v>0</v>
      </c>
      <c r="Q2927" t="n">
        <v>0</v>
      </c>
      <c r="R2927" s="2" t="inlineStr"/>
    </row>
    <row r="2928" ht="15" customHeight="1">
      <c r="A2928" t="inlineStr">
        <is>
          <t>A 21209-2024</t>
        </is>
      </c>
      <c r="B2928" s="1" t="n">
        <v>45440</v>
      </c>
      <c r="C2928" s="1" t="n">
        <v>45749</v>
      </c>
      <c r="D2928" t="inlineStr">
        <is>
          <t>JÄMTLANDS LÄN</t>
        </is>
      </c>
      <c r="E2928" t="inlineStr">
        <is>
          <t>STRÖMSUND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21212-2024</t>
        </is>
      </c>
      <c r="B2929" s="1" t="n">
        <v>45440</v>
      </c>
      <c r="C2929" s="1" t="n">
        <v>45749</v>
      </c>
      <c r="D2929" t="inlineStr">
        <is>
          <t>JÄMTLANDS LÄN</t>
        </is>
      </c>
      <c r="E2929" t="inlineStr">
        <is>
          <t>STRÖMSUND</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21377-2024</t>
        </is>
      </c>
      <c r="B2930" s="1" t="n">
        <v>45440</v>
      </c>
      <c r="C2930" s="1" t="n">
        <v>45749</v>
      </c>
      <c r="D2930" t="inlineStr">
        <is>
          <t>JÄMTLANDS LÄN</t>
        </is>
      </c>
      <c r="E2930" t="inlineStr">
        <is>
          <t>STRÖMSUND</t>
        </is>
      </c>
      <c r="F2930" t="inlineStr">
        <is>
          <t>SCA</t>
        </is>
      </c>
      <c r="G2930" t="n">
        <v>20.4</v>
      </c>
      <c r="H2930" t="n">
        <v>0</v>
      </c>
      <c r="I2930" t="n">
        <v>0</v>
      </c>
      <c r="J2930" t="n">
        <v>0</v>
      </c>
      <c r="K2930" t="n">
        <v>0</v>
      </c>
      <c r="L2930" t="n">
        <v>0</v>
      </c>
      <c r="M2930" t="n">
        <v>0</v>
      </c>
      <c r="N2930" t="n">
        <v>0</v>
      </c>
      <c r="O2930" t="n">
        <v>0</v>
      </c>
      <c r="P2930" t="n">
        <v>0</v>
      </c>
      <c r="Q2930" t="n">
        <v>0</v>
      </c>
      <c r="R2930" s="2" t="inlineStr"/>
    </row>
    <row r="2931" ht="15" customHeight="1">
      <c r="A2931" t="inlineStr">
        <is>
          <t>A 21546-2024</t>
        </is>
      </c>
      <c r="B2931" s="1" t="n">
        <v>45441</v>
      </c>
      <c r="C2931" s="1" t="n">
        <v>45749</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21603-2024</t>
        </is>
      </c>
      <c r="B2932" s="1" t="n">
        <v>45442</v>
      </c>
      <c r="C2932" s="1" t="n">
        <v>45749</v>
      </c>
      <c r="D2932" t="inlineStr">
        <is>
          <t>JÄMTLANDS LÄN</t>
        </is>
      </c>
      <c r="E2932" t="inlineStr">
        <is>
          <t>STRÖMSUND</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21605-2024</t>
        </is>
      </c>
      <c r="B2933" s="1" t="n">
        <v>45442</v>
      </c>
      <c r="C2933" s="1" t="n">
        <v>45749</v>
      </c>
      <c r="D2933" t="inlineStr">
        <is>
          <t>JÄMTLANDS LÄN</t>
        </is>
      </c>
      <c r="E2933" t="inlineStr">
        <is>
          <t>STRÖMSUND</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21616-2024</t>
        </is>
      </c>
      <c r="B2934" s="1" t="n">
        <v>45442</v>
      </c>
      <c r="C2934" s="1" t="n">
        <v>45749</v>
      </c>
      <c r="D2934" t="inlineStr">
        <is>
          <t>JÄMTLANDS LÄN</t>
        </is>
      </c>
      <c r="E2934" t="inlineStr">
        <is>
          <t>STRÖMSUND</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21551-2024</t>
        </is>
      </c>
      <c r="B2935" s="1" t="n">
        <v>45441</v>
      </c>
      <c r="C2935" s="1" t="n">
        <v>45749</v>
      </c>
      <c r="D2935" t="inlineStr">
        <is>
          <t>JÄMTLANDS LÄN</t>
        </is>
      </c>
      <c r="E2935" t="inlineStr">
        <is>
          <t>STRÖMSUND</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21553-2024</t>
        </is>
      </c>
      <c r="B2936" s="1" t="n">
        <v>45441</v>
      </c>
      <c r="C2936" s="1" t="n">
        <v>45749</v>
      </c>
      <c r="D2936" t="inlineStr">
        <is>
          <t>JÄMTLANDS LÄN</t>
        </is>
      </c>
      <c r="E2936" t="inlineStr">
        <is>
          <t>STRÖMSUND</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21549-2024</t>
        </is>
      </c>
      <c r="B2937" s="1" t="n">
        <v>45441</v>
      </c>
      <c r="C2937" s="1" t="n">
        <v>45749</v>
      </c>
      <c r="D2937" t="inlineStr">
        <is>
          <t>JÄMTLANDS LÄN</t>
        </is>
      </c>
      <c r="E2937" t="inlineStr">
        <is>
          <t>STRÖMSUND</t>
        </is>
      </c>
      <c r="F2937" t="inlineStr">
        <is>
          <t>Holmen skog AB</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21554-2024</t>
        </is>
      </c>
      <c r="B2938" s="1" t="n">
        <v>45441</v>
      </c>
      <c r="C2938" s="1" t="n">
        <v>45749</v>
      </c>
      <c r="D2938" t="inlineStr">
        <is>
          <t>JÄMTLANDS LÄN</t>
        </is>
      </c>
      <c r="E2938" t="inlineStr">
        <is>
          <t>STRÖMSUND</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21550-2024</t>
        </is>
      </c>
      <c r="B2939" s="1" t="n">
        <v>45441</v>
      </c>
      <c r="C2939" s="1" t="n">
        <v>45749</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21713-2024</t>
        </is>
      </c>
      <c r="B2940" s="1" t="n">
        <v>45442</v>
      </c>
      <c r="C2940" s="1" t="n">
        <v>45749</v>
      </c>
      <c r="D2940" t="inlineStr">
        <is>
          <t>JÄMTLANDS LÄN</t>
        </is>
      </c>
      <c r="E2940" t="inlineStr">
        <is>
          <t>STRÖMSUND</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21840-2024</t>
        </is>
      </c>
      <c r="B2941" s="1" t="n">
        <v>45443</v>
      </c>
      <c r="C2941" s="1" t="n">
        <v>45749</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21735-2024</t>
        </is>
      </c>
      <c r="B2942" s="1" t="n">
        <v>45442</v>
      </c>
      <c r="C2942" s="1" t="n">
        <v>45749</v>
      </c>
      <c r="D2942" t="inlineStr">
        <is>
          <t>JÄMTLANDS LÄN</t>
        </is>
      </c>
      <c r="E2942" t="inlineStr">
        <is>
          <t>STRÖMSUND</t>
        </is>
      </c>
      <c r="G2942" t="n">
        <v>15.1</v>
      </c>
      <c r="H2942" t="n">
        <v>0</v>
      </c>
      <c r="I2942" t="n">
        <v>0</v>
      </c>
      <c r="J2942" t="n">
        <v>0</v>
      </c>
      <c r="K2942" t="n">
        <v>0</v>
      </c>
      <c r="L2942" t="n">
        <v>0</v>
      </c>
      <c r="M2942" t="n">
        <v>0</v>
      </c>
      <c r="N2942" t="n">
        <v>0</v>
      </c>
      <c r="O2942" t="n">
        <v>0</v>
      </c>
      <c r="P2942" t="n">
        <v>0</v>
      </c>
      <c r="Q2942" t="n">
        <v>0</v>
      </c>
      <c r="R2942" s="2" t="inlineStr"/>
    </row>
    <row r="2943" ht="15" customHeight="1">
      <c r="A2943" t="inlineStr">
        <is>
          <t>A 21861-2024</t>
        </is>
      </c>
      <c r="B2943" s="1" t="n">
        <v>45443</v>
      </c>
      <c r="C2943" s="1" t="n">
        <v>45749</v>
      </c>
      <c r="D2943" t="inlineStr">
        <is>
          <t>JÄMTLANDS LÄN</t>
        </is>
      </c>
      <c r="E2943" t="inlineStr">
        <is>
          <t>STRÖMSUND</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22115-2024</t>
        </is>
      </c>
      <c r="B2944" s="1" t="n">
        <v>45443</v>
      </c>
      <c r="C2944" s="1" t="n">
        <v>45749</v>
      </c>
      <c r="D2944" t="inlineStr">
        <is>
          <t>JÄMTLANDS LÄN</t>
        </is>
      </c>
      <c r="E2944" t="inlineStr">
        <is>
          <t>STRÖMSUND</t>
        </is>
      </c>
      <c r="F2944" t="inlineStr">
        <is>
          <t>SCA</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22139-2024</t>
        </is>
      </c>
      <c r="B2945" s="1" t="n">
        <v>45445</v>
      </c>
      <c r="C2945" s="1" t="n">
        <v>45749</v>
      </c>
      <c r="D2945" t="inlineStr">
        <is>
          <t>JÄMTLANDS LÄN</t>
        </is>
      </c>
      <c r="E2945" t="inlineStr">
        <is>
          <t>STRÖMSUND</t>
        </is>
      </c>
      <c r="F2945" t="inlineStr">
        <is>
          <t>SCA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22138-2024</t>
        </is>
      </c>
      <c r="B2946" s="1" t="n">
        <v>45445</v>
      </c>
      <c r="C2946" s="1" t="n">
        <v>45749</v>
      </c>
      <c r="D2946" t="inlineStr">
        <is>
          <t>JÄMTLANDS LÄN</t>
        </is>
      </c>
      <c r="E2946" t="inlineStr">
        <is>
          <t>STRÖMSUND</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22141-2024</t>
        </is>
      </c>
      <c r="B2947" s="1" t="n">
        <v>45445</v>
      </c>
      <c r="C2947" s="1" t="n">
        <v>45749</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22140-2024</t>
        </is>
      </c>
      <c r="B2948" s="1" t="n">
        <v>45445</v>
      </c>
      <c r="C2948" s="1" t="n">
        <v>45749</v>
      </c>
      <c r="D2948" t="inlineStr">
        <is>
          <t>JÄMTLANDS LÄN</t>
        </is>
      </c>
      <c r="E2948" t="inlineStr">
        <is>
          <t>STRÖMSUND</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22451-2024</t>
        </is>
      </c>
      <c r="B2949" s="1" t="n">
        <v>45447</v>
      </c>
      <c r="C2949" s="1" t="n">
        <v>45749</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22445-2024</t>
        </is>
      </c>
      <c r="B2950" s="1" t="n">
        <v>45447</v>
      </c>
      <c r="C2950" s="1" t="n">
        <v>45749</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22481-2024</t>
        </is>
      </c>
      <c r="B2951" s="1" t="n">
        <v>45447</v>
      </c>
      <c r="C2951" s="1" t="n">
        <v>45749</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22477-2024</t>
        </is>
      </c>
      <c r="B2952" s="1" t="n">
        <v>45447</v>
      </c>
      <c r="C2952" s="1" t="n">
        <v>45749</v>
      </c>
      <c r="D2952" t="inlineStr">
        <is>
          <t>JÄMTLANDS LÄN</t>
        </is>
      </c>
      <c r="E2952" t="inlineStr">
        <is>
          <t>STRÖMSUND</t>
        </is>
      </c>
      <c r="F2952" t="inlineStr">
        <is>
          <t>SCA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22453-2024</t>
        </is>
      </c>
      <c r="B2953" s="1" t="n">
        <v>45447</v>
      </c>
      <c r="C2953" s="1" t="n">
        <v>45749</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22444-2024</t>
        </is>
      </c>
      <c r="B2954" s="1" t="n">
        <v>45447</v>
      </c>
      <c r="C2954" s="1" t="n">
        <v>45749</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22452-2024</t>
        </is>
      </c>
      <c r="B2955" s="1" t="n">
        <v>45447</v>
      </c>
      <c r="C2955" s="1" t="n">
        <v>45749</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22676-2024</t>
        </is>
      </c>
      <c r="B2956" s="1" t="n">
        <v>45448</v>
      </c>
      <c r="C2956" s="1" t="n">
        <v>45749</v>
      </c>
      <c r="D2956" t="inlineStr">
        <is>
          <t>JÄMTLANDS LÄN</t>
        </is>
      </c>
      <c r="E2956" t="inlineStr">
        <is>
          <t>STRÖMSUND</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22643-2024</t>
        </is>
      </c>
      <c r="B2957" s="1" t="n">
        <v>45447</v>
      </c>
      <c r="C2957" s="1" t="n">
        <v>45749</v>
      </c>
      <c r="D2957" t="inlineStr">
        <is>
          <t>JÄMTLANDS LÄN</t>
        </is>
      </c>
      <c r="E2957" t="inlineStr">
        <is>
          <t>STRÖMSUND</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22651-2024</t>
        </is>
      </c>
      <c r="B2958" s="1" t="n">
        <v>45447</v>
      </c>
      <c r="C2958" s="1" t="n">
        <v>45749</v>
      </c>
      <c r="D2958" t="inlineStr">
        <is>
          <t>JÄMTLANDS LÄN</t>
        </is>
      </c>
      <c r="E2958" t="inlineStr">
        <is>
          <t>STRÖMSUND</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23531-2024</t>
        </is>
      </c>
      <c r="B2959" s="1" t="n">
        <v>45454</v>
      </c>
      <c r="C2959" s="1" t="n">
        <v>45749</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23675-2024</t>
        </is>
      </c>
      <c r="B2960" s="1" t="n">
        <v>45454</v>
      </c>
      <c r="C2960" s="1" t="n">
        <v>45749</v>
      </c>
      <c r="D2960" t="inlineStr">
        <is>
          <t>JÄMTLANDS LÄN</t>
        </is>
      </c>
      <c r="E2960" t="inlineStr">
        <is>
          <t>STRÖMSUND</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23735-2024</t>
        </is>
      </c>
      <c r="B2961" s="1" t="n">
        <v>45455</v>
      </c>
      <c r="C2961" s="1" t="n">
        <v>45749</v>
      </c>
      <c r="D2961" t="inlineStr">
        <is>
          <t>JÄMTLANDS LÄN</t>
        </is>
      </c>
      <c r="E2961" t="inlineStr">
        <is>
          <t>STRÖMSUND</t>
        </is>
      </c>
      <c r="F2961" t="inlineStr">
        <is>
          <t>SCA</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23728-2024</t>
        </is>
      </c>
      <c r="B2962" s="1" t="n">
        <v>45455</v>
      </c>
      <c r="C2962" s="1" t="n">
        <v>45749</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23941-2024</t>
        </is>
      </c>
      <c r="B2963" s="1" t="n">
        <v>45456</v>
      </c>
      <c r="C2963" s="1" t="n">
        <v>45749</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23922-2024</t>
        </is>
      </c>
      <c r="B2964" s="1" t="n">
        <v>45456</v>
      </c>
      <c r="C2964" s="1" t="n">
        <v>45749</v>
      </c>
      <c r="D2964" t="inlineStr">
        <is>
          <t>JÄMTLANDS LÄN</t>
        </is>
      </c>
      <c r="E2964" t="inlineStr">
        <is>
          <t>STRÖMSUND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23934-2024</t>
        </is>
      </c>
      <c r="B2965" s="1" t="n">
        <v>45456</v>
      </c>
      <c r="C2965" s="1" t="n">
        <v>45749</v>
      </c>
      <c r="D2965" t="inlineStr">
        <is>
          <t>JÄMTLANDS LÄN</t>
        </is>
      </c>
      <c r="E2965" t="inlineStr">
        <is>
          <t>STRÖMSUND</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23942-2024</t>
        </is>
      </c>
      <c r="B2966" s="1" t="n">
        <v>45456</v>
      </c>
      <c r="C2966" s="1" t="n">
        <v>45749</v>
      </c>
      <c r="D2966" t="inlineStr">
        <is>
          <t>JÄMTLANDS LÄN</t>
        </is>
      </c>
      <c r="E2966" t="inlineStr">
        <is>
          <t>STRÖMSUND</t>
        </is>
      </c>
      <c r="F2966" t="inlineStr">
        <is>
          <t>SCA</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24060-2024</t>
        </is>
      </c>
      <c r="B2967" s="1" t="n">
        <v>45456</v>
      </c>
      <c r="C2967" s="1" t="n">
        <v>45749</v>
      </c>
      <c r="D2967" t="inlineStr">
        <is>
          <t>JÄMTLANDS LÄN</t>
        </is>
      </c>
      <c r="E2967" t="inlineStr">
        <is>
          <t>STRÖMSUND</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24042-2024</t>
        </is>
      </c>
      <c r="B2968" s="1" t="n">
        <v>45456</v>
      </c>
      <c r="C2968" s="1" t="n">
        <v>45749</v>
      </c>
      <c r="D2968" t="inlineStr">
        <is>
          <t>JÄMTLANDS LÄN</t>
        </is>
      </c>
      <c r="E2968" t="inlineStr">
        <is>
          <t>STRÖMSUND</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24059-2024</t>
        </is>
      </c>
      <c r="B2969" s="1" t="n">
        <v>45456</v>
      </c>
      <c r="C2969" s="1" t="n">
        <v>45749</v>
      </c>
      <c r="D2969" t="inlineStr">
        <is>
          <t>JÄMTLANDS LÄN</t>
        </is>
      </c>
      <c r="E2969" t="inlineStr">
        <is>
          <t>STRÖMSUND</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24206-2024</t>
        </is>
      </c>
      <c r="B2970" s="1" t="n">
        <v>45456</v>
      </c>
      <c r="C2970" s="1" t="n">
        <v>45749</v>
      </c>
      <c r="D2970" t="inlineStr">
        <is>
          <t>JÄMTLANDS LÄN</t>
        </is>
      </c>
      <c r="E2970" t="inlineStr">
        <is>
          <t>STRÖMSUND</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24214-2024</t>
        </is>
      </c>
      <c r="B2971" s="1" t="n">
        <v>45457</v>
      </c>
      <c r="C2971" s="1" t="n">
        <v>45749</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24430-2024</t>
        </is>
      </c>
      <c r="B2972" s="1" t="n">
        <v>45458</v>
      </c>
      <c r="C2972" s="1" t="n">
        <v>45749</v>
      </c>
      <c r="D2972" t="inlineStr">
        <is>
          <t>JÄMTLANDS LÄN</t>
        </is>
      </c>
      <c r="E2972" t="inlineStr">
        <is>
          <t>STRÖMSUND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24438-2024</t>
        </is>
      </c>
      <c r="B2973" s="1" t="n">
        <v>45458</v>
      </c>
      <c r="C2973" s="1" t="n">
        <v>45749</v>
      </c>
      <c r="D2973" t="inlineStr">
        <is>
          <t>JÄMTLANDS LÄN</t>
        </is>
      </c>
      <c r="E2973" t="inlineStr">
        <is>
          <t>STRÖMSUND</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24311-2024</t>
        </is>
      </c>
      <c r="B2974" s="1" t="n">
        <v>45457</v>
      </c>
      <c r="C2974" s="1" t="n">
        <v>45749</v>
      </c>
      <c r="D2974" t="inlineStr">
        <is>
          <t>JÄMTLANDS LÄN</t>
        </is>
      </c>
      <c r="E2974" t="inlineStr">
        <is>
          <t>STRÖMSUND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24429-2024</t>
        </is>
      </c>
      <c r="B2975" s="1" t="n">
        <v>45458</v>
      </c>
      <c r="C2975" s="1" t="n">
        <v>45749</v>
      </c>
      <c r="D2975" t="inlineStr">
        <is>
          <t>JÄMTLANDS LÄN</t>
        </is>
      </c>
      <c r="E2975" t="inlineStr">
        <is>
          <t>STRÖMSUND</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24804-2024</t>
        </is>
      </c>
      <c r="B2976" s="1" t="n">
        <v>45461</v>
      </c>
      <c r="C2976" s="1" t="n">
        <v>45749</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24800-2024</t>
        </is>
      </c>
      <c r="B2977" s="1" t="n">
        <v>45461</v>
      </c>
      <c r="C2977" s="1" t="n">
        <v>45749</v>
      </c>
      <c r="D2977" t="inlineStr">
        <is>
          <t>JÄMTLANDS LÄN</t>
        </is>
      </c>
      <c r="E2977" t="inlineStr">
        <is>
          <t>STRÖMSUND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24802-2024</t>
        </is>
      </c>
      <c r="B2978" s="1" t="n">
        <v>45461</v>
      </c>
      <c r="C2978" s="1" t="n">
        <v>45749</v>
      </c>
      <c r="D2978" t="inlineStr">
        <is>
          <t>JÄMTLANDS LÄN</t>
        </is>
      </c>
      <c r="E2978" t="inlineStr">
        <is>
          <t>STRÖMSUND</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24801-2024</t>
        </is>
      </c>
      <c r="B2979" s="1" t="n">
        <v>45461</v>
      </c>
      <c r="C2979" s="1" t="n">
        <v>45749</v>
      </c>
      <c r="D2979" t="inlineStr">
        <is>
          <t>JÄMTLANDS LÄN</t>
        </is>
      </c>
      <c r="E2979" t="inlineStr">
        <is>
          <t>STRÖMSUND</t>
        </is>
      </c>
      <c r="F2979" t="inlineStr">
        <is>
          <t>SCA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24805-2024</t>
        </is>
      </c>
      <c r="B2980" s="1" t="n">
        <v>45461</v>
      </c>
      <c r="C2980" s="1" t="n">
        <v>45749</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25359-2024</t>
        </is>
      </c>
      <c r="B2981" s="1" t="n">
        <v>45463</v>
      </c>
      <c r="C2981" s="1" t="n">
        <v>45749</v>
      </c>
      <c r="D2981" t="inlineStr">
        <is>
          <t>JÄMTLANDS LÄN</t>
        </is>
      </c>
      <c r="E2981" t="inlineStr">
        <is>
          <t>STRÖMSUND</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25371-2024</t>
        </is>
      </c>
      <c r="B2982" s="1" t="n">
        <v>45463</v>
      </c>
      <c r="C2982" s="1" t="n">
        <v>45749</v>
      </c>
      <c r="D2982" t="inlineStr">
        <is>
          <t>JÄMTLANDS LÄN</t>
        </is>
      </c>
      <c r="E2982" t="inlineStr">
        <is>
          <t>STRÖMSUND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25370-2024</t>
        </is>
      </c>
      <c r="B2983" s="1" t="n">
        <v>45463</v>
      </c>
      <c r="C2983" s="1" t="n">
        <v>45749</v>
      </c>
      <c r="D2983" t="inlineStr">
        <is>
          <t>JÄMTLANDS LÄN</t>
        </is>
      </c>
      <c r="E2983" t="inlineStr">
        <is>
          <t>STRÖMSUND</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25378-2024</t>
        </is>
      </c>
      <c r="B2984" s="1" t="n">
        <v>45463</v>
      </c>
      <c r="C2984" s="1" t="n">
        <v>45749</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25365-2024</t>
        </is>
      </c>
      <c r="B2985" s="1" t="n">
        <v>45463</v>
      </c>
      <c r="C2985" s="1" t="n">
        <v>45749</v>
      </c>
      <c r="D2985" t="inlineStr">
        <is>
          <t>JÄMTLANDS LÄN</t>
        </is>
      </c>
      <c r="E2985" t="inlineStr">
        <is>
          <t>STRÖMSUND</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25361-2024</t>
        </is>
      </c>
      <c r="B2986" s="1" t="n">
        <v>45463</v>
      </c>
      <c r="C2986" s="1" t="n">
        <v>45749</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25587-2024</t>
        </is>
      </c>
      <c r="B2987" s="1" t="n">
        <v>45463</v>
      </c>
      <c r="C2987" s="1" t="n">
        <v>45749</v>
      </c>
      <c r="D2987" t="inlineStr">
        <is>
          <t>JÄMTLANDS LÄN</t>
        </is>
      </c>
      <c r="E2987" t="inlineStr">
        <is>
          <t>STRÖMSUND</t>
        </is>
      </c>
      <c r="F2987" t="inlineStr">
        <is>
          <t>Holmen skog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25479-2024</t>
        </is>
      </c>
      <c r="B2988" s="1" t="n">
        <v>45463</v>
      </c>
      <c r="C2988" s="1" t="n">
        <v>45749</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25445-2024</t>
        </is>
      </c>
      <c r="B2989" s="1" t="n">
        <v>45463</v>
      </c>
      <c r="C2989" s="1" t="n">
        <v>45749</v>
      </c>
      <c r="D2989" t="inlineStr">
        <is>
          <t>JÄMTLANDS LÄN</t>
        </is>
      </c>
      <c r="E2989" t="inlineStr">
        <is>
          <t>STRÖMSUND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25999-2024</t>
        </is>
      </c>
      <c r="B2990" s="1" t="n">
        <v>45468</v>
      </c>
      <c r="C2990" s="1" t="n">
        <v>45749</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26035-2024</t>
        </is>
      </c>
      <c r="B2991" s="1" t="n">
        <v>45468</v>
      </c>
      <c r="C2991" s="1" t="n">
        <v>45749</v>
      </c>
      <c r="D2991" t="inlineStr">
        <is>
          <t>JÄMTLANDS LÄN</t>
        </is>
      </c>
      <c r="E2991" t="inlineStr">
        <is>
          <t>STRÖMSUND</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26036-2024</t>
        </is>
      </c>
      <c r="B2992" s="1" t="n">
        <v>45468</v>
      </c>
      <c r="C2992" s="1" t="n">
        <v>45749</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26033-2024</t>
        </is>
      </c>
      <c r="B2993" s="1" t="n">
        <v>45468</v>
      </c>
      <c r="C2993" s="1" t="n">
        <v>45749</v>
      </c>
      <c r="D2993" t="inlineStr">
        <is>
          <t>JÄMTLANDS LÄN</t>
        </is>
      </c>
      <c r="E2993" t="inlineStr">
        <is>
          <t>STRÖMSUND</t>
        </is>
      </c>
      <c r="F2993" t="inlineStr">
        <is>
          <t>SCA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26037-2024</t>
        </is>
      </c>
      <c r="B2994" s="1" t="n">
        <v>45468</v>
      </c>
      <c r="C2994" s="1" t="n">
        <v>45749</v>
      </c>
      <c r="D2994" t="inlineStr">
        <is>
          <t>JÄMTLANDS LÄN</t>
        </is>
      </c>
      <c r="E2994" t="inlineStr">
        <is>
          <t>STRÖMSUND</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26301-2024</t>
        </is>
      </c>
      <c r="B2995" s="1" t="n">
        <v>45469</v>
      </c>
      <c r="C2995" s="1" t="n">
        <v>45749</v>
      </c>
      <c r="D2995" t="inlineStr">
        <is>
          <t>JÄMTLANDS LÄN</t>
        </is>
      </c>
      <c r="E2995" t="inlineStr">
        <is>
          <t>STRÖMSUND</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26048-2024</t>
        </is>
      </c>
      <c r="B2996" s="1" t="n">
        <v>45468</v>
      </c>
      <c r="C2996" s="1" t="n">
        <v>45749</v>
      </c>
      <c r="D2996" t="inlineStr">
        <is>
          <t>JÄMTLANDS LÄN</t>
        </is>
      </c>
      <c r="E2996" t="inlineStr">
        <is>
          <t>STRÖMSUND</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26638-2024</t>
        </is>
      </c>
      <c r="B2997" s="1" t="n">
        <v>45470</v>
      </c>
      <c r="C2997" s="1" t="n">
        <v>45749</v>
      </c>
      <c r="D2997" t="inlineStr">
        <is>
          <t>JÄMTLANDS LÄN</t>
        </is>
      </c>
      <c r="E2997" t="inlineStr">
        <is>
          <t>STRÖMSUND</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26635-2024</t>
        </is>
      </c>
      <c r="B2998" s="1" t="n">
        <v>45470</v>
      </c>
      <c r="C2998" s="1" t="n">
        <v>45749</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26667-2024</t>
        </is>
      </c>
      <c r="B2999" s="1" t="n">
        <v>45470</v>
      </c>
      <c r="C2999" s="1" t="n">
        <v>45749</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26665-2024</t>
        </is>
      </c>
      <c r="B3000" s="1" t="n">
        <v>45470</v>
      </c>
      <c r="C3000" s="1" t="n">
        <v>45749</v>
      </c>
      <c r="D3000" t="inlineStr">
        <is>
          <t>JÄMTLANDS LÄN</t>
        </is>
      </c>
      <c r="E3000" t="inlineStr">
        <is>
          <t>STRÖMSUND</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26663-2024</t>
        </is>
      </c>
      <c r="B3001" s="1" t="n">
        <v>45470</v>
      </c>
      <c r="C3001" s="1" t="n">
        <v>45749</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26650-2024</t>
        </is>
      </c>
      <c r="B3002" s="1" t="n">
        <v>45470</v>
      </c>
      <c r="C3002" s="1" t="n">
        <v>45749</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26666-2024</t>
        </is>
      </c>
      <c r="B3003" s="1" t="n">
        <v>45470</v>
      </c>
      <c r="C3003" s="1" t="n">
        <v>45749</v>
      </c>
      <c r="D3003" t="inlineStr">
        <is>
          <t>JÄMTLANDS LÄN</t>
        </is>
      </c>
      <c r="E3003" t="inlineStr">
        <is>
          <t>STRÖMSUND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26636-2024</t>
        </is>
      </c>
      <c r="B3004" s="1" t="n">
        <v>45470</v>
      </c>
      <c r="C3004" s="1" t="n">
        <v>45749</v>
      </c>
      <c r="D3004" t="inlineStr">
        <is>
          <t>JÄMTLANDS LÄN</t>
        </is>
      </c>
      <c r="E3004" t="inlineStr">
        <is>
          <t>STRÖMSUND</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26664-2024</t>
        </is>
      </c>
      <c r="B3005" s="1" t="n">
        <v>45470</v>
      </c>
      <c r="C3005" s="1" t="n">
        <v>45749</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26934-2024</t>
        </is>
      </c>
      <c r="B3006" s="1" t="n">
        <v>45471</v>
      </c>
      <c r="C3006" s="1" t="n">
        <v>45749</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26960-2024</t>
        </is>
      </c>
      <c r="B3007" s="1" t="n">
        <v>45471</v>
      </c>
      <c r="C3007" s="1" t="n">
        <v>45749</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27121-2024</t>
        </is>
      </c>
      <c r="B3008" s="1" t="n">
        <v>45471</v>
      </c>
      <c r="C3008" s="1" t="n">
        <v>45749</v>
      </c>
      <c r="D3008" t="inlineStr">
        <is>
          <t>JÄMTLANDS LÄN</t>
        </is>
      </c>
      <c r="E3008" t="inlineStr">
        <is>
          <t>STRÖMSUND</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27276-2024</t>
        </is>
      </c>
      <c r="B3009" s="1" t="n">
        <v>45472</v>
      </c>
      <c r="C3009" s="1" t="n">
        <v>45749</v>
      </c>
      <c r="D3009" t="inlineStr">
        <is>
          <t>JÄMTLANDS LÄN</t>
        </is>
      </c>
      <c r="E3009" t="inlineStr">
        <is>
          <t>STRÖMSUND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27298-2024</t>
        </is>
      </c>
      <c r="B3010" s="1" t="n">
        <v>45472</v>
      </c>
      <c r="C3010" s="1" t="n">
        <v>45749</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27279-2024</t>
        </is>
      </c>
      <c r="B3011" s="1" t="n">
        <v>45472</v>
      </c>
      <c r="C3011" s="1" t="n">
        <v>45749</v>
      </c>
      <c r="D3011" t="inlineStr">
        <is>
          <t>JÄMTLANDS LÄN</t>
        </is>
      </c>
      <c r="E3011" t="inlineStr">
        <is>
          <t>STRÖMSUND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27323-2024</t>
        </is>
      </c>
      <c r="B3012" s="1" t="n">
        <v>45471</v>
      </c>
      <c r="C3012" s="1" t="n">
        <v>45749</v>
      </c>
      <c r="D3012" t="inlineStr">
        <is>
          <t>JÄMTLANDS LÄN</t>
        </is>
      </c>
      <c r="E3012" t="inlineStr">
        <is>
          <t>STRÖMSUND</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27587-2024</t>
        </is>
      </c>
      <c r="B3013" s="1" t="n">
        <v>45474</v>
      </c>
      <c r="C3013" s="1" t="n">
        <v>45749</v>
      </c>
      <c r="D3013" t="inlineStr">
        <is>
          <t>JÄMTLANDS LÄN</t>
        </is>
      </c>
      <c r="E3013" t="inlineStr">
        <is>
          <t>STRÖMSUND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27643-2024</t>
        </is>
      </c>
      <c r="B3014" s="1" t="n">
        <v>45475</v>
      </c>
      <c r="C3014" s="1" t="n">
        <v>45749</v>
      </c>
      <c r="D3014" t="inlineStr">
        <is>
          <t>JÄMTLANDS LÄN</t>
        </is>
      </c>
      <c r="E3014" t="inlineStr">
        <is>
          <t>STRÖMSUND</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27640-2024</t>
        </is>
      </c>
      <c r="B3015" s="1" t="n">
        <v>45475</v>
      </c>
      <c r="C3015" s="1" t="n">
        <v>45749</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27648-2024</t>
        </is>
      </c>
      <c r="B3016" s="1" t="n">
        <v>45475</v>
      </c>
      <c r="C3016" s="1" t="n">
        <v>45749</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27664-2024</t>
        </is>
      </c>
      <c r="B3017" s="1" t="n">
        <v>45475</v>
      </c>
      <c r="C3017" s="1" t="n">
        <v>45749</v>
      </c>
      <c r="D3017" t="inlineStr">
        <is>
          <t>JÄMTLANDS LÄN</t>
        </is>
      </c>
      <c r="E3017" t="inlineStr">
        <is>
          <t>STRÖMSUND</t>
        </is>
      </c>
      <c r="F3017" t="inlineStr">
        <is>
          <t>SCA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27638-2024</t>
        </is>
      </c>
      <c r="B3018" s="1" t="n">
        <v>45475</v>
      </c>
      <c r="C3018" s="1" t="n">
        <v>45749</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27642-2024</t>
        </is>
      </c>
      <c r="B3019" s="1" t="n">
        <v>45475</v>
      </c>
      <c r="C3019" s="1" t="n">
        <v>45749</v>
      </c>
      <c r="D3019" t="inlineStr">
        <is>
          <t>JÄMTLANDS LÄN</t>
        </is>
      </c>
      <c r="E3019" t="inlineStr">
        <is>
          <t>STRÖMSUND</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27659-2024</t>
        </is>
      </c>
      <c r="B3020" s="1" t="n">
        <v>45475</v>
      </c>
      <c r="C3020" s="1" t="n">
        <v>45749</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27663-2024</t>
        </is>
      </c>
      <c r="B3021" s="1" t="n">
        <v>45475</v>
      </c>
      <c r="C3021" s="1" t="n">
        <v>45749</v>
      </c>
      <c r="D3021" t="inlineStr">
        <is>
          <t>JÄMTLANDS LÄN</t>
        </is>
      </c>
      <c r="E3021" t="inlineStr">
        <is>
          <t>STRÖMSUND</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27637-2024</t>
        </is>
      </c>
      <c r="B3022" s="1" t="n">
        <v>45475</v>
      </c>
      <c r="C3022" s="1" t="n">
        <v>45749</v>
      </c>
      <c r="D3022" t="inlineStr">
        <is>
          <t>JÄMTLANDS LÄN</t>
        </is>
      </c>
      <c r="E3022" t="inlineStr">
        <is>
          <t>STRÖMSUND</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27649-2024</t>
        </is>
      </c>
      <c r="B3023" s="1" t="n">
        <v>45475</v>
      </c>
      <c r="C3023" s="1" t="n">
        <v>45749</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27665-2024</t>
        </is>
      </c>
      <c r="B3024" s="1" t="n">
        <v>45475</v>
      </c>
      <c r="C3024" s="1" t="n">
        <v>45749</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27898-2024</t>
        </is>
      </c>
      <c r="B3025" s="1" t="n">
        <v>45476</v>
      </c>
      <c r="C3025" s="1" t="n">
        <v>45749</v>
      </c>
      <c r="D3025" t="inlineStr">
        <is>
          <t>JÄMTLANDS LÄN</t>
        </is>
      </c>
      <c r="E3025" t="inlineStr">
        <is>
          <t>STRÖMSUND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27923-2024</t>
        </is>
      </c>
      <c r="B3026" s="1" t="n">
        <v>45476</v>
      </c>
      <c r="C3026" s="1" t="n">
        <v>45749</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28174-2024</t>
        </is>
      </c>
      <c r="B3027" s="1" t="n">
        <v>45477</v>
      </c>
      <c r="C3027" s="1" t="n">
        <v>45749</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28510-2024</t>
        </is>
      </c>
      <c r="B3028" s="1" t="n">
        <v>45478</v>
      </c>
      <c r="C3028" s="1" t="n">
        <v>45749</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28443-2024</t>
        </is>
      </c>
      <c r="B3029" s="1" t="n">
        <v>45477</v>
      </c>
      <c r="C3029" s="1" t="n">
        <v>45749</v>
      </c>
      <c r="D3029" t="inlineStr">
        <is>
          <t>JÄMTLANDS LÄN</t>
        </is>
      </c>
      <c r="E3029" t="inlineStr">
        <is>
          <t>STRÖMSUND</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28511-2024</t>
        </is>
      </c>
      <c r="B3030" s="1" t="n">
        <v>45478</v>
      </c>
      <c r="C3030" s="1" t="n">
        <v>45749</v>
      </c>
      <c r="D3030" t="inlineStr">
        <is>
          <t>JÄMTLANDS LÄN</t>
        </is>
      </c>
      <c r="E3030" t="inlineStr">
        <is>
          <t>STRÖMSUND</t>
        </is>
      </c>
      <c r="F3030" t="inlineStr">
        <is>
          <t>SCA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28602-2024</t>
        </is>
      </c>
      <c r="B3031" s="1" t="n">
        <v>45478</v>
      </c>
      <c r="C3031" s="1" t="n">
        <v>45749</v>
      </c>
      <c r="D3031" t="inlineStr">
        <is>
          <t>JÄMTLANDS LÄN</t>
        </is>
      </c>
      <c r="E3031" t="inlineStr">
        <is>
          <t>STRÖMSUND</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28865-2024</t>
        </is>
      </c>
      <c r="B3032" s="1" t="n">
        <v>45479</v>
      </c>
      <c r="C3032" s="1" t="n">
        <v>45749</v>
      </c>
      <c r="D3032" t="inlineStr">
        <is>
          <t>JÄMTLANDS LÄN</t>
        </is>
      </c>
      <c r="E3032" t="inlineStr">
        <is>
          <t>STRÖMSUND</t>
        </is>
      </c>
      <c r="F3032" t="inlineStr">
        <is>
          <t>SCA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28874-2024</t>
        </is>
      </c>
      <c r="B3033" s="1" t="n">
        <v>45479</v>
      </c>
      <c r="C3033" s="1" t="n">
        <v>45749</v>
      </c>
      <c r="D3033" t="inlineStr">
        <is>
          <t>JÄMTLANDS LÄN</t>
        </is>
      </c>
      <c r="E3033" t="inlineStr">
        <is>
          <t>STRÖMSUND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28878-2024</t>
        </is>
      </c>
      <c r="B3034" s="1" t="n">
        <v>45479</v>
      </c>
      <c r="C3034" s="1" t="n">
        <v>45749</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28864-2024</t>
        </is>
      </c>
      <c r="B3035" s="1" t="n">
        <v>45479</v>
      </c>
      <c r="C3035" s="1" t="n">
        <v>45749</v>
      </c>
      <c r="D3035" t="inlineStr">
        <is>
          <t>JÄMTLANDS LÄN</t>
        </is>
      </c>
      <c r="E3035" t="inlineStr">
        <is>
          <t>STRÖMSUND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29113-2024</t>
        </is>
      </c>
      <c r="B3036" s="1" t="n">
        <v>45482</v>
      </c>
      <c r="C3036" s="1" t="n">
        <v>45749</v>
      </c>
      <c r="D3036" t="inlineStr">
        <is>
          <t>JÄMTLANDS LÄN</t>
        </is>
      </c>
      <c r="E3036" t="inlineStr">
        <is>
          <t>STRÖMSUND</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29096-2024</t>
        </is>
      </c>
      <c r="B3037" s="1" t="n">
        <v>45482</v>
      </c>
      <c r="C3037" s="1" t="n">
        <v>45749</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29091-2024</t>
        </is>
      </c>
      <c r="B3038" s="1" t="n">
        <v>45482</v>
      </c>
      <c r="C3038" s="1" t="n">
        <v>45749</v>
      </c>
      <c r="D3038" t="inlineStr">
        <is>
          <t>JÄMTLANDS LÄN</t>
        </is>
      </c>
      <c r="E3038" t="inlineStr">
        <is>
          <t>STRÖMSUND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29107-2024</t>
        </is>
      </c>
      <c r="B3039" s="1" t="n">
        <v>45482</v>
      </c>
      <c r="C3039" s="1" t="n">
        <v>45749</v>
      </c>
      <c r="D3039" t="inlineStr">
        <is>
          <t>JÄMTLANDS LÄN</t>
        </is>
      </c>
      <c r="E3039" t="inlineStr">
        <is>
          <t>STRÖMSUND</t>
        </is>
      </c>
      <c r="F3039" t="inlineStr">
        <is>
          <t>SCA</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29098-2024</t>
        </is>
      </c>
      <c r="B3040" s="1" t="n">
        <v>45482</v>
      </c>
      <c r="C3040" s="1" t="n">
        <v>45749</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29097-2024</t>
        </is>
      </c>
      <c r="B3041" s="1" t="n">
        <v>45482</v>
      </c>
      <c r="C3041" s="1" t="n">
        <v>45749</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29221-2024</t>
        </is>
      </c>
      <c r="B3042" s="1" t="n">
        <v>45482</v>
      </c>
      <c r="C3042" s="1" t="n">
        <v>45749</v>
      </c>
      <c r="D3042" t="inlineStr">
        <is>
          <t>JÄMTLANDS LÄN</t>
        </is>
      </c>
      <c r="E3042" t="inlineStr">
        <is>
          <t>STRÖMSUND</t>
        </is>
      </c>
      <c r="G3042" t="n">
        <v>39.4</v>
      </c>
      <c r="H3042" t="n">
        <v>0</v>
      </c>
      <c r="I3042" t="n">
        <v>0</v>
      </c>
      <c r="J3042" t="n">
        <v>0</v>
      </c>
      <c r="K3042" t="n">
        <v>0</v>
      </c>
      <c r="L3042" t="n">
        <v>0</v>
      </c>
      <c r="M3042" t="n">
        <v>0</v>
      </c>
      <c r="N3042" t="n">
        <v>0</v>
      </c>
      <c r="O3042" t="n">
        <v>0</v>
      </c>
      <c r="P3042" t="n">
        <v>0</v>
      </c>
      <c r="Q3042" t="n">
        <v>0</v>
      </c>
      <c r="R3042" s="2" t="inlineStr"/>
    </row>
    <row r="3043" ht="15" customHeight="1">
      <c r="A3043" t="inlineStr">
        <is>
          <t>A 29274-2024</t>
        </is>
      </c>
      <c r="B3043" s="1" t="n">
        <v>45483</v>
      </c>
      <c r="C3043" s="1" t="n">
        <v>45749</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29242-2024</t>
        </is>
      </c>
      <c r="B3044" s="1" t="n">
        <v>45483</v>
      </c>
      <c r="C3044" s="1" t="n">
        <v>45749</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29171-2024</t>
        </is>
      </c>
      <c r="B3045" s="1" t="n">
        <v>45482</v>
      </c>
      <c r="C3045" s="1" t="n">
        <v>45749</v>
      </c>
      <c r="D3045" t="inlineStr">
        <is>
          <t>JÄMTLANDS LÄN</t>
        </is>
      </c>
      <c r="E3045" t="inlineStr">
        <is>
          <t>STRÖMSUND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29266-2024</t>
        </is>
      </c>
      <c r="B3046" s="1" t="n">
        <v>45483</v>
      </c>
      <c r="C3046" s="1" t="n">
        <v>45749</v>
      </c>
      <c r="D3046" t="inlineStr">
        <is>
          <t>JÄMTLANDS LÄN</t>
        </is>
      </c>
      <c r="E3046" t="inlineStr">
        <is>
          <t>STRÖMSUND</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29243-2024</t>
        </is>
      </c>
      <c r="B3047" s="1" t="n">
        <v>45483</v>
      </c>
      <c r="C3047" s="1" t="n">
        <v>45749</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29273-2024</t>
        </is>
      </c>
      <c r="B3048" s="1" t="n">
        <v>45483</v>
      </c>
      <c r="C3048" s="1" t="n">
        <v>45749</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29413-2024</t>
        </is>
      </c>
      <c r="B3049" s="1" t="n">
        <v>45483</v>
      </c>
      <c r="C3049" s="1" t="n">
        <v>45749</v>
      </c>
      <c r="D3049" t="inlineStr">
        <is>
          <t>JÄMTLANDS LÄN</t>
        </is>
      </c>
      <c r="E3049" t="inlineStr">
        <is>
          <t>STRÖMSUND</t>
        </is>
      </c>
      <c r="G3049" t="n">
        <v>18.1</v>
      </c>
      <c r="H3049" t="n">
        <v>0</v>
      </c>
      <c r="I3049" t="n">
        <v>0</v>
      </c>
      <c r="J3049" t="n">
        <v>0</v>
      </c>
      <c r="K3049" t="n">
        <v>0</v>
      </c>
      <c r="L3049" t="n">
        <v>0</v>
      </c>
      <c r="M3049" t="n">
        <v>0</v>
      </c>
      <c r="N3049" t="n">
        <v>0</v>
      </c>
      <c r="O3049" t="n">
        <v>0</v>
      </c>
      <c r="P3049" t="n">
        <v>0</v>
      </c>
      <c r="Q3049" t="n">
        <v>0</v>
      </c>
      <c r="R3049" s="2" t="inlineStr"/>
    </row>
    <row r="3050" ht="15" customHeight="1">
      <c r="A3050" t="inlineStr">
        <is>
          <t>A 29669-2024</t>
        </is>
      </c>
      <c r="B3050" s="1" t="n">
        <v>45485</v>
      </c>
      <c r="C3050" s="1" t="n">
        <v>45749</v>
      </c>
      <c r="D3050" t="inlineStr">
        <is>
          <t>JÄMTLANDS LÄN</t>
        </is>
      </c>
      <c r="E3050" t="inlineStr">
        <is>
          <t>STRÖMSUND</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29671-2024</t>
        </is>
      </c>
      <c r="B3051" s="1" t="n">
        <v>45485</v>
      </c>
      <c r="C3051" s="1" t="n">
        <v>45749</v>
      </c>
      <c r="D3051" t="inlineStr">
        <is>
          <t>JÄMTLANDS LÄN</t>
        </is>
      </c>
      <c r="E3051" t="inlineStr">
        <is>
          <t>STRÖMSUND</t>
        </is>
      </c>
      <c r="F3051" t="inlineStr">
        <is>
          <t>SCA</t>
        </is>
      </c>
      <c r="G3051" t="n">
        <v>42.3</v>
      </c>
      <c r="H3051" t="n">
        <v>0</v>
      </c>
      <c r="I3051" t="n">
        <v>0</v>
      </c>
      <c r="J3051" t="n">
        <v>0</v>
      </c>
      <c r="K3051" t="n">
        <v>0</v>
      </c>
      <c r="L3051" t="n">
        <v>0</v>
      </c>
      <c r="M3051" t="n">
        <v>0</v>
      </c>
      <c r="N3051" t="n">
        <v>0</v>
      </c>
      <c r="O3051" t="n">
        <v>0</v>
      </c>
      <c r="P3051" t="n">
        <v>0</v>
      </c>
      <c r="Q3051" t="n">
        <v>0</v>
      </c>
      <c r="R3051" s="2" t="inlineStr"/>
    </row>
    <row r="3052" ht="15" customHeight="1">
      <c r="A3052" t="inlineStr">
        <is>
          <t>A 29670-2024</t>
        </is>
      </c>
      <c r="B3052" s="1" t="n">
        <v>45485</v>
      </c>
      <c r="C3052" s="1" t="n">
        <v>45749</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29668-2024</t>
        </is>
      </c>
      <c r="B3053" s="1" t="n">
        <v>45485</v>
      </c>
      <c r="C3053" s="1" t="n">
        <v>45749</v>
      </c>
      <c r="D3053" t="inlineStr">
        <is>
          <t>JÄMTLANDS LÄN</t>
        </is>
      </c>
      <c r="E3053" t="inlineStr">
        <is>
          <t>STRÖMSUND</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29487-2024</t>
        </is>
      </c>
      <c r="B3054" s="1" t="n">
        <v>45484</v>
      </c>
      <c r="C3054" s="1" t="n">
        <v>45749</v>
      </c>
      <c r="D3054" t="inlineStr">
        <is>
          <t>JÄMTLANDS LÄN</t>
        </is>
      </c>
      <c r="E3054" t="inlineStr">
        <is>
          <t>STRÖMSUND</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29586-2024</t>
        </is>
      </c>
      <c r="B3055" s="1" t="n">
        <v>45484</v>
      </c>
      <c r="C3055" s="1" t="n">
        <v>45749</v>
      </c>
      <c r="D3055" t="inlineStr">
        <is>
          <t>JÄMTLANDS LÄN</t>
        </is>
      </c>
      <c r="E3055" t="inlineStr">
        <is>
          <t>STRÖMSUND</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29875-2024</t>
        </is>
      </c>
      <c r="B3056" s="1" t="n">
        <v>45486</v>
      </c>
      <c r="C3056" s="1" t="n">
        <v>45749</v>
      </c>
      <c r="D3056" t="inlineStr">
        <is>
          <t>JÄMTLANDS LÄN</t>
        </is>
      </c>
      <c r="E3056" t="inlineStr">
        <is>
          <t>STRÖMSUND</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30062-2024</t>
        </is>
      </c>
      <c r="B3057" s="1" t="n">
        <v>45489</v>
      </c>
      <c r="C3057" s="1" t="n">
        <v>45749</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30064-2024</t>
        </is>
      </c>
      <c r="B3058" s="1" t="n">
        <v>45489</v>
      </c>
      <c r="C3058" s="1" t="n">
        <v>45749</v>
      </c>
      <c r="D3058" t="inlineStr">
        <is>
          <t>JÄMTLANDS LÄN</t>
        </is>
      </c>
      <c r="E3058" t="inlineStr">
        <is>
          <t>STRÖMSUND</t>
        </is>
      </c>
      <c r="F3058" t="inlineStr">
        <is>
          <t>SCA</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30354-2024</t>
        </is>
      </c>
      <c r="B3059" s="1" t="n">
        <v>45491</v>
      </c>
      <c r="C3059" s="1" t="n">
        <v>45749</v>
      </c>
      <c r="D3059" t="inlineStr">
        <is>
          <t>JÄMTLANDS LÄN</t>
        </is>
      </c>
      <c r="E3059" t="inlineStr">
        <is>
          <t>STRÖMSUND</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30330-2024</t>
        </is>
      </c>
      <c r="B3060" s="1" t="n">
        <v>45491</v>
      </c>
      <c r="C3060" s="1" t="n">
        <v>45749</v>
      </c>
      <c r="D3060" t="inlineStr">
        <is>
          <t>JÄMTLANDS LÄN</t>
        </is>
      </c>
      <c r="E3060" t="inlineStr">
        <is>
          <t>STRÖMSUND</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30352-2024</t>
        </is>
      </c>
      <c r="B3061" s="1" t="n">
        <v>45491</v>
      </c>
      <c r="C3061" s="1" t="n">
        <v>45749</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30376-2024</t>
        </is>
      </c>
      <c r="B3062" s="1" t="n">
        <v>45491</v>
      </c>
      <c r="C3062" s="1" t="n">
        <v>45749</v>
      </c>
      <c r="D3062" t="inlineStr">
        <is>
          <t>JÄMTLANDS LÄN</t>
        </is>
      </c>
      <c r="E3062" t="inlineStr">
        <is>
          <t>STRÖMSUND</t>
        </is>
      </c>
      <c r="F3062" t="inlineStr">
        <is>
          <t>Sveaskog</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30375-2024</t>
        </is>
      </c>
      <c r="B3063" s="1" t="n">
        <v>45491</v>
      </c>
      <c r="C3063" s="1" t="n">
        <v>45749</v>
      </c>
      <c r="D3063" t="inlineStr">
        <is>
          <t>JÄMTLANDS LÄN</t>
        </is>
      </c>
      <c r="E3063" t="inlineStr">
        <is>
          <t>STRÖMSUND</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30374-2024</t>
        </is>
      </c>
      <c r="B3064" s="1" t="n">
        <v>45491</v>
      </c>
      <c r="C3064" s="1" t="n">
        <v>45749</v>
      </c>
      <c r="D3064" t="inlineStr">
        <is>
          <t>JÄMTLANDS LÄN</t>
        </is>
      </c>
      <c r="E3064" t="inlineStr">
        <is>
          <t>STRÖMSUND</t>
        </is>
      </c>
      <c r="F3064" t="inlineStr">
        <is>
          <t>Sveaskog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30371-2024</t>
        </is>
      </c>
      <c r="B3065" s="1" t="n">
        <v>45491</v>
      </c>
      <c r="C3065" s="1" t="n">
        <v>45749</v>
      </c>
      <c r="D3065" t="inlineStr">
        <is>
          <t>JÄMTLANDS LÄN</t>
        </is>
      </c>
      <c r="E3065" t="inlineStr">
        <is>
          <t>STRÖMSUND</t>
        </is>
      </c>
      <c r="F3065" t="inlineStr">
        <is>
          <t>Sveaskog</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30585-2024</t>
        </is>
      </c>
      <c r="B3066" s="1" t="n">
        <v>45493</v>
      </c>
      <c r="C3066" s="1" t="n">
        <v>45749</v>
      </c>
      <c r="D3066" t="inlineStr">
        <is>
          <t>JÄMTLANDS LÄN</t>
        </is>
      </c>
      <c r="E3066" t="inlineStr">
        <is>
          <t>STRÖMSUND</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30586-2024</t>
        </is>
      </c>
      <c r="B3067" s="1" t="n">
        <v>45493</v>
      </c>
      <c r="C3067" s="1" t="n">
        <v>45749</v>
      </c>
      <c r="D3067" t="inlineStr">
        <is>
          <t>JÄMTLANDS LÄN</t>
        </is>
      </c>
      <c r="E3067" t="inlineStr">
        <is>
          <t>STRÖMSUND</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30809-2024</t>
        </is>
      </c>
      <c r="B3068" s="1" t="n">
        <v>45497</v>
      </c>
      <c r="C3068" s="1" t="n">
        <v>45749</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31489-2024</t>
        </is>
      </c>
      <c r="B3069" s="1" t="n">
        <v>45506</v>
      </c>
      <c r="C3069" s="1" t="n">
        <v>45749</v>
      </c>
      <c r="D3069" t="inlineStr">
        <is>
          <t>JÄMTLANDS LÄN</t>
        </is>
      </c>
      <c r="E3069" t="inlineStr">
        <is>
          <t>STRÖMSUND</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31538-2024</t>
        </is>
      </c>
      <c r="B3070" s="1" t="n">
        <v>45506</v>
      </c>
      <c r="C3070" s="1" t="n">
        <v>45749</v>
      </c>
      <c r="D3070" t="inlineStr">
        <is>
          <t>JÄMTLANDS LÄN</t>
        </is>
      </c>
      <c r="E3070" t="inlineStr">
        <is>
          <t>STRÖMSUND</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31565-2024</t>
        </is>
      </c>
      <c r="B3071" s="1" t="n">
        <v>45506</v>
      </c>
      <c r="C3071" s="1" t="n">
        <v>45749</v>
      </c>
      <c r="D3071" t="inlineStr">
        <is>
          <t>JÄMTLANDS LÄN</t>
        </is>
      </c>
      <c r="E3071" t="inlineStr">
        <is>
          <t>STRÖMSUND</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31514-2024</t>
        </is>
      </c>
      <c r="B3072" s="1" t="n">
        <v>45506</v>
      </c>
      <c r="C3072" s="1" t="n">
        <v>45749</v>
      </c>
      <c r="D3072" t="inlineStr">
        <is>
          <t>JÄMTLANDS LÄN</t>
        </is>
      </c>
      <c r="E3072" t="inlineStr">
        <is>
          <t>STRÖMSUND</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31675-2024</t>
        </is>
      </c>
      <c r="B3073" s="1" t="n">
        <v>45507</v>
      </c>
      <c r="C3073" s="1" t="n">
        <v>45749</v>
      </c>
      <c r="D3073" t="inlineStr">
        <is>
          <t>JÄMTLANDS LÄN</t>
        </is>
      </c>
      <c r="E3073" t="inlineStr">
        <is>
          <t>STRÖMSUND</t>
        </is>
      </c>
      <c r="F3073" t="inlineStr">
        <is>
          <t>SCA</t>
        </is>
      </c>
      <c r="G3073" t="n">
        <v>12.4</v>
      </c>
      <c r="H3073" t="n">
        <v>0</v>
      </c>
      <c r="I3073" t="n">
        <v>0</v>
      </c>
      <c r="J3073" t="n">
        <v>0</v>
      </c>
      <c r="K3073" t="n">
        <v>0</v>
      </c>
      <c r="L3073" t="n">
        <v>0</v>
      </c>
      <c r="M3073" t="n">
        <v>0</v>
      </c>
      <c r="N3073" t="n">
        <v>0</v>
      </c>
      <c r="O3073" t="n">
        <v>0</v>
      </c>
      <c r="P3073" t="n">
        <v>0</v>
      </c>
      <c r="Q3073" t="n">
        <v>0</v>
      </c>
      <c r="R3073" s="2" t="inlineStr"/>
    </row>
    <row r="3074" ht="15" customHeight="1">
      <c r="A3074" t="inlineStr">
        <is>
          <t>A 31606-2024</t>
        </is>
      </c>
      <c r="B3074" s="1" t="n">
        <v>45506</v>
      </c>
      <c r="C3074" s="1" t="n">
        <v>45749</v>
      </c>
      <c r="D3074" t="inlineStr">
        <is>
          <t>JÄMTLANDS LÄN</t>
        </is>
      </c>
      <c r="E3074" t="inlineStr">
        <is>
          <t>STRÖMSUND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31685-2024</t>
        </is>
      </c>
      <c r="B3075" s="1" t="n">
        <v>45507</v>
      </c>
      <c r="C3075" s="1" t="n">
        <v>45749</v>
      </c>
      <c r="D3075" t="inlineStr">
        <is>
          <t>JÄMTLANDS LÄN</t>
        </is>
      </c>
      <c r="E3075" t="inlineStr">
        <is>
          <t>STRÖMSUND</t>
        </is>
      </c>
      <c r="F3075" t="inlineStr">
        <is>
          <t>SCA</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31710-2024</t>
        </is>
      </c>
      <c r="B3076" s="1" t="n">
        <v>45509</v>
      </c>
      <c r="C3076" s="1" t="n">
        <v>45749</v>
      </c>
      <c r="D3076" t="inlineStr">
        <is>
          <t>JÄMTLANDS LÄN</t>
        </is>
      </c>
      <c r="E3076" t="inlineStr">
        <is>
          <t>STRÖMSUND</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31741-2024</t>
        </is>
      </c>
      <c r="B3077" s="1" t="n">
        <v>45509</v>
      </c>
      <c r="C3077" s="1" t="n">
        <v>45749</v>
      </c>
      <c r="D3077" t="inlineStr">
        <is>
          <t>JÄMTLANDS LÄN</t>
        </is>
      </c>
      <c r="E3077" t="inlineStr">
        <is>
          <t>STRÖMSUND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31898-2024</t>
        </is>
      </c>
      <c r="B3078" s="1" t="n">
        <v>45510</v>
      </c>
      <c r="C3078" s="1" t="n">
        <v>45749</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32066-2024</t>
        </is>
      </c>
      <c r="B3079" s="1" t="n">
        <v>45511</v>
      </c>
      <c r="C3079" s="1" t="n">
        <v>45749</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32107-2024</t>
        </is>
      </c>
      <c r="B3080" s="1" t="n">
        <v>45511</v>
      </c>
      <c r="C3080" s="1" t="n">
        <v>45749</v>
      </c>
      <c r="D3080" t="inlineStr">
        <is>
          <t>JÄMTLANDS LÄN</t>
        </is>
      </c>
      <c r="E3080" t="inlineStr">
        <is>
          <t>STRÖMSUND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32254-2024</t>
        </is>
      </c>
      <c r="B3081" s="1" t="n">
        <v>45512</v>
      </c>
      <c r="C3081" s="1" t="n">
        <v>45749</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32261-2024</t>
        </is>
      </c>
      <c r="B3082" s="1" t="n">
        <v>45512</v>
      </c>
      <c r="C3082" s="1" t="n">
        <v>45749</v>
      </c>
      <c r="D3082" t="inlineStr">
        <is>
          <t>JÄMTLANDS LÄN</t>
        </is>
      </c>
      <c r="E3082" t="inlineStr">
        <is>
          <t>STRÖMSUND</t>
        </is>
      </c>
      <c r="F3082" t="inlineStr">
        <is>
          <t>SCA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32358-2024</t>
        </is>
      </c>
      <c r="B3083" s="1" t="n">
        <v>45512</v>
      </c>
      <c r="C3083" s="1" t="n">
        <v>45749</v>
      </c>
      <c r="D3083" t="inlineStr">
        <is>
          <t>JÄMTLANDS LÄN</t>
        </is>
      </c>
      <c r="E3083" t="inlineStr">
        <is>
          <t>STRÖMSUND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32443-2024</t>
        </is>
      </c>
      <c r="B3084" s="1" t="n">
        <v>45513</v>
      </c>
      <c r="C3084" s="1" t="n">
        <v>45749</v>
      </c>
      <c r="D3084" t="inlineStr">
        <is>
          <t>JÄMTLANDS LÄN</t>
        </is>
      </c>
      <c r="E3084" t="inlineStr">
        <is>
          <t>STRÖMSUND</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32451-2024</t>
        </is>
      </c>
      <c r="B3085" s="1" t="n">
        <v>45513</v>
      </c>
      <c r="C3085" s="1" t="n">
        <v>45749</v>
      </c>
      <c r="D3085" t="inlineStr">
        <is>
          <t>JÄMTLANDS LÄN</t>
        </is>
      </c>
      <c r="E3085" t="inlineStr">
        <is>
          <t>STRÖMSUND</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32444-2024</t>
        </is>
      </c>
      <c r="B3086" s="1" t="n">
        <v>45513</v>
      </c>
      <c r="C3086" s="1" t="n">
        <v>45749</v>
      </c>
      <c r="D3086" t="inlineStr">
        <is>
          <t>JÄMTLANDS LÄN</t>
        </is>
      </c>
      <c r="E3086" t="inlineStr">
        <is>
          <t>STRÖMSUND</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32452-2024</t>
        </is>
      </c>
      <c r="B3087" s="1" t="n">
        <v>45513</v>
      </c>
      <c r="C3087" s="1" t="n">
        <v>45749</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32396-2024</t>
        </is>
      </c>
      <c r="B3088" s="1" t="n">
        <v>45512</v>
      </c>
      <c r="C3088" s="1" t="n">
        <v>45749</v>
      </c>
      <c r="D3088" t="inlineStr">
        <is>
          <t>JÄMTLANDS LÄN</t>
        </is>
      </c>
      <c r="E3088" t="inlineStr">
        <is>
          <t>STRÖMSUND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32324-2024</t>
        </is>
      </c>
      <c r="B3089" s="1" t="n">
        <v>45512</v>
      </c>
      <c r="C3089" s="1" t="n">
        <v>45749</v>
      </c>
      <c r="D3089" t="inlineStr">
        <is>
          <t>JÄMTLANDS LÄN</t>
        </is>
      </c>
      <c r="E3089" t="inlineStr">
        <is>
          <t>STRÖMSUND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32453-2024</t>
        </is>
      </c>
      <c r="B3090" s="1" t="n">
        <v>45512</v>
      </c>
      <c r="C3090" s="1" t="n">
        <v>45749</v>
      </c>
      <c r="D3090" t="inlineStr">
        <is>
          <t>JÄMTLANDS LÄN</t>
        </is>
      </c>
      <c r="E3090" t="inlineStr">
        <is>
          <t>STRÖMSUND</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32650-2024</t>
        </is>
      </c>
      <c r="B3091" s="1" t="n">
        <v>45514</v>
      </c>
      <c r="C3091" s="1" t="n">
        <v>45749</v>
      </c>
      <c r="D3091" t="inlineStr">
        <is>
          <t>JÄMTLANDS LÄN</t>
        </is>
      </c>
      <c r="E3091" t="inlineStr">
        <is>
          <t>STRÖMSUND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32673-2024</t>
        </is>
      </c>
      <c r="B3092" s="1" t="n">
        <v>45514</v>
      </c>
      <c r="C3092" s="1" t="n">
        <v>45749</v>
      </c>
      <c r="D3092" t="inlineStr">
        <is>
          <t>JÄMTLANDS LÄN</t>
        </is>
      </c>
      <c r="E3092" t="inlineStr">
        <is>
          <t>STRÖMSUND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32674-2024</t>
        </is>
      </c>
      <c r="B3093" s="1" t="n">
        <v>45514</v>
      </c>
      <c r="C3093" s="1" t="n">
        <v>45749</v>
      </c>
      <c r="D3093" t="inlineStr">
        <is>
          <t>JÄMTLANDS LÄN</t>
        </is>
      </c>
      <c r="E3093" t="inlineStr">
        <is>
          <t>STRÖMSUND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32672-2024</t>
        </is>
      </c>
      <c r="B3094" s="1" t="n">
        <v>45514</v>
      </c>
      <c r="C3094" s="1" t="n">
        <v>45749</v>
      </c>
      <c r="D3094" t="inlineStr">
        <is>
          <t>JÄMTLANDS LÄN</t>
        </is>
      </c>
      <c r="E3094" t="inlineStr">
        <is>
          <t>STRÖMSUND</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32803-2024</t>
        </is>
      </c>
      <c r="B3095" s="1" t="n">
        <v>45516</v>
      </c>
      <c r="C3095" s="1" t="n">
        <v>45749</v>
      </c>
      <c r="D3095" t="inlineStr">
        <is>
          <t>JÄMTLANDS LÄN</t>
        </is>
      </c>
      <c r="E3095" t="inlineStr">
        <is>
          <t>STRÖMSUND</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32900-2024</t>
        </is>
      </c>
      <c r="B3096" s="1" t="n">
        <v>45517</v>
      </c>
      <c r="C3096" s="1" t="n">
        <v>45749</v>
      </c>
      <c r="D3096" t="inlineStr">
        <is>
          <t>JÄMTLANDS LÄN</t>
        </is>
      </c>
      <c r="E3096" t="inlineStr">
        <is>
          <t>STRÖMSUND</t>
        </is>
      </c>
      <c r="F3096" t="inlineStr">
        <is>
          <t>SCA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32907-2024</t>
        </is>
      </c>
      <c r="B3097" s="1" t="n">
        <v>45517</v>
      </c>
      <c r="C3097" s="1" t="n">
        <v>45749</v>
      </c>
      <c r="D3097" t="inlineStr">
        <is>
          <t>JÄMTLANDS LÄN</t>
        </is>
      </c>
      <c r="E3097" t="inlineStr">
        <is>
          <t>STRÖMSUND</t>
        </is>
      </c>
      <c r="F3097" t="inlineStr">
        <is>
          <t>SCA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32983-2024</t>
        </is>
      </c>
      <c r="B3098" s="1" t="n">
        <v>45517</v>
      </c>
      <c r="C3098" s="1" t="n">
        <v>45749</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33122-2024</t>
        </is>
      </c>
      <c r="B3099" s="1" t="n">
        <v>45518</v>
      </c>
      <c r="C3099" s="1" t="n">
        <v>45749</v>
      </c>
      <c r="D3099" t="inlineStr">
        <is>
          <t>JÄMTLANDS LÄN</t>
        </is>
      </c>
      <c r="E3099" t="inlineStr">
        <is>
          <t>STRÖMSUND</t>
        </is>
      </c>
      <c r="F3099" t="inlineStr">
        <is>
          <t>SCA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33127-2024</t>
        </is>
      </c>
      <c r="B3100" s="1" t="n">
        <v>45518</v>
      </c>
      <c r="C3100" s="1" t="n">
        <v>45749</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33311-2024</t>
        </is>
      </c>
      <c r="B3101" s="1" t="n">
        <v>45518</v>
      </c>
      <c r="C3101" s="1" t="n">
        <v>45749</v>
      </c>
      <c r="D3101" t="inlineStr">
        <is>
          <t>JÄMTLANDS LÄN</t>
        </is>
      </c>
      <c r="E3101" t="inlineStr">
        <is>
          <t>STRÖMSUND</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33299-2024</t>
        </is>
      </c>
      <c r="B3102" s="1" t="n">
        <v>45519</v>
      </c>
      <c r="C3102" s="1" t="n">
        <v>45749</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33238-2024</t>
        </is>
      </c>
      <c r="B3103" s="1" t="n">
        <v>45518</v>
      </c>
      <c r="C3103" s="1" t="n">
        <v>45749</v>
      </c>
      <c r="D3103" t="inlineStr">
        <is>
          <t>JÄMTLANDS LÄN</t>
        </is>
      </c>
      <c r="E3103" t="inlineStr">
        <is>
          <t>STRÖMSUND</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33584-2024</t>
        </is>
      </c>
      <c r="B3104" s="1" t="n">
        <v>45520</v>
      </c>
      <c r="C3104" s="1" t="n">
        <v>45749</v>
      </c>
      <c r="D3104" t="inlineStr">
        <is>
          <t>JÄMTLANDS LÄN</t>
        </is>
      </c>
      <c r="E3104" t="inlineStr">
        <is>
          <t>STRÖMSUND</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34179-2024</t>
        </is>
      </c>
      <c r="B3105" s="1" t="n">
        <v>45524</v>
      </c>
      <c r="C3105" s="1" t="n">
        <v>45749</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34290-2024</t>
        </is>
      </c>
      <c r="B3106" s="1" t="n">
        <v>45524</v>
      </c>
      <c r="C3106" s="1" t="n">
        <v>45749</v>
      </c>
      <c r="D3106" t="inlineStr">
        <is>
          <t>JÄMTLANDS LÄN</t>
        </is>
      </c>
      <c r="E3106" t="inlineStr">
        <is>
          <t>STRÖMSUND</t>
        </is>
      </c>
      <c r="F3106" t="inlineStr">
        <is>
          <t>Sveaskog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34227-2024</t>
        </is>
      </c>
      <c r="B3107" s="1" t="n">
        <v>45524</v>
      </c>
      <c r="C3107" s="1" t="n">
        <v>45749</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34343-2024</t>
        </is>
      </c>
      <c r="B3108" s="1" t="n">
        <v>45525</v>
      </c>
      <c r="C3108" s="1" t="n">
        <v>45749</v>
      </c>
      <c r="D3108" t="inlineStr">
        <is>
          <t>JÄMTLANDS LÄN</t>
        </is>
      </c>
      <c r="E3108" t="inlineStr">
        <is>
          <t>STRÖMSUND</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34344-2024</t>
        </is>
      </c>
      <c r="B3109" s="1" t="n">
        <v>45525</v>
      </c>
      <c r="C3109" s="1" t="n">
        <v>45749</v>
      </c>
      <c r="D3109" t="inlineStr">
        <is>
          <t>JÄMTLANDS LÄN</t>
        </is>
      </c>
      <c r="E3109" t="inlineStr">
        <is>
          <t>STRÖMSUND</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34716-2024</t>
        </is>
      </c>
      <c r="B3110" s="1" t="n">
        <v>45526</v>
      </c>
      <c r="C3110" s="1" t="n">
        <v>45749</v>
      </c>
      <c r="D3110" t="inlineStr">
        <is>
          <t>JÄMTLANDS LÄN</t>
        </is>
      </c>
      <c r="E3110" t="inlineStr">
        <is>
          <t>STRÖMSUND</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34817-2024</t>
        </is>
      </c>
      <c r="B3111" s="1" t="n">
        <v>45526</v>
      </c>
      <c r="C3111" s="1" t="n">
        <v>45749</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34818-2024</t>
        </is>
      </c>
      <c r="B3112" s="1" t="n">
        <v>45526</v>
      </c>
      <c r="C3112" s="1" t="n">
        <v>45749</v>
      </c>
      <c r="D3112" t="inlineStr">
        <is>
          <t>JÄMTLANDS LÄN</t>
        </is>
      </c>
      <c r="E3112" t="inlineStr">
        <is>
          <t>STRÖMSUND</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34723-2024</t>
        </is>
      </c>
      <c r="B3113" s="1" t="n">
        <v>45526</v>
      </c>
      <c r="C3113" s="1" t="n">
        <v>45749</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35244-2024</t>
        </is>
      </c>
      <c r="B3114" s="1" t="n">
        <v>45530</v>
      </c>
      <c r="C3114" s="1" t="n">
        <v>45749</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35178-2024</t>
        </is>
      </c>
      <c r="B3115" s="1" t="n">
        <v>45530</v>
      </c>
      <c r="C3115" s="1" t="n">
        <v>45749</v>
      </c>
      <c r="D3115" t="inlineStr">
        <is>
          <t>JÄMTLANDS LÄN</t>
        </is>
      </c>
      <c r="E3115" t="inlineStr">
        <is>
          <t>STRÖMSUND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35185-2024</t>
        </is>
      </c>
      <c r="B3116" s="1" t="n">
        <v>45530</v>
      </c>
      <c r="C3116" s="1" t="n">
        <v>45749</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35410-2024</t>
        </is>
      </c>
      <c r="B3117" s="1" t="n">
        <v>45531</v>
      </c>
      <c r="C3117" s="1" t="n">
        <v>45749</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35418-2024</t>
        </is>
      </c>
      <c r="B3118" s="1" t="n">
        <v>45531</v>
      </c>
      <c r="C3118" s="1" t="n">
        <v>45749</v>
      </c>
      <c r="D3118" t="inlineStr">
        <is>
          <t>JÄMTLANDS LÄN</t>
        </is>
      </c>
      <c r="E3118" t="inlineStr">
        <is>
          <t>STRÖMSUND</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35578-2024</t>
        </is>
      </c>
      <c r="B3119" s="1" t="n">
        <v>45531</v>
      </c>
      <c r="C3119" s="1" t="n">
        <v>45749</v>
      </c>
      <c r="D3119" t="inlineStr">
        <is>
          <t>JÄMTLANDS LÄN</t>
        </is>
      </c>
      <c r="E3119" t="inlineStr">
        <is>
          <t>STRÖMSUND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35407-2024</t>
        </is>
      </c>
      <c r="B3120" s="1" t="n">
        <v>45531</v>
      </c>
      <c r="C3120" s="1" t="n">
        <v>45749</v>
      </c>
      <c r="D3120" t="inlineStr">
        <is>
          <t>JÄMTLANDS LÄN</t>
        </is>
      </c>
      <c r="E3120" t="inlineStr">
        <is>
          <t>STRÖMSUND</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35397-2024</t>
        </is>
      </c>
      <c r="B3121" s="1" t="n">
        <v>45531</v>
      </c>
      <c r="C3121" s="1" t="n">
        <v>45749</v>
      </c>
      <c r="D3121" t="inlineStr">
        <is>
          <t>JÄMTLANDS LÄN</t>
        </is>
      </c>
      <c r="E3121" t="inlineStr">
        <is>
          <t>STRÖMSUND</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35423-2024</t>
        </is>
      </c>
      <c r="B3122" s="1" t="n">
        <v>45531</v>
      </c>
      <c r="C3122" s="1" t="n">
        <v>45749</v>
      </c>
      <c r="D3122" t="inlineStr">
        <is>
          <t>JÄMTLANDS LÄN</t>
        </is>
      </c>
      <c r="E3122" t="inlineStr">
        <is>
          <t>STRÖMSUND</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35416-2024</t>
        </is>
      </c>
      <c r="B3123" s="1" t="n">
        <v>45531</v>
      </c>
      <c r="C3123" s="1" t="n">
        <v>45749</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35585-2024</t>
        </is>
      </c>
      <c r="B3124" s="1" t="n">
        <v>45531</v>
      </c>
      <c r="C3124" s="1" t="n">
        <v>45749</v>
      </c>
      <c r="D3124" t="inlineStr">
        <is>
          <t>JÄMTLANDS LÄN</t>
        </is>
      </c>
      <c r="E3124" t="inlineStr">
        <is>
          <t>STRÖMSUND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35583-2024</t>
        </is>
      </c>
      <c r="B3125" s="1" t="n">
        <v>45531</v>
      </c>
      <c r="C3125" s="1" t="n">
        <v>45749</v>
      </c>
      <c r="D3125" t="inlineStr">
        <is>
          <t>JÄMTLANDS LÄN</t>
        </is>
      </c>
      <c r="E3125" t="inlineStr">
        <is>
          <t>STRÖMSUND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35584-2024</t>
        </is>
      </c>
      <c r="B3126" s="1" t="n">
        <v>45531</v>
      </c>
      <c r="C3126" s="1" t="n">
        <v>45749</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35686-2024</t>
        </is>
      </c>
      <c r="B3127" s="1" t="n">
        <v>45532</v>
      </c>
      <c r="C3127" s="1" t="n">
        <v>45749</v>
      </c>
      <c r="D3127" t="inlineStr">
        <is>
          <t>JÄMTLANDS LÄN</t>
        </is>
      </c>
      <c r="E3127" t="inlineStr">
        <is>
          <t>STRÖMSUND</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35687-2024</t>
        </is>
      </c>
      <c r="B3128" s="1" t="n">
        <v>45532</v>
      </c>
      <c r="C3128" s="1" t="n">
        <v>45749</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35747-2024</t>
        </is>
      </c>
      <c r="B3129" s="1" t="n">
        <v>45532</v>
      </c>
      <c r="C3129" s="1" t="n">
        <v>45749</v>
      </c>
      <c r="D3129" t="inlineStr">
        <is>
          <t>JÄMTLANDS LÄN</t>
        </is>
      </c>
      <c r="E3129" t="inlineStr">
        <is>
          <t>STRÖMSUND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35746-2024</t>
        </is>
      </c>
      <c r="B3130" s="1" t="n">
        <v>45532</v>
      </c>
      <c r="C3130" s="1" t="n">
        <v>45749</v>
      </c>
      <c r="D3130" t="inlineStr">
        <is>
          <t>JÄMTLANDS LÄN</t>
        </is>
      </c>
      <c r="E3130" t="inlineStr">
        <is>
          <t>STRÖMSUND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35748-2024</t>
        </is>
      </c>
      <c r="B3131" s="1" t="n">
        <v>45532</v>
      </c>
      <c r="C3131" s="1" t="n">
        <v>45749</v>
      </c>
      <c r="D3131" t="inlineStr">
        <is>
          <t>JÄMTLANDS LÄN</t>
        </is>
      </c>
      <c r="E3131" t="inlineStr">
        <is>
          <t>STRÖMSUND</t>
        </is>
      </c>
      <c r="F3131" t="inlineStr">
        <is>
          <t>SCA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35904-2024</t>
        </is>
      </c>
      <c r="B3132" s="1" t="n">
        <v>45533</v>
      </c>
      <c r="C3132" s="1" t="n">
        <v>45749</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36328-2024</t>
        </is>
      </c>
      <c r="B3133" s="1" t="n">
        <v>45534</v>
      </c>
      <c r="C3133" s="1" t="n">
        <v>45749</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36176-2024</t>
        </is>
      </c>
      <c r="B3134" s="1" t="n">
        <v>45534</v>
      </c>
      <c r="C3134" s="1" t="n">
        <v>45749</v>
      </c>
      <c r="D3134" t="inlineStr">
        <is>
          <t>JÄMTLANDS LÄN</t>
        </is>
      </c>
      <c r="E3134" t="inlineStr">
        <is>
          <t>STRÖMSUND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36311-2024</t>
        </is>
      </c>
      <c r="B3135" s="1" t="n">
        <v>45534</v>
      </c>
      <c r="C3135" s="1" t="n">
        <v>45749</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36347-2024</t>
        </is>
      </c>
      <c r="B3136" s="1" t="n">
        <v>45534</v>
      </c>
      <c r="C3136" s="1" t="n">
        <v>45749</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36344-2024</t>
        </is>
      </c>
      <c r="B3137" s="1" t="n">
        <v>45534</v>
      </c>
      <c r="C3137" s="1" t="n">
        <v>45749</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36327-2024</t>
        </is>
      </c>
      <c r="B3138" s="1" t="n">
        <v>45534</v>
      </c>
      <c r="C3138" s="1" t="n">
        <v>45749</v>
      </c>
      <c r="D3138" t="inlineStr">
        <is>
          <t>JÄMTLANDS LÄN</t>
        </is>
      </c>
      <c r="E3138" t="inlineStr">
        <is>
          <t>STRÖMSUND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36343-2024</t>
        </is>
      </c>
      <c r="B3139" s="1" t="n">
        <v>45534</v>
      </c>
      <c r="C3139" s="1" t="n">
        <v>45749</v>
      </c>
      <c r="D3139" t="inlineStr">
        <is>
          <t>JÄMTLANDS LÄN</t>
        </is>
      </c>
      <c r="E3139" t="inlineStr">
        <is>
          <t>STRÖMSUND</t>
        </is>
      </c>
      <c r="F3139" t="inlineStr">
        <is>
          <t>SCA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36346-2024</t>
        </is>
      </c>
      <c r="B3140" s="1" t="n">
        <v>45534</v>
      </c>
      <c r="C3140" s="1" t="n">
        <v>45749</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36500-2024</t>
        </is>
      </c>
      <c r="B3141" s="1" t="n">
        <v>45537</v>
      </c>
      <c r="C3141" s="1" t="n">
        <v>45749</v>
      </c>
      <c r="D3141" t="inlineStr">
        <is>
          <t>JÄMTLANDS LÄN</t>
        </is>
      </c>
      <c r="E3141" t="inlineStr">
        <is>
          <t>STRÖMSUND</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36836-2024</t>
        </is>
      </c>
      <c r="B3142" s="1" t="n">
        <v>45538</v>
      </c>
      <c r="C3142" s="1" t="n">
        <v>45749</v>
      </c>
      <c r="D3142" t="inlineStr">
        <is>
          <t>JÄMTLANDS LÄN</t>
        </is>
      </c>
      <c r="E3142" t="inlineStr">
        <is>
          <t>STRÖMSUND</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36914-2024</t>
        </is>
      </c>
      <c r="B3143" s="1" t="n">
        <v>45538</v>
      </c>
      <c r="C3143" s="1" t="n">
        <v>45749</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36913-2024</t>
        </is>
      </c>
      <c r="B3144" s="1" t="n">
        <v>45538</v>
      </c>
      <c r="C3144" s="1" t="n">
        <v>45749</v>
      </c>
      <c r="D3144" t="inlineStr">
        <is>
          <t>JÄMTLANDS LÄN</t>
        </is>
      </c>
      <c r="E3144" t="inlineStr">
        <is>
          <t>STRÖMSUND</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37150-2024</t>
        </is>
      </c>
      <c r="B3145" s="1" t="n">
        <v>45539</v>
      </c>
      <c r="C3145" s="1" t="n">
        <v>45749</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37207-2024</t>
        </is>
      </c>
      <c r="B3146" s="1" t="n">
        <v>45539</v>
      </c>
      <c r="C3146" s="1" t="n">
        <v>45749</v>
      </c>
      <c r="D3146" t="inlineStr">
        <is>
          <t>JÄMTLANDS LÄN</t>
        </is>
      </c>
      <c r="E3146" t="inlineStr">
        <is>
          <t>STRÖMSUND</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37205-2024</t>
        </is>
      </c>
      <c r="B3147" s="1" t="n">
        <v>45539</v>
      </c>
      <c r="C3147" s="1" t="n">
        <v>45749</v>
      </c>
      <c r="D3147" t="inlineStr">
        <is>
          <t>JÄMTLANDS LÄN</t>
        </is>
      </c>
      <c r="E3147" t="inlineStr">
        <is>
          <t>STRÖMSUND</t>
        </is>
      </c>
      <c r="F3147" t="inlineStr">
        <is>
          <t>SCA</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37147-2024</t>
        </is>
      </c>
      <c r="B3148" s="1" t="n">
        <v>45539</v>
      </c>
      <c r="C3148" s="1" t="n">
        <v>45749</v>
      </c>
      <c r="D3148" t="inlineStr">
        <is>
          <t>JÄMTLANDS LÄN</t>
        </is>
      </c>
      <c r="E3148" t="inlineStr">
        <is>
          <t>STRÖMSUND</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37208-2024</t>
        </is>
      </c>
      <c r="B3149" s="1" t="n">
        <v>45539</v>
      </c>
      <c r="C3149" s="1" t="n">
        <v>45749</v>
      </c>
      <c r="D3149" t="inlineStr">
        <is>
          <t>JÄMTLANDS LÄN</t>
        </is>
      </c>
      <c r="E3149" t="inlineStr">
        <is>
          <t>STRÖMSUND</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37302-2024</t>
        </is>
      </c>
      <c r="B3150" s="1" t="n">
        <v>45540</v>
      </c>
      <c r="C3150" s="1" t="n">
        <v>45749</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37567-2024</t>
        </is>
      </c>
      <c r="B3151" s="1" t="n">
        <v>45541</v>
      </c>
      <c r="C3151" s="1" t="n">
        <v>45749</v>
      </c>
      <c r="D3151" t="inlineStr">
        <is>
          <t>JÄMTLANDS LÄN</t>
        </is>
      </c>
      <c r="E3151" t="inlineStr">
        <is>
          <t>STRÖMSUND</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37632-2024</t>
        </is>
      </c>
      <c r="B3152" s="1" t="n">
        <v>45541</v>
      </c>
      <c r="C3152" s="1" t="n">
        <v>45749</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37566-2024</t>
        </is>
      </c>
      <c r="B3153" s="1" t="n">
        <v>45541</v>
      </c>
      <c r="C3153" s="1" t="n">
        <v>45749</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37787-2024</t>
        </is>
      </c>
      <c r="B3154" s="1" t="n">
        <v>45542</v>
      </c>
      <c r="C3154" s="1" t="n">
        <v>45749</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38104-2024</t>
        </is>
      </c>
      <c r="B3155" s="1" t="n">
        <v>45545</v>
      </c>
      <c r="C3155" s="1" t="n">
        <v>45749</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38093-2024</t>
        </is>
      </c>
      <c r="B3156" s="1" t="n">
        <v>45545</v>
      </c>
      <c r="C3156" s="1" t="n">
        <v>45749</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38301-2024</t>
        </is>
      </c>
      <c r="B3157" s="1" t="n">
        <v>45545</v>
      </c>
      <c r="C3157" s="1" t="n">
        <v>45749</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38279-2024</t>
        </is>
      </c>
      <c r="B3158" s="1" t="n">
        <v>45545</v>
      </c>
      <c r="C3158" s="1" t="n">
        <v>45749</v>
      </c>
      <c r="D3158" t="inlineStr">
        <is>
          <t>JÄMTLANDS LÄN</t>
        </is>
      </c>
      <c r="E3158" t="inlineStr">
        <is>
          <t>STRÖMSUND</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38283-2024</t>
        </is>
      </c>
      <c r="B3159" s="1" t="n">
        <v>45545</v>
      </c>
      <c r="C3159" s="1" t="n">
        <v>45749</v>
      </c>
      <c r="D3159" t="inlineStr">
        <is>
          <t>JÄMTLANDS LÄN</t>
        </is>
      </c>
      <c r="E3159" t="inlineStr">
        <is>
          <t>STRÖMSUND</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38280-2024</t>
        </is>
      </c>
      <c r="B3160" s="1" t="n">
        <v>45545</v>
      </c>
      <c r="C3160" s="1" t="n">
        <v>45749</v>
      </c>
      <c r="D3160" t="inlineStr">
        <is>
          <t>JÄMTLANDS LÄN</t>
        </is>
      </c>
      <c r="E3160" t="inlineStr">
        <is>
          <t>STRÖMSUND</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38284-2024</t>
        </is>
      </c>
      <c r="B3161" s="1" t="n">
        <v>45545</v>
      </c>
      <c r="C3161" s="1" t="n">
        <v>45749</v>
      </c>
      <c r="D3161" t="inlineStr">
        <is>
          <t>JÄMTLANDS LÄN</t>
        </is>
      </c>
      <c r="E3161" t="inlineStr">
        <is>
          <t>STRÖMSUND</t>
        </is>
      </c>
      <c r="F3161" t="inlineStr">
        <is>
          <t>SCA</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38300-2024</t>
        </is>
      </c>
      <c r="B3162" s="1" t="n">
        <v>45545</v>
      </c>
      <c r="C3162" s="1" t="n">
        <v>45749</v>
      </c>
      <c r="D3162" t="inlineStr">
        <is>
          <t>JÄMTLANDS LÄN</t>
        </is>
      </c>
      <c r="E3162" t="inlineStr">
        <is>
          <t>STRÖMSUND</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38816-2024</t>
        </is>
      </c>
      <c r="B3163" s="1" t="n">
        <v>45547</v>
      </c>
      <c r="C3163" s="1" t="n">
        <v>45749</v>
      </c>
      <c r="D3163" t="inlineStr">
        <is>
          <t>JÄMTLANDS LÄN</t>
        </is>
      </c>
      <c r="E3163" t="inlineStr">
        <is>
          <t>STRÖMSUND</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39286-2024</t>
        </is>
      </c>
      <c r="B3164" s="1" t="n">
        <v>45551</v>
      </c>
      <c r="C3164" s="1" t="n">
        <v>45749</v>
      </c>
      <c r="D3164" t="inlineStr">
        <is>
          <t>JÄMTLANDS LÄN</t>
        </is>
      </c>
      <c r="E3164" t="inlineStr">
        <is>
          <t>STRÖMSUND</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39516-2024</t>
        </is>
      </c>
      <c r="B3165" s="1" t="n">
        <v>45551</v>
      </c>
      <c r="C3165" s="1" t="n">
        <v>45749</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39517-2024</t>
        </is>
      </c>
      <c r="B3166" s="1" t="n">
        <v>45551</v>
      </c>
      <c r="C3166" s="1" t="n">
        <v>45749</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39599-2024</t>
        </is>
      </c>
      <c r="B3167" s="1" t="n">
        <v>45552</v>
      </c>
      <c r="C3167" s="1" t="n">
        <v>45749</v>
      </c>
      <c r="D3167" t="inlineStr">
        <is>
          <t>JÄMTLANDS LÄN</t>
        </is>
      </c>
      <c r="E3167" t="inlineStr">
        <is>
          <t>STRÖMSUND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39698-2024</t>
        </is>
      </c>
      <c r="B3168" s="1" t="n">
        <v>45552</v>
      </c>
      <c r="C3168" s="1" t="n">
        <v>45749</v>
      </c>
      <c r="D3168" t="inlineStr">
        <is>
          <t>JÄMTLANDS LÄN</t>
        </is>
      </c>
      <c r="E3168" t="inlineStr">
        <is>
          <t>STRÖMSUND</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39864-2024</t>
        </is>
      </c>
      <c r="B3169" s="1" t="n">
        <v>45553</v>
      </c>
      <c r="C3169" s="1" t="n">
        <v>45749</v>
      </c>
      <c r="D3169" t="inlineStr">
        <is>
          <t>JÄMTLANDS LÄN</t>
        </is>
      </c>
      <c r="E3169" t="inlineStr">
        <is>
          <t>STRÖMSUND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39949-2024</t>
        </is>
      </c>
      <c r="B3170" s="1" t="n">
        <v>45553</v>
      </c>
      <c r="C3170" s="1" t="n">
        <v>45749</v>
      </c>
      <c r="D3170" t="inlineStr">
        <is>
          <t>JÄMTLANDS LÄN</t>
        </is>
      </c>
      <c r="E3170" t="inlineStr">
        <is>
          <t>STRÖMSUND</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39939-2024</t>
        </is>
      </c>
      <c r="B3171" s="1" t="n">
        <v>45553</v>
      </c>
      <c r="C3171" s="1" t="n">
        <v>45749</v>
      </c>
      <c r="D3171" t="inlineStr">
        <is>
          <t>JÄMTLANDS LÄN</t>
        </is>
      </c>
      <c r="E3171" t="inlineStr">
        <is>
          <t>STRÖMSUND</t>
        </is>
      </c>
      <c r="F3171" t="inlineStr">
        <is>
          <t>Kyrkan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39979-2024</t>
        </is>
      </c>
      <c r="B3172" s="1" t="n">
        <v>45553</v>
      </c>
      <c r="C3172" s="1" t="n">
        <v>45749</v>
      </c>
      <c r="D3172" t="inlineStr">
        <is>
          <t>JÄMTLANDS LÄN</t>
        </is>
      </c>
      <c r="E3172" t="inlineStr">
        <is>
          <t>STRÖMSUND</t>
        </is>
      </c>
      <c r="F3172" t="inlineStr">
        <is>
          <t>Kyrkan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40140-2024</t>
        </is>
      </c>
      <c r="B3173" s="1" t="n">
        <v>45554</v>
      </c>
      <c r="C3173" s="1" t="n">
        <v>45749</v>
      </c>
      <c r="D3173" t="inlineStr">
        <is>
          <t>JÄMTLANDS LÄN</t>
        </is>
      </c>
      <c r="E3173" t="inlineStr">
        <is>
          <t>STRÖMSUND</t>
        </is>
      </c>
      <c r="F3173" t="inlineStr">
        <is>
          <t>Kyrkan</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40090-2024</t>
        </is>
      </c>
      <c r="B3174" s="1" t="n">
        <v>45554</v>
      </c>
      <c r="C3174" s="1" t="n">
        <v>45749</v>
      </c>
      <c r="D3174" t="inlineStr">
        <is>
          <t>JÄMTLANDS LÄN</t>
        </is>
      </c>
      <c r="E3174" t="inlineStr">
        <is>
          <t>STRÖMSUND</t>
        </is>
      </c>
      <c r="F3174" t="inlineStr">
        <is>
          <t>Kyrkan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40351-2024</t>
        </is>
      </c>
      <c r="B3175" s="1" t="n">
        <v>45555</v>
      </c>
      <c r="C3175" s="1" t="n">
        <v>45749</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40344-2024</t>
        </is>
      </c>
      <c r="B3176" s="1" t="n">
        <v>45555</v>
      </c>
      <c r="C3176" s="1" t="n">
        <v>45749</v>
      </c>
      <c r="D3176" t="inlineStr">
        <is>
          <t>JÄMTLANDS LÄN</t>
        </is>
      </c>
      <c r="E3176" t="inlineStr">
        <is>
          <t>STRÖMSUND</t>
        </is>
      </c>
      <c r="F3176" t="inlineStr">
        <is>
          <t>SCA</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40492-2024</t>
        </is>
      </c>
      <c r="B3177" s="1" t="n">
        <v>45555</v>
      </c>
      <c r="C3177" s="1" t="n">
        <v>45749</v>
      </c>
      <c r="D3177" t="inlineStr">
        <is>
          <t>JÄMTLANDS LÄN</t>
        </is>
      </c>
      <c r="E3177" t="inlineStr">
        <is>
          <t>STRÖMSUND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40500-2024</t>
        </is>
      </c>
      <c r="B3178" s="1" t="n">
        <v>45555</v>
      </c>
      <c r="C3178" s="1" t="n">
        <v>45749</v>
      </c>
      <c r="D3178" t="inlineStr">
        <is>
          <t>JÄMTLANDS LÄN</t>
        </is>
      </c>
      <c r="E3178" t="inlineStr">
        <is>
          <t>STRÖMSUND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40426-2024</t>
        </is>
      </c>
      <c r="B3179" s="1" t="n">
        <v>45555</v>
      </c>
      <c r="C3179" s="1" t="n">
        <v>45749</v>
      </c>
      <c r="D3179" t="inlineStr">
        <is>
          <t>JÄMTLANDS LÄN</t>
        </is>
      </c>
      <c r="E3179" t="inlineStr">
        <is>
          <t>STRÖMSUND</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40450-2024</t>
        </is>
      </c>
      <c r="B3180" s="1" t="n">
        <v>45555</v>
      </c>
      <c r="C3180" s="1" t="n">
        <v>45749</v>
      </c>
      <c r="D3180" t="inlineStr">
        <is>
          <t>JÄMTLANDS LÄN</t>
        </is>
      </c>
      <c r="E3180" t="inlineStr">
        <is>
          <t>STRÖMSUND</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40574-2024</t>
        </is>
      </c>
      <c r="B3181" s="1" t="n">
        <v>45555</v>
      </c>
      <c r="C3181" s="1" t="n">
        <v>45749</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40447-2024</t>
        </is>
      </c>
      <c r="B3182" s="1" t="n">
        <v>45555</v>
      </c>
      <c r="C3182" s="1" t="n">
        <v>45749</v>
      </c>
      <c r="D3182" t="inlineStr">
        <is>
          <t>JÄMTLANDS LÄN</t>
        </is>
      </c>
      <c r="E3182" t="inlineStr">
        <is>
          <t>STRÖMSUND</t>
        </is>
      </c>
      <c r="F3182" t="inlineStr">
        <is>
          <t>SCA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40451-2024</t>
        </is>
      </c>
      <c r="B3183" s="1" t="n">
        <v>45555</v>
      </c>
      <c r="C3183" s="1" t="n">
        <v>45749</v>
      </c>
      <c r="D3183" t="inlineStr">
        <is>
          <t>JÄMTLANDS LÄN</t>
        </is>
      </c>
      <c r="E3183" t="inlineStr">
        <is>
          <t>STRÖMSUND</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40758-2024</t>
        </is>
      </c>
      <c r="B3184" s="1" t="n">
        <v>45558</v>
      </c>
      <c r="C3184" s="1" t="n">
        <v>45749</v>
      </c>
      <c r="D3184" t="inlineStr">
        <is>
          <t>JÄMTLANDS LÄN</t>
        </is>
      </c>
      <c r="E3184" t="inlineStr">
        <is>
          <t>STRÖMSUND</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40813-2024</t>
        </is>
      </c>
      <c r="B3185" s="1" t="n">
        <v>45558</v>
      </c>
      <c r="C3185" s="1" t="n">
        <v>45749</v>
      </c>
      <c r="D3185" t="inlineStr">
        <is>
          <t>JÄMTLANDS LÄN</t>
        </is>
      </c>
      <c r="E3185" t="inlineStr">
        <is>
          <t>STRÖMSUND</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40970-2024</t>
        </is>
      </c>
      <c r="B3186" s="1" t="n">
        <v>45558</v>
      </c>
      <c r="C3186" s="1" t="n">
        <v>45749</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40827-2024</t>
        </is>
      </c>
      <c r="B3187" s="1" t="n">
        <v>45558</v>
      </c>
      <c r="C3187" s="1" t="n">
        <v>45749</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40891-2024</t>
        </is>
      </c>
      <c r="B3188" s="1" t="n">
        <v>45558</v>
      </c>
      <c r="C3188" s="1" t="n">
        <v>45749</v>
      </c>
      <c r="D3188" t="inlineStr">
        <is>
          <t>JÄMTLANDS LÄN</t>
        </is>
      </c>
      <c r="E3188" t="inlineStr">
        <is>
          <t>STRÖMSUND</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40976-2024</t>
        </is>
      </c>
      <c r="B3189" s="1" t="n">
        <v>45558</v>
      </c>
      <c r="C3189" s="1" t="n">
        <v>45749</v>
      </c>
      <c r="D3189" t="inlineStr">
        <is>
          <t>JÄMTLANDS LÄN</t>
        </is>
      </c>
      <c r="E3189" t="inlineStr">
        <is>
          <t>STRÖMSUND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41070-2024</t>
        </is>
      </c>
      <c r="B3190" s="1" t="n">
        <v>45559</v>
      </c>
      <c r="C3190" s="1" t="n">
        <v>45749</v>
      </c>
      <c r="D3190" t="inlineStr">
        <is>
          <t>JÄMTLANDS LÄN</t>
        </is>
      </c>
      <c r="E3190" t="inlineStr">
        <is>
          <t>STRÖMSUND</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41116-2024</t>
        </is>
      </c>
      <c r="B3191" s="1" t="n">
        <v>45559</v>
      </c>
      <c r="C3191" s="1" t="n">
        <v>45749</v>
      </c>
      <c r="D3191" t="inlineStr">
        <is>
          <t>JÄMTLANDS LÄN</t>
        </is>
      </c>
      <c r="E3191" t="inlineStr">
        <is>
          <t>STRÖMSUND</t>
        </is>
      </c>
      <c r="G3191" t="n">
        <v>13.2</v>
      </c>
      <c r="H3191" t="n">
        <v>0</v>
      </c>
      <c r="I3191" t="n">
        <v>0</v>
      </c>
      <c r="J3191" t="n">
        <v>0</v>
      </c>
      <c r="K3191" t="n">
        <v>0</v>
      </c>
      <c r="L3191" t="n">
        <v>0</v>
      </c>
      <c r="M3191" t="n">
        <v>0</v>
      </c>
      <c r="N3191" t="n">
        <v>0</v>
      </c>
      <c r="O3191" t="n">
        <v>0</v>
      </c>
      <c r="P3191" t="n">
        <v>0</v>
      </c>
      <c r="Q3191" t="n">
        <v>0</v>
      </c>
      <c r="R3191" s="2" t="inlineStr"/>
    </row>
    <row r="3192" ht="15" customHeight="1">
      <c r="A3192" t="inlineStr">
        <is>
          <t>A 41141-2024</t>
        </is>
      </c>
      <c r="B3192" s="1" t="n">
        <v>45559</v>
      </c>
      <c r="C3192" s="1" t="n">
        <v>45749</v>
      </c>
      <c r="D3192" t="inlineStr">
        <is>
          <t>JÄMTLANDS LÄN</t>
        </is>
      </c>
      <c r="E3192" t="inlineStr">
        <is>
          <t>STRÖMSUND</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41140-2024</t>
        </is>
      </c>
      <c r="B3193" s="1" t="n">
        <v>45559</v>
      </c>
      <c r="C3193" s="1" t="n">
        <v>45749</v>
      </c>
      <c r="D3193" t="inlineStr">
        <is>
          <t>JÄMTLANDS LÄN</t>
        </is>
      </c>
      <c r="E3193" t="inlineStr">
        <is>
          <t>STRÖMSUND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41292-2024</t>
        </is>
      </c>
      <c r="B3194" s="1" t="n">
        <v>45559</v>
      </c>
      <c r="C3194" s="1" t="n">
        <v>45749</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41317-2024</t>
        </is>
      </c>
      <c r="B3195" s="1" t="n">
        <v>45559</v>
      </c>
      <c r="C3195" s="1" t="n">
        <v>45749</v>
      </c>
      <c r="D3195" t="inlineStr">
        <is>
          <t>JÄMTLANDS LÄN</t>
        </is>
      </c>
      <c r="E3195" t="inlineStr">
        <is>
          <t>STRÖMSUND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41283-2024</t>
        </is>
      </c>
      <c r="B3196" s="1" t="n">
        <v>45559</v>
      </c>
      <c r="C3196" s="1" t="n">
        <v>45749</v>
      </c>
      <c r="D3196" t="inlineStr">
        <is>
          <t>JÄMTLANDS LÄN</t>
        </is>
      </c>
      <c r="E3196" t="inlineStr">
        <is>
          <t>STRÖMSUND</t>
        </is>
      </c>
      <c r="F3196" t="inlineStr">
        <is>
          <t>SCA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41605-2024</t>
        </is>
      </c>
      <c r="B3197" s="1" t="n">
        <v>45560</v>
      </c>
      <c r="C3197" s="1" t="n">
        <v>45749</v>
      </c>
      <c r="D3197" t="inlineStr">
        <is>
          <t>JÄMTLANDS LÄN</t>
        </is>
      </c>
      <c r="E3197" t="inlineStr">
        <is>
          <t>STRÖMSUND</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41633-2024</t>
        </is>
      </c>
      <c r="B3198" s="1" t="n">
        <v>45560</v>
      </c>
      <c r="C3198" s="1" t="n">
        <v>45749</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41579-2024</t>
        </is>
      </c>
      <c r="B3199" s="1" t="n">
        <v>45560</v>
      </c>
      <c r="C3199" s="1" t="n">
        <v>45749</v>
      </c>
      <c r="D3199" t="inlineStr">
        <is>
          <t>JÄMTLANDS LÄN</t>
        </is>
      </c>
      <c r="E3199" t="inlineStr">
        <is>
          <t>STRÖMSUND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41783-2024</t>
        </is>
      </c>
      <c r="B3200" s="1" t="n">
        <v>45561</v>
      </c>
      <c r="C3200" s="1" t="n">
        <v>45749</v>
      </c>
      <c r="D3200" t="inlineStr">
        <is>
          <t>JÄMTLANDS LÄN</t>
        </is>
      </c>
      <c r="E3200" t="inlineStr">
        <is>
          <t>STRÖMSUND</t>
        </is>
      </c>
      <c r="F3200" t="inlineStr">
        <is>
          <t>SCA</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41905-2024</t>
        </is>
      </c>
      <c r="B3201" s="1" t="n">
        <v>45561</v>
      </c>
      <c r="C3201" s="1" t="n">
        <v>45749</v>
      </c>
      <c r="D3201" t="inlineStr">
        <is>
          <t>JÄMTLANDS LÄN</t>
        </is>
      </c>
      <c r="E3201" t="inlineStr">
        <is>
          <t>STRÖMSUND</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41942-2024</t>
        </is>
      </c>
      <c r="B3202" s="1" t="n">
        <v>45561</v>
      </c>
      <c r="C3202" s="1" t="n">
        <v>45749</v>
      </c>
      <c r="D3202" t="inlineStr">
        <is>
          <t>JÄMTLANDS LÄN</t>
        </is>
      </c>
      <c r="E3202" t="inlineStr">
        <is>
          <t>STRÖMSUND</t>
        </is>
      </c>
      <c r="F3202" t="inlineStr">
        <is>
          <t>SCA</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41986-2024</t>
        </is>
      </c>
      <c r="B3203" s="1" t="n">
        <v>45561</v>
      </c>
      <c r="C3203" s="1" t="n">
        <v>45749</v>
      </c>
      <c r="D3203" t="inlineStr">
        <is>
          <t>JÄMTLANDS LÄN</t>
        </is>
      </c>
      <c r="E3203" t="inlineStr">
        <is>
          <t>STRÖMSUND</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42006-2024</t>
        </is>
      </c>
      <c r="B3204" s="1" t="n">
        <v>45561</v>
      </c>
      <c r="C3204" s="1" t="n">
        <v>45749</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41902-2024</t>
        </is>
      </c>
      <c r="B3205" s="1" t="n">
        <v>45561</v>
      </c>
      <c r="C3205" s="1" t="n">
        <v>45749</v>
      </c>
      <c r="D3205" t="inlineStr">
        <is>
          <t>JÄMTLANDS LÄN</t>
        </is>
      </c>
      <c r="E3205" t="inlineStr">
        <is>
          <t>STRÖMSUND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41939-2024</t>
        </is>
      </c>
      <c r="B3206" s="1" t="n">
        <v>45561</v>
      </c>
      <c r="C3206" s="1" t="n">
        <v>45749</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42005-2024</t>
        </is>
      </c>
      <c r="B3207" s="1" t="n">
        <v>45561</v>
      </c>
      <c r="C3207" s="1" t="n">
        <v>45749</v>
      </c>
      <c r="D3207" t="inlineStr">
        <is>
          <t>JÄMTLANDS LÄN</t>
        </is>
      </c>
      <c r="E3207" t="inlineStr">
        <is>
          <t>STRÖMSUND</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41987-2024</t>
        </is>
      </c>
      <c r="B3208" s="1" t="n">
        <v>45561</v>
      </c>
      <c r="C3208" s="1" t="n">
        <v>45749</v>
      </c>
      <c r="D3208" t="inlineStr">
        <is>
          <t>JÄMTLANDS LÄN</t>
        </is>
      </c>
      <c r="E3208" t="inlineStr">
        <is>
          <t>STRÖMSUND</t>
        </is>
      </c>
      <c r="F3208" t="inlineStr">
        <is>
          <t>SCA</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41940-2024</t>
        </is>
      </c>
      <c r="B3209" s="1" t="n">
        <v>45561</v>
      </c>
      <c r="C3209" s="1" t="n">
        <v>45749</v>
      </c>
      <c r="D3209" t="inlineStr">
        <is>
          <t>JÄMTLANDS LÄN</t>
        </is>
      </c>
      <c r="E3209" t="inlineStr">
        <is>
          <t>STRÖMSUND</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41988-2024</t>
        </is>
      </c>
      <c r="B3210" s="1" t="n">
        <v>45561</v>
      </c>
      <c r="C3210" s="1" t="n">
        <v>45749</v>
      </c>
      <c r="D3210" t="inlineStr">
        <is>
          <t>JÄMTLANDS LÄN</t>
        </is>
      </c>
      <c r="E3210" t="inlineStr">
        <is>
          <t>STRÖMSUND</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42208-2024</t>
        </is>
      </c>
      <c r="B3211" s="1" t="n">
        <v>45562</v>
      </c>
      <c r="C3211" s="1" t="n">
        <v>45749</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42479-2024</t>
        </is>
      </c>
      <c r="B3212" s="1" t="n">
        <v>45565</v>
      </c>
      <c r="C3212" s="1" t="n">
        <v>45749</v>
      </c>
      <c r="D3212" t="inlineStr">
        <is>
          <t>JÄMTLANDS LÄN</t>
        </is>
      </c>
      <c r="E3212" t="inlineStr">
        <is>
          <t>STRÖMSUND</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42681-2024</t>
        </is>
      </c>
      <c r="B3213" s="1" t="n">
        <v>45566</v>
      </c>
      <c r="C3213" s="1" t="n">
        <v>45749</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43090-2024</t>
        </is>
      </c>
      <c r="B3214" s="1" t="n">
        <v>45567</v>
      </c>
      <c r="C3214" s="1" t="n">
        <v>45749</v>
      </c>
      <c r="D3214" t="inlineStr">
        <is>
          <t>JÄMTLANDS LÄN</t>
        </is>
      </c>
      <c r="E3214" t="inlineStr">
        <is>
          <t>STRÖMSUND</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42992-2024</t>
        </is>
      </c>
      <c r="B3215" s="1" t="n">
        <v>45567</v>
      </c>
      <c r="C3215" s="1" t="n">
        <v>45749</v>
      </c>
      <c r="D3215" t="inlineStr">
        <is>
          <t>JÄMTLANDS LÄN</t>
        </is>
      </c>
      <c r="E3215" t="inlineStr">
        <is>
          <t>STRÖMSUND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42980-2024</t>
        </is>
      </c>
      <c r="B3216" s="1" t="n">
        <v>45567</v>
      </c>
      <c r="C3216" s="1" t="n">
        <v>45749</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42960-2024</t>
        </is>
      </c>
      <c r="B3217" s="1" t="n">
        <v>45567</v>
      </c>
      <c r="C3217" s="1" t="n">
        <v>45749</v>
      </c>
      <c r="D3217" t="inlineStr">
        <is>
          <t>JÄMTLANDS LÄN</t>
        </is>
      </c>
      <c r="E3217" t="inlineStr">
        <is>
          <t>STRÖMSUND</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42957-2024</t>
        </is>
      </c>
      <c r="B3218" s="1" t="n">
        <v>45567</v>
      </c>
      <c r="C3218" s="1" t="n">
        <v>45749</v>
      </c>
      <c r="D3218" t="inlineStr">
        <is>
          <t>JÄMTLANDS LÄN</t>
        </is>
      </c>
      <c r="E3218" t="inlineStr">
        <is>
          <t>STRÖMSUND</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42949-2024</t>
        </is>
      </c>
      <c r="B3219" s="1" t="n">
        <v>45567</v>
      </c>
      <c r="C3219" s="1" t="n">
        <v>45749</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42974-2024</t>
        </is>
      </c>
      <c r="B3220" s="1" t="n">
        <v>45567</v>
      </c>
      <c r="C3220" s="1" t="n">
        <v>45749</v>
      </c>
      <c r="D3220" t="inlineStr">
        <is>
          <t>JÄMTLANDS LÄN</t>
        </is>
      </c>
      <c r="E3220" t="inlineStr">
        <is>
          <t>STRÖMSUND</t>
        </is>
      </c>
      <c r="F3220" t="inlineStr">
        <is>
          <t>SCA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42966-2024</t>
        </is>
      </c>
      <c r="B3221" s="1" t="n">
        <v>45567</v>
      </c>
      <c r="C3221" s="1" t="n">
        <v>45749</v>
      </c>
      <c r="D3221" t="inlineStr">
        <is>
          <t>JÄMTLANDS LÄN</t>
        </is>
      </c>
      <c r="E3221" t="inlineStr">
        <is>
          <t>STRÖMSUND</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42954-2024</t>
        </is>
      </c>
      <c r="B3222" s="1" t="n">
        <v>45567</v>
      </c>
      <c r="C3222" s="1" t="n">
        <v>45749</v>
      </c>
      <c r="D3222" t="inlineStr">
        <is>
          <t>JÄMTLANDS LÄN</t>
        </is>
      </c>
      <c r="E3222" t="inlineStr">
        <is>
          <t>STRÖMSUND</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43425-2024</t>
        </is>
      </c>
      <c r="B3223" s="1" t="n">
        <v>45568</v>
      </c>
      <c r="C3223" s="1" t="n">
        <v>45749</v>
      </c>
      <c r="D3223" t="inlineStr">
        <is>
          <t>JÄMTLANDS LÄN</t>
        </is>
      </c>
      <c r="E3223" t="inlineStr">
        <is>
          <t>STRÖMSUND</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43326-2024</t>
        </is>
      </c>
      <c r="B3224" s="1" t="n">
        <v>45568</v>
      </c>
      <c r="C3224" s="1" t="n">
        <v>45749</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43605-2024</t>
        </is>
      </c>
      <c r="B3225" s="1" t="n">
        <v>45569</v>
      </c>
      <c r="C3225" s="1" t="n">
        <v>45749</v>
      </c>
      <c r="D3225" t="inlineStr">
        <is>
          <t>JÄMTLANDS LÄN</t>
        </is>
      </c>
      <c r="E3225" t="inlineStr">
        <is>
          <t>STRÖMSUND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43889-2024</t>
        </is>
      </c>
      <c r="B3226" s="1" t="n">
        <v>45572</v>
      </c>
      <c r="C3226" s="1" t="n">
        <v>45749</v>
      </c>
      <c r="D3226" t="inlineStr">
        <is>
          <t>JÄMTLANDS LÄN</t>
        </is>
      </c>
      <c r="E3226" t="inlineStr">
        <is>
          <t>STRÖMSUND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44113-2024</t>
        </is>
      </c>
      <c r="B3227" s="1" t="n">
        <v>45572</v>
      </c>
      <c r="C3227" s="1" t="n">
        <v>45749</v>
      </c>
      <c r="D3227" t="inlineStr">
        <is>
          <t>JÄMTLANDS LÄN</t>
        </is>
      </c>
      <c r="E3227" t="inlineStr">
        <is>
          <t>STRÖMSUND</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43890-2024</t>
        </is>
      </c>
      <c r="B3228" s="1" t="n">
        <v>45572</v>
      </c>
      <c r="C3228" s="1" t="n">
        <v>45749</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44009-2024</t>
        </is>
      </c>
      <c r="B3229" s="1" t="n">
        <v>45572</v>
      </c>
      <c r="C3229" s="1" t="n">
        <v>45749</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44010-2024</t>
        </is>
      </c>
      <c r="B3230" s="1" t="n">
        <v>45572</v>
      </c>
      <c r="C3230" s="1" t="n">
        <v>45749</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44112-2024</t>
        </is>
      </c>
      <c r="B3231" s="1" t="n">
        <v>45572</v>
      </c>
      <c r="C3231" s="1" t="n">
        <v>45749</v>
      </c>
      <c r="D3231" t="inlineStr">
        <is>
          <t>JÄMTLANDS LÄN</t>
        </is>
      </c>
      <c r="E3231" t="inlineStr">
        <is>
          <t>STRÖMSUND</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44599-2024</t>
        </is>
      </c>
      <c r="B3232" s="1" t="n">
        <v>45574</v>
      </c>
      <c r="C3232" s="1" t="n">
        <v>45749</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44615-2024</t>
        </is>
      </c>
      <c r="B3233" s="1" t="n">
        <v>45574</v>
      </c>
      <c r="C3233" s="1" t="n">
        <v>45749</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c r="U3233">
        <f>HYPERLINK("https://klasma.github.io/Logging_2313/knärot/A 44615-2024 karta knärot.png", "A 44615-2024")</f>
        <v/>
      </c>
      <c r="V3233">
        <f>HYPERLINK("https://klasma.github.io/Logging_2313/klagomål/A 44615-2024 FSC-klagomål.docx", "A 44615-2024")</f>
        <v/>
      </c>
      <c r="W3233">
        <f>HYPERLINK("https://klasma.github.io/Logging_2313/klagomålsmail/A 44615-2024 FSC-klagomål mail.docx", "A 44615-2024")</f>
        <v/>
      </c>
      <c r="X3233">
        <f>HYPERLINK("https://klasma.github.io/Logging_2313/tillsyn/A 44615-2024 tillsynsbegäran.docx", "A 44615-2024")</f>
        <v/>
      </c>
      <c r="Y3233">
        <f>HYPERLINK("https://klasma.github.io/Logging_2313/tillsynsmail/A 44615-2024 tillsynsbegäran mail.docx", "A 44615-2024")</f>
        <v/>
      </c>
    </row>
    <row r="3234" ht="15" customHeight="1">
      <c r="A3234" t="inlineStr">
        <is>
          <t>A 44623-2024</t>
        </is>
      </c>
      <c r="B3234" s="1" t="n">
        <v>45574</v>
      </c>
      <c r="C3234" s="1" t="n">
        <v>45749</v>
      </c>
      <c r="D3234" t="inlineStr">
        <is>
          <t>JÄMTLANDS LÄN</t>
        </is>
      </c>
      <c r="E3234" t="inlineStr">
        <is>
          <t>STRÖMSUND</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44618-2024</t>
        </is>
      </c>
      <c r="B3235" s="1" t="n">
        <v>45574</v>
      </c>
      <c r="C3235" s="1" t="n">
        <v>45749</v>
      </c>
      <c r="D3235" t="inlineStr">
        <is>
          <t>JÄMTLANDS LÄN</t>
        </is>
      </c>
      <c r="E3235" t="inlineStr">
        <is>
          <t>STRÖMSUND</t>
        </is>
      </c>
      <c r="F3235" t="inlineStr">
        <is>
          <t>SCA</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44811-2024</t>
        </is>
      </c>
      <c r="B3236" s="1" t="n">
        <v>45574</v>
      </c>
      <c r="C3236" s="1" t="n">
        <v>45749</v>
      </c>
      <c r="D3236" t="inlineStr">
        <is>
          <t>JÄMTLANDS LÄN</t>
        </is>
      </c>
      <c r="E3236" t="inlineStr">
        <is>
          <t>STRÖMSUND</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44601-2024</t>
        </is>
      </c>
      <c r="B3237" s="1" t="n">
        <v>45574</v>
      </c>
      <c r="C3237" s="1" t="n">
        <v>45749</v>
      </c>
      <c r="D3237" t="inlineStr">
        <is>
          <t>JÄMTLANDS LÄN</t>
        </is>
      </c>
      <c r="E3237" t="inlineStr">
        <is>
          <t>STRÖMSUND</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44638-2024</t>
        </is>
      </c>
      <c r="B3238" s="1" t="n">
        <v>45574</v>
      </c>
      <c r="C3238" s="1" t="n">
        <v>45749</v>
      </c>
      <c r="D3238" t="inlineStr">
        <is>
          <t>JÄMTLANDS LÄN</t>
        </is>
      </c>
      <c r="E3238" t="inlineStr">
        <is>
          <t>STRÖMSUND</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44642-2024</t>
        </is>
      </c>
      <c r="B3239" s="1" t="n">
        <v>45574</v>
      </c>
      <c r="C3239" s="1" t="n">
        <v>45749</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44584-2024</t>
        </is>
      </c>
      <c r="B3240" s="1" t="n">
        <v>45574</v>
      </c>
      <c r="C3240" s="1" t="n">
        <v>45749</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44596-2024</t>
        </is>
      </c>
      <c r="B3241" s="1" t="n">
        <v>45574</v>
      </c>
      <c r="C3241" s="1" t="n">
        <v>45749</v>
      </c>
      <c r="D3241" t="inlineStr">
        <is>
          <t>JÄMTLANDS LÄN</t>
        </is>
      </c>
      <c r="E3241" t="inlineStr">
        <is>
          <t>STRÖMSUND</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45005-2024</t>
        </is>
      </c>
      <c r="B3242" s="1" t="n">
        <v>45575</v>
      </c>
      <c r="C3242" s="1" t="n">
        <v>45749</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45411-2024</t>
        </is>
      </c>
      <c r="B3243" s="1" t="n">
        <v>45576</v>
      </c>
      <c r="C3243" s="1" t="n">
        <v>45749</v>
      </c>
      <c r="D3243" t="inlineStr">
        <is>
          <t>JÄMTLANDS LÄN</t>
        </is>
      </c>
      <c r="E3243" t="inlineStr">
        <is>
          <t>STRÖMSUND</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45251-2024</t>
        </is>
      </c>
      <c r="B3244" s="1" t="n">
        <v>45576</v>
      </c>
      <c r="C3244" s="1" t="n">
        <v>45749</v>
      </c>
      <c r="D3244" t="inlineStr">
        <is>
          <t>JÄMTLANDS LÄN</t>
        </is>
      </c>
      <c r="E3244" t="inlineStr">
        <is>
          <t>STRÖMSUND</t>
        </is>
      </c>
      <c r="F3244" t="inlineStr">
        <is>
          <t>Sveaskog</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45249-2024</t>
        </is>
      </c>
      <c r="B3245" s="1" t="n">
        <v>45576</v>
      </c>
      <c r="C3245" s="1" t="n">
        <v>45749</v>
      </c>
      <c r="D3245" t="inlineStr">
        <is>
          <t>JÄMTLANDS LÄN</t>
        </is>
      </c>
      <c r="E3245" t="inlineStr">
        <is>
          <t>STRÖMSUND</t>
        </is>
      </c>
      <c r="F3245" t="inlineStr">
        <is>
          <t>Sveaskog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45762-2024</t>
        </is>
      </c>
      <c r="B3246" s="1" t="n">
        <v>45579</v>
      </c>
      <c r="C3246" s="1" t="n">
        <v>45749</v>
      </c>
      <c r="D3246" t="inlineStr">
        <is>
          <t>JÄMTLANDS LÄN</t>
        </is>
      </c>
      <c r="E3246" t="inlineStr">
        <is>
          <t>STRÖMSUND</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45759-2024</t>
        </is>
      </c>
      <c r="B3247" s="1" t="n">
        <v>45579</v>
      </c>
      <c r="C3247" s="1" t="n">
        <v>45749</v>
      </c>
      <c r="D3247" t="inlineStr">
        <is>
          <t>JÄMTLANDS LÄN</t>
        </is>
      </c>
      <c r="E3247" t="inlineStr">
        <is>
          <t>STRÖMSUND</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46199-2024</t>
        </is>
      </c>
      <c r="B3248" s="1" t="n">
        <v>45581</v>
      </c>
      <c r="C3248" s="1" t="n">
        <v>45749</v>
      </c>
      <c r="D3248" t="inlineStr">
        <is>
          <t>JÄMTLANDS LÄN</t>
        </is>
      </c>
      <c r="E3248" t="inlineStr">
        <is>
          <t>STRÖMSUND</t>
        </is>
      </c>
      <c r="F3248" t="inlineStr">
        <is>
          <t>SCA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46394-2024</t>
        </is>
      </c>
      <c r="B3249" s="1" t="n">
        <v>45582</v>
      </c>
      <c r="C3249" s="1" t="n">
        <v>45749</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46816-2024</t>
        </is>
      </c>
      <c r="B3250" s="1" t="n">
        <v>45583</v>
      </c>
      <c r="C3250" s="1" t="n">
        <v>45749</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46677-2024</t>
        </is>
      </c>
      <c r="B3251" s="1" t="n">
        <v>45583</v>
      </c>
      <c r="C3251" s="1" t="n">
        <v>45749</v>
      </c>
      <c r="D3251" t="inlineStr">
        <is>
          <t>JÄMTLANDS LÄN</t>
        </is>
      </c>
      <c r="E3251" t="inlineStr">
        <is>
          <t>STRÖMSUND</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46905-2024</t>
        </is>
      </c>
      <c r="B3252" s="1" t="n">
        <v>45583</v>
      </c>
      <c r="C3252" s="1" t="n">
        <v>45749</v>
      </c>
      <c r="D3252" t="inlineStr">
        <is>
          <t>JÄMTLANDS LÄN</t>
        </is>
      </c>
      <c r="E3252" t="inlineStr">
        <is>
          <t>STRÖMSUND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47241-2024</t>
        </is>
      </c>
      <c r="B3253" s="1" t="n">
        <v>45586</v>
      </c>
      <c r="C3253" s="1" t="n">
        <v>45749</v>
      </c>
      <c r="D3253" t="inlineStr">
        <is>
          <t>JÄMTLANDS LÄN</t>
        </is>
      </c>
      <c r="E3253" t="inlineStr">
        <is>
          <t>STRÖMSUND</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47114-2024</t>
        </is>
      </c>
      <c r="B3254" s="1" t="n">
        <v>45586</v>
      </c>
      <c r="C3254" s="1" t="n">
        <v>45749</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46980-2024</t>
        </is>
      </c>
      <c r="B3255" s="1" t="n">
        <v>45586</v>
      </c>
      <c r="C3255" s="1" t="n">
        <v>45749</v>
      </c>
      <c r="D3255" t="inlineStr">
        <is>
          <t>JÄMTLANDS LÄN</t>
        </is>
      </c>
      <c r="E3255" t="inlineStr">
        <is>
          <t>STRÖMSUND</t>
        </is>
      </c>
      <c r="F3255" t="inlineStr">
        <is>
          <t>Holmen skog AB</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46969-2024</t>
        </is>
      </c>
      <c r="B3256" s="1" t="n">
        <v>45586</v>
      </c>
      <c r="C3256" s="1" t="n">
        <v>45749</v>
      </c>
      <c r="D3256" t="inlineStr">
        <is>
          <t>JÄMTLANDS LÄN</t>
        </is>
      </c>
      <c r="E3256" t="inlineStr">
        <is>
          <t>STRÖMSUND</t>
        </is>
      </c>
      <c r="F3256" t="inlineStr">
        <is>
          <t>Holmen skog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47331-2024</t>
        </is>
      </c>
      <c r="B3257" s="1" t="n">
        <v>45587</v>
      </c>
      <c r="C3257" s="1" t="n">
        <v>45749</v>
      </c>
      <c r="D3257" t="inlineStr">
        <is>
          <t>JÄMTLANDS LÄN</t>
        </is>
      </c>
      <c r="E3257" t="inlineStr">
        <is>
          <t>STRÖMSUND</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47356-2024</t>
        </is>
      </c>
      <c r="B3258" s="1" t="n">
        <v>45587</v>
      </c>
      <c r="C3258" s="1" t="n">
        <v>45749</v>
      </c>
      <c r="D3258" t="inlineStr">
        <is>
          <t>JÄMTLANDS LÄN</t>
        </is>
      </c>
      <c r="E3258" t="inlineStr">
        <is>
          <t>STRÖMSUND</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47633-2024</t>
        </is>
      </c>
      <c r="B3259" s="1" t="n">
        <v>45588</v>
      </c>
      <c r="C3259" s="1" t="n">
        <v>45749</v>
      </c>
      <c r="D3259" t="inlineStr">
        <is>
          <t>JÄMTLANDS LÄN</t>
        </is>
      </c>
      <c r="E3259" t="inlineStr">
        <is>
          <t>STRÖMSUND</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47632-2024</t>
        </is>
      </c>
      <c r="B3260" s="1" t="n">
        <v>45588</v>
      </c>
      <c r="C3260" s="1" t="n">
        <v>45749</v>
      </c>
      <c r="D3260" t="inlineStr">
        <is>
          <t>JÄMTLANDS LÄN</t>
        </is>
      </c>
      <c r="E3260" t="inlineStr">
        <is>
          <t>STRÖMSUND</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47806-2024</t>
        </is>
      </c>
      <c r="B3261" s="1" t="n">
        <v>45588</v>
      </c>
      <c r="C3261" s="1" t="n">
        <v>45749</v>
      </c>
      <c r="D3261" t="inlineStr">
        <is>
          <t>JÄMTLANDS LÄN</t>
        </is>
      </c>
      <c r="E3261" t="inlineStr">
        <is>
          <t>STRÖMSUND</t>
        </is>
      </c>
      <c r="F3261" t="inlineStr">
        <is>
          <t>SCA</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47657-2024</t>
        </is>
      </c>
      <c r="B3262" s="1" t="n">
        <v>45588</v>
      </c>
      <c r="C3262" s="1" t="n">
        <v>45749</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47655-2024</t>
        </is>
      </c>
      <c r="B3263" s="1" t="n">
        <v>45588</v>
      </c>
      <c r="C3263" s="1" t="n">
        <v>45749</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48134-2024</t>
        </is>
      </c>
      <c r="B3264" s="1" t="n">
        <v>45589</v>
      </c>
      <c r="C3264" s="1" t="n">
        <v>45749</v>
      </c>
      <c r="D3264" t="inlineStr">
        <is>
          <t>JÄMTLANDS LÄN</t>
        </is>
      </c>
      <c r="E3264" t="inlineStr">
        <is>
          <t>STRÖMSUND</t>
        </is>
      </c>
      <c r="G3264" t="n">
        <v>27.3</v>
      </c>
      <c r="H3264" t="n">
        <v>0</v>
      </c>
      <c r="I3264" t="n">
        <v>0</v>
      </c>
      <c r="J3264" t="n">
        <v>0</v>
      </c>
      <c r="K3264" t="n">
        <v>0</v>
      </c>
      <c r="L3264" t="n">
        <v>0</v>
      </c>
      <c r="M3264" t="n">
        <v>0</v>
      </c>
      <c r="N3264" t="n">
        <v>0</v>
      </c>
      <c r="O3264" t="n">
        <v>0</v>
      </c>
      <c r="P3264" t="n">
        <v>0</v>
      </c>
      <c r="Q3264" t="n">
        <v>0</v>
      </c>
      <c r="R3264" s="2" t="inlineStr"/>
    </row>
    <row r="3265" ht="15" customHeight="1">
      <c r="A3265" t="inlineStr">
        <is>
          <t>A 48194-2024</t>
        </is>
      </c>
      <c r="B3265" s="1" t="n">
        <v>45590</v>
      </c>
      <c r="C3265" s="1" t="n">
        <v>45749</v>
      </c>
      <c r="D3265" t="inlineStr">
        <is>
          <t>JÄMTLANDS LÄN</t>
        </is>
      </c>
      <c r="E3265" t="inlineStr">
        <is>
          <t>STRÖMSUND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48603-2024</t>
        </is>
      </c>
      <c r="B3266" s="1" t="n">
        <v>45593</v>
      </c>
      <c r="C3266" s="1" t="n">
        <v>45749</v>
      </c>
      <c r="D3266" t="inlineStr">
        <is>
          <t>JÄMTLANDS LÄN</t>
        </is>
      </c>
      <c r="E3266" t="inlineStr">
        <is>
          <t>STRÖMSUND</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48604-2024</t>
        </is>
      </c>
      <c r="B3267" s="1" t="n">
        <v>45593</v>
      </c>
      <c r="C3267" s="1" t="n">
        <v>45749</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48833-2024</t>
        </is>
      </c>
      <c r="B3268" s="1" t="n">
        <v>45593</v>
      </c>
      <c r="C3268" s="1" t="n">
        <v>45749</v>
      </c>
      <c r="D3268" t="inlineStr">
        <is>
          <t>JÄMTLANDS LÄN</t>
        </is>
      </c>
      <c r="E3268" t="inlineStr">
        <is>
          <t>STRÖMSUND</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48936-2024</t>
        </is>
      </c>
      <c r="B3269" s="1" t="n">
        <v>45594</v>
      </c>
      <c r="C3269" s="1" t="n">
        <v>45749</v>
      </c>
      <c r="D3269" t="inlineStr">
        <is>
          <t>JÄMTLANDS LÄN</t>
        </is>
      </c>
      <c r="E3269" t="inlineStr">
        <is>
          <t>STRÖMSUND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48910-2024</t>
        </is>
      </c>
      <c r="B3270" s="1" t="n">
        <v>45594</v>
      </c>
      <c r="C3270" s="1" t="n">
        <v>45749</v>
      </c>
      <c r="D3270" t="inlineStr">
        <is>
          <t>JÄMTLANDS LÄN</t>
        </is>
      </c>
      <c r="E3270" t="inlineStr">
        <is>
          <t>STRÖMSUND</t>
        </is>
      </c>
      <c r="F3270" t="inlineStr">
        <is>
          <t>SCA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49126-2024</t>
        </is>
      </c>
      <c r="B3271" s="1" t="n">
        <v>45594</v>
      </c>
      <c r="C3271" s="1" t="n">
        <v>45749</v>
      </c>
      <c r="D3271" t="inlineStr">
        <is>
          <t>JÄMTLANDS LÄN</t>
        </is>
      </c>
      <c r="E3271" t="inlineStr">
        <is>
          <t>STRÖMSUND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48917-2024</t>
        </is>
      </c>
      <c r="B3272" s="1" t="n">
        <v>45594</v>
      </c>
      <c r="C3272" s="1" t="n">
        <v>45749</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48947-2024</t>
        </is>
      </c>
      <c r="B3273" s="1" t="n">
        <v>45594</v>
      </c>
      <c r="C3273" s="1" t="n">
        <v>45749</v>
      </c>
      <c r="D3273" t="inlineStr">
        <is>
          <t>JÄMTLANDS LÄN</t>
        </is>
      </c>
      <c r="E3273" t="inlineStr">
        <is>
          <t>STRÖMSUND</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49127-2024</t>
        </is>
      </c>
      <c r="B3274" s="1" t="n">
        <v>45594</v>
      </c>
      <c r="C3274" s="1" t="n">
        <v>45749</v>
      </c>
      <c r="D3274" t="inlineStr">
        <is>
          <t>JÄMTLANDS LÄN</t>
        </is>
      </c>
      <c r="E3274" t="inlineStr">
        <is>
          <t>STRÖMSUND</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49196-2024</t>
        </is>
      </c>
      <c r="B3275" s="1" t="n">
        <v>45595</v>
      </c>
      <c r="C3275" s="1" t="n">
        <v>45749</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49191-2024</t>
        </is>
      </c>
      <c r="B3276" s="1" t="n">
        <v>45595</v>
      </c>
      <c r="C3276" s="1" t="n">
        <v>45749</v>
      </c>
      <c r="D3276" t="inlineStr">
        <is>
          <t>JÄMTLANDS LÄN</t>
        </is>
      </c>
      <c r="E3276" t="inlineStr">
        <is>
          <t>STRÖMSUND</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49186-2024</t>
        </is>
      </c>
      <c r="B3277" s="1" t="n">
        <v>45595</v>
      </c>
      <c r="C3277" s="1" t="n">
        <v>45749</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49194-2024</t>
        </is>
      </c>
      <c r="B3278" s="1" t="n">
        <v>45595</v>
      </c>
      <c r="C3278" s="1" t="n">
        <v>45749</v>
      </c>
      <c r="D3278" t="inlineStr">
        <is>
          <t>JÄMTLANDS LÄN</t>
        </is>
      </c>
      <c r="E3278" t="inlineStr">
        <is>
          <t>STRÖMSUND</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49370-2024</t>
        </is>
      </c>
      <c r="B3279" s="1" t="n">
        <v>45595</v>
      </c>
      <c r="C3279" s="1" t="n">
        <v>45749</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49384-2024</t>
        </is>
      </c>
      <c r="B3280" s="1" t="n">
        <v>45595</v>
      </c>
      <c r="C3280" s="1" t="n">
        <v>45749</v>
      </c>
      <c r="D3280" t="inlineStr">
        <is>
          <t>JÄMTLANDS LÄN</t>
        </is>
      </c>
      <c r="E3280" t="inlineStr">
        <is>
          <t>STRÖMSUND</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49396-2024</t>
        </is>
      </c>
      <c r="B3281" s="1" t="n">
        <v>45595</v>
      </c>
      <c r="C3281" s="1" t="n">
        <v>45749</v>
      </c>
      <c r="D3281" t="inlineStr">
        <is>
          <t>JÄMTLANDS LÄN</t>
        </is>
      </c>
      <c r="E3281" t="inlineStr">
        <is>
          <t>STRÖMSUND</t>
        </is>
      </c>
      <c r="F3281" t="inlineStr">
        <is>
          <t>SCA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49685-2024</t>
        </is>
      </c>
      <c r="B3282" s="1" t="n">
        <v>45596</v>
      </c>
      <c r="C3282" s="1" t="n">
        <v>45749</v>
      </c>
      <c r="D3282" t="inlineStr">
        <is>
          <t>JÄMTLANDS LÄN</t>
        </is>
      </c>
      <c r="E3282" t="inlineStr">
        <is>
          <t>STRÖMSUND</t>
        </is>
      </c>
      <c r="G3282" t="n">
        <v>21.5</v>
      </c>
      <c r="H3282" t="n">
        <v>0</v>
      </c>
      <c r="I3282" t="n">
        <v>0</v>
      </c>
      <c r="J3282" t="n">
        <v>0</v>
      </c>
      <c r="K3282" t="n">
        <v>0</v>
      </c>
      <c r="L3282" t="n">
        <v>0</v>
      </c>
      <c r="M3282" t="n">
        <v>0</v>
      </c>
      <c r="N3282" t="n">
        <v>0</v>
      </c>
      <c r="O3282" t="n">
        <v>0</v>
      </c>
      <c r="P3282" t="n">
        <v>0</v>
      </c>
      <c r="Q3282" t="n">
        <v>0</v>
      </c>
      <c r="R3282" s="2" t="inlineStr"/>
    </row>
    <row r="3283" ht="15" customHeight="1">
      <c r="A3283" t="inlineStr">
        <is>
          <t>A 49686-2024</t>
        </is>
      </c>
      <c r="B3283" s="1" t="n">
        <v>45596</v>
      </c>
      <c r="C3283" s="1" t="n">
        <v>45749</v>
      </c>
      <c r="D3283" t="inlineStr">
        <is>
          <t>JÄMTLANDS LÄN</t>
        </is>
      </c>
      <c r="E3283" t="inlineStr">
        <is>
          <t>STRÖMSUND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49566-2024</t>
        </is>
      </c>
      <c r="B3284" s="1" t="n">
        <v>45596</v>
      </c>
      <c r="C3284" s="1" t="n">
        <v>45749</v>
      </c>
      <c r="D3284" t="inlineStr">
        <is>
          <t>JÄMTLANDS LÄN</t>
        </is>
      </c>
      <c r="E3284" t="inlineStr">
        <is>
          <t>STRÖMSUND</t>
        </is>
      </c>
      <c r="F3284" t="inlineStr">
        <is>
          <t>SCA</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49732-2024</t>
        </is>
      </c>
      <c r="B3285" s="1" t="n">
        <v>45596</v>
      </c>
      <c r="C3285" s="1" t="n">
        <v>45749</v>
      </c>
      <c r="D3285" t="inlineStr">
        <is>
          <t>JÄMTLANDS LÄN</t>
        </is>
      </c>
      <c r="E3285" t="inlineStr">
        <is>
          <t>STRÖMSUND</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49547-2024</t>
        </is>
      </c>
      <c r="B3286" s="1" t="n">
        <v>45596</v>
      </c>
      <c r="C3286" s="1" t="n">
        <v>45749</v>
      </c>
      <c r="D3286" t="inlineStr">
        <is>
          <t>JÄMTLANDS LÄN</t>
        </is>
      </c>
      <c r="E3286" t="inlineStr">
        <is>
          <t>STRÖMSUND</t>
        </is>
      </c>
      <c r="F3286" t="inlineStr">
        <is>
          <t>SCA</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49898-2024</t>
        </is>
      </c>
      <c r="B3287" s="1" t="n">
        <v>45597</v>
      </c>
      <c r="C3287" s="1" t="n">
        <v>45749</v>
      </c>
      <c r="D3287" t="inlineStr">
        <is>
          <t>JÄMTLANDS LÄN</t>
        </is>
      </c>
      <c r="E3287" t="inlineStr">
        <is>
          <t>STRÖMSUND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49940-2024</t>
        </is>
      </c>
      <c r="B3288" s="1" t="n">
        <v>45597</v>
      </c>
      <c r="C3288" s="1" t="n">
        <v>45749</v>
      </c>
      <c r="D3288" t="inlineStr">
        <is>
          <t>JÄMTLANDS LÄN</t>
        </is>
      </c>
      <c r="E3288" t="inlineStr">
        <is>
          <t>STRÖMSUND</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50031-2024</t>
        </is>
      </c>
      <c r="B3289" s="1" t="n">
        <v>45599</v>
      </c>
      <c r="C3289" s="1" t="n">
        <v>45749</v>
      </c>
      <c r="D3289" t="inlineStr">
        <is>
          <t>JÄMTLANDS LÄN</t>
        </is>
      </c>
      <c r="E3289" t="inlineStr">
        <is>
          <t>STRÖMSUND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50108-2024</t>
        </is>
      </c>
      <c r="B3290" s="1" t="n">
        <v>45600</v>
      </c>
      <c r="C3290" s="1" t="n">
        <v>45749</v>
      </c>
      <c r="D3290" t="inlineStr">
        <is>
          <t>JÄMTLANDS LÄN</t>
        </is>
      </c>
      <c r="E3290" t="inlineStr">
        <is>
          <t>STRÖMSUND</t>
        </is>
      </c>
      <c r="F3290" t="inlineStr">
        <is>
          <t>SCA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50143-2024</t>
        </is>
      </c>
      <c r="B3291" s="1" t="n">
        <v>45600</v>
      </c>
      <c r="C3291" s="1" t="n">
        <v>45749</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50140-2024</t>
        </is>
      </c>
      <c r="B3292" s="1" t="n">
        <v>45600</v>
      </c>
      <c r="C3292" s="1" t="n">
        <v>45749</v>
      </c>
      <c r="D3292" t="inlineStr">
        <is>
          <t>JÄMTLANDS LÄN</t>
        </is>
      </c>
      <c r="E3292" t="inlineStr">
        <is>
          <t>STRÖMSUND</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50141-2024</t>
        </is>
      </c>
      <c r="B3293" s="1" t="n">
        <v>45600</v>
      </c>
      <c r="C3293" s="1" t="n">
        <v>45749</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50142-2024</t>
        </is>
      </c>
      <c r="B3294" s="1" t="n">
        <v>45600</v>
      </c>
      <c r="C3294" s="1" t="n">
        <v>45749</v>
      </c>
      <c r="D3294" t="inlineStr">
        <is>
          <t>JÄMTLANDS LÄN</t>
        </is>
      </c>
      <c r="E3294" t="inlineStr">
        <is>
          <t>STRÖMSUND</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50638-2024</t>
        </is>
      </c>
      <c r="B3295" s="1" t="n">
        <v>45601</v>
      </c>
      <c r="C3295" s="1" t="n">
        <v>45749</v>
      </c>
      <c r="D3295" t="inlineStr">
        <is>
          <t>JÄMTLANDS LÄN</t>
        </is>
      </c>
      <c r="E3295" t="inlineStr">
        <is>
          <t>STRÖMSUND</t>
        </is>
      </c>
      <c r="F3295" t="inlineStr">
        <is>
          <t>SCA</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50445-2024</t>
        </is>
      </c>
      <c r="B3296" s="1" t="n">
        <v>45601</v>
      </c>
      <c r="C3296" s="1" t="n">
        <v>45749</v>
      </c>
      <c r="D3296" t="inlineStr">
        <is>
          <t>JÄMTLANDS LÄN</t>
        </is>
      </c>
      <c r="E3296" t="inlineStr">
        <is>
          <t>STRÖMSUND</t>
        </is>
      </c>
      <c r="G3296" t="n">
        <v>17.3</v>
      </c>
      <c r="H3296" t="n">
        <v>0</v>
      </c>
      <c r="I3296" t="n">
        <v>0</v>
      </c>
      <c r="J3296" t="n">
        <v>0</v>
      </c>
      <c r="K3296" t="n">
        <v>0</v>
      </c>
      <c r="L3296" t="n">
        <v>0</v>
      </c>
      <c r="M3296" t="n">
        <v>0</v>
      </c>
      <c r="N3296" t="n">
        <v>0</v>
      </c>
      <c r="O3296" t="n">
        <v>0</v>
      </c>
      <c r="P3296" t="n">
        <v>0</v>
      </c>
      <c r="Q3296" t="n">
        <v>0</v>
      </c>
      <c r="R3296" s="2" t="inlineStr"/>
    </row>
    <row r="3297" ht="15" customHeight="1">
      <c r="A3297" t="inlineStr">
        <is>
          <t>A 51056-2024</t>
        </is>
      </c>
      <c r="B3297" s="1" t="n">
        <v>45603</v>
      </c>
      <c r="C3297" s="1" t="n">
        <v>45749</v>
      </c>
      <c r="D3297" t="inlineStr">
        <is>
          <t>JÄMTLANDS LÄN</t>
        </is>
      </c>
      <c r="E3297" t="inlineStr">
        <is>
          <t>STRÖMSUND</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51154-2024</t>
        </is>
      </c>
      <c r="B3298" s="1" t="n">
        <v>45603</v>
      </c>
      <c r="C3298" s="1" t="n">
        <v>45749</v>
      </c>
      <c r="D3298" t="inlineStr">
        <is>
          <t>JÄMTLANDS LÄN</t>
        </is>
      </c>
      <c r="E3298" t="inlineStr">
        <is>
          <t>STRÖMSUND</t>
        </is>
      </c>
      <c r="F3298" t="inlineStr">
        <is>
          <t>SCA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51404-2024</t>
        </is>
      </c>
      <c r="B3299" s="1" t="n">
        <v>45604</v>
      </c>
      <c r="C3299" s="1" t="n">
        <v>45749</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51432-2024</t>
        </is>
      </c>
      <c r="B3300" s="1" t="n">
        <v>45604</v>
      </c>
      <c r="C3300" s="1" t="n">
        <v>45749</v>
      </c>
      <c r="D3300" t="inlineStr">
        <is>
          <t>JÄMTLANDS LÄN</t>
        </is>
      </c>
      <c r="E3300" t="inlineStr">
        <is>
          <t>STRÖMSUND</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51478-2024</t>
        </is>
      </c>
      <c r="B3301" s="1" t="n">
        <v>45604</v>
      </c>
      <c r="C3301" s="1" t="n">
        <v>45749</v>
      </c>
      <c r="D3301" t="inlineStr">
        <is>
          <t>JÄMTLANDS LÄN</t>
        </is>
      </c>
      <c r="E3301" t="inlineStr">
        <is>
          <t>STRÖMSUND</t>
        </is>
      </c>
      <c r="F3301" t="inlineStr">
        <is>
          <t>Kommuner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51498-2024</t>
        </is>
      </c>
      <c r="B3302" s="1" t="n">
        <v>45604</v>
      </c>
      <c r="C3302" s="1" t="n">
        <v>45749</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51491-2024</t>
        </is>
      </c>
      <c r="B3303" s="1" t="n">
        <v>45604</v>
      </c>
      <c r="C3303" s="1" t="n">
        <v>45749</v>
      </c>
      <c r="D3303" t="inlineStr">
        <is>
          <t>JÄMTLANDS LÄN</t>
        </is>
      </c>
      <c r="E3303" t="inlineStr">
        <is>
          <t>STRÖMSUND</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51585-2024</t>
        </is>
      </c>
      <c r="B3304" s="1" t="n">
        <v>45604</v>
      </c>
      <c r="C3304" s="1" t="n">
        <v>45749</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51593-2024</t>
        </is>
      </c>
      <c r="B3305" s="1" t="n">
        <v>45604</v>
      </c>
      <c r="C3305" s="1" t="n">
        <v>45749</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51606-2024</t>
        </is>
      </c>
      <c r="B3306" s="1" t="n">
        <v>45604</v>
      </c>
      <c r="C3306" s="1" t="n">
        <v>45749</v>
      </c>
      <c r="D3306" t="inlineStr">
        <is>
          <t>JÄMTLANDS LÄN</t>
        </is>
      </c>
      <c r="E3306" t="inlineStr">
        <is>
          <t>STRÖMSUND</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51943-2024</t>
        </is>
      </c>
      <c r="B3307" s="1" t="n">
        <v>45607</v>
      </c>
      <c r="C3307" s="1" t="n">
        <v>45749</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51685-2024</t>
        </is>
      </c>
      <c r="B3308" s="1" t="n">
        <v>45607</v>
      </c>
      <c r="C3308" s="1" t="n">
        <v>45749</v>
      </c>
      <c r="D3308" t="inlineStr">
        <is>
          <t>JÄMTLANDS LÄN</t>
        </is>
      </c>
      <c r="E3308" t="inlineStr">
        <is>
          <t>STRÖMSUND</t>
        </is>
      </c>
      <c r="F3308" t="inlineStr">
        <is>
          <t>SCA</t>
        </is>
      </c>
      <c r="G3308" t="n">
        <v>53.5</v>
      </c>
      <c r="H3308" t="n">
        <v>0</v>
      </c>
      <c r="I3308" t="n">
        <v>0</v>
      </c>
      <c r="J3308" t="n">
        <v>0</v>
      </c>
      <c r="K3308" t="n">
        <v>0</v>
      </c>
      <c r="L3308" t="n">
        <v>0</v>
      </c>
      <c r="M3308" t="n">
        <v>0</v>
      </c>
      <c r="N3308" t="n">
        <v>0</v>
      </c>
      <c r="O3308" t="n">
        <v>0</v>
      </c>
      <c r="P3308" t="n">
        <v>0</v>
      </c>
      <c r="Q3308" t="n">
        <v>0</v>
      </c>
      <c r="R3308" s="2" t="inlineStr"/>
    </row>
    <row r="3309" ht="15" customHeight="1">
      <c r="A3309" t="inlineStr">
        <is>
          <t>A 51689-2024</t>
        </is>
      </c>
      <c r="B3309" s="1" t="n">
        <v>45607</v>
      </c>
      <c r="C3309" s="1" t="n">
        <v>45749</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51763-2024</t>
        </is>
      </c>
      <c r="B3310" s="1" t="n">
        <v>45607</v>
      </c>
      <c r="C3310" s="1" t="n">
        <v>45749</v>
      </c>
      <c r="D3310" t="inlineStr">
        <is>
          <t>JÄMTLANDS LÄN</t>
        </is>
      </c>
      <c r="E3310" t="inlineStr">
        <is>
          <t>STRÖMSUND</t>
        </is>
      </c>
      <c r="F3310" t="inlineStr">
        <is>
          <t>Kommuner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51803-2024</t>
        </is>
      </c>
      <c r="B3311" s="1" t="n">
        <v>45607</v>
      </c>
      <c r="C3311" s="1" t="n">
        <v>45749</v>
      </c>
      <c r="D3311" t="inlineStr">
        <is>
          <t>JÄMTLANDS LÄN</t>
        </is>
      </c>
      <c r="E3311" t="inlineStr">
        <is>
          <t>STRÖMSUND</t>
        </is>
      </c>
      <c r="F3311" t="inlineStr">
        <is>
          <t>Kommuner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51946-2024</t>
        </is>
      </c>
      <c r="B3312" s="1" t="n">
        <v>45607</v>
      </c>
      <c r="C3312" s="1" t="n">
        <v>45749</v>
      </c>
      <c r="D3312" t="inlineStr">
        <is>
          <t>JÄMTLANDS LÄN</t>
        </is>
      </c>
      <c r="E3312" t="inlineStr">
        <is>
          <t>STRÖMSUND</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51688-2024</t>
        </is>
      </c>
      <c r="B3313" s="1" t="n">
        <v>45607</v>
      </c>
      <c r="C3313" s="1" t="n">
        <v>45749</v>
      </c>
      <c r="D3313" t="inlineStr">
        <is>
          <t>JÄMTLANDS LÄN</t>
        </is>
      </c>
      <c r="E3313" t="inlineStr">
        <is>
          <t>STRÖMSUND</t>
        </is>
      </c>
      <c r="F3313" t="inlineStr">
        <is>
          <t>SCA</t>
        </is>
      </c>
      <c r="G3313" t="n">
        <v>36.3</v>
      </c>
      <c r="H3313" t="n">
        <v>0</v>
      </c>
      <c r="I3313" t="n">
        <v>0</v>
      </c>
      <c r="J3313" t="n">
        <v>0</v>
      </c>
      <c r="K3313" t="n">
        <v>0</v>
      </c>
      <c r="L3313" t="n">
        <v>0</v>
      </c>
      <c r="M3313" t="n">
        <v>0</v>
      </c>
      <c r="N3313" t="n">
        <v>0</v>
      </c>
      <c r="O3313" t="n">
        <v>0</v>
      </c>
      <c r="P3313" t="n">
        <v>0</v>
      </c>
      <c r="Q3313" t="n">
        <v>0</v>
      </c>
      <c r="R3313" s="2" t="inlineStr"/>
    </row>
    <row r="3314" ht="15" customHeight="1">
      <c r="A3314" t="inlineStr">
        <is>
          <t>A 51696-2024</t>
        </is>
      </c>
      <c r="B3314" s="1" t="n">
        <v>45607</v>
      </c>
      <c r="C3314" s="1" t="n">
        <v>45749</v>
      </c>
      <c r="D3314" t="inlineStr">
        <is>
          <t>JÄMTLANDS LÄN</t>
        </is>
      </c>
      <c r="E3314" t="inlineStr">
        <is>
          <t>STRÖMSUND</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51941-2024</t>
        </is>
      </c>
      <c r="B3315" s="1" t="n">
        <v>45607</v>
      </c>
      <c r="C3315" s="1" t="n">
        <v>45749</v>
      </c>
      <c r="D3315" t="inlineStr">
        <is>
          <t>JÄMTLANDS LÄN</t>
        </is>
      </c>
      <c r="E3315" t="inlineStr">
        <is>
          <t>STRÖMSUND</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51838-2024</t>
        </is>
      </c>
      <c r="B3316" s="1" t="n">
        <v>45607</v>
      </c>
      <c r="C3316" s="1" t="n">
        <v>45749</v>
      </c>
      <c r="D3316" t="inlineStr">
        <is>
          <t>JÄMTLANDS LÄN</t>
        </is>
      </c>
      <c r="E3316" t="inlineStr">
        <is>
          <t>STRÖMSUND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51757-2024</t>
        </is>
      </c>
      <c r="B3317" s="1" t="n">
        <v>45607</v>
      </c>
      <c r="C3317" s="1" t="n">
        <v>45749</v>
      </c>
      <c r="D3317" t="inlineStr">
        <is>
          <t>JÄMTLANDS LÄN</t>
        </is>
      </c>
      <c r="E3317" t="inlineStr">
        <is>
          <t>STRÖMSUND</t>
        </is>
      </c>
      <c r="F3317" t="inlineStr">
        <is>
          <t>Kommuner</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51739-2024</t>
        </is>
      </c>
      <c r="B3318" s="1" t="n">
        <v>45607</v>
      </c>
      <c r="C3318" s="1" t="n">
        <v>45749</v>
      </c>
      <c r="D3318" t="inlineStr">
        <is>
          <t>JÄMTLANDS LÄN</t>
        </is>
      </c>
      <c r="E3318" t="inlineStr">
        <is>
          <t>STRÖMSUND</t>
        </is>
      </c>
      <c r="F3318" t="inlineStr">
        <is>
          <t>SCA</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51691-2024</t>
        </is>
      </c>
      <c r="B3319" s="1" t="n">
        <v>45607</v>
      </c>
      <c r="C3319" s="1" t="n">
        <v>45749</v>
      </c>
      <c r="D3319" t="inlineStr">
        <is>
          <t>JÄMTLANDS LÄN</t>
        </is>
      </c>
      <c r="E3319" t="inlineStr">
        <is>
          <t>STRÖMSUND</t>
        </is>
      </c>
      <c r="F3319" t="inlineStr">
        <is>
          <t>SCA</t>
        </is>
      </c>
      <c r="G3319" t="n">
        <v>35.8</v>
      </c>
      <c r="H3319" t="n">
        <v>0</v>
      </c>
      <c r="I3319" t="n">
        <v>0</v>
      </c>
      <c r="J3319" t="n">
        <v>0</v>
      </c>
      <c r="K3319" t="n">
        <v>0</v>
      </c>
      <c r="L3319" t="n">
        <v>0</v>
      </c>
      <c r="M3319" t="n">
        <v>0</v>
      </c>
      <c r="N3319" t="n">
        <v>0</v>
      </c>
      <c r="O3319" t="n">
        <v>0</v>
      </c>
      <c r="P3319" t="n">
        <v>0</v>
      </c>
      <c r="Q3319" t="n">
        <v>0</v>
      </c>
      <c r="R3319" s="2" t="inlineStr"/>
    </row>
    <row r="3320" ht="15" customHeight="1">
      <c r="A3320" t="inlineStr">
        <is>
          <t>A 51687-2024</t>
        </is>
      </c>
      <c r="B3320" s="1" t="n">
        <v>45607</v>
      </c>
      <c r="C3320" s="1" t="n">
        <v>45749</v>
      </c>
      <c r="D3320" t="inlineStr">
        <is>
          <t>JÄMTLANDS LÄN</t>
        </is>
      </c>
      <c r="E3320" t="inlineStr">
        <is>
          <t>STRÖMSUND</t>
        </is>
      </c>
      <c r="F3320" t="inlineStr">
        <is>
          <t>SCA</t>
        </is>
      </c>
      <c r="G3320" t="n">
        <v>21.4</v>
      </c>
      <c r="H3320" t="n">
        <v>0</v>
      </c>
      <c r="I3320" t="n">
        <v>0</v>
      </c>
      <c r="J3320" t="n">
        <v>0</v>
      </c>
      <c r="K3320" t="n">
        <v>0</v>
      </c>
      <c r="L3320" t="n">
        <v>0</v>
      </c>
      <c r="M3320" t="n">
        <v>0</v>
      </c>
      <c r="N3320" t="n">
        <v>0</v>
      </c>
      <c r="O3320" t="n">
        <v>0</v>
      </c>
      <c r="P3320" t="n">
        <v>0</v>
      </c>
      <c r="Q3320" t="n">
        <v>0</v>
      </c>
      <c r="R3320" s="2" t="inlineStr"/>
    </row>
    <row r="3321" ht="15" customHeight="1">
      <c r="A3321" t="inlineStr">
        <is>
          <t>A 51694-2024</t>
        </is>
      </c>
      <c r="B3321" s="1" t="n">
        <v>45607</v>
      </c>
      <c r="C3321" s="1" t="n">
        <v>45749</v>
      </c>
      <c r="D3321" t="inlineStr">
        <is>
          <t>JÄMTLANDS LÄN</t>
        </is>
      </c>
      <c r="E3321" t="inlineStr">
        <is>
          <t>STRÖMSUND</t>
        </is>
      </c>
      <c r="F3321" t="inlineStr">
        <is>
          <t>SCA</t>
        </is>
      </c>
      <c r="G3321" t="n">
        <v>82.7</v>
      </c>
      <c r="H3321" t="n">
        <v>0</v>
      </c>
      <c r="I3321" t="n">
        <v>0</v>
      </c>
      <c r="J3321" t="n">
        <v>0</v>
      </c>
      <c r="K3321" t="n">
        <v>0</v>
      </c>
      <c r="L3321" t="n">
        <v>0</v>
      </c>
      <c r="M3321" t="n">
        <v>0</v>
      </c>
      <c r="N3321" t="n">
        <v>0</v>
      </c>
      <c r="O3321" t="n">
        <v>0</v>
      </c>
      <c r="P3321" t="n">
        <v>0</v>
      </c>
      <c r="Q3321" t="n">
        <v>0</v>
      </c>
      <c r="R3321" s="2" t="inlineStr"/>
    </row>
    <row r="3322" ht="15" customHeight="1">
      <c r="A3322" t="inlineStr">
        <is>
          <t>A 51690-2024</t>
        </is>
      </c>
      <c r="B3322" s="1" t="n">
        <v>45607</v>
      </c>
      <c r="C3322" s="1" t="n">
        <v>45749</v>
      </c>
      <c r="D3322" t="inlineStr">
        <is>
          <t>JÄMTLANDS LÄN</t>
        </is>
      </c>
      <c r="E3322" t="inlineStr">
        <is>
          <t>STRÖMSUND</t>
        </is>
      </c>
      <c r="F3322" t="inlineStr">
        <is>
          <t>SCA</t>
        </is>
      </c>
      <c r="G3322" t="n">
        <v>22.8</v>
      </c>
      <c r="H3322" t="n">
        <v>0</v>
      </c>
      <c r="I3322" t="n">
        <v>0</v>
      </c>
      <c r="J3322" t="n">
        <v>0</v>
      </c>
      <c r="K3322" t="n">
        <v>0</v>
      </c>
      <c r="L3322" t="n">
        <v>0</v>
      </c>
      <c r="M3322" t="n">
        <v>0</v>
      </c>
      <c r="N3322" t="n">
        <v>0</v>
      </c>
      <c r="O3322" t="n">
        <v>0</v>
      </c>
      <c r="P3322" t="n">
        <v>0</v>
      </c>
      <c r="Q3322" t="n">
        <v>0</v>
      </c>
      <c r="R3322" s="2" t="inlineStr"/>
    </row>
    <row r="3323" ht="15" customHeight="1">
      <c r="A3323" t="inlineStr">
        <is>
          <t>A 51686-2024</t>
        </is>
      </c>
      <c r="B3323" s="1" t="n">
        <v>45607</v>
      </c>
      <c r="C3323" s="1" t="n">
        <v>45749</v>
      </c>
      <c r="D3323" t="inlineStr">
        <is>
          <t>JÄMTLANDS LÄN</t>
        </is>
      </c>
      <c r="E3323" t="inlineStr">
        <is>
          <t>STRÖMSUND</t>
        </is>
      </c>
      <c r="F3323" t="inlineStr">
        <is>
          <t>SCA</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52158-2024</t>
        </is>
      </c>
      <c r="B3324" s="1" t="n">
        <v>45608</v>
      </c>
      <c r="C3324" s="1" t="n">
        <v>45749</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52153-2024</t>
        </is>
      </c>
      <c r="B3325" s="1" t="n">
        <v>45608</v>
      </c>
      <c r="C3325" s="1" t="n">
        <v>45749</v>
      </c>
      <c r="D3325" t="inlineStr">
        <is>
          <t>JÄMTLANDS LÄN</t>
        </is>
      </c>
      <c r="E3325" t="inlineStr">
        <is>
          <t>STRÖMSUND</t>
        </is>
      </c>
      <c r="F3325" t="inlineStr">
        <is>
          <t>SCA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52151-2024</t>
        </is>
      </c>
      <c r="B3326" s="1" t="n">
        <v>45608</v>
      </c>
      <c r="C3326" s="1" t="n">
        <v>45749</v>
      </c>
      <c r="D3326" t="inlineStr">
        <is>
          <t>JÄMTLANDS LÄN</t>
        </is>
      </c>
      <c r="E3326" t="inlineStr">
        <is>
          <t>STRÖMSUND</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52147-2024</t>
        </is>
      </c>
      <c r="B3327" s="1" t="n">
        <v>45608</v>
      </c>
      <c r="C3327" s="1" t="n">
        <v>45749</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53556-2024</t>
        </is>
      </c>
      <c r="B3328" s="1" t="n">
        <v>45608</v>
      </c>
      <c r="C3328" s="1" t="n">
        <v>45749</v>
      </c>
      <c r="D3328" t="inlineStr">
        <is>
          <t>JÄMTLANDS LÄN</t>
        </is>
      </c>
      <c r="E3328" t="inlineStr">
        <is>
          <t>STRÖMSUND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52211-2024</t>
        </is>
      </c>
      <c r="B3329" s="1" t="n">
        <v>45608</v>
      </c>
      <c r="C3329" s="1" t="n">
        <v>45749</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52199-2024</t>
        </is>
      </c>
      <c r="B3330" s="1" t="n">
        <v>45608</v>
      </c>
      <c r="C3330" s="1" t="n">
        <v>45749</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52559-2024</t>
        </is>
      </c>
      <c r="B3331" s="1" t="n">
        <v>45609</v>
      </c>
      <c r="C3331" s="1" t="n">
        <v>45749</v>
      </c>
      <c r="D3331" t="inlineStr">
        <is>
          <t>JÄMTLANDS LÄN</t>
        </is>
      </c>
      <c r="E3331" t="inlineStr">
        <is>
          <t>STRÖMSUND</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52583-2024</t>
        </is>
      </c>
      <c r="B3332" s="1" t="n">
        <v>45609</v>
      </c>
      <c r="C3332" s="1" t="n">
        <v>45749</v>
      </c>
      <c r="D3332" t="inlineStr">
        <is>
          <t>JÄMTLANDS LÄN</t>
        </is>
      </c>
      <c r="E3332" t="inlineStr">
        <is>
          <t>STRÖMSUND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52582-2024</t>
        </is>
      </c>
      <c r="B3333" s="1" t="n">
        <v>45609</v>
      </c>
      <c r="C3333" s="1" t="n">
        <v>45749</v>
      </c>
      <c r="D3333" t="inlineStr">
        <is>
          <t>JÄMTLANDS LÄN</t>
        </is>
      </c>
      <c r="E3333" t="inlineStr">
        <is>
          <t>STRÖMSUND</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52645-2024</t>
        </is>
      </c>
      <c r="B3334" s="1" t="n">
        <v>45610</v>
      </c>
      <c r="C3334" s="1" t="n">
        <v>45749</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52906-2024</t>
        </is>
      </c>
      <c r="B3335" s="1" t="n">
        <v>45610</v>
      </c>
      <c r="C3335" s="1" t="n">
        <v>45749</v>
      </c>
      <c r="D3335" t="inlineStr">
        <is>
          <t>JÄMTLANDS LÄN</t>
        </is>
      </c>
      <c r="E3335" t="inlineStr">
        <is>
          <t>STRÖMSUND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53132-2024</t>
        </is>
      </c>
      <c r="B3336" s="1" t="n">
        <v>45611</v>
      </c>
      <c r="C3336" s="1" t="n">
        <v>45749</v>
      </c>
      <c r="D3336" t="inlineStr">
        <is>
          <t>JÄMTLANDS LÄN</t>
        </is>
      </c>
      <c r="E3336" t="inlineStr">
        <is>
          <t>STRÖMSUND</t>
        </is>
      </c>
      <c r="F3336" t="inlineStr">
        <is>
          <t>SCA</t>
        </is>
      </c>
      <c r="G3336" t="n">
        <v>29.2</v>
      </c>
      <c r="H3336" t="n">
        <v>0</v>
      </c>
      <c r="I3336" t="n">
        <v>0</v>
      </c>
      <c r="J3336" t="n">
        <v>0</v>
      </c>
      <c r="K3336" t="n">
        <v>0</v>
      </c>
      <c r="L3336" t="n">
        <v>0</v>
      </c>
      <c r="M3336" t="n">
        <v>0</v>
      </c>
      <c r="N3336" t="n">
        <v>0</v>
      </c>
      <c r="O3336" t="n">
        <v>0</v>
      </c>
      <c r="P3336" t="n">
        <v>0</v>
      </c>
      <c r="Q3336" t="n">
        <v>0</v>
      </c>
      <c r="R3336" s="2" t="inlineStr"/>
    </row>
    <row r="3337" ht="15" customHeight="1">
      <c r="A3337" t="inlineStr">
        <is>
          <t>A 53131-2024</t>
        </is>
      </c>
      <c r="B3337" s="1" t="n">
        <v>45611</v>
      </c>
      <c r="C3337" s="1" t="n">
        <v>45749</v>
      </c>
      <c r="D3337" t="inlineStr">
        <is>
          <t>JÄMTLANDS LÄN</t>
        </is>
      </c>
      <c r="E3337" t="inlineStr">
        <is>
          <t>STRÖMSUND</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53219-2024</t>
        </is>
      </c>
      <c r="B3338" s="1" t="n">
        <v>45612</v>
      </c>
      <c r="C3338" s="1" t="n">
        <v>45749</v>
      </c>
      <c r="D3338" t="inlineStr">
        <is>
          <t>JÄMTLANDS LÄN</t>
        </is>
      </c>
      <c r="E3338" t="inlineStr">
        <is>
          <t>STRÖMSUND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53216-2024</t>
        </is>
      </c>
      <c r="B3339" s="1" t="n">
        <v>45612</v>
      </c>
      <c r="C3339" s="1" t="n">
        <v>45749</v>
      </c>
      <c r="D3339" t="inlineStr">
        <is>
          <t>JÄMTLANDS LÄN</t>
        </is>
      </c>
      <c r="E3339" t="inlineStr">
        <is>
          <t>STRÖMSUND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53218-2024</t>
        </is>
      </c>
      <c r="B3340" s="1" t="n">
        <v>45612</v>
      </c>
      <c r="C3340" s="1" t="n">
        <v>45749</v>
      </c>
      <c r="D3340" t="inlineStr">
        <is>
          <t>JÄMTLANDS LÄN</t>
        </is>
      </c>
      <c r="E3340" t="inlineStr">
        <is>
          <t>STRÖMSUND</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53217-2024</t>
        </is>
      </c>
      <c r="B3341" s="1" t="n">
        <v>45612</v>
      </c>
      <c r="C3341" s="1" t="n">
        <v>45749</v>
      </c>
      <c r="D3341" t="inlineStr">
        <is>
          <t>JÄMTLANDS LÄN</t>
        </is>
      </c>
      <c r="E3341" t="inlineStr">
        <is>
          <t>STRÖMSUND</t>
        </is>
      </c>
      <c r="G3341" t="n">
        <v>27.9</v>
      </c>
      <c r="H3341" t="n">
        <v>0</v>
      </c>
      <c r="I3341" t="n">
        <v>0</v>
      </c>
      <c r="J3341" t="n">
        <v>0</v>
      </c>
      <c r="K3341" t="n">
        <v>0</v>
      </c>
      <c r="L3341" t="n">
        <v>0</v>
      </c>
      <c r="M3341" t="n">
        <v>0</v>
      </c>
      <c r="N3341" t="n">
        <v>0</v>
      </c>
      <c r="O3341" t="n">
        <v>0</v>
      </c>
      <c r="P3341" t="n">
        <v>0</v>
      </c>
      <c r="Q3341" t="n">
        <v>0</v>
      </c>
      <c r="R3341" s="2" t="inlineStr"/>
    </row>
    <row r="3342" ht="15" customHeight="1">
      <c r="A3342" t="inlineStr">
        <is>
          <t>A 53240-2024</t>
        </is>
      </c>
      <c r="B3342" s="1" t="n">
        <v>45613</v>
      </c>
      <c r="C3342" s="1" t="n">
        <v>45749</v>
      </c>
      <c r="D3342" t="inlineStr">
        <is>
          <t>JÄMTLANDS LÄN</t>
        </is>
      </c>
      <c r="E3342" t="inlineStr">
        <is>
          <t>STRÖMSUND</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53241-2024</t>
        </is>
      </c>
      <c r="B3343" s="1" t="n">
        <v>45613</v>
      </c>
      <c r="C3343" s="1" t="n">
        <v>45749</v>
      </c>
      <c r="D3343" t="inlineStr">
        <is>
          <t>JÄMTLANDS LÄN</t>
        </is>
      </c>
      <c r="E3343" t="inlineStr">
        <is>
          <t>STRÖMSUND</t>
        </is>
      </c>
      <c r="G3343" t="n">
        <v>14.2</v>
      </c>
      <c r="H3343" t="n">
        <v>0</v>
      </c>
      <c r="I3343" t="n">
        <v>0</v>
      </c>
      <c r="J3343" t="n">
        <v>0</v>
      </c>
      <c r="K3343" t="n">
        <v>0</v>
      </c>
      <c r="L3343" t="n">
        <v>0</v>
      </c>
      <c r="M3343" t="n">
        <v>0</v>
      </c>
      <c r="N3343" t="n">
        <v>0</v>
      </c>
      <c r="O3343" t="n">
        <v>0</v>
      </c>
      <c r="P3343" t="n">
        <v>0</v>
      </c>
      <c r="Q3343" t="n">
        <v>0</v>
      </c>
      <c r="R3343" s="2" t="inlineStr"/>
    </row>
    <row r="3344" ht="15" customHeight="1">
      <c r="A3344" t="inlineStr">
        <is>
          <t>A 53609-2024</t>
        </is>
      </c>
      <c r="B3344" s="1" t="n">
        <v>45614</v>
      </c>
      <c r="C3344" s="1" t="n">
        <v>45749</v>
      </c>
      <c r="D3344" t="inlineStr">
        <is>
          <t>JÄMTLANDS LÄN</t>
        </is>
      </c>
      <c r="E3344" t="inlineStr">
        <is>
          <t>STRÖMSUND</t>
        </is>
      </c>
      <c r="F3344" t="inlineStr">
        <is>
          <t>SCA</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53328-2024</t>
        </is>
      </c>
      <c r="B3345" s="1" t="n">
        <v>45614</v>
      </c>
      <c r="C3345" s="1" t="n">
        <v>45749</v>
      </c>
      <c r="D3345" t="inlineStr">
        <is>
          <t>JÄMTLANDS LÄN</t>
        </is>
      </c>
      <c r="E3345" t="inlineStr">
        <is>
          <t>STRÖMSUND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53795-2024</t>
        </is>
      </c>
      <c r="B3346" s="1" t="n">
        <v>45615</v>
      </c>
      <c r="C3346" s="1" t="n">
        <v>45749</v>
      </c>
      <c r="D3346" t="inlineStr">
        <is>
          <t>JÄMTLANDS LÄN</t>
        </is>
      </c>
      <c r="E3346" t="inlineStr">
        <is>
          <t>STRÖMSUND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53833-2024</t>
        </is>
      </c>
      <c r="B3347" s="1" t="n">
        <v>45615</v>
      </c>
      <c r="C3347" s="1" t="n">
        <v>45749</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53809-2024</t>
        </is>
      </c>
      <c r="B3348" s="1" t="n">
        <v>45615</v>
      </c>
      <c r="C3348" s="1" t="n">
        <v>45749</v>
      </c>
      <c r="D3348" t="inlineStr">
        <is>
          <t>JÄMTLANDS LÄN</t>
        </is>
      </c>
      <c r="E3348" t="inlineStr">
        <is>
          <t>STRÖMSUND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53817-2024</t>
        </is>
      </c>
      <c r="B3349" s="1" t="n">
        <v>45615</v>
      </c>
      <c r="C3349" s="1" t="n">
        <v>45749</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53865-2024</t>
        </is>
      </c>
      <c r="B3350" s="1" t="n">
        <v>45615</v>
      </c>
      <c r="C3350" s="1" t="n">
        <v>45749</v>
      </c>
      <c r="D3350" t="inlineStr">
        <is>
          <t>JÄMTLANDS LÄN</t>
        </is>
      </c>
      <c r="E3350" t="inlineStr">
        <is>
          <t>STRÖMSUND</t>
        </is>
      </c>
      <c r="G3350" t="n">
        <v>16.4</v>
      </c>
      <c r="H3350" t="n">
        <v>0</v>
      </c>
      <c r="I3350" t="n">
        <v>0</v>
      </c>
      <c r="J3350" t="n">
        <v>0</v>
      </c>
      <c r="K3350" t="n">
        <v>0</v>
      </c>
      <c r="L3350" t="n">
        <v>0</v>
      </c>
      <c r="M3350" t="n">
        <v>0</v>
      </c>
      <c r="N3350" t="n">
        <v>0</v>
      </c>
      <c r="O3350" t="n">
        <v>0</v>
      </c>
      <c r="P3350" t="n">
        <v>0</v>
      </c>
      <c r="Q3350" t="n">
        <v>0</v>
      </c>
      <c r="R3350" s="2" t="inlineStr"/>
    </row>
    <row r="3351" ht="15" customHeight="1">
      <c r="A3351" t="inlineStr">
        <is>
          <t>A 53885-2024</t>
        </is>
      </c>
      <c r="B3351" s="1" t="n">
        <v>45615</v>
      </c>
      <c r="C3351" s="1" t="n">
        <v>45749</v>
      </c>
      <c r="D3351" t="inlineStr">
        <is>
          <t>JÄMTLANDS LÄN</t>
        </is>
      </c>
      <c r="E3351" t="inlineStr">
        <is>
          <t>STRÖMSUND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53886-2024</t>
        </is>
      </c>
      <c r="B3352" s="1" t="n">
        <v>45615</v>
      </c>
      <c r="C3352" s="1" t="n">
        <v>45749</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53873-2024</t>
        </is>
      </c>
      <c r="B3353" s="1" t="n">
        <v>45615</v>
      </c>
      <c r="C3353" s="1" t="n">
        <v>45749</v>
      </c>
      <c r="D3353" t="inlineStr">
        <is>
          <t>JÄMTLANDS LÄN</t>
        </is>
      </c>
      <c r="E3353" t="inlineStr">
        <is>
          <t>STRÖMSUND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53884-2024</t>
        </is>
      </c>
      <c r="B3354" s="1" t="n">
        <v>45615</v>
      </c>
      <c r="C3354" s="1" t="n">
        <v>45749</v>
      </c>
      <c r="D3354" t="inlineStr">
        <is>
          <t>JÄMTLANDS LÄN</t>
        </is>
      </c>
      <c r="E3354" t="inlineStr">
        <is>
          <t>STRÖMSUND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53894-2024</t>
        </is>
      </c>
      <c r="B3355" s="1" t="n">
        <v>45615</v>
      </c>
      <c r="C3355" s="1" t="n">
        <v>45749</v>
      </c>
      <c r="D3355" t="inlineStr">
        <is>
          <t>JÄMTLANDS LÄN</t>
        </is>
      </c>
      <c r="E3355" t="inlineStr">
        <is>
          <t>STRÖMSUND</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54178-2024</t>
        </is>
      </c>
      <c r="B3356" s="1" t="n">
        <v>45616</v>
      </c>
      <c r="C3356" s="1" t="n">
        <v>45749</v>
      </c>
      <c r="D3356" t="inlineStr">
        <is>
          <t>JÄMTLANDS LÄN</t>
        </is>
      </c>
      <c r="E3356" t="inlineStr">
        <is>
          <t>STRÖMSUND</t>
        </is>
      </c>
      <c r="F3356" t="inlineStr">
        <is>
          <t>SCA</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54262-2024</t>
        </is>
      </c>
      <c r="B3357" s="1" t="n">
        <v>45616</v>
      </c>
      <c r="C3357" s="1" t="n">
        <v>45749</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54389-2024</t>
        </is>
      </c>
      <c r="B3358" s="1" t="n">
        <v>45617</v>
      </c>
      <c r="C3358" s="1" t="n">
        <v>45749</v>
      </c>
      <c r="D3358" t="inlineStr">
        <is>
          <t>JÄMTLANDS LÄN</t>
        </is>
      </c>
      <c r="E3358" t="inlineStr">
        <is>
          <t>STRÖMSUND</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54320-2024</t>
        </is>
      </c>
      <c r="B3359" s="1" t="n">
        <v>45617</v>
      </c>
      <c r="C3359" s="1" t="n">
        <v>45749</v>
      </c>
      <c r="D3359" t="inlineStr">
        <is>
          <t>JÄMTLANDS LÄN</t>
        </is>
      </c>
      <c r="E3359" t="inlineStr">
        <is>
          <t>STRÖMSUND</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54763-2024</t>
        </is>
      </c>
      <c r="B3360" s="1" t="n">
        <v>45618</v>
      </c>
      <c r="C3360" s="1" t="n">
        <v>45749</v>
      </c>
      <c r="D3360" t="inlineStr">
        <is>
          <t>JÄMTLANDS LÄN</t>
        </is>
      </c>
      <c r="E3360" t="inlineStr">
        <is>
          <t>STRÖMSUND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54805-2024</t>
        </is>
      </c>
      <c r="B3361" s="1" t="n">
        <v>45618</v>
      </c>
      <c r="C3361" s="1" t="n">
        <v>45749</v>
      </c>
      <c r="D3361" t="inlineStr">
        <is>
          <t>JÄMTLANDS LÄN</t>
        </is>
      </c>
      <c r="E3361" t="inlineStr">
        <is>
          <t>STRÖMSUND</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54945-2024</t>
        </is>
      </c>
      <c r="B3362" s="1" t="n">
        <v>45619</v>
      </c>
      <c r="C3362" s="1" t="n">
        <v>45749</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54966-2024</t>
        </is>
      </c>
      <c r="B3363" s="1" t="n">
        <v>45620</v>
      </c>
      <c r="C3363" s="1" t="n">
        <v>45749</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54964-2024</t>
        </is>
      </c>
      <c r="B3364" s="1" t="n">
        <v>45620</v>
      </c>
      <c r="C3364" s="1" t="n">
        <v>45749</v>
      </c>
      <c r="D3364" t="inlineStr">
        <is>
          <t>JÄMTLANDS LÄN</t>
        </is>
      </c>
      <c r="E3364" t="inlineStr">
        <is>
          <t>STRÖMSUND</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54965-2024</t>
        </is>
      </c>
      <c r="B3365" s="1" t="n">
        <v>45620</v>
      </c>
      <c r="C3365" s="1" t="n">
        <v>45749</v>
      </c>
      <c r="D3365" t="inlineStr">
        <is>
          <t>JÄMTLANDS LÄN</t>
        </is>
      </c>
      <c r="E3365" t="inlineStr">
        <is>
          <t>STRÖMSUND</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55219-2024</t>
        </is>
      </c>
      <c r="B3366" s="1" t="n">
        <v>45621</v>
      </c>
      <c r="C3366" s="1" t="n">
        <v>45749</v>
      </c>
      <c r="D3366" t="inlineStr">
        <is>
          <t>JÄMTLANDS LÄN</t>
        </is>
      </c>
      <c r="E3366" t="inlineStr">
        <is>
          <t>STRÖMSUND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55197-2024</t>
        </is>
      </c>
      <c r="B3367" s="1" t="n">
        <v>45621</v>
      </c>
      <c r="C3367" s="1" t="n">
        <v>45749</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55325-2024</t>
        </is>
      </c>
      <c r="B3368" s="1" t="n">
        <v>45621</v>
      </c>
      <c r="C3368" s="1" t="n">
        <v>45749</v>
      </c>
      <c r="D3368" t="inlineStr">
        <is>
          <t>JÄMTLANDS LÄN</t>
        </is>
      </c>
      <c r="E3368" t="inlineStr">
        <is>
          <t>STRÖMSUND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55311-2024</t>
        </is>
      </c>
      <c r="B3369" s="1" t="n">
        <v>45621</v>
      </c>
      <c r="C3369" s="1" t="n">
        <v>45749</v>
      </c>
      <c r="D3369" t="inlineStr">
        <is>
          <t>JÄMTLANDS LÄN</t>
        </is>
      </c>
      <c r="E3369" t="inlineStr">
        <is>
          <t>STRÖMSUND</t>
        </is>
      </c>
      <c r="F3369" t="inlineStr">
        <is>
          <t>SCA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55327-2024</t>
        </is>
      </c>
      <c r="B3370" s="1" t="n">
        <v>45621</v>
      </c>
      <c r="C3370" s="1" t="n">
        <v>45749</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55161-2024</t>
        </is>
      </c>
      <c r="B3371" s="1" t="n">
        <v>45621</v>
      </c>
      <c r="C3371" s="1" t="n">
        <v>45749</v>
      </c>
      <c r="D3371" t="inlineStr">
        <is>
          <t>JÄMTLANDS LÄN</t>
        </is>
      </c>
      <c r="E3371" t="inlineStr">
        <is>
          <t>STRÖMSUND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55690-2024</t>
        </is>
      </c>
      <c r="B3372" s="1" t="n">
        <v>45622</v>
      </c>
      <c r="C3372" s="1" t="n">
        <v>45749</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55675-2024</t>
        </is>
      </c>
      <c r="B3373" s="1" t="n">
        <v>45622</v>
      </c>
      <c r="C3373" s="1" t="n">
        <v>45749</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55942-2024</t>
        </is>
      </c>
      <c r="B3374" s="1" t="n">
        <v>45623</v>
      </c>
      <c r="C3374" s="1" t="n">
        <v>45749</v>
      </c>
      <c r="D3374" t="inlineStr">
        <is>
          <t>JÄMTLANDS LÄN</t>
        </is>
      </c>
      <c r="E3374" t="inlineStr">
        <is>
          <t>STRÖMSUND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56255-2024</t>
        </is>
      </c>
      <c r="B3375" s="1" t="n">
        <v>45624</v>
      </c>
      <c r="C3375" s="1" t="n">
        <v>45749</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56270-2024</t>
        </is>
      </c>
      <c r="B3376" s="1" t="n">
        <v>45624</v>
      </c>
      <c r="C3376" s="1" t="n">
        <v>45749</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56426-2024</t>
        </is>
      </c>
      <c r="B3377" s="1" t="n">
        <v>45624</v>
      </c>
      <c r="C3377" s="1" t="n">
        <v>45749</v>
      </c>
      <c r="D3377" t="inlineStr">
        <is>
          <t>JÄMTLANDS LÄN</t>
        </is>
      </c>
      <c r="E3377" t="inlineStr">
        <is>
          <t>STRÖMSUND</t>
        </is>
      </c>
      <c r="G3377" t="n">
        <v>16.2</v>
      </c>
      <c r="H3377" t="n">
        <v>0</v>
      </c>
      <c r="I3377" t="n">
        <v>0</v>
      </c>
      <c r="J3377" t="n">
        <v>0</v>
      </c>
      <c r="K3377" t="n">
        <v>0</v>
      </c>
      <c r="L3377" t="n">
        <v>0</v>
      </c>
      <c r="M3377" t="n">
        <v>0</v>
      </c>
      <c r="N3377" t="n">
        <v>0</v>
      </c>
      <c r="O3377" t="n">
        <v>0</v>
      </c>
      <c r="P3377" t="n">
        <v>0</v>
      </c>
      <c r="Q3377" t="n">
        <v>0</v>
      </c>
      <c r="R3377" s="2" t="inlineStr"/>
    </row>
    <row r="3378" ht="15" customHeight="1">
      <c r="A3378" t="inlineStr">
        <is>
          <t>A 56513-2024</t>
        </is>
      </c>
      <c r="B3378" s="1" t="n">
        <v>45625</v>
      </c>
      <c r="C3378" s="1" t="n">
        <v>45749</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56550-2024</t>
        </is>
      </c>
      <c r="B3379" s="1" t="n">
        <v>45625</v>
      </c>
      <c r="C3379" s="1" t="n">
        <v>45749</v>
      </c>
      <c r="D3379" t="inlineStr">
        <is>
          <t>JÄMTLANDS LÄN</t>
        </is>
      </c>
      <c r="E3379" t="inlineStr">
        <is>
          <t>STRÖMSUND</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56516-2024</t>
        </is>
      </c>
      <c r="B3380" s="1" t="n">
        <v>45625</v>
      </c>
      <c r="C3380" s="1" t="n">
        <v>45749</v>
      </c>
      <c r="D3380" t="inlineStr">
        <is>
          <t>JÄMTLANDS LÄN</t>
        </is>
      </c>
      <c r="E3380" t="inlineStr">
        <is>
          <t>STRÖMSUND</t>
        </is>
      </c>
      <c r="F3380" t="inlineStr">
        <is>
          <t>SCA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56507-2024</t>
        </is>
      </c>
      <c r="B3381" s="1" t="n">
        <v>45625</v>
      </c>
      <c r="C3381" s="1" t="n">
        <v>45749</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56514-2024</t>
        </is>
      </c>
      <c r="B3382" s="1" t="n">
        <v>45625</v>
      </c>
      <c r="C3382" s="1" t="n">
        <v>45749</v>
      </c>
      <c r="D3382" t="inlineStr">
        <is>
          <t>JÄMTLANDS LÄN</t>
        </is>
      </c>
      <c r="E3382" t="inlineStr">
        <is>
          <t>STRÖMSUND</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56678-2024</t>
        </is>
      </c>
      <c r="B3383" s="1" t="n">
        <v>45627</v>
      </c>
      <c r="C3383" s="1" t="n">
        <v>45749</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56997-2024</t>
        </is>
      </c>
      <c r="B3384" s="1" t="n">
        <v>45628</v>
      </c>
      <c r="C3384" s="1" t="n">
        <v>45749</v>
      </c>
      <c r="D3384" t="inlineStr">
        <is>
          <t>JÄMTLANDS LÄN</t>
        </is>
      </c>
      <c r="E3384" t="inlineStr">
        <is>
          <t>STRÖMSUND</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57250-2024</t>
        </is>
      </c>
      <c r="B3385" s="1" t="n">
        <v>45628</v>
      </c>
      <c r="C3385" s="1" t="n">
        <v>45749</v>
      </c>
      <c r="D3385" t="inlineStr">
        <is>
          <t>JÄMTLANDS LÄN</t>
        </is>
      </c>
      <c r="E3385" t="inlineStr">
        <is>
          <t>STRÖMSUND</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56961-2024</t>
        </is>
      </c>
      <c r="B3386" s="1" t="n">
        <v>45628</v>
      </c>
      <c r="C3386" s="1" t="n">
        <v>45749</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57258-2024</t>
        </is>
      </c>
      <c r="B3387" s="1" t="n">
        <v>45628</v>
      </c>
      <c r="C3387" s="1" t="n">
        <v>45749</v>
      </c>
      <c r="D3387" t="inlineStr">
        <is>
          <t>JÄMTLANDS LÄN</t>
        </is>
      </c>
      <c r="E3387" t="inlineStr">
        <is>
          <t>STRÖMSUND</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57090-2024</t>
        </is>
      </c>
      <c r="B3388" s="1" t="n">
        <v>45629</v>
      </c>
      <c r="C3388" s="1" t="n">
        <v>45749</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57114-2024</t>
        </is>
      </c>
      <c r="B3389" s="1" t="n">
        <v>45629</v>
      </c>
      <c r="C3389" s="1" t="n">
        <v>45749</v>
      </c>
      <c r="D3389" t="inlineStr">
        <is>
          <t>JÄMTLANDS LÄN</t>
        </is>
      </c>
      <c r="E3389" t="inlineStr">
        <is>
          <t>STRÖMSUND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57075-2024</t>
        </is>
      </c>
      <c r="B3390" s="1" t="n">
        <v>45629</v>
      </c>
      <c r="C3390" s="1" t="n">
        <v>45749</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57453-2024</t>
        </is>
      </c>
      <c r="B3391" s="1" t="n">
        <v>45630</v>
      </c>
      <c r="C3391" s="1" t="n">
        <v>45749</v>
      </c>
      <c r="D3391" t="inlineStr">
        <is>
          <t>JÄMTLANDS LÄN</t>
        </is>
      </c>
      <c r="E3391" t="inlineStr">
        <is>
          <t>STRÖMSUND</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57638-2024</t>
        </is>
      </c>
      <c r="B3392" s="1" t="n">
        <v>45630</v>
      </c>
      <c r="C3392" s="1" t="n">
        <v>45749</v>
      </c>
      <c r="D3392" t="inlineStr">
        <is>
          <t>JÄMTLANDS LÄN</t>
        </is>
      </c>
      <c r="E3392" t="inlineStr">
        <is>
          <t>STRÖMSUND</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57963-2024</t>
        </is>
      </c>
      <c r="B3393" s="1" t="n">
        <v>45631</v>
      </c>
      <c r="C3393" s="1" t="n">
        <v>45749</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58027-2024</t>
        </is>
      </c>
      <c r="B3394" s="1" t="n">
        <v>45631</v>
      </c>
      <c r="C3394" s="1" t="n">
        <v>45749</v>
      </c>
      <c r="D3394" t="inlineStr">
        <is>
          <t>JÄMTLANDS LÄN</t>
        </is>
      </c>
      <c r="E3394" t="inlineStr">
        <is>
          <t>STRÖMSUND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58206-2024</t>
        </is>
      </c>
      <c r="B3395" s="1" t="n">
        <v>45632</v>
      </c>
      <c r="C3395" s="1" t="n">
        <v>45749</v>
      </c>
      <c r="D3395" t="inlineStr">
        <is>
          <t>JÄMTLANDS LÄN</t>
        </is>
      </c>
      <c r="E3395" t="inlineStr">
        <is>
          <t>STRÖMSUND</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58393-2024</t>
        </is>
      </c>
      <c r="B3396" s="1" t="n">
        <v>45633</v>
      </c>
      <c r="C3396" s="1" t="n">
        <v>45749</v>
      </c>
      <c r="D3396" t="inlineStr">
        <is>
          <t>JÄMTLANDS LÄN</t>
        </is>
      </c>
      <c r="E3396" t="inlineStr">
        <is>
          <t>STRÖMSUND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58392-2024</t>
        </is>
      </c>
      <c r="B3397" s="1" t="n">
        <v>45633</v>
      </c>
      <c r="C3397" s="1" t="n">
        <v>45749</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58391-2024</t>
        </is>
      </c>
      <c r="B3398" s="1" t="n">
        <v>45633</v>
      </c>
      <c r="C3398" s="1" t="n">
        <v>45749</v>
      </c>
      <c r="D3398" t="inlineStr">
        <is>
          <t>JÄMTLANDS LÄN</t>
        </is>
      </c>
      <c r="E3398" t="inlineStr">
        <is>
          <t>STRÖMSUND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58647-2024</t>
        </is>
      </c>
      <c r="B3399" s="1" t="n">
        <v>45635</v>
      </c>
      <c r="C3399" s="1" t="n">
        <v>45749</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58515-2024</t>
        </is>
      </c>
      <c r="B3400" s="1" t="n">
        <v>45635</v>
      </c>
      <c r="C3400" s="1" t="n">
        <v>45749</v>
      </c>
      <c r="D3400" t="inlineStr">
        <is>
          <t>JÄMTLANDS LÄN</t>
        </is>
      </c>
      <c r="E3400" t="inlineStr">
        <is>
          <t>STRÖMSUND</t>
        </is>
      </c>
      <c r="F3400" t="inlineStr">
        <is>
          <t>SCA</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58646-2024</t>
        </is>
      </c>
      <c r="B3401" s="1" t="n">
        <v>45635</v>
      </c>
      <c r="C3401" s="1" t="n">
        <v>45749</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58493-2024</t>
        </is>
      </c>
      <c r="B3402" s="1" t="n">
        <v>45635</v>
      </c>
      <c r="C3402" s="1" t="n">
        <v>45749</v>
      </c>
      <c r="D3402" t="inlineStr">
        <is>
          <t>JÄMTLANDS LÄN</t>
        </is>
      </c>
      <c r="E3402" t="inlineStr">
        <is>
          <t>STRÖMSUND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58695-2024</t>
        </is>
      </c>
      <c r="B3403" s="1" t="n">
        <v>45635</v>
      </c>
      <c r="C3403" s="1" t="n">
        <v>45749</v>
      </c>
      <c r="D3403" t="inlineStr">
        <is>
          <t>JÄMTLANDS LÄN</t>
        </is>
      </c>
      <c r="E3403" t="inlineStr">
        <is>
          <t>STRÖMSUND</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58813-2024</t>
        </is>
      </c>
      <c r="B3404" s="1" t="n">
        <v>45636</v>
      </c>
      <c r="C3404" s="1" t="n">
        <v>45749</v>
      </c>
      <c r="D3404" t="inlineStr">
        <is>
          <t>JÄMTLANDS LÄN</t>
        </is>
      </c>
      <c r="E3404" t="inlineStr">
        <is>
          <t>STRÖMSUND</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58968-2024</t>
        </is>
      </c>
      <c r="B3405" s="1" t="n">
        <v>45636</v>
      </c>
      <c r="C3405" s="1" t="n">
        <v>45749</v>
      </c>
      <c r="D3405" t="inlineStr">
        <is>
          <t>JÄMTLANDS LÄN</t>
        </is>
      </c>
      <c r="E3405" t="inlineStr">
        <is>
          <t>STRÖMSUND</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58947-2024</t>
        </is>
      </c>
      <c r="B3406" s="1" t="n">
        <v>45636</v>
      </c>
      <c r="C3406" s="1" t="n">
        <v>45749</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59152-2024</t>
        </is>
      </c>
      <c r="B3407" s="1" t="n">
        <v>45637</v>
      </c>
      <c r="C3407" s="1" t="n">
        <v>45749</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59141-2024</t>
        </is>
      </c>
      <c r="B3408" s="1" t="n">
        <v>45637</v>
      </c>
      <c r="C3408" s="1" t="n">
        <v>45749</v>
      </c>
      <c r="D3408" t="inlineStr">
        <is>
          <t>JÄMTLANDS LÄN</t>
        </is>
      </c>
      <c r="E3408" t="inlineStr">
        <is>
          <t>STRÖMSUND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59550-2024</t>
        </is>
      </c>
      <c r="B3409" s="1" t="n">
        <v>45638</v>
      </c>
      <c r="C3409" s="1" t="n">
        <v>45749</v>
      </c>
      <c r="D3409" t="inlineStr">
        <is>
          <t>JÄMTLANDS LÄN</t>
        </is>
      </c>
      <c r="E3409" t="inlineStr">
        <is>
          <t>STRÖMSUND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59508-2024</t>
        </is>
      </c>
      <c r="B3410" s="1" t="n">
        <v>45638</v>
      </c>
      <c r="C3410" s="1" t="n">
        <v>45749</v>
      </c>
      <c r="D3410" t="inlineStr">
        <is>
          <t>JÄMTLANDS LÄN</t>
        </is>
      </c>
      <c r="E3410" t="inlineStr">
        <is>
          <t>STRÖMSUND</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59568-2024</t>
        </is>
      </c>
      <c r="B3411" s="1" t="n">
        <v>45638</v>
      </c>
      <c r="C3411" s="1" t="n">
        <v>45749</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59530-2024</t>
        </is>
      </c>
      <c r="B3412" s="1" t="n">
        <v>45638</v>
      </c>
      <c r="C3412" s="1" t="n">
        <v>45749</v>
      </c>
      <c r="D3412" t="inlineStr">
        <is>
          <t>JÄMTLANDS LÄN</t>
        </is>
      </c>
      <c r="E3412" t="inlineStr">
        <is>
          <t>STRÖMSUND</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59821-2024</t>
        </is>
      </c>
      <c r="B3413" s="1" t="n">
        <v>45639</v>
      </c>
      <c r="C3413" s="1" t="n">
        <v>45749</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59655-2024</t>
        </is>
      </c>
      <c r="B3414" s="1" t="n">
        <v>45639</v>
      </c>
      <c r="C3414" s="1" t="n">
        <v>45749</v>
      </c>
      <c r="D3414" t="inlineStr">
        <is>
          <t>JÄMTLANDS LÄN</t>
        </is>
      </c>
      <c r="E3414" t="inlineStr">
        <is>
          <t>STRÖMSUND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59742-2024</t>
        </is>
      </c>
      <c r="B3415" s="1" t="n">
        <v>45639</v>
      </c>
      <c r="C3415" s="1" t="n">
        <v>45749</v>
      </c>
      <c r="D3415" t="inlineStr">
        <is>
          <t>JÄMTLANDS LÄN</t>
        </is>
      </c>
      <c r="E3415" t="inlineStr">
        <is>
          <t>STRÖMSUND</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60171-2024</t>
        </is>
      </c>
      <c r="B3416" s="1" t="n">
        <v>45642</v>
      </c>
      <c r="C3416" s="1" t="n">
        <v>45749</v>
      </c>
      <c r="D3416" t="inlineStr">
        <is>
          <t>JÄMTLANDS LÄN</t>
        </is>
      </c>
      <c r="E3416" t="inlineStr">
        <is>
          <t>STRÖMSUND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60170-2024</t>
        </is>
      </c>
      <c r="B3417" s="1" t="n">
        <v>45642</v>
      </c>
      <c r="C3417" s="1" t="n">
        <v>45749</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59986-2024</t>
        </is>
      </c>
      <c r="B3418" s="1" t="n">
        <v>45642</v>
      </c>
      <c r="C3418" s="1" t="n">
        <v>45749</v>
      </c>
      <c r="D3418" t="inlineStr">
        <is>
          <t>JÄMTLANDS LÄN</t>
        </is>
      </c>
      <c r="E3418" t="inlineStr">
        <is>
          <t>STRÖMSUND</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60053-2024</t>
        </is>
      </c>
      <c r="B3419" s="1" t="n">
        <v>45642</v>
      </c>
      <c r="C3419" s="1" t="n">
        <v>45749</v>
      </c>
      <c r="D3419" t="inlineStr">
        <is>
          <t>JÄMTLANDS LÄN</t>
        </is>
      </c>
      <c r="E3419" t="inlineStr">
        <is>
          <t>STRÖMSUND</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60310-2024</t>
        </is>
      </c>
      <c r="B3420" s="1" t="n">
        <v>45643</v>
      </c>
      <c r="C3420" s="1" t="n">
        <v>45749</v>
      </c>
      <c r="D3420" t="inlineStr">
        <is>
          <t>JÄMTLANDS LÄN</t>
        </is>
      </c>
      <c r="E3420" t="inlineStr">
        <is>
          <t>STRÖMSUND</t>
        </is>
      </c>
      <c r="F3420" t="inlineStr">
        <is>
          <t>SCA</t>
        </is>
      </c>
      <c r="G3420" t="n">
        <v>15.6</v>
      </c>
      <c r="H3420" t="n">
        <v>0</v>
      </c>
      <c r="I3420" t="n">
        <v>0</v>
      </c>
      <c r="J3420" t="n">
        <v>0</v>
      </c>
      <c r="K3420" t="n">
        <v>0</v>
      </c>
      <c r="L3420" t="n">
        <v>0</v>
      </c>
      <c r="M3420" t="n">
        <v>0</v>
      </c>
      <c r="N3420" t="n">
        <v>0</v>
      </c>
      <c r="O3420" t="n">
        <v>0</v>
      </c>
      <c r="P3420" t="n">
        <v>0</v>
      </c>
      <c r="Q3420" t="n">
        <v>0</v>
      </c>
      <c r="R3420" s="2" t="inlineStr"/>
    </row>
    <row r="3421" ht="15" customHeight="1">
      <c r="A3421" t="inlineStr">
        <is>
          <t>A 60366-2024</t>
        </is>
      </c>
      <c r="B3421" s="1" t="n">
        <v>45643</v>
      </c>
      <c r="C3421" s="1" t="n">
        <v>45749</v>
      </c>
      <c r="D3421" t="inlineStr">
        <is>
          <t>JÄMTLANDS LÄN</t>
        </is>
      </c>
      <c r="E3421" t="inlineStr">
        <is>
          <t>STRÖMSUND</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60791-2024</t>
        </is>
      </c>
      <c r="B3422" s="1" t="n">
        <v>45644</v>
      </c>
      <c r="C3422" s="1" t="n">
        <v>45749</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60800-2024</t>
        </is>
      </c>
      <c r="B3423" s="1" t="n">
        <v>45644</v>
      </c>
      <c r="C3423" s="1" t="n">
        <v>45749</v>
      </c>
      <c r="D3423" t="inlineStr">
        <is>
          <t>JÄMTLANDS LÄN</t>
        </is>
      </c>
      <c r="E3423" t="inlineStr">
        <is>
          <t>STRÖMSUND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60917-2024</t>
        </is>
      </c>
      <c r="B3424" s="1" t="n">
        <v>45644</v>
      </c>
      <c r="C3424" s="1" t="n">
        <v>45749</v>
      </c>
      <c r="D3424" t="inlineStr">
        <is>
          <t>JÄMTLANDS LÄN</t>
        </is>
      </c>
      <c r="E3424" t="inlineStr">
        <is>
          <t>STRÖMSUND</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60911-2024</t>
        </is>
      </c>
      <c r="B3425" s="1" t="n">
        <v>45644</v>
      </c>
      <c r="C3425" s="1" t="n">
        <v>45749</v>
      </c>
      <c r="D3425" t="inlineStr">
        <is>
          <t>JÄMTLANDS LÄN</t>
        </is>
      </c>
      <c r="E3425" t="inlineStr">
        <is>
          <t>STRÖMSUND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60905-2024</t>
        </is>
      </c>
      <c r="B3426" s="1" t="n">
        <v>45644</v>
      </c>
      <c r="C3426" s="1" t="n">
        <v>45749</v>
      </c>
      <c r="D3426" t="inlineStr">
        <is>
          <t>JÄMTLANDS LÄN</t>
        </is>
      </c>
      <c r="E3426" t="inlineStr">
        <is>
          <t>STRÖMSUND</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61015-2024</t>
        </is>
      </c>
      <c r="B3427" s="1" t="n">
        <v>45645</v>
      </c>
      <c r="C3427" s="1" t="n">
        <v>45749</v>
      </c>
      <c r="D3427" t="inlineStr">
        <is>
          <t>JÄMTLANDS LÄN</t>
        </is>
      </c>
      <c r="E3427" t="inlineStr">
        <is>
          <t>STRÖMSUND</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61163-2024</t>
        </is>
      </c>
      <c r="B3428" s="1" t="n">
        <v>45645</v>
      </c>
      <c r="C3428" s="1" t="n">
        <v>45749</v>
      </c>
      <c r="D3428" t="inlineStr">
        <is>
          <t>JÄMTLANDS LÄN</t>
        </is>
      </c>
      <c r="E3428" t="inlineStr">
        <is>
          <t>STRÖMSUND</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61481-2024</t>
        </is>
      </c>
      <c r="B3429" s="1" t="n">
        <v>45645</v>
      </c>
      <c r="C3429" s="1" t="n">
        <v>45749</v>
      </c>
      <c r="D3429" t="inlineStr">
        <is>
          <t>JÄMTLANDS LÄN</t>
        </is>
      </c>
      <c r="E3429" t="inlineStr">
        <is>
          <t>STRÖMSUND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61160-2024</t>
        </is>
      </c>
      <c r="B3430" s="1" t="n">
        <v>45645</v>
      </c>
      <c r="C3430" s="1" t="n">
        <v>45749</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61475-2024</t>
        </is>
      </c>
      <c r="B3431" s="1" t="n">
        <v>45645</v>
      </c>
      <c r="C3431" s="1" t="n">
        <v>45749</v>
      </c>
      <c r="D3431" t="inlineStr">
        <is>
          <t>JÄMTLANDS LÄN</t>
        </is>
      </c>
      <c r="E3431" t="inlineStr">
        <is>
          <t>STRÖMSUND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61402-2024</t>
        </is>
      </c>
      <c r="B3432" s="1" t="n">
        <v>45646</v>
      </c>
      <c r="C3432" s="1" t="n">
        <v>45749</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61540-2024</t>
        </is>
      </c>
      <c r="B3433" s="1" t="n">
        <v>45646</v>
      </c>
      <c r="C3433" s="1" t="n">
        <v>45749</v>
      </c>
      <c r="D3433" t="inlineStr">
        <is>
          <t>JÄMTLANDS LÄN</t>
        </is>
      </c>
      <c r="E3433" t="inlineStr">
        <is>
          <t>STRÖMSUND</t>
        </is>
      </c>
      <c r="F3433" t="inlineStr">
        <is>
          <t>SCA</t>
        </is>
      </c>
      <c r="G3433" t="n">
        <v>18.2</v>
      </c>
      <c r="H3433" t="n">
        <v>0</v>
      </c>
      <c r="I3433" t="n">
        <v>0</v>
      </c>
      <c r="J3433" t="n">
        <v>0</v>
      </c>
      <c r="K3433" t="n">
        <v>0</v>
      </c>
      <c r="L3433" t="n">
        <v>0</v>
      </c>
      <c r="M3433" t="n">
        <v>0</v>
      </c>
      <c r="N3433" t="n">
        <v>0</v>
      </c>
      <c r="O3433" t="n">
        <v>0</v>
      </c>
      <c r="P3433" t="n">
        <v>0</v>
      </c>
      <c r="Q3433" t="n">
        <v>0</v>
      </c>
      <c r="R3433" s="2" t="inlineStr"/>
    </row>
    <row r="3434" ht="15" customHeight="1">
      <c r="A3434" t="inlineStr">
        <is>
          <t>A 61538-2024</t>
        </is>
      </c>
      <c r="B3434" s="1" t="n">
        <v>45646</v>
      </c>
      <c r="C3434" s="1" t="n">
        <v>45749</v>
      </c>
      <c r="D3434" t="inlineStr">
        <is>
          <t>JÄMTLANDS LÄN</t>
        </is>
      </c>
      <c r="E3434" t="inlineStr">
        <is>
          <t>STRÖMSUND</t>
        </is>
      </c>
      <c r="F3434" t="inlineStr">
        <is>
          <t>SCA</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61365-2024</t>
        </is>
      </c>
      <c r="B3435" s="1" t="n">
        <v>45646</v>
      </c>
      <c r="C3435" s="1" t="n">
        <v>45749</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61539-2024</t>
        </is>
      </c>
      <c r="B3436" s="1" t="n">
        <v>45646</v>
      </c>
      <c r="C3436" s="1" t="n">
        <v>45749</v>
      </c>
      <c r="D3436" t="inlineStr">
        <is>
          <t>JÄMTLANDS LÄN</t>
        </is>
      </c>
      <c r="E3436" t="inlineStr">
        <is>
          <t>STRÖMSUND</t>
        </is>
      </c>
      <c r="F3436" t="inlineStr">
        <is>
          <t>SCA</t>
        </is>
      </c>
      <c r="G3436" t="n">
        <v>25.5</v>
      </c>
      <c r="H3436" t="n">
        <v>0</v>
      </c>
      <c r="I3436" t="n">
        <v>0</v>
      </c>
      <c r="J3436" t="n">
        <v>0</v>
      </c>
      <c r="K3436" t="n">
        <v>0</v>
      </c>
      <c r="L3436" t="n">
        <v>0</v>
      </c>
      <c r="M3436" t="n">
        <v>0</v>
      </c>
      <c r="N3436" t="n">
        <v>0</v>
      </c>
      <c r="O3436" t="n">
        <v>0</v>
      </c>
      <c r="P3436" t="n">
        <v>0</v>
      </c>
      <c r="Q3436" t="n">
        <v>0</v>
      </c>
      <c r="R3436" s="2" t="inlineStr"/>
    </row>
    <row r="3437" ht="15" customHeight="1">
      <c r="A3437" t="inlineStr">
        <is>
          <t>A 61363-2024</t>
        </is>
      </c>
      <c r="B3437" s="1" t="n">
        <v>45646</v>
      </c>
      <c r="C3437" s="1" t="n">
        <v>45749</v>
      </c>
      <c r="D3437" t="inlineStr">
        <is>
          <t>JÄMTLANDS LÄN</t>
        </is>
      </c>
      <c r="E3437" t="inlineStr">
        <is>
          <t>STRÖMSUND</t>
        </is>
      </c>
      <c r="F3437" t="inlineStr">
        <is>
          <t>SCA</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61854-2024</t>
        </is>
      </c>
      <c r="B3438" s="1" t="n">
        <v>45649</v>
      </c>
      <c r="C3438" s="1" t="n">
        <v>45749</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52-2025</t>
        </is>
      </c>
      <c r="B3439" s="1" t="n">
        <v>45649</v>
      </c>
      <c r="C3439" s="1" t="n">
        <v>45749</v>
      </c>
      <c r="D3439" t="inlineStr">
        <is>
          <t>JÄMTLANDS LÄN</t>
        </is>
      </c>
      <c r="E3439" t="inlineStr">
        <is>
          <t>STRÖMSUND</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50-2025</t>
        </is>
      </c>
      <c r="B3440" s="1" t="n">
        <v>45649</v>
      </c>
      <c r="C3440" s="1" t="n">
        <v>45749</v>
      </c>
      <c r="D3440" t="inlineStr">
        <is>
          <t>JÄMTLANDS LÄN</t>
        </is>
      </c>
      <c r="E3440" t="inlineStr">
        <is>
          <t>STRÖMSUND</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61954-2024</t>
        </is>
      </c>
      <c r="B3441" s="1" t="n">
        <v>45653</v>
      </c>
      <c r="C3441" s="1" t="n">
        <v>45749</v>
      </c>
      <c r="D3441" t="inlineStr">
        <is>
          <t>JÄMTLANDS LÄN</t>
        </is>
      </c>
      <c r="E3441" t="inlineStr">
        <is>
          <t>STRÖMSUND</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61959-2024</t>
        </is>
      </c>
      <c r="B3442" s="1" t="n">
        <v>45653</v>
      </c>
      <c r="C3442" s="1" t="n">
        <v>45749</v>
      </c>
      <c r="D3442" t="inlineStr">
        <is>
          <t>JÄMTLANDS LÄN</t>
        </is>
      </c>
      <c r="E3442" t="inlineStr">
        <is>
          <t>STRÖMSUND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40-2025</t>
        </is>
      </c>
      <c r="B3443" s="1" t="n">
        <v>45659</v>
      </c>
      <c r="C3443" s="1" t="n">
        <v>45749</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135-2025</t>
        </is>
      </c>
      <c r="B3444" s="1" t="n">
        <v>45659</v>
      </c>
      <c r="C3444" s="1" t="n">
        <v>45749</v>
      </c>
      <c r="D3444" t="inlineStr">
        <is>
          <t>JÄMTLANDS LÄN</t>
        </is>
      </c>
      <c r="E3444" t="inlineStr">
        <is>
          <t>STRÖMSUND</t>
        </is>
      </c>
      <c r="F3444" t="inlineStr">
        <is>
          <t>SCA</t>
        </is>
      </c>
      <c r="G3444" t="n">
        <v>31.4</v>
      </c>
      <c r="H3444" t="n">
        <v>0</v>
      </c>
      <c r="I3444" t="n">
        <v>0</v>
      </c>
      <c r="J3444" t="n">
        <v>0</v>
      </c>
      <c r="K3444" t="n">
        <v>0</v>
      </c>
      <c r="L3444" t="n">
        <v>0</v>
      </c>
      <c r="M3444" t="n">
        <v>0</v>
      </c>
      <c r="N3444" t="n">
        <v>0</v>
      </c>
      <c r="O3444" t="n">
        <v>0</v>
      </c>
      <c r="P3444" t="n">
        <v>0</v>
      </c>
      <c r="Q3444" t="n">
        <v>0</v>
      </c>
      <c r="R3444" s="2" t="inlineStr"/>
    </row>
    <row r="3445" ht="15" customHeight="1">
      <c r="A3445" t="inlineStr">
        <is>
          <t>A 354-2025</t>
        </is>
      </c>
      <c r="B3445" s="1" t="n">
        <v>45659</v>
      </c>
      <c r="C3445" s="1" t="n">
        <v>45749</v>
      </c>
      <c r="D3445" t="inlineStr">
        <is>
          <t>JÄMTLANDS LÄN</t>
        </is>
      </c>
      <c r="E3445" t="inlineStr">
        <is>
          <t>STRÖMSUND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355-2025</t>
        </is>
      </c>
      <c r="B3446" s="1" t="n">
        <v>45659</v>
      </c>
      <c r="C3446" s="1" t="n">
        <v>45749</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294-2025</t>
        </is>
      </c>
      <c r="B3447" s="1" t="n">
        <v>45660</v>
      </c>
      <c r="C3447" s="1" t="n">
        <v>45749</v>
      </c>
      <c r="D3447" t="inlineStr">
        <is>
          <t>JÄMTLANDS LÄN</t>
        </is>
      </c>
      <c r="E3447" t="inlineStr">
        <is>
          <t>STRÖMSUND</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217-2025</t>
        </is>
      </c>
      <c r="B3448" s="1" t="n">
        <v>45660</v>
      </c>
      <c r="C3448" s="1" t="n">
        <v>45749</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293-2025</t>
        </is>
      </c>
      <c r="B3449" s="1" t="n">
        <v>45660</v>
      </c>
      <c r="C3449" s="1" t="n">
        <v>45749</v>
      </c>
      <c r="D3449" t="inlineStr">
        <is>
          <t>JÄMTLANDS LÄN</t>
        </is>
      </c>
      <c r="E3449" t="inlineStr">
        <is>
          <t>STRÖMSUND</t>
        </is>
      </c>
      <c r="F3449" t="inlineStr">
        <is>
          <t>SCA</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216-2025</t>
        </is>
      </c>
      <c r="B3450" s="1" t="n">
        <v>45660</v>
      </c>
      <c r="C3450" s="1" t="n">
        <v>45749</v>
      </c>
      <c r="D3450" t="inlineStr">
        <is>
          <t>JÄMTLANDS LÄN</t>
        </is>
      </c>
      <c r="E3450" t="inlineStr">
        <is>
          <t>STRÖMSUND</t>
        </is>
      </c>
      <c r="F3450" t="inlineStr">
        <is>
          <t>SCA</t>
        </is>
      </c>
      <c r="G3450" t="n">
        <v>33.5</v>
      </c>
      <c r="H3450" t="n">
        <v>0</v>
      </c>
      <c r="I3450" t="n">
        <v>0</v>
      </c>
      <c r="J3450" t="n">
        <v>0</v>
      </c>
      <c r="K3450" t="n">
        <v>0</v>
      </c>
      <c r="L3450" t="n">
        <v>0</v>
      </c>
      <c r="M3450" t="n">
        <v>0</v>
      </c>
      <c r="N3450" t="n">
        <v>0</v>
      </c>
      <c r="O3450" t="n">
        <v>0</v>
      </c>
      <c r="P3450" t="n">
        <v>0</v>
      </c>
      <c r="Q3450" t="n">
        <v>0</v>
      </c>
      <c r="R3450" s="2" t="inlineStr"/>
    </row>
    <row r="3451" ht="15" customHeight="1">
      <c r="A3451" t="inlineStr">
        <is>
          <t>A 292-2025</t>
        </is>
      </c>
      <c r="B3451" s="1" t="n">
        <v>45660</v>
      </c>
      <c r="C3451" s="1" t="n">
        <v>45749</v>
      </c>
      <c r="D3451" t="inlineStr">
        <is>
          <t>JÄMTLANDS LÄN</t>
        </is>
      </c>
      <c r="E3451" t="inlineStr">
        <is>
          <t>STRÖMSUND</t>
        </is>
      </c>
      <c r="F3451" t="inlineStr">
        <is>
          <t>SCA</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630-2025</t>
        </is>
      </c>
      <c r="B3452" s="1" t="n">
        <v>45664</v>
      </c>
      <c r="C3452" s="1" t="n">
        <v>45749</v>
      </c>
      <c r="D3452" t="inlineStr">
        <is>
          <t>JÄMTLANDS LÄN</t>
        </is>
      </c>
      <c r="E3452" t="inlineStr">
        <is>
          <t>STRÖMSUND</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473-2025</t>
        </is>
      </c>
      <c r="B3453" s="1" t="n">
        <v>45664</v>
      </c>
      <c r="C3453" s="1" t="n">
        <v>45749</v>
      </c>
      <c r="D3453" t="inlineStr">
        <is>
          <t>JÄMTLANDS LÄN</t>
        </is>
      </c>
      <c r="E3453" t="inlineStr">
        <is>
          <t>STRÖMSUND</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1126-2025</t>
        </is>
      </c>
      <c r="B3454" s="1" t="n">
        <v>45666</v>
      </c>
      <c r="C3454" s="1" t="n">
        <v>45749</v>
      </c>
      <c r="D3454" t="inlineStr">
        <is>
          <t>JÄMTLANDS LÄN</t>
        </is>
      </c>
      <c r="E3454" t="inlineStr">
        <is>
          <t>STRÖMSUND</t>
        </is>
      </c>
      <c r="F3454" t="inlineStr">
        <is>
          <t>SCA</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992-2025</t>
        </is>
      </c>
      <c r="B3455" s="1" t="n">
        <v>45666</v>
      </c>
      <c r="C3455" s="1" t="n">
        <v>45749</v>
      </c>
      <c r="D3455" t="inlineStr">
        <is>
          <t>JÄMTLANDS LÄN</t>
        </is>
      </c>
      <c r="E3455" t="inlineStr">
        <is>
          <t>STRÖMSUND</t>
        </is>
      </c>
      <c r="F3455" t="inlineStr">
        <is>
          <t>SCA</t>
        </is>
      </c>
      <c r="G3455" t="n">
        <v>16.4</v>
      </c>
      <c r="H3455" t="n">
        <v>0</v>
      </c>
      <c r="I3455" t="n">
        <v>0</v>
      </c>
      <c r="J3455" t="n">
        <v>0</v>
      </c>
      <c r="K3455" t="n">
        <v>0</v>
      </c>
      <c r="L3455" t="n">
        <v>0</v>
      </c>
      <c r="M3455" t="n">
        <v>0</v>
      </c>
      <c r="N3455" t="n">
        <v>0</v>
      </c>
      <c r="O3455" t="n">
        <v>0</v>
      </c>
      <c r="P3455" t="n">
        <v>0</v>
      </c>
      <c r="Q3455" t="n">
        <v>0</v>
      </c>
      <c r="R3455" s="2" t="inlineStr"/>
    </row>
    <row r="3456" ht="15" customHeight="1">
      <c r="A3456" t="inlineStr">
        <is>
          <t>A 1117-2025</t>
        </is>
      </c>
      <c r="B3456" s="1" t="n">
        <v>45666</v>
      </c>
      <c r="C3456" s="1" t="n">
        <v>45749</v>
      </c>
      <c r="D3456" t="inlineStr">
        <is>
          <t>JÄMTLANDS LÄN</t>
        </is>
      </c>
      <c r="E3456" t="inlineStr">
        <is>
          <t>STRÖMSUND</t>
        </is>
      </c>
      <c r="F3456" t="inlineStr">
        <is>
          <t>SCA</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1391-2025</t>
        </is>
      </c>
      <c r="B3457" s="1" t="n">
        <v>45667</v>
      </c>
      <c r="C3457" s="1" t="n">
        <v>45749</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1421-2025</t>
        </is>
      </c>
      <c r="B3458" s="1" t="n">
        <v>45668</v>
      </c>
      <c r="C3458" s="1" t="n">
        <v>45749</v>
      </c>
      <c r="D3458" t="inlineStr">
        <is>
          <t>JÄMTLANDS LÄN</t>
        </is>
      </c>
      <c r="E3458" t="inlineStr">
        <is>
          <t>STRÖMSUND</t>
        </is>
      </c>
      <c r="F3458" t="inlineStr">
        <is>
          <t>SCA</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1429-2025</t>
        </is>
      </c>
      <c r="B3459" s="1" t="n">
        <v>45669</v>
      </c>
      <c r="C3459" s="1" t="n">
        <v>45749</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1545-2025</t>
        </is>
      </c>
      <c r="B3460" s="1" t="n">
        <v>45670</v>
      </c>
      <c r="C3460" s="1" t="n">
        <v>45749</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45749</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1542-2025</t>
        </is>
      </c>
      <c r="B3462" s="1" t="n">
        <v>45670</v>
      </c>
      <c r="C3462" s="1" t="n">
        <v>45749</v>
      </c>
      <c r="D3462" t="inlineStr">
        <is>
          <t>JÄMTLANDS LÄN</t>
        </is>
      </c>
      <c r="E3462" t="inlineStr">
        <is>
          <t>STRÖMSUND</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45749</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1544-2025</t>
        </is>
      </c>
      <c r="B3464" s="1" t="n">
        <v>45670</v>
      </c>
      <c r="C3464" s="1" t="n">
        <v>45749</v>
      </c>
      <c r="D3464" t="inlineStr">
        <is>
          <t>JÄMTLANDS LÄN</t>
        </is>
      </c>
      <c r="E3464" t="inlineStr">
        <is>
          <t>STRÖMSUND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1671-2025</t>
        </is>
      </c>
      <c r="B3465" s="1" t="n">
        <v>45670</v>
      </c>
      <c r="C3465" s="1" t="n">
        <v>45749</v>
      </c>
      <c r="D3465" t="inlineStr">
        <is>
          <t>JÄMTLANDS LÄN</t>
        </is>
      </c>
      <c r="E3465" t="inlineStr">
        <is>
          <t>STRÖMSUND</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1669-2025</t>
        </is>
      </c>
      <c r="B3466" s="1" t="n">
        <v>45670</v>
      </c>
      <c r="C3466" s="1" t="n">
        <v>45749</v>
      </c>
      <c r="D3466" t="inlineStr">
        <is>
          <t>JÄMTLANDS LÄN</t>
        </is>
      </c>
      <c r="E3466" t="inlineStr">
        <is>
          <t>STRÖMSUND</t>
        </is>
      </c>
      <c r="F3466" t="inlineStr">
        <is>
          <t>SCA</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1498-2025</t>
        </is>
      </c>
      <c r="B3467" s="1" t="n">
        <v>45670</v>
      </c>
      <c r="C3467" s="1" t="n">
        <v>45749</v>
      </c>
      <c r="D3467" t="inlineStr">
        <is>
          <t>JÄMTLANDS LÄN</t>
        </is>
      </c>
      <c r="E3467" t="inlineStr">
        <is>
          <t>STRÖMSUND</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1547-2025</t>
        </is>
      </c>
      <c r="B3468" s="1" t="n">
        <v>45670</v>
      </c>
      <c r="C3468" s="1" t="n">
        <v>45749</v>
      </c>
      <c r="D3468" t="inlineStr">
        <is>
          <t>JÄMTLANDS LÄN</t>
        </is>
      </c>
      <c r="E3468" t="inlineStr">
        <is>
          <t>STRÖMSUND</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1543-2025</t>
        </is>
      </c>
      <c r="B3469" s="1" t="n">
        <v>45670</v>
      </c>
      <c r="C3469" s="1" t="n">
        <v>45749</v>
      </c>
      <c r="D3469" t="inlineStr">
        <is>
          <t>JÄMTLANDS LÄN</t>
        </is>
      </c>
      <c r="E3469" t="inlineStr">
        <is>
          <t>STRÖMSUND</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1670-2025</t>
        </is>
      </c>
      <c r="B3470" s="1" t="n">
        <v>45670</v>
      </c>
      <c r="C3470" s="1" t="n">
        <v>45749</v>
      </c>
      <c r="D3470" t="inlineStr">
        <is>
          <t>JÄMTLANDS LÄN</t>
        </is>
      </c>
      <c r="E3470" t="inlineStr">
        <is>
          <t>STRÖMSUND</t>
        </is>
      </c>
      <c r="F3470" t="inlineStr">
        <is>
          <t>SCA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1913-2025</t>
        </is>
      </c>
      <c r="B3471" s="1" t="n">
        <v>45671</v>
      </c>
      <c r="C3471" s="1" t="n">
        <v>45749</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1722-2025</t>
        </is>
      </c>
      <c r="B3472" s="1" t="n">
        <v>45671</v>
      </c>
      <c r="C3472" s="1" t="n">
        <v>45749</v>
      </c>
      <c r="D3472" t="inlineStr">
        <is>
          <t>JÄMTLANDS LÄN</t>
        </is>
      </c>
      <c r="E3472" t="inlineStr">
        <is>
          <t>STRÖMSUND</t>
        </is>
      </c>
      <c r="F3472" t="inlineStr">
        <is>
          <t>SCA</t>
        </is>
      </c>
      <c r="G3472" t="n">
        <v>37.1</v>
      </c>
      <c r="H3472" t="n">
        <v>0</v>
      </c>
      <c r="I3472" t="n">
        <v>0</v>
      </c>
      <c r="J3472" t="n">
        <v>0</v>
      </c>
      <c r="K3472" t="n">
        <v>0</v>
      </c>
      <c r="L3472" t="n">
        <v>0</v>
      </c>
      <c r="M3472" t="n">
        <v>0</v>
      </c>
      <c r="N3472" t="n">
        <v>0</v>
      </c>
      <c r="O3472" t="n">
        <v>0</v>
      </c>
      <c r="P3472" t="n">
        <v>0</v>
      </c>
      <c r="Q3472" t="n">
        <v>0</v>
      </c>
      <c r="R3472" s="2" t="inlineStr"/>
    </row>
    <row r="3473" ht="15" customHeight="1">
      <c r="A3473" t="inlineStr">
        <is>
          <t>A 1721-2025</t>
        </is>
      </c>
      <c r="B3473" s="1" t="n">
        <v>45671</v>
      </c>
      <c r="C3473" s="1" t="n">
        <v>45749</v>
      </c>
      <c r="D3473" t="inlineStr">
        <is>
          <t>JÄMTLANDS LÄN</t>
        </is>
      </c>
      <c r="E3473" t="inlineStr">
        <is>
          <t>STRÖMSUND</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1822-2025</t>
        </is>
      </c>
      <c r="B3474" s="1" t="n">
        <v>45671</v>
      </c>
      <c r="C3474" s="1" t="n">
        <v>45749</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1878-2025</t>
        </is>
      </c>
      <c r="B3475" s="1" t="n">
        <v>45671</v>
      </c>
      <c r="C3475" s="1" t="n">
        <v>45749</v>
      </c>
      <c r="D3475" t="inlineStr">
        <is>
          <t>JÄMTLANDS LÄN</t>
        </is>
      </c>
      <c r="E3475" t="inlineStr">
        <is>
          <t>STRÖMSUND</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1824-2025</t>
        </is>
      </c>
      <c r="B3476" s="1" t="n">
        <v>45671</v>
      </c>
      <c r="C3476" s="1" t="n">
        <v>45749</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1823-2025</t>
        </is>
      </c>
      <c r="B3477" s="1" t="n">
        <v>45671</v>
      </c>
      <c r="C3477" s="1" t="n">
        <v>45749</v>
      </c>
      <c r="D3477" t="inlineStr">
        <is>
          <t>JÄMTLANDS LÄN</t>
        </is>
      </c>
      <c r="E3477" t="inlineStr">
        <is>
          <t>STRÖMSUND</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1925-2025</t>
        </is>
      </c>
      <c r="B3478" s="1" t="n">
        <v>45671</v>
      </c>
      <c r="C3478" s="1" t="n">
        <v>45749</v>
      </c>
      <c r="D3478" t="inlineStr">
        <is>
          <t>JÄMTLANDS LÄN</t>
        </is>
      </c>
      <c r="E3478" t="inlineStr">
        <is>
          <t>STRÖMSUND</t>
        </is>
      </c>
      <c r="F3478" t="inlineStr">
        <is>
          <t>SCA</t>
        </is>
      </c>
      <c r="G3478" t="n">
        <v>37.6</v>
      </c>
      <c r="H3478" t="n">
        <v>0</v>
      </c>
      <c r="I3478" t="n">
        <v>0</v>
      </c>
      <c r="J3478" t="n">
        <v>0</v>
      </c>
      <c r="K3478" t="n">
        <v>0</v>
      </c>
      <c r="L3478" t="n">
        <v>0</v>
      </c>
      <c r="M3478" t="n">
        <v>0</v>
      </c>
      <c r="N3478" t="n">
        <v>0</v>
      </c>
      <c r="O3478" t="n">
        <v>0</v>
      </c>
      <c r="P3478" t="n">
        <v>0</v>
      </c>
      <c r="Q3478" t="n">
        <v>0</v>
      </c>
      <c r="R3478" s="2" t="inlineStr"/>
    </row>
    <row r="3479" ht="15" customHeight="1">
      <c r="A3479" t="inlineStr">
        <is>
          <t>A 2124-2025</t>
        </is>
      </c>
      <c r="B3479" s="1" t="n">
        <v>45672</v>
      </c>
      <c r="C3479" s="1" t="n">
        <v>45749</v>
      </c>
      <c r="D3479" t="inlineStr">
        <is>
          <t>JÄMTLANDS LÄN</t>
        </is>
      </c>
      <c r="E3479" t="inlineStr">
        <is>
          <t>STRÖMSUND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2304-2025</t>
        </is>
      </c>
      <c r="B3480" s="1" t="n">
        <v>45673</v>
      </c>
      <c r="C3480" s="1" t="n">
        <v>45749</v>
      </c>
      <c r="D3480" t="inlineStr">
        <is>
          <t>JÄMTLANDS LÄN</t>
        </is>
      </c>
      <c r="E3480" t="inlineStr">
        <is>
          <t>STRÖMSUND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2568-2025</t>
        </is>
      </c>
      <c r="B3481" s="1" t="n">
        <v>45673</v>
      </c>
      <c r="C3481" s="1" t="n">
        <v>45749</v>
      </c>
      <c r="D3481" t="inlineStr">
        <is>
          <t>JÄMTLANDS LÄN</t>
        </is>
      </c>
      <c r="E3481" t="inlineStr">
        <is>
          <t>STRÖMSUND</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2533-2025</t>
        </is>
      </c>
      <c r="B3482" s="1" t="n">
        <v>45674</v>
      </c>
      <c r="C3482" s="1" t="n">
        <v>45749</v>
      </c>
      <c r="D3482" t="inlineStr">
        <is>
          <t>JÄMTLANDS LÄN</t>
        </is>
      </c>
      <c r="E3482" t="inlineStr">
        <is>
          <t>STRÖMSUND</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2535-2025</t>
        </is>
      </c>
      <c r="B3483" s="1" t="n">
        <v>45674</v>
      </c>
      <c r="C3483" s="1" t="n">
        <v>45749</v>
      </c>
      <c r="D3483" t="inlineStr">
        <is>
          <t>JÄMTLANDS LÄN</t>
        </is>
      </c>
      <c r="E3483" t="inlineStr">
        <is>
          <t>STRÖMSUND</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2534-2025</t>
        </is>
      </c>
      <c r="B3484" s="1" t="n">
        <v>45674</v>
      </c>
      <c r="C3484" s="1" t="n">
        <v>45749</v>
      </c>
      <c r="D3484" t="inlineStr">
        <is>
          <t>JÄMTLANDS LÄN</t>
        </is>
      </c>
      <c r="E3484" t="inlineStr">
        <is>
          <t>STRÖMSUND</t>
        </is>
      </c>
      <c r="F3484" t="inlineStr">
        <is>
          <t>SCA</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2618-2025</t>
        </is>
      </c>
      <c r="B3485" s="1" t="n">
        <v>45675</v>
      </c>
      <c r="C3485" s="1" t="n">
        <v>45749</v>
      </c>
      <c r="D3485" t="inlineStr">
        <is>
          <t>JÄMTLANDS LÄN</t>
        </is>
      </c>
      <c r="E3485" t="inlineStr">
        <is>
          <t>STRÖMSUND</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2686-2025</t>
        </is>
      </c>
      <c r="B3486" s="1" t="n">
        <v>45677</v>
      </c>
      <c r="C3486" s="1" t="n">
        <v>45749</v>
      </c>
      <c r="D3486" t="inlineStr">
        <is>
          <t>JÄMTLANDS LÄN</t>
        </is>
      </c>
      <c r="E3486" t="inlineStr">
        <is>
          <t>STRÖMSUND</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2749-2025</t>
        </is>
      </c>
      <c r="B3487" s="1" t="n">
        <v>45677</v>
      </c>
      <c r="C3487" s="1" t="n">
        <v>45749</v>
      </c>
      <c r="D3487" t="inlineStr">
        <is>
          <t>JÄMTLANDS LÄN</t>
        </is>
      </c>
      <c r="E3487" t="inlineStr">
        <is>
          <t>STRÖMSUND</t>
        </is>
      </c>
      <c r="G3487" t="n">
        <v>20.6</v>
      </c>
      <c r="H3487" t="n">
        <v>0</v>
      </c>
      <c r="I3487" t="n">
        <v>0</v>
      </c>
      <c r="J3487" t="n">
        <v>0</v>
      </c>
      <c r="K3487" t="n">
        <v>0</v>
      </c>
      <c r="L3487" t="n">
        <v>0</v>
      </c>
      <c r="M3487" t="n">
        <v>0</v>
      </c>
      <c r="N3487" t="n">
        <v>0</v>
      </c>
      <c r="O3487" t="n">
        <v>0</v>
      </c>
      <c r="P3487" t="n">
        <v>0</v>
      </c>
      <c r="Q3487" t="n">
        <v>0</v>
      </c>
      <c r="R3487" s="2" t="inlineStr"/>
    </row>
    <row r="3488" ht="15" customHeight="1">
      <c r="A3488" t="inlineStr">
        <is>
          <t>A 2808-2025</t>
        </is>
      </c>
      <c r="B3488" s="1" t="n">
        <v>45677</v>
      </c>
      <c r="C3488" s="1" t="n">
        <v>45749</v>
      </c>
      <c r="D3488" t="inlineStr">
        <is>
          <t>JÄMTLANDS LÄN</t>
        </is>
      </c>
      <c r="E3488" t="inlineStr">
        <is>
          <t>STRÖMSUND</t>
        </is>
      </c>
      <c r="F3488" t="inlineStr">
        <is>
          <t>SCA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2990-2025</t>
        </is>
      </c>
      <c r="B3489" s="1" t="n">
        <v>45678</v>
      </c>
      <c r="C3489" s="1" t="n">
        <v>45749</v>
      </c>
      <c r="D3489" t="inlineStr">
        <is>
          <t>JÄMTLANDS LÄN</t>
        </is>
      </c>
      <c r="E3489" t="inlineStr">
        <is>
          <t>STRÖMSUND</t>
        </is>
      </c>
      <c r="F3489" t="inlineStr">
        <is>
          <t>SCA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3019-2025</t>
        </is>
      </c>
      <c r="B3490" s="1" t="n">
        <v>45678</v>
      </c>
      <c r="C3490" s="1" t="n">
        <v>45749</v>
      </c>
      <c r="D3490" t="inlineStr">
        <is>
          <t>JÄMTLANDS LÄN</t>
        </is>
      </c>
      <c r="E3490" t="inlineStr">
        <is>
          <t>STRÖMSUND</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2989-2025</t>
        </is>
      </c>
      <c r="B3491" s="1" t="n">
        <v>45678</v>
      </c>
      <c r="C3491" s="1" t="n">
        <v>45749</v>
      </c>
      <c r="D3491" t="inlineStr">
        <is>
          <t>JÄMTLANDS LÄN</t>
        </is>
      </c>
      <c r="E3491" t="inlineStr">
        <is>
          <t>STRÖMSUND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3328-2025</t>
        </is>
      </c>
      <c r="B3492" s="1" t="n">
        <v>45679</v>
      </c>
      <c r="C3492" s="1" t="n">
        <v>45749</v>
      </c>
      <c r="D3492" t="inlineStr">
        <is>
          <t>JÄMTLANDS LÄN</t>
        </is>
      </c>
      <c r="E3492" t="inlineStr">
        <is>
          <t>STRÖMSUND</t>
        </is>
      </c>
      <c r="F3492" t="inlineStr">
        <is>
          <t>SCA</t>
        </is>
      </c>
      <c r="G3492" t="n">
        <v>24.7</v>
      </c>
      <c r="H3492" t="n">
        <v>0</v>
      </c>
      <c r="I3492" t="n">
        <v>0</v>
      </c>
      <c r="J3492" t="n">
        <v>0</v>
      </c>
      <c r="K3492" t="n">
        <v>0</v>
      </c>
      <c r="L3492" t="n">
        <v>0</v>
      </c>
      <c r="M3492" t="n">
        <v>0</v>
      </c>
      <c r="N3492" t="n">
        <v>0</v>
      </c>
      <c r="O3492" t="n">
        <v>0</v>
      </c>
      <c r="P3492" t="n">
        <v>0</v>
      </c>
      <c r="Q3492" t="n">
        <v>0</v>
      </c>
      <c r="R3492" s="2" t="inlineStr"/>
    </row>
    <row r="3493" ht="15" customHeight="1">
      <c r="A3493" t="inlineStr">
        <is>
          <t>A 3427-2025</t>
        </is>
      </c>
      <c r="B3493" s="1" t="n">
        <v>45680</v>
      </c>
      <c r="C3493" s="1" t="n">
        <v>45749</v>
      </c>
      <c r="D3493" t="inlineStr">
        <is>
          <t>JÄMTLANDS LÄN</t>
        </is>
      </c>
      <c r="E3493" t="inlineStr">
        <is>
          <t>STRÖMSUND</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3443-2025</t>
        </is>
      </c>
      <c r="B3494" s="1" t="n">
        <v>45680</v>
      </c>
      <c r="C3494" s="1" t="n">
        <v>45749</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3388-2025</t>
        </is>
      </c>
      <c r="B3495" s="1" t="n">
        <v>45680</v>
      </c>
      <c r="C3495" s="1" t="n">
        <v>45749</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3749-2025</t>
        </is>
      </c>
      <c r="B3496" s="1" t="n">
        <v>45681</v>
      </c>
      <c r="C3496" s="1" t="n">
        <v>45749</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3751-2025</t>
        </is>
      </c>
      <c r="B3497" s="1" t="n">
        <v>45681</v>
      </c>
      <c r="C3497" s="1" t="n">
        <v>45749</v>
      </c>
      <c r="D3497" t="inlineStr">
        <is>
          <t>JÄMTLANDS LÄN</t>
        </is>
      </c>
      <c r="E3497" t="inlineStr">
        <is>
          <t>STRÖMSUND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3650-2025</t>
        </is>
      </c>
      <c r="B3498" s="1" t="n">
        <v>45681</v>
      </c>
      <c r="C3498" s="1" t="n">
        <v>45749</v>
      </c>
      <c r="D3498" t="inlineStr">
        <is>
          <t>JÄMTLANDS LÄN</t>
        </is>
      </c>
      <c r="E3498" t="inlineStr">
        <is>
          <t>STRÖMSUND</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3667-2025</t>
        </is>
      </c>
      <c r="B3499" s="1" t="n">
        <v>45681</v>
      </c>
      <c r="C3499" s="1" t="n">
        <v>45749</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3695-2025</t>
        </is>
      </c>
      <c r="B3500" s="1" t="n">
        <v>45681</v>
      </c>
      <c r="C3500" s="1" t="n">
        <v>45749</v>
      </c>
      <c r="D3500" t="inlineStr">
        <is>
          <t>JÄMTLANDS LÄN</t>
        </is>
      </c>
      <c r="E3500" t="inlineStr">
        <is>
          <t>STRÖMSUND</t>
        </is>
      </c>
      <c r="F3500" t="inlineStr">
        <is>
          <t>SCA</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45749</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3911-2025</t>
        </is>
      </c>
      <c r="B3502" s="1" t="n">
        <v>45684</v>
      </c>
      <c r="C3502" s="1" t="n">
        <v>45749</v>
      </c>
      <c r="D3502" t="inlineStr">
        <is>
          <t>JÄMTLANDS LÄN</t>
        </is>
      </c>
      <c r="E3502" t="inlineStr">
        <is>
          <t>STRÖMSUND</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3918-2025</t>
        </is>
      </c>
      <c r="B3503" s="1" t="n">
        <v>45684</v>
      </c>
      <c r="C3503" s="1" t="n">
        <v>45749</v>
      </c>
      <c r="D3503" t="inlineStr">
        <is>
          <t>JÄMTLANDS LÄN</t>
        </is>
      </c>
      <c r="E3503" t="inlineStr">
        <is>
          <t>STRÖMSUND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4036-2025</t>
        </is>
      </c>
      <c r="B3504" s="1" t="n">
        <v>45684</v>
      </c>
      <c r="C3504" s="1" t="n">
        <v>45749</v>
      </c>
      <c r="D3504" t="inlineStr">
        <is>
          <t>JÄMTLANDS LÄN</t>
        </is>
      </c>
      <c r="E3504" t="inlineStr">
        <is>
          <t>STRÖMSUND</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45749</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3917-2025</t>
        </is>
      </c>
      <c r="B3506" s="1" t="n">
        <v>45684</v>
      </c>
      <c r="C3506" s="1" t="n">
        <v>45749</v>
      </c>
      <c r="D3506" t="inlineStr">
        <is>
          <t>JÄMTLANDS LÄN</t>
        </is>
      </c>
      <c r="E3506" t="inlineStr">
        <is>
          <t>STRÖMSUND</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4026-2025</t>
        </is>
      </c>
      <c r="B3507" s="1" t="n">
        <v>45684</v>
      </c>
      <c r="C3507" s="1" t="n">
        <v>45749</v>
      </c>
      <c r="D3507" t="inlineStr">
        <is>
          <t>JÄMTLANDS LÄN</t>
        </is>
      </c>
      <c r="E3507" t="inlineStr">
        <is>
          <t>STRÖMSUND</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4034-2025</t>
        </is>
      </c>
      <c r="B3508" s="1" t="n">
        <v>45684</v>
      </c>
      <c r="C3508" s="1" t="n">
        <v>45749</v>
      </c>
      <c r="D3508" t="inlineStr">
        <is>
          <t>JÄMTLANDS LÄN</t>
        </is>
      </c>
      <c r="E3508" t="inlineStr">
        <is>
          <t>STRÖMSUND</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4042-2025</t>
        </is>
      </c>
      <c r="B3509" s="1" t="n">
        <v>45684</v>
      </c>
      <c r="C3509" s="1" t="n">
        <v>45749</v>
      </c>
      <c r="D3509" t="inlineStr">
        <is>
          <t>JÄMTLANDS LÄN</t>
        </is>
      </c>
      <c r="E3509" t="inlineStr">
        <is>
          <t>STRÖMSUND</t>
        </is>
      </c>
      <c r="F3509" t="inlineStr">
        <is>
          <t>SCA</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4092-2025</t>
        </is>
      </c>
      <c r="B3510" s="1" t="n">
        <v>45684</v>
      </c>
      <c r="C3510" s="1" t="n">
        <v>45749</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4033-2025</t>
        </is>
      </c>
      <c r="B3511" s="1" t="n">
        <v>45684</v>
      </c>
      <c r="C3511" s="1" t="n">
        <v>45749</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4045-2025</t>
        </is>
      </c>
      <c r="B3512" s="1" t="n">
        <v>45684</v>
      </c>
      <c r="C3512" s="1" t="n">
        <v>45749</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4334-2025</t>
        </is>
      </c>
      <c r="B3513" s="1" t="n">
        <v>45685</v>
      </c>
      <c r="C3513" s="1" t="n">
        <v>45749</v>
      </c>
      <c r="D3513" t="inlineStr">
        <is>
          <t>JÄMTLANDS LÄN</t>
        </is>
      </c>
      <c r="E3513" t="inlineStr">
        <is>
          <t>STRÖMSUND</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4315-2025</t>
        </is>
      </c>
      <c r="B3514" s="1" t="n">
        <v>45685</v>
      </c>
      <c r="C3514" s="1" t="n">
        <v>45749</v>
      </c>
      <c r="D3514" t="inlineStr">
        <is>
          <t>JÄMTLANDS LÄN</t>
        </is>
      </c>
      <c r="E3514" t="inlineStr">
        <is>
          <t>STRÖMSUND</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4410-2025</t>
        </is>
      </c>
      <c r="B3515" s="1" t="n">
        <v>45686</v>
      </c>
      <c r="C3515" s="1" t="n">
        <v>45749</v>
      </c>
      <c r="D3515" t="inlineStr">
        <is>
          <t>JÄMTLANDS LÄN</t>
        </is>
      </c>
      <c r="E3515" t="inlineStr">
        <is>
          <t>STRÖMSUND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4370-2025</t>
        </is>
      </c>
      <c r="B3516" s="1" t="n">
        <v>45686</v>
      </c>
      <c r="C3516" s="1" t="n">
        <v>45749</v>
      </c>
      <c r="D3516" t="inlineStr">
        <is>
          <t>JÄMTLANDS LÄN</t>
        </is>
      </c>
      <c r="E3516" t="inlineStr">
        <is>
          <t>STRÖMSUND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4854-2025</t>
        </is>
      </c>
      <c r="B3517" s="1" t="n">
        <v>45688</v>
      </c>
      <c r="C3517" s="1" t="n">
        <v>45749</v>
      </c>
      <c r="D3517" t="inlineStr">
        <is>
          <t>JÄMTLANDS LÄN</t>
        </is>
      </c>
      <c r="E3517" t="inlineStr">
        <is>
          <t>STRÖMSUND</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4910-2025</t>
        </is>
      </c>
      <c r="B3518" s="1" t="n">
        <v>45688</v>
      </c>
      <c r="C3518" s="1" t="n">
        <v>45749</v>
      </c>
      <c r="D3518" t="inlineStr">
        <is>
          <t>JÄMTLANDS LÄN</t>
        </is>
      </c>
      <c r="E3518" t="inlineStr">
        <is>
          <t>STRÖMSUND</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4881-2025</t>
        </is>
      </c>
      <c r="B3519" s="1" t="n">
        <v>45688</v>
      </c>
      <c r="C3519" s="1" t="n">
        <v>45749</v>
      </c>
      <c r="D3519" t="inlineStr">
        <is>
          <t>JÄMTLANDS LÄN</t>
        </is>
      </c>
      <c r="E3519" t="inlineStr">
        <is>
          <t>STRÖMSUND</t>
        </is>
      </c>
      <c r="F3519" t="inlineStr">
        <is>
          <t>SCA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4855-2025</t>
        </is>
      </c>
      <c r="B3520" s="1" t="n">
        <v>45688</v>
      </c>
      <c r="C3520" s="1" t="n">
        <v>45749</v>
      </c>
      <c r="D3520" t="inlineStr">
        <is>
          <t>JÄMTLANDS LÄN</t>
        </is>
      </c>
      <c r="E3520" t="inlineStr">
        <is>
          <t>STRÖMSUND</t>
        </is>
      </c>
      <c r="F3520" t="inlineStr">
        <is>
          <t>SCA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4835-2025</t>
        </is>
      </c>
      <c r="B3521" s="1" t="n">
        <v>45688</v>
      </c>
      <c r="C3521" s="1" t="n">
        <v>45749</v>
      </c>
      <c r="D3521" t="inlineStr">
        <is>
          <t>JÄMTLANDS LÄN</t>
        </is>
      </c>
      <c r="E3521" t="inlineStr">
        <is>
          <t>STRÖMSUND</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4860-2025</t>
        </is>
      </c>
      <c r="B3522" s="1" t="n">
        <v>45688</v>
      </c>
      <c r="C3522" s="1" t="n">
        <v>45749</v>
      </c>
      <c r="D3522" t="inlineStr">
        <is>
          <t>JÄMTLANDS LÄN</t>
        </is>
      </c>
      <c r="E3522" t="inlineStr">
        <is>
          <t>STRÖMSUND</t>
        </is>
      </c>
      <c r="F3522" t="inlineStr">
        <is>
          <t>SCA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5047-2025</t>
        </is>
      </c>
      <c r="B3523" s="1" t="n">
        <v>45691</v>
      </c>
      <c r="C3523" s="1" t="n">
        <v>45749</v>
      </c>
      <c r="D3523" t="inlineStr">
        <is>
          <t>JÄMTLANDS LÄN</t>
        </is>
      </c>
      <c r="E3523" t="inlineStr">
        <is>
          <t>STRÖMSUND</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5210-2025</t>
        </is>
      </c>
      <c r="B3524" s="1" t="n">
        <v>45691</v>
      </c>
      <c r="C3524" s="1" t="n">
        <v>45749</v>
      </c>
      <c r="D3524" t="inlineStr">
        <is>
          <t>JÄMTLANDS LÄN</t>
        </is>
      </c>
      <c r="E3524" t="inlineStr">
        <is>
          <t>STRÖMSUND</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5377-2025</t>
        </is>
      </c>
      <c r="B3525" s="1" t="n">
        <v>45692</v>
      </c>
      <c r="C3525" s="1" t="n">
        <v>45749</v>
      </c>
      <c r="D3525" t="inlineStr">
        <is>
          <t>JÄMTLANDS LÄN</t>
        </is>
      </c>
      <c r="E3525" t="inlineStr">
        <is>
          <t>STRÖMSUND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5607-2025</t>
        </is>
      </c>
      <c r="B3526" s="1" t="n">
        <v>45693</v>
      </c>
      <c r="C3526" s="1" t="n">
        <v>45749</v>
      </c>
      <c r="D3526" t="inlineStr">
        <is>
          <t>JÄMTLANDS LÄN</t>
        </is>
      </c>
      <c r="E3526" t="inlineStr">
        <is>
          <t>STRÖMSUND</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5617-2025</t>
        </is>
      </c>
      <c r="B3527" s="1" t="n">
        <v>45693</v>
      </c>
      <c r="C3527" s="1" t="n">
        <v>45749</v>
      </c>
      <c r="D3527" t="inlineStr">
        <is>
          <t>JÄMTLANDS LÄN</t>
        </is>
      </c>
      <c r="E3527" t="inlineStr">
        <is>
          <t>STRÖMSUND</t>
        </is>
      </c>
      <c r="F3527" t="inlineStr">
        <is>
          <t>SCA</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5627-2025</t>
        </is>
      </c>
      <c r="B3528" s="1" t="n">
        <v>45693</v>
      </c>
      <c r="C3528" s="1" t="n">
        <v>45749</v>
      </c>
      <c r="D3528" t="inlineStr">
        <is>
          <t>JÄMTLANDS LÄN</t>
        </is>
      </c>
      <c r="E3528" t="inlineStr">
        <is>
          <t>STRÖMSUND</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5775-2025</t>
        </is>
      </c>
      <c r="B3529" s="1" t="n">
        <v>45694</v>
      </c>
      <c r="C3529" s="1" t="n">
        <v>45749</v>
      </c>
      <c r="D3529" t="inlineStr">
        <is>
          <t>JÄMTLANDS LÄN</t>
        </is>
      </c>
      <c r="E3529" t="inlineStr">
        <is>
          <t>STRÖMSUND</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5694-2025</t>
        </is>
      </c>
      <c r="B3530" s="1" t="n">
        <v>45694</v>
      </c>
      <c r="C3530" s="1" t="n">
        <v>45749</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5807-2025</t>
        </is>
      </c>
      <c r="B3531" s="1" t="n">
        <v>45694</v>
      </c>
      <c r="C3531" s="1" t="n">
        <v>45749</v>
      </c>
      <c r="D3531" t="inlineStr">
        <is>
          <t>JÄMTLANDS LÄN</t>
        </is>
      </c>
      <c r="E3531" t="inlineStr">
        <is>
          <t>STRÖMSUND</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5808-2025</t>
        </is>
      </c>
      <c r="B3532" s="1" t="n">
        <v>45694</v>
      </c>
      <c r="C3532" s="1" t="n">
        <v>45749</v>
      </c>
      <c r="D3532" t="inlineStr">
        <is>
          <t>JÄMTLANDS LÄN</t>
        </is>
      </c>
      <c r="E3532" t="inlineStr">
        <is>
          <t>STRÖMSUND</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5910-2025</t>
        </is>
      </c>
      <c r="B3533" s="1" t="n">
        <v>45695</v>
      </c>
      <c r="C3533" s="1" t="n">
        <v>45749</v>
      </c>
      <c r="D3533" t="inlineStr">
        <is>
          <t>JÄMTLANDS LÄN</t>
        </is>
      </c>
      <c r="E3533" t="inlineStr">
        <is>
          <t>STRÖMSUND</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5943-2025</t>
        </is>
      </c>
      <c r="B3534" s="1" t="n">
        <v>45695</v>
      </c>
      <c r="C3534" s="1" t="n">
        <v>45749</v>
      </c>
      <c r="D3534" t="inlineStr">
        <is>
          <t>JÄMTLANDS LÄN</t>
        </is>
      </c>
      <c r="E3534" t="inlineStr">
        <is>
          <t>STRÖMSUND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5871-2025</t>
        </is>
      </c>
      <c r="B3535" s="1" t="n">
        <v>45695</v>
      </c>
      <c r="C3535" s="1" t="n">
        <v>45749</v>
      </c>
      <c r="D3535" t="inlineStr">
        <is>
          <t>JÄMTLANDS LÄN</t>
        </is>
      </c>
      <c r="E3535" t="inlineStr">
        <is>
          <t>STRÖMSUND</t>
        </is>
      </c>
      <c r="F3535" t="inlineStr">
        <is>
          <t>SCA</t>
        </is>
      </c>
      <c r="G3535" t="n">
        <v>32.6</v>
      </c>
      <c r="H3535" t="n">
        <v>0</v>
      </c>
      <c r="I3535" t="n">
        <v>0</v>
      </c>
      <c r="J3535" t="n">
        <v>0</v>
      </c>
      <c r="K3535" t="n">
        <v>0</v>
      </c>
      <c r="L3535" t="n">
        <v>0</v>
      </c>
      <c r="M3535" t="n">
        <v>0</v>
      </c>
      <c r="N3535" t="n">
        <v>0</v>
      </c>
      <c r="O3535" t="n">
        <v>0</v>
      </c>
      <c r="P3535" t="n">
        <v>0</v>
      </c>
      <c r="Q3535" t="n">
        <v>0</v>
      </c>
      <c r="R3535" s="2" t="inlineStr"/>
    </row>
    <row r="3536" ht="15" customHeight="1">
      <c r="A3536" t="inlineStr">
        <is>
          <t>A 5948-2025</t>
        </is>
      </c>
      <c r="B3536" s="1" t="n">
        <v>45695</v>
      </c>
      <c r="C3536" s="1" t="n">
        <v>45749</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6129-2025</t>
        </is>
      </c>
      <c r="B3537" s="1" t="n">
        <v>45698</v>
      </c>
      <c r="C3537" s="1" t="n">
        <v>45749</v>
      </c>
      <c r="D3537" t="inlineStr">
        <is>
          <t>JÄMTLANDS LÄN</t>
        </is>
      </c>
      <c r="E3537" t="inlineStr">
        <is>
          <t>STRÖMSUND</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6302-2025</t>
        </is>
      </c>
      <c r="B3538" s="1" t="n">
        <v>45698</v>
      </c>
      <c r="C3538" s="1" t="n">
        <v>45749</v>
      </c>
      <c r="D3538" t="inlineStr">
        <is>
          <t>JÄMTLANDS LÄN</t>
        </is>
      </c>
      <c r="E3538" t="inlineStr">
        <is>
          <t>STRÖMSUND</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6172-2025</t>
        </is>
      </c>
      <c r="B3539" s="1" t="n">
        <v>45698</v>
      </c>
      <c r="C3539" s="1" t="n">
        <v>45749</v>
      </c>
      <c r="D3539" t="inlineStr">
        <is>
          <t>JÄMTLANDS LÄN</t>
        </is>
      </c>
      <c r="E3539" t="inlineStr">
        <is>
          <t>STRÖMSUND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6232-2025</t>
        </is>
      </c>
      <c r="B3540" s="1" t="n">
        <v>45698</v>
      </c>
      <c r="C3540" s="1" t="n">
        <v>45749</v>
      </c>
      <c r="D3540" t="inlineStr">
        <is>
          <t>JÄMTLANDS LÄN</t>
        </is>
      </c>
      <c r="E3540" t="inlineStr">
        <is>
          <t>STRÖMSUND</t>
        </is>
      </c>
      <c r="F3540" t="inlineStr">
        <is>
          <t>SCA</t>
        </is>
      </c>
      <c r="G3540" t="n">
        <v>24.2</v>
      </c>
      <c r="H3540" t="n">
        <v>0</v>
      </c>
      <c r="I3540" t="n">
        <v>0</v>
      </c>
      <c r="J3540" t="n">
        <v>0</v>
      </c>
      <c r="K3540" t="n">
        <v>0</v>
      </c>
      <c r="L3540" t="n">
        <v>0</v>
      </c>
      <c r="M3540" t="n">
        <v>0</v>
      </c>
      <c r="N3540" t="n">
        <v>0</v>
      </c>
      <c r="O3540" t="n">
        <v>0</v>
      </c>
      <c r="P3540" t="n">
        <v>0</v>
      </c>
      <c r="Q3540" t="n">
        <v>0</v>
      </c>
      <c r="R3540" s="2" t="inlineStr"/>
      <c r="U3540">
        <f>HYPERLINK("https://klasma.github.io/Logging_2313/knärot/A 6232-2025 karta knärot.png", "A 6232-2025")</f>
        <v/>
      </c>
      <c r="V3540">
        <f>HYPERLINK("https://klasma.github.io/Logging_2313/klagomål/A 6232-2025 FSC-klagomål.docx", "A 6232-2025")</f>
        <v/>
      </c>
      <c r="W3540">
        <f>HYPERLINK("https://klasma.github.io/Logging_2313/klagomålsmail/A 6232-2025 FSC-klagomål mail.docx", "A 6232-2025")</f>
        <v/>
      </c>
      <c r="X3540">
        <f>HYPERLINK("https://klasma.github.io/Logging_2313/tillsyn/A 6232-2025 tillsynsbegäran.docx", "A 6232-2025")</f>
        <v/>
      </c>
      <c r="Y3540">
        <f>HYPERLINK("https://klasma.github.io/Logging_2313/tillsynsmail/A 6232-2025 tillsynsbegäran mail.docx", "A 6232-2025")</f>
        <v/>
      </c>
    </row>
    <row r="3541" ht="15" customHeight="1">
      <c r="A3541" t="inlineStr">
        <is>
          <t>A 6527-2025</t>
        </is>
      </c>
      <c r="B3541" s="1" t="n">
        <v>45699</v>
      </c>
      <c r="C3541" s="1" t="n">
        <v>45749</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6488-2025</t>
        </is>
      </c>
      <c r="B3542" s="1" t="n">
        <v>45699</v>
      </c>
      <c r="C3542" s="1" t="n">
        <v>45749</v>
      </c>
      <c r="D3542" t="inlineStr">
        <is>
          <t>JÄMTLANDS LÄN</t>
        </is>
      </c>
      <c r="E3542" t="inlineStr">
        <is>
          <t>STRÖMSUND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6494-2025</t>
        </is>
      </c>
      <c r="B3543" s="1" t="n">
        <v>45699</v>
      </c>
      <c r="C3543" s="1" t="n">
        <v>45749</v>
      </c>
      <c r="D3543" t="inlineStr">
        <is>
          <t>JÄMTLANDS LÄN</t>
        </is>
      </c>
      <c r="E3543" t="inlineStr">
        <is>
          <t>STRÖMSUND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6576-2025</t>
        </is>
      </c>
      <c r="B3544" s="1" t="n">
        <v>45699</v>
      </c>
      <c r="C3544" s="1" t="n">
        <v>45749</v>
      </c>
      <c r="D3544" t="inlineStr">
        <is>
          <t>JÄMTLANDS LÄN</t>
        </is>
      </c>
      <c r="E3544" t="inlineStr">
        <is>
          <t>STRÖMSUND</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6414-2025</t>
        </is>
      </c>
      <c r="B3545" s="1" t="n">
        <v>45699</v>
      </c>
      <c r="C3545" s="1" t="n">
        <v>45749</v>
      </c>
      <c r="D3545" t="inlineStr">
        <is>
          <t>JÄMTLANDS LÄN</t>
        </is>
      </c>
      <c r="E3545" t="inlineStr">
        <is>
          <t>STRÖMSUND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6347-2025</t>
        </is>
      </c>
      <c r="B3546" s="1" t="n">
        <v>45699</v>
      </c>
      <c r="C3546" s="1" t="n">
        <v>45749</v>
      </c>
      <c r="D3546" t="inlineStr">
        <is>
          <t>JÄMTLANDS LÄN</t>
        </is>
      </c>
      <c r="E3546" t="inlineStr">
        <is>
          <t>STRÖMSUND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6502-2025</t>
        </is>
      </c>
      <c r="B3547" s="1" t="n">
        <v>45699</v>
      </c>
      <c r="C3547" s="1" t="n">
        <v>45749</v>
      </c>
      <c r="D3547" t="inlineStr">
        <is>
          <t>JÄMTLANDS LÄN</t>
        </is>
      </c>
      <c r="E3547" t="inlineStr">
        <is>
          <t>STRÖMSUND</t>
        </is>
      </c>
      <c r="G3547" t="n">
        <v>14.5</v>
      </c>
      <c r="H3547" t="n">
        <v>0</v>
      </c>
      <c r="I3547" t="n">
        <v>0</v>
      </c>
      <c r="J3547" t="n">
        <v>0</v>
      </c>
      <c r="K3547" t="n">
        <v>0</v>
      </c>
      <c r="L3547" t="n">
        <v>0</v>
      </c>
      <c r="M3547" t="n">
        <v>0</v>
      </c>
      <c r="N3547" t="n">
        <v>0</v>
      </c>
      <c r="O3547" t="n">
        <v>0</v>
      </c>
      <c r="P3547" t="n">
        <v>0</v>
      </c>
      <c r="Q3547" t="n">
        <v>0</v>
      </c>
      <c r="R3547" s="2" t="inlineStr"/>
    </row>
    <row r="3548" ht="15" customHeight="1">
      <c r="A3548" t="inlineStr">
        <is>
          <t>A 6685-2025</t>
        </is>
      </c>
      <c r="B3548" s="1" t="n">
        <v>45700</v>
      </c>
      <c r="C3548" s="1" t="n">
        <v>45749</v>
      </c>
      <c r="D3548" t="inlineStr">
        <is>
          <t>JÄMTLANDS LÄN</t>
        </is>
      </c>
      <c r="E3548" t="inlineStr">
        <is>
          <t>STRÖMSUND</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6836-2025</t>
        </is>
      </c>
      <c r="B3549" s="1" t="n">
        <v>45700</v>
      </c>
      <c r="C3549" s="1" t="n">
        <v>45749</v>
      </c>
      <c r="D3549" t="inlineStr">
        <is>
          <t>JÄMTLANDS LÄN</t>
        </is>
      </c>
      <c r="E3549" t="inlineStr">
        <is>
          <t>STRÖMSUND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6787-2025</t>
        </is>
      </c>
      <c r="B3550" s="1" t="n">
        <v>45700</v>
      </c>
      <c r="C3550" s="1" t="n">
        <v>45749</v>
      </c>
      <c r="D3550" t="inlineStr">
        <is>
          <t>JÄMTLANDS LÄN</t>
        </is>
      </c>
      <c r="E3550" t="inlineStr">
        <is>
          <t>STRÖMSUND</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45749</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6883-2025</t>
        </is>
      </c>
      <c r="B3552" s="1" t="n">
        <v>45701</v>
      </c>
      <c r="C3552" s="1" t="n">
        <v>45749</v>
      </c>
      <c r="D3552" t="inlineStr">
        <is>
          <t>JÄMTLANDS LÄN</t>
        </is>
      </c>
      <c r="E3552" t="inlineStr">
        <is>
          <t>STRÖMSUND</t>
        </is>
      </c>
      <c r="F3552" t="inlineStr">
        <is>
          <t>SCA</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6879-2025</t>
        </is>
      </c>
      <c r="B3553" s="1" t="n">
        <v>45701</v>
      </c>
      <c r="C3553" s="1" t="n">
        <v>45749</v>
      </c>
      <c r="D3553" t="inlineStr">
        <is>
          <t>JÄMTLANDS LÄN</t>
        </is>
      </c>
      <c r="E3553" t="inlineStr">
        <is>
          <t>STRÖMSUND</t>
        </is>
      </c>
      <c r="F3553" t="inlineStr">
        <is>
          <t>SCA</t>
        </is>
      </c>
      <c r="G3553" t="n">
        <v>21.3</v>
      </c>
      <c r="H3553" t="n">
        <v>0</v>
      </c>
      <c r="I3553" t="n">
        <v>0</v>
      </c>
      <c r="J3553" t="n">
        <v>0</v>
      </c>
      <c r="K3553" t="n">
        <v>0</v>
      </c>
      <c r="L3553" t="n">
        <v>0</v>
      </c>
      <c r="M3553" t="n">
        <v>0</v>
      </c>
      <c r="N3553" t="n">
        <v>0</v>
      </c>
      <c r="O3553" t="n">
        <v>0</v>
      </c>
      <c r="P3553" t="n">
        <v>0</v>
      </c>
      <c r="Q3553" t="n">
        <v>0</v>
      </c>
      <c r="R3553" s="2" t="inlineStr"/>
    </row>
    <row r="3554" ht="15" customHeight="1">
      <c r="A3554" t="inlineStr">
        <is>
          <t>A 7085-2025</t>
        </is>
      </c>
      <c r="B3554" s="1" t="n">
        <v>45701</v>
      </c>
      <c r="C3554" s="1" t="n">
        <v>45749</v>
      </c>
      <c r="D3554" t="inlineStr">
        <is>
          <t>JÄMTLANDS LÄN</t>
        </is>
      </c>
      <c r="E3554" t="inlineStr">
        <is>
          <t>STRÖMSUND</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6885-2025</t>
        </is>
      </c>
      <c r="B3555" s="1" t="n">
        <v>45701</v>
      </c>
      <c r="C3555" s="1" t="n">
        <v>45749</v>
      </c>
      <c r="D3555" t="inlineStr">
        <is>
          <t>JÄMTLANDS LÄN</t>
        </is>
      </c>
      <c r="E3555" t="inlineStr">
        <is>
          <t>STRÖMSUND</t>
        </is>
      </c>
      <c r="F3555" t="inlineStr">
        <is>
          <t>SCA</t>
        </is>
      </c>
      <c r="G3555" t="n">
        <v>15.2</v>
      </c>
      <c r="H3555" t="n">
        <v>0</v>
      </c>
      <c r="I3555" t="n">
        <v>0</v>
      </c>
      <c r="J3555" t="n">
        <v>0</v>
      </c>
      <c r="K3555" t="n">
        <v>0</v>
      </c>
      <c r="L3555" t="n">
        <v>0</v>
      </c>
      <c r="M3555" t="n">
        <v>0</v>
      </c>
      <c r="N3555" t="n">
        <v>0</v>
      </c>
      <c r="O3555" t="n">
        <v>0</v>
      </c>
      <c r="P3555" t="n">
        <v>0</v>
      </c>
      <c r="Q3555" t="n">
        <v>0</v>
      </c>
      <c r="R3555" s="2" t="inlineStr"/>
    </row>
    <row r="3556" ht="15" customHeight="1">
      <c r="A3556" t="inlineStr">
        <is>
          <t>A 7124-2025</t>
        </is>
      </c>
      <c r="B3556" s="1" t="n">
        <v>45702</v>
      </c>
      <c r="C3556" s="1" t="n">
        <v>45749</v>
      </c>
      <c r="D3556" t="inlineStr">
        <is>
          <t>JÄMTLANDS LÄN</t>
        </is>
      </c>
      <c r="E3556" t="inlineStr">
        <is>
          <t>STRÖMSUND</t>
        </is>
      </c>
      <c r="F3556" t="inlineStr">
        <is>
          <t>SCA</t>
        </is>
      </c>
      <c r="G3556" t="n">
        <v>25.7</v>
      </c>
      <c r="H3556" t="n">
        <v>0</v>
      </c>
      <c r="I3556" t="n">
        <v>0</v>
      </c>
      <c r="J3556" t="n">
        <v>0</v>
      </c>
      <c r="K3556" t="n">
        <v>0</v>
      </c>
      <c r="L3556" t="n">
        <v>0</v>
      </c>
      <c r="M3556" t="n">
        <v>0</v>
      </c>
      <c r="N3556" t="n">
        <v>0</v>
      </c>
      <c r="O3556" t="n">
        <v>0</v>
      </c>
      <c r="P3556" t="n">
        <v>0</v>
      </c>
      <c r="Q3556" t="n">
        <v>0</v>
      </c>
      <c r="R3556" s="2" t="inlineStr"/>
    </row>
    <row r="3557" ht="15" customHeight="1">
      <c r="A3557" t="inlineStr">
        <is>
          <t>A 7181-2025</t>
        </is>
      </c>
      <c r="B3557" s="1" t="n">
        <v>45702</v>
      </c>
      <c r="C3557" s="1" t="n">
        <v>45749</v>
      </c>
      <c r="D3557" t="inlineStr">
        <is>
          <t>JÄMTLANDS LÄN</t>
        </is>
      </c>
      <c r="E3557" t="inlineStr">
        <is>
          <t>STRÖMSUND</t>
        </is>
      </c>
      <c r="F3557" t="inlineStr">
        <is>
          <t>SCA</t>
        </is>
      </c>
      <c r="G3557" t="n">
        <v>17.6</v>
      </c>
      <c r="H3557" t="n">
        <v>0</v>
      </c>
      <c r="I3557" t="n">
        <v>0</v>
      </c>
      <c r="J3557" t="n">
        <v>0</v>
      </c>
      <c r="K3557" t="n">
        <v>0</v>
      </c>
      <c r="L3557" t="n">
        <v>0</v>
      </c>
      <c r="M3557" t="n">
        <v>0</v>
      </c>
      <c r="N3557" t="n">
        <v>0</v>
      </c>
      <c r="O3557" t="n">
        <v>0</v>
      </c>
      <c r="P3557" t="n">
        <v>0</v>
      </c>
      <c r="Q3557" t="n">
        <v>0</v>
      </c>
      <c r="R3557" s="2" t="inlineStr"/>
    </row>
    <row r="3558" ht="15" customHeight="1">
      <c r="A3558" t="inlineStr">
        <is>
          <t>A 7324-2025</t>
        </is>
      </c>
      <c r="B3558" s="1" t="n">
        <v>45702</v>
      </c>
      <c r="C3558" s="1" t="n">
        <v>45749</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7241-2025</t>
        </is>
      </c>
      <c r="B3559" s="1" t="n">
        <v>45702</v>
      </c>
      <c r="C3559" s="1" t="n">
        <v>45749</v>
      </c>
      <c r="D3559" t="inlineStr">
        <is>
          <t>JÄMTLANDS LÄN</t>
        </is>
      </c>
      <c r="E3559" t="inlineStr">
        <is>
          <t>STRÖMSUND</t>
        </is>
      </c>
      <c r="F3559" t="inlineStr">
        <is>
          <t>SCA</t>
        </is>
      </c>
      <c r="G3559" t="n">
        <v>18.5</v>
      </c>
      <c r="H3559" t="n">
        <v>0</v>
      </c>
      <c r="I3559" t="n">
        <v>0</v>
      </c>
      <c r="J3559" t="n">
        <v>0</v>
      </c>
      <c r="K3559" t="n">
        <v>0</v>
      </c>
      <c r="L3559" t="n">
        <v>0</v>
      </c>
      <c r="M3559" t="n">
        <v>0</v>
      </c>
      <c r="N3559" t="n">
        <v>0</v>
      </c>
      <c r="O3559" t="n">
        <v>0</v>
      </c>
      <c r="P3559" t="n">
        <v>0</v>
      </c>
      <c r="Q3559" t="n">
        <v>0</v>
      </c>
      <c r="R3559" s="2" t="inlineStr"/>
    </row>
    <row r="3560" ht="15" customHeight="1">
      <c r="A3560" t="inlineStr">
        <is>
          <t>A 7135-2025</t>
        </is>
      </c>
      <c r="B3560" s="1" t="n">
        <v>45702</v>
      </c>
      <c r="C3560" s="1" t="n">
        <v>45749</v>
      </c>
      <c r="D3560" t="inlineStr">
        <is>
          <t>JÄMTLANDS LÄN</t>
        </is>
      </c>
      <c r="E3560" t="inlineStr">
        <is>
          <t>STRÖMSUND</t>
        </is>
      </c>
      <c r="F3560" t="inlineStr">
        <is>
          <t>SCA</t>
        </is>
      </c>
      <c r="G3560" t="n">
        <v>32.9</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45749</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45749</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7543-2025</t>
        </is>
      </c>
      <c r="B3563" s="1" t="n">
        <v>45705</v>
      </c>
      <c r="C3563" s="1" t="n">
        <v>45749</v>
      </c>
      <c r="D3563" t="inlineStr">
        <is>
          <t>JÄMTLANDS LÄN</t>
        </is>
      </c>
      <c r="E3563" t="inlineStr">
        <is>
          <t>STRÖMSUND</t>
        </is>
      </c>
      <c r="F3563" t="inlineStr">
        <is>
          <t>SCA</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7545-2025</t>
        </is>
      </c>
      <c r="B3564" s="1" t="n">
        <v>45705</v>
      </c>
      <c r="C3564" s="1" t="n">
        <v>45749</v>
      </c>
      <c r="D3564" t="inlineStr">
        <is>
          <t>JÄMTLANDS LÄN</t>
        </is>
      </c>
      <c r="E3564" t="inlineStr">
        <is>
          <t>STRÖMSUND</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7546-2025</t>
        </is>
      </c>
      <c r="B3565" s="1" t="n">
        <v>45705</v>
      </c>
      <c r="C3565" s="1" t="n">
        <v>45749</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7542-2025</t>
        </is>
      </c>
      <c r="B3566" s="1" t="n">
        <v>45705</v>
      </c>
      <c r="C3566" s="1" t="n">
        <v>45749</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7544-2025</t>
        </is>
      </c>
      <c r="B3567" s="1" t="n">
        <v>45705</v>
      </c>
      <c r="C3567" s="1" t="n">
        <v>45749</v>
      </c>
      <c r="D3567" t="inlineStr">
        <is>
          <t>JÄMTLANDS LÄN</t>
        </is>
      </c>
      <c r="E3567" t="inlineStr">
        <is>
          <t>STRÖMSUND</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7993-2025</t>
        </is>
      </c>
      <c r="B3568" s="1" t="n">
        <v>45706</v>
      </c>
      <c r="C3568" s="1" t="n">
        <v>45749</v>
      </c>
      <c r="D3568" t="inlineStr">
        <is>
          <t>JÄMTLANDS LÄN</t>
        </is>
      </c>
      <c r="E3568" t="inlineStr">
        <is>
          <t>STRÖMSUND</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7867-2025</t>
        </is>
      </c>
      <c r="B3569" s="1" t="n">
        <v>45706</v>
      </c>
      <c r="C3569" s="1" t="n">
        <v>45749</v>
      </c>
      <c r="D3569" t="inlineStr">
        <is>
          <t>JÄMTLANDS LÄN</t>
        </is>
      </c>
      <c r="E3569" t="inlineStr">
        <is>
          <t>STRÖMSUND</t>
        </is>
      </c>
      <c r="F3569" t="inlineStr">
        <is>
          <t>SCA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8050-2025</t>
        </is>
      </c>
      <c r="B3570" s="1" t="n">
        <v>45706</v>
      </c>
      <c r="C3570" s="1" t="n">
        <v>45749</v>
      </c>
      <c r="D3570" t="inlineStr">
        <is>
          <t>JÄMTLANDS LÄN</t>
        </is>
      </c>
      <c r="E3570" t="inlineStr">
        <is>
          <t>STRÖMSUND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7999-2025</t>
        </is>
      </c>
      <c r="B3571" s="1" t="n">
        <v>45706</v>
      </c>
      <c r="C3571" s="1" t="n">
        <v>45749</v>
      </c>
      <c r="D3571" t="inlineStr">
        <is>
          <t>JÄMTLANDS LÄN</t>
        </is>
      </c>
      <c r="E3571" t="inlineStr">
        <is>
          <t>STRÖMSUND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8480-2025</t>
        </is>
      </c>
      <c r="B3572" s="1" t="n">
        <v>45706</v>
      </c>
      <c r="C3572" s="1" t="n">
        <v>45749</v>
      </c>
      <c r="D3572" t="inlineStr">
        <is>
          <t>JÄMTLANDS LÄN</t>
        </is>
      </c>
      <c r="E3572" t="inlineStr">
        <is>
          <t>STRÖMSUND</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8014-2025</t>
        </is>
      </c>
      <c r="B3573" s="1" t="n">
        <v>45707</v>
      </c>
      <c r="C3573" s="1" t="n">
        <v>45749</v>
      </c>
      <c r="D3573" t="inlineStr">
        <is>
          <t>JÄMTLANDS LÄN</t>
        </is>
      </c>
      <c r="E3573" t="inlineStr">
        <is>
          <t>STRÖMSUND</t>
        </is>
      </c>
      <c r="F3573" t="inlineStr">
        <is>
          <t>SCA</t>
        </is>
      </c>
      <c r="G3573" t="n">
        <v>26.6</v>
      </c>
      <c r="H3573" t="n">
        <v>0</v>
      </c>
      <c r="I3573" t="n">
        <v>0</v>
      </c>
      <c r="J3573" t="n">
        <v>0</v>
      </c>
      <c r="K3573" t="n">
        <v>0</v>
      </c>
      <c r="L3573" t="n">
        <v>0</v>
      </c>
      <c r="M3573" t="n">
        <v>0</v>
      </c>
      <c r="N3573" t="n">
        <v>0</v>
      </c>
      <c r="O3573" t="n">
        <v>0</v>
      </c>
      <c r="P3573" t="n">
        <v>0</v>
      </c>
      <c r="Q3573" t="n">
        <v>0</v>
      </c>
      <c r="R3573" s="2" t="inlineStr"/>
    </row>
    <row r="3574" ht="15" customHeight="1">
      <c r="A3574" t="inlineStr">
        <is>
          <t>A 7964-2025</t>
        </is>
      </c>
      <c r="B3574" s="1" t="n">
        <v>45707</v>
      </c>
      <c r="C3574" s="1" t="n">
        <v>45749</v>
      </c>
      <c r="D3574" t="inlineStr">
        <is>
          <t>JÄMTLANDS LÄN</t>
        </is>
      </c>
      <c r="E3574" t="inlineStr">
        <is>
          <t>STRÖMSUND</t>
        </is>
      </c>
      <c r="F3574" t="inlineStr">
        <is>
          <t>SCA</t>
        </is>
      </c>
      <c r="G3574" t="n">
        <v>12.4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45749</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45749</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8325-2025</t>
        </is>
      </c>
      <c r="B3577" s="1" t="n">
        <v>45708</v>
      </c>
      <c r="C3577" s="1" t="n">
        <v>45749</v>
      </c>
      <c r="D3577" t="inlineStr">
        <is>
          <t>JÄMTLANDS LÄN</t>
        </is>
      </c>
      <c r="E3577" t="inlineStr">
        <is>
          <t>STRÖMSUND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8326-2025</t>
        </is>
      </c>
      <c r="B3578" s="1" t="n">
        <v>45708</v>
      </c>
      <c r="C3578" s="1" t="n">
        <v>45749</v>
      </c>
      <c r="D3578" t="inlineStr">
        <is>
          <t>JÄMTLANDS LÄN</t>
        </is>
      </c>
      <c r="E3578" t="inlineStr">
        <is>
          <t>STRÖMSUND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8158-2025</t>
        </is>
      </c>
      <c r="B3579" s="1" t="n">
        <v>45708</v>
      </c>
      <c r="C3579" s="1" t="n">
        <v>45749</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8327-2025</t>
        </is>
      </c>
      <c r="B3580" s="1" t="n">
        <v>45708</v>
      </c>
      <c r="C3580" s="1" t="n">
        <v>45749</v>
      </c>
      <c r="D3580" t="inlineStr">
        <is>
          <t>JÄMTLANDS LÄN</t>
        </is>
      </c>
      <c r="E3580" t="inlineStr">
        <is>
          <t>STRÖMSUND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8495-2025</t>
        </is>
      </c>
      <c r="B3581" s="1" t="n">
        <v>45709</v>
      </c>
      <c r="C3581" s="1" t="n">
        <v>45749</v>
      </c>
      <c r="D3581" t="inlineStr">
        <is>
          <t>JÄMTLANDS LÄN</t>
        </is>
      </c>
      <c r="E3581" t="inlineStr">
        <is>
          <t>STRÖMSUND</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8660-2025</t>
        </is>
      </c>
      <c r="B3582" s="1" t="n">
        <v>45712</v>
      </c>
      <c r="C3582" s="1" t="n">
        <v>45749</v>
      </c>
      <c r="D3582" t="inlineStr">
        <is>
          <t>JÄMTLANDS LÄN</t>
        </is>
      </c>
      <c r="E3582" t="inlineStr">
        <is>
          <t>STRÖMSUND</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45749</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8808-2025</t>
        </is>
      </c>
      <c r="B3584" s="1" t="n">
        <v>45712</v>
      </c>
      <c r="C3584" s="1" t="n">
        <v>45749</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8812-2025</t>
        </is>
      </c>
      <c r="B3585" s="1" t="n">
        <v>45712</v>
      </c>
      <c r="C3585" s="1" t="n">
        <v>45749</v>
      </c>
      <c r="D3585" t="inlineStr">
        <is>
          <t>JÄMTLANDS LÄN</t>
        </is>
      </c>
      <c r="E3585" t="inlineStr">
        <is>
          <t>STRÖMSUND</t>
        </is>
      </c>
      <c r="F3585" t="inlineStr">
        <is>
          <t>Kyrkan</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8758-2025</t>
        </is>
      </c>
      <c r="B3586" s="1" t="n">
        <v>45712</v>
      </c>
      <c r="C3586" s="1" t="n">
        <v>45749</v>
      </c>
      <c r="D3586" t="inlineStr">
        <is>
          <t>JÄMTLANDS LÄN</t>
        </is>
      </c>
      <c r="E3586" t="inlineStr">
        <is>
          <t>STRÖMSUND</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8756-2025</t>
        </is>
      </c>
      <c r="B3587" s="1" t="n">
        <v>45712</v>
      </c>
      <c r="C3587" s="1" t="n">
        <v>45749</v>
      </c>
      <c r="D3587" t="inlineStr">
        <is>
          <t>JÄMTLANDS LÄN</t>
        </is>
      </c>
      <c r="E3587" t="inlineStr">
        <is>
          <t>STRÖMSUND</t>
        </is>
      </c>
      <c r="F3587" t="inlineStr">
        <is>
          <t>SCA</t>
        </is>
      </c>
      <c r="G3587" t="n">
        <v>27.9</v>
      </c>
      <c r="H3587" t="n">
        <v>0</v>
      </c>
      <c r="I3587" t="n">
        <v>0</v>
      </c>
      <c r="J3587" t="n">
        <v>0</v>
      </c>
      <c r="K3587" t="n">
        <v>0</v>
      </c>
      <c r="L3587" t="n">
        <v>0</v>
      </c>
      <c r="M3587" t="n">
        <v>0</v>
      </c>
      <c r="N3587" t="n">
        <v>0</v>
      </c>
      <c r="O3587" t="n">
        <v>0</v>
      </c>
      <c r="P3587" t="n">
        <v>0</v>
      </c>
      <c r="Q3587" t="n">
        <v>0</v>
      </c>
      <c r="R3587" s="2" t="inlineStr"/>
    </row>
    <row r="3588" ht="15" customHeight="1">
      <c r="A3588" t="inlineStr">
        <is>
          <t>A 8720-2025</t>
        </is>
      </c>
      <c r="B3588" s="1" t="n">
        <v>45712</v>
      </c>
      <c r="C3588" s="1" t="n">
        <v>45749</v>
      </c>
      <c r="D3588" t="inlineStr">
        <is>
          <t>JÄMTLANDS LÄN</t>
        </is>
      </c>
      <c r="E3588" t="inlineStr">
        <is>
          <t>STRÖMSUND</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9008-2025</t>
        </is>
      </c>
      <c r="B3589" s="1" t="n">
        <v>45713</v>
      </c>
      <c r="C3589" s="1" t="n">
        <v>45749</v>
      </c>
      <c r="D3589" t="inlineStr">
        <is>
          <t>JÄMTLANDS LÄN</t>
        </is>
      </c>
      <c r="E3589" t="inlineStr">
        <is>
          <t>STRÖMSUND</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45749</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9234-2025</t>
        </is>
      </c>
      <c r="B3591" s="1" t="n">
        <v>45714</v>
      </c>
      <c r="C3591" s="1" t="n">
        <v>45749</v>
      </c>
      <c r="D3591" t="inlineStr">
        <is>
          <t>JÄMTLANDS LÄN</t>
        </is>
      </c>
      <c r="E3591" t="inlineStr">
        <is>
          <t>STRÖMSUND</t>
        </is>
      </c>
      <c r="F3591" t="inlineStr">
        <is>
          <t>SCA</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9258-2025</t>
        </is>
      </c>
      <c r="B3592" s="1" t="n">
        <v>45714</v>
      </c>
      <c r="C3592" s="1" t="n">
        <v>45749</v>
      </c>
      <c r="D3592" t="inlineStr">
        <is>
          <t>JÄMTLANDS LÄN</t>
        </is>
      </c>
      <c r="E3592" t="inlineStr">
        <is>
          <t>STRÖMSUND</t>
        </is>
      </c>
      <c r="F3592" t="inlineStr">
        <is>
          <t>SCA</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9318-2025</t>
        </is>
      </c>
      <c r="B3593" s="1" t="n">
        <v>45714</v>
      </c>
      <c r="C3593" s="1" t="n">
        <v>45749</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9257-2025</t>
        </is>
      </c>
      <c r="B3594" s="1" t="n">
        <v>45714</v>
      </c>
      <c r="C3594" s="1" t="n">
        <v>45749</v>
      </c>
      <c r="D3594" t="inlineStr">
        <is>
          <t>JÄMTLANDS LÄN</t>
        </is>
      </c>
      <c r="E3594" t="inlineStr">
        <is>
          <t>STRÖMSUND</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9390-2025</t>
        </is>
      </c>
      <c r="B3595" s="1" t="n">
        <v>45714</v>
      </c>
      <c r="C3595" s="1" t="n">
        <v>45749</v>
      </c>
      <c r="D3595" t="inlineStr">
        <is>
          <t>JÄMTLANDS LÄN</t>
        </is>
      </c>
      <c r="E3595" t="inlineStr">
        <is>
          <t>STRÖMSUND</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9631-2025</t>
        </is>
      </c>
      <c r="B3596" s="1" t="n">
        <v>45715</v>
      </c>
      <c r="C3596" s="1" t="n">
        <v>45749</v>
      </c>
      <c r="D3596" t="inlineStr">
        <is>
          <t>JÄMTLANDS LÄN</t>
        </is>
      </c>
      <c r="E3596" t="inlineStr">
        <is>
          <t>STRÖMSUND</t>
        </is>
      </c>
      <c r="F3596" t="inlineStr">
        <is>
          <t>SCA</t>
        </is>
      </c>
      <c r="G3596" t="n">
        <v>19.3</v>
      </c>
      <c r="H3596" t="n">
        <v>0</v>
      </c>
      <c r="I3596" t="n">
        <v>0</v>
      </c>
      <c r="J3596" t="n">
        <v>0</v>
      </c>
      <c r="K3596" t="n">
        <v>0</v>
      </c>
      <c r="L3596" t="n">
        <v>0</v>
      </c>
      <c r="M3596" t="n">
        <v>0</v>
      </c>
      <c r="N3596" t="n">
        <v>0</v>
      </c>
      <c r="O3596" t="n">
        <v>0</v>
      </c>
      <c r="P3596" t="n">
        <v>0</v>
      </c>
      <c r="Q3596" t="n">
        <v>0</v>
      </c>
      <c r="R3596" s="2" t="inlineStr"/>
    </row>
    <row r="3597" ht="15" customHeight="1">
      <c r="A3597" t="inlineStr">
        <is>
          <t>A 9798-2025</t>
        </is>
      </c>
      <c r="B3597" s="1" t="n">
        <v>45716</v>
      </c>
      <c r="C3597" s="1" t="n">
        <v>45749</v>
      </c>
      <c r="D3597" t="inlineStr">
        <is>
          <t>JÄMTLANDS LÄN</t>
        </is>
      </c>
      <c r="E3597" t="inlineStr">
        <is>
          <t>STRÖMSUND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9799-2025</t>
        </is>
      </c>
      <c r="B3598" s="1" t="n">
        <v>45716</v>
      </c>
      <c r="C3598" s="1" t="n">
        <v>45749</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9797-2025</t>
        </is>
      </c>
      <c r="B3599" s="1" t="n">
        <v>45716</v>
      </c>
      <c r="C3599" s="1" t="n">
        <v>45749</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45749</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45749</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45749</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10089-2025</t>
        </is>
      </c>
      <c r="B3603" s="1" t="n">
        <v>45719</v>
      </c>
      <c r="C3603" s="1" t="n">
        <v>45749</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10091-2025</t>
        </is>
      </c>
      <c r="B3604" s="1" t="n">
        <v>45719</v>
      </c>
      <c r="C3604" s="1" t="n">
        <v>45749</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9949-2025</t>
        </is>
      </c>
      <c r="B3605" s="1" t="n">
        <v>45719</v>
      </c>
      <c r="C3605" s="1" t="n">
        <v>45749</v>
      </c>
      <c r="D3605" t="inlineStr">
        <is>
          <t>JÄMTLANDS LÄN</t>
        </is>
      </c>
      <c r="E3605" t="inlineStr">
        <is>
          <t>STRÖMSUND</t>
        </is>
      </c>
      <c r="F3605" t="inlineStr">
        <is>
          <t>Holmen skog AB</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10047-2025</t>
        </is>
      </c>
      <c r="B3606" s="1" t="n">
        <v>45719</v>
      </c>
      <c r="C3606" s="1" t="n">
        <v>45749</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9956-2025</t>
        </is>
      </c>
      <c r="B3607" s="1" t="n">
        <v>45719</v>
      </c>
      <c r="C3607" s="1" t="n">
        <v>45749</v>
      </c>
      <c r="D3607" t="inlineStr">
        <is>
          <t>JÄMTLANDS LÄN</t>
        </is>
      </c>
      <c r="E3607" t="inlineStr">
        <is>
          <t>STRÖMSUND</t>
        </is>
      </c>
      <c r="F3607" t="inlineStr">
        <is>
          <t>Holmen skog AB</t>
        </is>
      </c>
      <c r="G3607" t="n">
        <v>21.4</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45749</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10016-2025</t>
        </is>
      </c>
      <c r="B3609" s="1" t="n">
        <v>45719</v>
      </c>
      <c r="C3609" s="1" t="n">
        <v>45749</v>
      </c>
      <c r="D3609" t="inlineStr">
        <is>
          <t>JÄMTLANDS LÄN</t>
        </is>
      </c>
      <c r="E3609" t="inlineStr">
        <is>
          <t>STRÖMSUND</t>
        </is>
      </c>
      <c r="F3609" t="inlineStr">
        <is>
          <t>SCA</t>
        </is>
      </c>
      <c r="G3609" t="n">
        <v>14.3</v>
      </c>
      <c r="H3609" t="n">
        <v>0</v>
      </c>
      <c r="I3609" t="n">
        <v>0</v>
      </c>
      <c r="J3609" t="n">
        <v>0</v>
      </c>
      <c r="K3609" t="n">
        <v>0</v>
      </c>
      <c r="L3609" t="n">
        <v>0</v>
      </c>
      <c r="M3609" t="n">
        <v>0</v>
      </c>
      <c r="N3609" t="n">
        <v>0</v>
      </c>
      <c r="O3609" t="n">
        <v>0</v>
      </c>
      <c r="P3609" t="n">
        <v>0</v>
      </c>
      <c r="Q3609" t="n">
        <v>0</v>
      </c>
      <c r="R3609" s="2" t="inlineStr"/>
    </row>
    <row r="3610" ht="15" customHeight="1">
      <c r="A3610" t="inlineStr">
        <is>
          <t>A 10092-2025</t>
        </is>
      </c>
      <c r="B3610" s="1" t="n">
        <v>45719</v>
      </c>
      <c r="C3610" s="1" t="n">
        <v>45749</v>
      </c>
      <c r="D3610" t="inlineStr">
        <is>
          <t>JÄMTLANDS LÄN</t>
        </is>
      </c>
      <c r="E3610" t="inlineStr">
        <is>
          <t>STRÖMSUND</t>
        </is>
      </c>
      <c r="G3610" t="n">
        <v>59.9</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45749</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10443-2025</t>
        </is>
      </c>
      <c r="B3612" s="1" t="n">
        <v>45720</v>
      </c>
      <c r="C3612" s="1" t="n">
        <v>45749</v>
      </c>
      <c r="D3612" t="inlineStr">
        <is>
          <t>JÄMTLANDS LÄN</t>
        </is>
      </c>
      <c r="E3612" t="inlineStr">
        <is>
          <t>STRÖMSUND</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45749</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10429-2025</t>
        </is>
      </c>
      <c r="B3614" s="1" t="n">
        <v>45720</v>
      </c>
      <c r="C3614" s="1" t="n">
        <v>45749</v>
      </c>
      <c r="D3614" t="inlineStr">
        <is>
          <t>JÄMTLANDS LÄN</t>
        </is>
      </c>
      <c r="E3614" t="inlineStr">
        <is>
          <t>STRÖMSUND</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45749</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45749</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45749</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45749</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45749</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45749</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10927-2025</t>
        </is>
      </c>
      <c r="B3621" s="1" t="n">
        <v>45722</v>
      </c>
      <c r="C3621" s="1" t="n">
        <v>45749</v>
      </c>
      <c r="D3621" t="inlineStr">
        <is>
          <t>JÄMTLANDS LÄN</t>
        </is>
      </c>
      <c r="E3621" t="inlineStr">
        <is>
          <t>STRÖMSUND</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10864-2025</t>
        </is>
      </c>
      <c r="B3622" s="1" t="n">
        <v>45722</v>
      </c>
      <c r="C3622" s="1" t="n">
        <v>45749</v>
      </c>
      <c r="D3622" t="inlineStr">
        <is>
          <t>JÄMTLANDS LÄN</t>
        </is>
      </c>
      <c r="E3622" t="inlineStr">
        <is>
          <t>STRÖMSUND</t>
        </is>
      </c>
      <c r="F3622" t="inlineStr">
        <is>
          <t>SCA</t>
        </is>
      </c>
      <c r="G3622" t="n">
        <v>21.1</v>
      </c>
      <c r="H3622" t="n">
        <v>0</v>
      </c>
      <c r="I3622" t="n">
        <v>0</v>
      </c>
      <c r="J3622" t="n">
        <v>0</v>
      </c>
      <c r="K3622" t="n">
        <v>0</v>
      </c>
      <c r="L3622" t="n">
        <v>0</v>
      </c>
      <c r="M3622" t="n">
        <v>0</v>
      </c>
      <c r="N3622" t="n">
        <v>0</v>
      </c>
      <c r="O3622" t="n">
        <v>0</v>
      </c>
      <c r="P3622" t="n">
        <v>0</v>
      </c>
      <c r="Q3622" t="n">
        <v>0</v>
      </c>
      <c r="R3622" s="2" t="inlineStr"/>
    </row>
    <row r="3623" ht="15" customHeight="1">
      <c r="A3623" t="inlineStr">
        <is>
          <t>A 10857-2025</t>
        </is>
      </c>
      <c r="B3623" s="1" t="n">
        <v>45722</v>
      </c>
      <c r="C3623" s="1" t="n">
        <v>45749</v>
      </c>
      <c r="D3623" t="inlineStr">
        <is>
          <t>JÄMTLANDS LÄN</t>
        </is>
      </c>
      <c r="E3623" t="inlineStr">
        <is>
          <t>STRÖMSUND</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45749</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45749</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11157-2025</t>
        </is>
      </c>
      <c r="B3626" s="1" t="n">
        <v>45723</v>
      </c>
      <c r="C3626" s="1" t="n">
        <v>45749</v>
      </c>
      <c r="D3626" t="inlineStr">
        <is>
          <t>JÄMTLANDS LÄN</t>
        </is>
      </c>
      <c r="E3626" t="inlineStr">
        <is>
          <t>STRÖMSUND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10951-2025</t>
        </is>
      </c>
      <c r="B3627" s="1" t="n">
        <v>45723</v>
      </c>
      <c r="C3627" s="1" t="n">
        <v>45749</v>
      </c>
      <c r="D3627" t="inlineStr">
        <is>
          <t>JÄMTLANDS LÄN</t>
        </is>
      </c>
      <c r="E3627" t="inlineStr">
        <is>
          <t>STRÖMSUND</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45749</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45749</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45749</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45749</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45749</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45749</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45749</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45749</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45749</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45749</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12175-2025</t>
        </is>
      </c>
      <c r="B3638" s="1" t="n">
        <v>45729</v>
      </c>
      <c r="C3638" s="1" t="n">
        <v>45749</v>
      </c>
      <c r="D3638" t="inlineStr">
        <is>
          <t>JÄMTLANDS LÄN</t>
        </is>
      </c>
      <c r="E3638" t="inlineStr">
        <is>
          <t>STRÖMSUND</t>
        </is>
      </c>
      <c r="F3638" t="inlineStr">
        <is>
          <t>SCA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12099-2025</t>
        </is>
      </c>
      <c r="B3639" s="1" t="n">
        <v>45729</v>
      </c>
      <c r="C3639" s="1" t="n">
        <v>45749</v>
      </c>
      <c r="D3639" t="inlineStr">
        <is>
          <t>JÄMTLANDS LÄN</t>
        </is>
      </c>
      <c r="E3639" t="inlineStr">
        <is>
          <t>STRÖMSUND</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12265-2025</t>
        </is>
      </c>
      <c r="B3640" s="1" t="n">
        <v>45729</v>
      </c>
      <c r="C3640" s="1" t="n">
        <v>45749</v>
      </c>
      <c r="D3640" t="inlineStr">
        <is>
          <t>JÄMTLANDS LÄN</t>
        </is>
      </c>
      <c r="E3640" t="inlineStr">
        <is>
          <t>STRÖMSUND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12097-2025</t>
        </is>
      </c>
      <c r="B3641" s="1" t="n">
        <v>45729</v>
      </c>
      <c r="C3641" s="1" t="n">
        <v>45749</v>
      </c>
      <c r="D3641" t="inlineStr">
        <is>
          <t>JÄMTLANDS LÄN</t>
        </is>
      </c>
      <c r="E3641" t="inlineStr">
        <is>
          <t>STRÖMSUND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12201-2025</t>
        </is>
      </c>
      <c r="B3642" s="1" t="n">
        <v>45729</v>
      </c>
      <c r="C3642" s="1" t="n">
        <v>45749</v>
      </c>
      <c r="D3642" t="inlineStr">
        <is>
          <t>JÄMTLANDS LÄN</t>
        </is>
      </c>
      <c r="E3642" t="inlineStr">
        <is>
          <t>STRÖMSUND</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45749</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12835-2025</t>
        </is>
      </c>
      <c r="B3644" s="1" t="n">
        <v>45733</v>
      </c>
      <c r="C3644" s="1" t="n">
        <v>45749</v>
      </c>
      <c r="D3644" t="inlineStr">
        <is>
          <t>JÄMTLANDS LÄN</t>
        </is>
      </c>
      <c r="E3644" t="inlineStr">
        <is>
          <t>STRÖMSUND</t>
        </is>
      </c>
      <c r="F3644" t="inlineStr">
        <is>
          <t>SCA</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12641-2025</t>
        </is>
      </c>
      <c r="B3645" s="1" t="n">
        <v>45733</v>
      </c>
      <c r="C3645" s="1" t="n">
        <v>45749</v>
      </c>
      <c r="D3645" t="inlineStr">
        <is>
          <t>JÄMTLANDS LÄN</t>
        </is>
      </c>
      <c r="E3645" t="inlineStr">
        <is>
          <t>STRÖMSUND</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12885-2025</t>
        </is>
      </c>
      <c r="B3646" s="1" t="n">
        <v>45733</v>
      </c>
      <c r="C3646" s="1" t="n">
        <v>45749</v>
      </c>
      <c r="D3646" t="inlineStr">
        <is>
          <t>JÄMTLANDS LÄN</t>
        </is>
      </c>
      <c r="E3646" t="inlineStr">
        <is>
          <t>STRÖMSUND</t>
        </is>
      </c>
      <c r="F3646" t="inlineStr">
        <is>
          <t>SCA</t>
        </is>
      </c>
      <c r="G3646" t="n">
        <v>8.699999999999999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12870-2025</t>
        </is>
      </c>
      <c r="B3647" s="1" t="n">
        <v>45733</v>
      </c>
      <c r="C3647" s="1" t="n">
        <v>45749</v>
      </c>
      <c r="D3647" t="inlineStr">
        <is>
          <t>JÄMTLANDS LÄN</t>
        </is>
      </c>
      <c r="E3647" t="inlineStr">
        <is>
          <t>STRÖMSUND</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45749</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45749</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13053-2025</t>
        </is>
      </c>
      <c r="B3650" s="1" t="n">
        <v>45734</v>
      </c>
      <c r="C3650" s="1" t="n">
        <v>45749</v>
      </c>
      <c r="D3650" t="inlineStr">
        <is>
          <t>JÄMTLANDS LÄN</t>
        </is>
      </c>
      <c r="E3650" t="inlineStr">
        <is>
          <t>STRÖMSUND</t>
        </is>
      </c>
      <c r="F3650" t="inlineStr">
        <is>
          <t>SCA</t>
        </is>
      </c>
      <c r="G3650" t="n">
        <v>13.2</v>
      </c>
      <c r="H3650" t="n">
        <v>0</v>
      </c>
      <c r="I3650" t="n">
        <v>0</v>
      </c>
      <c r="J3650" t="n">
        <v>0</v>
      </c>
      <c r="K3650" t="n">
        <v>0</v>
      </c>
      <c r="L3650" t="n">
        <v>0</v>
      </c>
      <c r="M3650" t="n">
        <v>0</v>
      </c>
      <c r="N3650" t="n">
        <v>0</v>
      </c>
      <c r="O3650" t="n">
        <v>0</v>
      </c>
      <c r="P3650" t="n">
        <v>0</v>
      </c>
      <c r="Q3650" t="n">
        <v>0</v>
      </c>
      <c r="R3650" s="2" t="inlineStr"/>
    </row>
    <row r="3651" ht="15" customHeight="1">
      <c r="A3651" t="inlineStr">
        <is>
          <t>A 13022-2025</t>
        </is>
      </c>
      <c r="B3651" s="1" t="n">
        <v>45734</v>
      </c>
      <c r="C3651" s="1" t="n">
        <v>45749</v>
      </c>
      <c r="D3651" t="inlineStr">
        <is>
          <t>JÄMTLANDS LÄN</t>
        </is>
      </c>
      <c r="E3651" t="inlineStr">
        <is>
          <t>STRÖMSUND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13054-2025</t>
        </is>
      </c>
      <c r="B3652" s="1" t="n">
        <v>45734</v>
      </c>
      <c r="C3652" s="1" t="n">
        <v>45749</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13146-2025</t>
        </is>
      </c>
      <c r="B3653" s="1" t="n">
        <v>45734</v>
      </c>
      <c r="C3653" s="1" t="n">
        <v>45749</v>
      </c>
      <c r="D3653" t="inlineStr">
        <is>
          <t>JÄMTLANDS LÄN</t>
        </is>
      </c>
      <c r="E3653" t="inlineStr">
        <is>
          <t>STRÖMSUND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45749</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45749</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45749</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45749</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45749</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13777-2025</t>
        </is>
      </c>
      <c r="B3659" s="1" t="n">
        <v>45736</v>
      </c>
      <c r="C3659" s="1" t="n">
        <v>45749</v>
      </c>
      <c r="D3659" t="inlineStr">
        <is>
          <t>JÄMTLANDS LÄN</t>
        </is>
      </c>
      <c r="E3659" t="inlineStr">
        <is>
          <t>STRÖMSUND</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13522-2025</t>
        </is>
      </c>
      <c r="B3660" s="1" t="n">
        <v>45736</v>
      </c>
      <c r="C3660" s="1" t="n">
        <v>45749</v>
      </c>
      <c r="D3660" t="inlineStr">
        <is>
          <t>JÄMTLANDS LÄN</t>
        </is>
      </c>
      <c r="E3660" t="inlineStr">
        <is>
          <t>STRÖMSUND</t>
        </is>
      </c>
      <c r="F3660" t="inlineStr">
        <is>
          <t>SCA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45749</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45749</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45749</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45749</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45749</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45749</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45749</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45749</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45749</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45749</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45749</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45749</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14931-2025</t>
        </is>
      </c>
      <c r="B3673" s="1" t="n">
        <v>45743</v>
      </c>
      <c r="C3673" s="1" t="n">
        <v>45749</v>
      </c>
      <c r="D3673" t="inlineStr">
        <is>
          <t>JÄMTLANDS LÄN</t>
        </is>
      </c>
      <c r="E3673" t="inlineStr">
        <is>
          <t>STRÖMSUND</t>
        </is>
      </c>
      <c r="F3673" t="inlineStr">
        <is>
          <t>SCA</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14886-2025</t>
        </is>
      </c>
      <c r="B3674" s="1" t="n">
        <v>45743</v>
      </c>
      <c r="C3674" s="1" t="n">
        <v>45749</v>
      </c>
      <c r="D3674" t="inlineStr">
        <is>
          <t>JÄMTLANDS LÄN</t>
        </is>
      </c>
      <c r="E3674" t="inlineStr">
        <is>
          <t>STRÖMSUND</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14830-2025</t>
        </is>
      </c>
      <c r="B3675" s="1" t="n">
        <v>45743</v>
      </c>
      <c r="C3675" s="1" t="n">
        <v>45749</v>
      </c>
      <c r="D3675" t="inlineStr">
        <is>
          <t>JÄMTLANDS LÄN</t>
        </is>
      </c>
      <c r="E3675" t="inlineStr">
        <is>
          <t>STRÖMSUND</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15027-2025</t>
        </is>
      </c>
      <c r="B3676" s="1" t="n">
        <v>45743</v>
      </c>
      <c r="C3676" s="1" t="n">
        <v>45749</v>
      </c>
      <c r="D3676" t="inlineStr">
        <is>
          <t>JÄMTLANDS LÄN</t>
        </is>
      </c>
      <c r="E3676" t="inlineStr">
        <is>
          <t>STRÖMSUND</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14814-2025</t>
        </is>
      </c>
      <c r="B3677" s="1" t="n">
        <v>45743</v>
      </c>
      <c r="C3677" s="1" t="n">
        <v>45749</v>
      </c>
      <c r="D3677" t="inlineStr">
        <is>
          <t>JÄMTLANDS LÄN</t>
        </is>
      </c>
      <c r="E3677" t="inlineStr">
        <is>
          <t>STRÖMSUND</t>
        </is>
      </c>
      <c r="F3677" t="inlineStr">
        <is>
          <t>SCA</t>
        </is>
      </c>
      <c r="G3677" t="n">
        <v>20.6</v>
      </c>
      <c r="H3677" t="n">
        <v>0</v>
      </c>
      <c r="I3677" t="n">
        <v>0</v>
      </c>
      <c r="J3677" t="n">
        <v>0</v>
      </c>
      <c r="K3677" t="n">
        <v>0</v>
      </c>
      <c r="L3677" t="n">
        <v>0</v>
      </c>
      <c r="M3677" t="n">
        <v>0</v>
      </c>
      <c r="N3677" t="n">
        <v>0</v>
      </c>
      <c r="O3677" t="n">
        <v>0</v>
      </c>
      <c r="P3677" t="n">
        <v>0</v>
      </c>
      <c r="Q3677" t="n">
        <v>0</v>
      </c>
      <c r="R3677" s="2" t="inlineStr"/>
    </row>
    <row r="3678" ht="15" customHeight="1">
      <c r="A3678" t="inlineStr">
        <is>
          <t>A 14928-2025</t>
        </is>
      </c>
      <c r="B3678" s="1" t="n">
        <v>45743</v>
      </c>
      <c r="C3678" s="1" t="n">
        <v>45749</v>
      </c>
      <c r="D3678" t="inlineStr">
        <is>
          <t>JÄMTLANDS LÄN</t>
        </is>
      </c>
      <c r="E3678" t="inlineStr">
        <is>
          <t>STRÖMSUND</t>
        </is>
      </c>
      <c r="F3678" t="inlineStr">
        <is>
          <t>SCA</t>
        </is>
      </c>
      <c r="G3678" t="n">
        <v>12.2</v>
      </c>
      <c r="H3678" t="n">
        <v>0</v>
      </c>
      <c r="I3678" t="n">
        <v>0</v>
      </c>
      <c r="J3678" t="n">
        <v>0</v>
      </c>
      <c r="K3678" t="n">
        <v>0</v>
      </c>
      <c r="L3678" t="n">
        <v>0</v>
      </c>
      <c r="M3678" t="n">
        <v>0</v>
      </c>
      <c r="N3678" t="n">
        <v>0</v>
      </c>
      <c r="O3678" t="n">
        <v>0</v>
      </c>
      <c r="P3678" t="n">
        <v>0</v>
      </c>
      <c r="Q3678" t="n">
        <v>0</v>
      </c>
      <c r="R3678" s="2" t="inlineStr"/>
    </row>
    <row r="3679" ht="15" customHeight="1">
      <c r="A3679" t="inlineStr">
        <is>
          <t>A 15026-2025</t>
        </is>
      </c>
      <c r="B3679" s="1" t="n">
        <v>45743</v>
      </c>
      <c r="C3679" s="1" t="n">
        <v>45749</v>
      </c>
      <c r="D3679" t="inlineStr">
        <is>
          <t>JÄMTLANDS LÄN</t>
        </is>
      </c>
      <c r="E3679" t="inlineStr">
        <is>
          <t>STRÖMSUND</t>
        </is>
      </c>
      <c r="F3679" t="inlineStr">
        <is>
          <t>SCA</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45749</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15134-2025</t>
        </is>
      </c>
      <c r="B3681" s="1" t="n">
        <v>45744</v>
      </c>
      <c r="C3681" s="1" t="n">
        <v>45749</v>
      </c>
      <c r="D3681" t="inlineStr">
        <is>
          <t>JÄMTLANDS LÄN</t>
        </is>
      </c>
      <c r="E3681" t="inlineStr">
        <is>
          <t>STRÖMSUND</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15183-2025</t>
        </is>
      </c>
      <c r="B3682" s="1" t="n">
        <v>45744</v>
      </c>
      <c r="C3682" s="1" t="n">
        <v>45749</v>
      </c>
      <c r="D3682" t="inlineStr">
        <is>
          <t>JÄMTLANDS LÄN</t>
        </is>
      </c>
      <c r="E3682" t="inlineStr">
        <is>
          <t>STRÖMSUND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45749</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45749</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15783-2025</t>
        </is>
      </c>
      <c r="B3685" s="1" t="n">
        <v>45748</v>
      </c>
      <c r="C3685" s="1" t="n">
        <v>45749</v>
      </c>
      <c r="D3685" t="inlineStr">
        <is>
          <t>JÄMTLANDS LÄN</t>
        </is>
      </c>
      <c r="E3685" t="inlineStr">
        <is>
          <t>STRÖMSUND</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45749</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c r="A3687" t="inlineStr">
        <is>
          <t>A 15789-2025</t>
        </is>
      </c>
      <c r="B3687" s="1" t="n">
        <v>45748</v>
      </c>
      <c r="C3687" s="1" t="n">
        <v>45749</v>
      </c>
      <c r="D3687" t="inlineStr">
        <is>
          <t>JÄMTLANDS LÄN</t>
        </is>
      </c>
      <c r="E3687" t="inlineStr">
        <is>
          <t>STRÖMSUND</t>
        </is>
      </c>
      <c r="F3687" t="inlineStr">
        <is>
          <t>SCA</t>
        </is>
      </c>
      <c r="G3687" t="n">
        <v>25.5</v>
      </c>
      <c r="H3687" t="n">
        <v>0</v>
      </c>
      <c r="I3687" t="n">
        <v>0</v>
      </c>
      <c r="J3687" t="n">
        <v>0</v>
      </c>
      <c r="K3687" t="n">
        <v>0</v>
      </c>
      <c r="L3687" t="n">
        <v>0</v>
      </c>
      <c r="M3687" t="n">
        <v>0</v>
      </c>
      <c r="N3687" t="n">
        <v>0</v>
      </c>
      <c r="O3687" t="n">
        <v>0</v>
      </c>
      <c r="P3687" t="n">
        <v>0</v>
      </c>
      <c r="Q3687" t="n">
        <v>0</v>
      </c>
      <c r="R3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2025-04-02T17:09:14Z</dcterms:created>
  <dcterms:modified xmlns:dcterms="http://purl.org/dc/terms/" xmlns:xsi="http://www.w3.org/2001/XMLSchema-instance" xsi:type="dcterms:W3CDTF">2025-04-02T17:09:17Z</dcterms:modified>
</cp:coreProperties>
</file>