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45688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45688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45688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45688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45688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45688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45688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45688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45688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45688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45688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45688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45688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45688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45688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45688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45688</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45688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45688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45688</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45688</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45688</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45688</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45688</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45688</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45688</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45688</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45688</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45688</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45688</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45688</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45688</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45688</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45688</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45688</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45688</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45688</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45688</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45688</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45688</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45688</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45688</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45688</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45688</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45688</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45688</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45688</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45688</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45688</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45688</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45688</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45688</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45688</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45688</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45688</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45688</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45688</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45688</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45688</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45688</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45688</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45688</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45688</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45688</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45688</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45688</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45688</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45688</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45688</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45688</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45688</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45688</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45688</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45688</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45688</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45688</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45688</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45688</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45688</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45688</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45688</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45688</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45688</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45688</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45688</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45688</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45688</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45688</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45688</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45688</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45688</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45688</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45688</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45688</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45688</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45688</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45688</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45688</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45688</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45688</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45688</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45688</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45688</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45688</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45688</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45688</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45688</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45688</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45688</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45688</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45688</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45688</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45688</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45688</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45688</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45688</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45688</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45688</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45688</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45688</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45688</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45688</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45688</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45688</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45688</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45688</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45688</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45688</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45688</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45688</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45688</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45688</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45688</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45688</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45688</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45688</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45688</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45688</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45688</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45688</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45688</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45688</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45688</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45688</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45688</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45688</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45688</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45688</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45688</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45688</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45688</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45688</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45688</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45688</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45688</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45688</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45688</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45688</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45688</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45688</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45688</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45688</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45688</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45688</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45688</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45688</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45688</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45688</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45688</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45688</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45688</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45688</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45688</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45688</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45688</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45688</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45688</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45688</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45688</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45688</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45688</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45688</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45688</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45688</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45688</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45688</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45688</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45688</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45688</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45688</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45688</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45688</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45688</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45688</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45688</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45688</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45688</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45688</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45688</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45688</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45688</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45688</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45688</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45688</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45688</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45688</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45688</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45688</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45688</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45688</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45688</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45688</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45688</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45688</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45688</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45688</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45688</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45688</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45688</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45688</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45688</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45688</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45688</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45688</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45688</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45688</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45688</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45688</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45688</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45688</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45688</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45688</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45688</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45688</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45688</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45688</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45688</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45688</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45688</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45688</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45688</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45688</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45688</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45688</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45688</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45688</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45688</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45688</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45688</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45688</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45688</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45688</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45688</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45688</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45688</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45688</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45688</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45688</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45688</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45688</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45688</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45688</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45688</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45688</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45688</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45688</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45688</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45688</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45688</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45688</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45688</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45688</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45688</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45688</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45688</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45688</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45688</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45688</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45688</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45688</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45688</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45688</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45688</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45688</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45688</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45688</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45688</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45688</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45688</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45688</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45688</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45688</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45688</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45688</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45688</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45688</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45688</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45688</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45688</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45688</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45688</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45688</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45688</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45688</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45688</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45688</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45688</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45688</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45688</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45688</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45688</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45688</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45688</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45688</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45688</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45688</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45688</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45688</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45688</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45688</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45688</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45688</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45688</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45688</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45688</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45688</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45688</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45688</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45688</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3781-2020</t>
        </is>
      </c>
      <c r="B331" s="1" t="n">
        <v>43846</v>
      </c>
      <c r="C331" s="1" t="n">
        <v>45688</v>
      </c>
      <c r="D331" t="inlineStr">
        <is>
          <t>JÄMTLANDS LÄN</t>
        </is>
      </c>
      <c r="E331" t="inlineStr">
        <is>
          <t>STRÖMSUND</t>
        </is>
      </c>
      <c r="G331" t="n">
        <v>1</v>
      </c>
      <c r="H331" t="n">
        <v>0</v>
      </c>
      <c r="I331" t="n">
        <v>1</v>
      </c>
      <c r="J331" t="n">
        <v>0</v>
      </c>
      <c r="K331" t="n">
        <v>0</v>
      </c>
      <c r="L331" t="n">
        <v>0</v>
      </c>
      <c r="M331" t="n">
        <v>0</v>
      </c>
      <c r="N331" t="n">
        <v>0</v>
      </c>
      <c r="O331" t="n">
        <v>0</v>
      </c>
      <c r="P331" t="n">
        <v>0</v>
      </c>
      <c r="Q331" t="n">
        <v>1</v>
      </c>
      <c r="R331" s="2" t="inlineStr">
        <is>
          <t>Tibast</t>
        </is>
      </c>
      <c r="S331">
        <f>HYPERLINK("https://klasma.github.io/Logging_2313/artfynd/A 3781-2020 artfynd.xlsx", "A 3781-2020")</f>
        <v/>
      </c>
      <c r="T331">
        <f>HYPERLINK("https://klasma.github.io/Logging_2313/kartor/A 3781-2020 karta.png", "A 3781-2020")</f>
        <v/>
      </c>
      <c r="V331">
        <f>HYPERLINK("https://klasma.github.io/Logging_2313/klagomål/A 3781-2020 FSC-klagomål.docx", "A 3781-2020")</f>
        <v/>
      </c>
      <c r="W331">
        <f>HYPERLINK("https://klasma.github.io/Logging_2313/klagomålsmail/A 3781-2020 FSC-klagomål mail.docx", "A 3781-2020")</f>
        <v/>
      </c>
      <c r="X331">
        <f>HYPERLINK("https://klasma.github.io/Logging_2313/tillsyn/A 3781-2020 tillsynsbegäran.docx", "A 3781-2020")</f>
        <v/>
      </c>
      <c r="Y331">
        <f>HYPERLINK("https://klasma.github.io/Logging_2313/tillsynsmail/A 3781-2020 tillsynsbegäran mail.docx", "A 3781-2020")</f>
        <v/>
      </c>
    </row>
    <row r="332" ht="15" customHeight="1">
      <c r="A332" t="inlineStr">
        <is>
          <t>A 2491-2020</t>
        </is>
      </c>
      <c r="B332" s="1" t="n">
        <v>43847</v>
      </c>
      <c r="C332" s="1" t="n">
        <v>45688</v>
      </c>
      <c r="D332" t="inlineStr">
        <is>
          <t>JÄMTLANDS LÄN</t>
        </is>
      </c>
      <c r="E332" t="inlineStr">
        <is>
          <t>STRÖMSUND</t>
        </is>
      </c>
      <c r="G332" t="n">
        <v>19</v>
      </c>
      <c r="H332" t="n">
        <v>0</v>
      </c>
      <c r="I332" t="n">
        <v>1</v>
      </c>
      <c r="J332" t="n">
        <v>0</v>
      </c>
      <c r="K332" t="n">
        <v>0</v>
      </c>
      <c r="L332" t="n">
        <v>0</v>
      </c>
      <c r="M332" t="n">
        <v>0</v>
      </c>
      <c r="N332" t="n">
        <v>0</v>
      </c>
      <c r="O332" t="n">
        <v>0</v>
      </c>
      <c r="P332" t="n">
        <v>0</v>
      </c>
      <c r="Q332" t="n">
        <v>1</v>
      </c>
      <c r="R332" s="2" t="inlineStr">
        <is>
          <t>Finbräken</t>
        </is>
      </c>
      <c r="S332">
        <f>HYPERLINK("https://klasma.github.io/Logging_2313/artfynd/A 2491-2020 artfynd.xlsx", "A 2491-2020")</f>
        <v/>
      </c>
      <c r="T332">
        <f>HYPERLINK("https://klasma.github.io/Logging_2313/kartor/A 2491-2020 karta.png", "A 2491-2020")</f>
        <v/>
      </c>
      <c r="V332">
        <f>HYPERLINK("https://klasma.github.io/Logging_2313/klagomål/A 2491-2020 FSC-klagomål.docx", "A 2491-2020")</f>
        <v/>
      </c>
      <c r="W332">
        <f>HYPERLINK("https://klasma.github.io/Logging_2313/klagomålsmail/A 2491-2020 FSC-klagomål mail.docx", "A 2491-2020")</f>
        <v/>
      </c>
      <c r="X332">
        <f>HYPERLINK("https://klasma.github.io/Logging_2313/tillsyn/A 2491-2020 tillsynsbegäran.docx", "A 2491-2020")</f>
        <v/>
      </c>
      <c r="Y332">
        <f>HYPERLINK("https://klasma.github.io/Logging_2313/tillsynsmail/A 2491-2020 tillsynsbegäran mail.docx", "A 2491-2020")</f>
        <v/>
      </c>
    </row>
    <row r="333" ht="15" customHeight="1">
      <c r="A333" t="inlineStr">
        <is>
          <t>A 2503-2020</t>
        </is>
      </c>
      <c r="B333" s="1" t="n">
        <v>43847</v>
      </c>
      <c r="C333" s="1" t="n">
        <v>45688</v>
      </c>
      <c r="D333" t="inlineStr">
        <is>
          <t>JÄMTLANDS LÄN</t>
        </is>
      </c>
      <c r="E333" t="inlineStr">
        <is>
          <t>STRÖMSUND</t>
        </is>
      </c>
      <c r="G333" t="n">
        <v>61.1</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2503-2020 artfynd.xlsx", "A 2503-2020")</f>
        <v/>
      </c>
      <c r="T333">
        <f>HYPERLINK("https://klasma.github.io/Logging_2313/kartor/A 2503-2020 karta.png", "A 2503-2020")</f>
        <v/>
      </c>
      <c r="V333">
        <f>HYPERLINK("https://klasma.github.io/Logging_2313/klagomål/A 2503-2020 FSC-klagomål.docx", "A 2503-2020")</f>
        <v/>
      </c>
      <c r="W333">
        <f>HYPERLINK("https://klasma.github.io/Logging_2313/klagomålsmail/A 2503-2020 FSC-klagomål mail.docx", "A 2503-2020")</f>
        <v/>
      </c>
      <c r="X333">
        <f>HYPERLINK("https://klasma.github.io/Logging_2313/tillsyn/A 2503-2020 tillsynsbegäran.docx", "A 2503-2020")</f>
        <v/>
      </c>
      <c r="Y333">
        <f>HYPERLINK("https://klasma.github.io/Logging_2313/tillsynsmail/A 2503-2020 tillsynsbegäran mail.docx", "A 2503-2020")</f>
        <v/>
      </c>
    </row>
    <row r="334" ht="15" customHeight="1">
      <c r="A334" t="inlineStr">
        <is>
          <t>A 28772-2020</t>
        </is>
      </c>
      <c r="B334" s="1" t="n">
        <v>43999</v>
      </c>
      <c r="C334" s="1" t="n">
        <v>45688</v>
      </c>
      <c r="D334" t="inlineStr">
        <is>
          <t>JÄMTLANDS LÄN</t>
        </is>
      </c>
      <c r="E334" t="inlineStr">
        <is>
          <t>STRÖMSUND</t>
        </is>
      </c>
      <c r="F334" t="inlineStr">
        <is>
          <t>SCA</t>
        </is>
      </c>
      <c r="G334" t="n">
        <v>6.5</v>
      </c>
      <c r="H334" t="n">
        <v>1</v>
      </c>
      <c r="I334" t="n">
        <v>1</v>
      </c>
      <c r="J334" t="n">
        <v>0</v>
      </c>
      <c r="K334" t="n">
        <v>0</v>
      </c>
      <c r="L334" t="n">
        <v>0</v>
      </c>
      <c r="M334" t="n">
        <v>0</v>
      </c>
      <c r="N334" t="n">
        <v>0</v>
      </c>
      <c r="O334" t="n">
        <v>0</v>
      </c>
      <c r="P334" t="n">
        <v>0</v>
      </c>
      <c r="Q334" t="n">
        <v>1</v>
      </c>
      <c r="R334" s="2" t="inlineStr">
        <is>
          <t>Lappranunkel</t>
        </is>
      </c>
      <c r="S334">
        <f>HYPERLINK("https://klasma.github.io/Logging_2313/artfynd/A 28772-2020 artfynd.xlsx", "A 28772-2020")</f>
        <v/>
      </c>
      <c r="T334">
        <f>HYPERLINK("https://klasma.github.io/Logging_2313/kartor/A 28772-2020 karta.png", "A 28772-2020")</f>
        <v/>
      </c>
      <c r="V334">
        <f>HYPERLINK("https://klasma.github.io/Logging_2313/klagomål/A 28772-2020 FSC-klagomål.docx", "A 28772-2020")</f>
        <v/>
      </c>
      <c r="W334">
        <f>HYPERLINK("https://klasma.github.io/Logging_2313/klagomålsmail/A 28772-2020 FSC-klagomål mail.docx", "A 28772-2020")</f>
        <v/>
      </c>
      <c r="X334">
        <f>HYPERLINK("https://klasma.github.io/Logging_2313/tillsyn/A 28772-2020 tillsynsbegäran.docx", "A 28772-2020")</f>
        <v/>
      </c>
      <c r="Y334">
        <f>HYPERLINK("https://klasma.github.io/Logging_2313/tillsynsmail/A 28772-2020 tillsynsbegäran mail.docx", "A 28772-2020")</f>
        <v/>
      </c>
    </row>
    <row r="335" ht="15" customHeight="1">
      <c r="A335" t="inlineStr">
        <is>
          <t>A 29060-2020</t>
        </is>
      </c>
      <c r="B335" s="1" t="n">
        <v>44000</v>
      </c>
      <c r="C335" s="1" t="n">
        <v>45688</v>
      </c>
      <c r="D335" t="inlineStr">
        <is>
          <t>JÄMTLANDS LÄN</t>
        </is>
      </c>
      <c r="E335" t="inlineStr">
        <is>
          <t>STRÖMSUND</t>
        </is>
      </c>
      <c r="F335" t="inlineStr">
        <is>
          <t>SCA</t>
        </is>
      </c>
      <c r="G335" t="n">
        <v>12</v>
      </c>
      <c r="H335" t="n">
        <v>0</v>
      </c>
      <c r="I335" t="n">
        <v>0</v>
      </c>
      <c r="J335" t="n">
        <v>1</v>
      </c>
      <c r="K335" t="n">
        <v>0</v>
      </c>
      <c r="L335" t="n">
        <v>0</v>
      </c>
      <c r="M335" t="n">
        <v>0</v>
      </c>
      <c r="N335" t="n">
        <v>0</v>
      </c>
      <c r="O335" t="n">
        <v>1</v>
      </c>
      <c r="P335" t="n">
        <v>0</v>
      </c>
      <c r="Q335" t="n">
        <v>1</v>
      </c>
      <c r="R335" s="2" t="inlineStr">
        <is>
          <t>Skrovellav</t>
        </is>
      </c>
      <c r="S335">
        <f>HYPERLINK("https://klasma.github.io/Logging_2313/artfynd/A 29060-2020 artfynd.xlsx", "A 29060-2020")</f>
        <v/>
      </c>
      <c r="T335">
        <f>HYPERLINK("https://klasma.github.io/Logging_2313/kartor/A 29060-2020 karta.png", "A 29060-2020")</f>
        <v/>
      </c>
      <c r="V335">
        <f>HYPERLINK("https://klasma.github.io/Logging_2313/klagomål/A 29060-2020 FSC-klagomål.docx", "A 29060-2020")</f>
        <v/>
      </c>
      <c r="W335">
        <f>HYPERLINK("https://klasma.github.io/Logging_2313/klagomålsmail/A 29060-2020 FSC-klagomål mail.docx", "A 29060-2020")</f>
        <v/>
      </c>
      <c r="X335">
        <f>HYPERLINK("https://klasma.github.io/Logging_2313/tillsyn/A 29060-2020 tillsynsbegäran.docx", "A 29060-2020")</f>
        <v/>
      </c>
      <c r="Y335">
        <f>HYPERLINK("https://klasma.github.io/Logging_2313/tillsynsmail/A 29060-2020 tillsynsbegäran mail.docx", "A 29060-2020")</f>
        <v/>
      </c>
    </row>
    <row r="336" ht="15" customHeight="1">
      <c r="A336" t="inlineStr">
        <is>
          <t>A 32205-2020</t>
        </is>
      </c>
      <c r="B336" s="1" t="n">
        <v>44015</v>
      </c>
      <c r="C336" s="1" t="n">
        <v>45688</v>
      </c>
      <c r="D336" t="inlineStr">
        <is>
          <t>JÄMTLANDS LÄN</t>
        </is>
      </c>
      <c r="E336" t="inlineStr">
        <is>
          <t>STRÖMSUND</t>
        </is>
      </c>
      <c r="F336" t="inlineStr">
        <is>
          <t>SCA</t>
        </is>
      </c>
      <c r="G336" t="n">
        <v>25.3</v>
      </c>
      <c r="H336" t="n">
        <v>0</v>
      </c>
      <c r="I336" t="n">
        <v>0</v>
      </c>
      <c r="J336" t="n">
        <v>1</v>
      </c>
      <c r="K336" t="n">
        <v>0</v>
      </c>
      <c r="L336" t="n">
        <v>0</v>
      </c>
      <c r="M336" t="n">
        <v>0</v>
      </c>
      <c r="N336" t="n">
        <v>0</v>
      </c>
      <c r="O336" t="n">
        <v>1</v>
      </c>
      <c r="P336" t="n">
        <v>0</v>
      </c>
      <c r="Q336" t="n">
        <v>1</v>
      </c>
      <c r="R336" s="2" t="inlineStr">
        <is>
          <t>Harticka</t>
        </is>
      </c>
      <c r="S336">
        <f>HYPERLINK("https://klasma.github.io/Logging_2313/artfynd/A 32205-2020 artfynd.xlsx", "A 32205-2020")</f>
        <v/>
      </c>
      <c r="T336">
        <f>HYPERLINK("https://klasma.github.io/Logging_2313/kartor/A 32205-2020 karta.png", "A 32205-2020")</f>
        <v/>
      </c>
      <c r="V336">
        <f>HYPERLINK("https://klasma.github.io/Logging_2313/klagomål/A 32205-2020 FSC-klagomål.docx", "A 32205-2020")</f>
        <v/>
      </c>
      <c r="W336">
        <f>HYPERLINK("https://klasma.github.io/Logging_2313/klagomålsmail/A 32205-2020 FSC-klagomål mail.docx", "A 32205-2020")</f>
        <v/>
      </c>
      <c r="X336">
        <f>HYPERLINK("https://klasma.github.io/Logging_2313/tillsyn/A 32205-2020 tillsynsbegäran.docx", "A 32205-2020")</f>
        <v/>
      </c>
      <c r="Y336">
        <f>HYPERLINK("https://klasma.github.io/Logging_2313/tillsynsmail/A 32205-2020 tillsynsbegäran mail.docx", "A 32205-2020")</f>
        <v/>
      </c>
    </row>
    <row r="337" ht="15" customHeight="1">
      <c r="A337" t="inlineStr">
        <is>
          <t>A 35600-2020</t>
        </is>
      </c>
      <c r="B337" s="1" t="n">
        <v>44043</v>
      </c>
      <c r="C337" s="1" t="n">
        <v>45688</v>
      </c>
      <c r="D337" t="inlineStr">
        <is>
          <t>JÄMTLANDS LÄN</t>
        </is>
      </c>
      <c r="E337" t="inlineStr">
        <is>
          <t>STRÖMSUND</t>
        </is>
      </c>
      <c r="F337" t="inlineStr">
        <is>
          <t>SCA</t>
        </is>
      </c>
      <c r="G337" t="n">
        <v>5</v>
      </c>
      <c r="H337" t="n">
        <v>0</v>
      </c>
      <c r="I337" t="n">
        <v>0</v>
      </c>
      <c r="J337" t="n">
        <v>1</v>
      </c>
      <c r="K337" t="n">
        <v>0</v>
      </c>
      <c r="L337" t="n">
        <v>0</v>
      </c>
      <c r="M337" t="n">
        <v>0</v>
      </c>
      <c r="N337" t="n">
        <v>0</v>
      </c>
      <c r="O337" t="n">
        <v>1</v>
      </c>
      <c r="P337" t="n">
        <v>0</v>
      </c>
      <c r="Q337" t="n">
        <v>1</v>
      </c>
      <c r="R337" s="2" t="inlineStr">
        <is>
          <t>Skrovellav</t>
        </is>
      </c>
      <c r="S337">
        <f>HYPERLINK("https://klasma.github.io/Logging_2313/artfynd/A 35600-2020 artfynd.xlsx", "A 35600-2020")</f>
        <v/>
      </c>
      <c r="T337">
        <f>HYPERLINK("https://klasma.github.io/Logging_2313/kartor/A 35600-2020 karta.png", "A 35600-2020")</f>
        <v/>
      </c>
      <c r="V337">
        <f>HYPERLINK("https://klasma.github.io/Logging_2313/klagomål/A 35600-2020 FSC-klagomål.docx", "A 35600-2020")</f>
        <v/>
      </c>
      <c r="W337">
        <f>HYPERLINK("https://klasma.github.io/Logging_2313/klagomålsmail/A 35600-2020 FSC-klagomål mail.docx", "A 35600-2020")</f>
        <v/>
      </c>
      <c r="X337">
        <f>HYPERLINK("https://klasma.github.io/Logging_2313/tillsyn/A 35600-2020 tillsynsbegäran.docx", "A 35600-2020")</f>
        <v/>
      </c>
      <c r="Y337">
        <f>HYPERLINK("https://klasma.github.io/Logging_2313/tillsynsmail/A 35600-2020 tillsynsbegäran mail.docx", "A 35600-2020")</f>
        <v/>
      </c>
    </row>
    <row r="338" ht="15" customHeight="1">
      <c r="A338" t="inlineStr">
        <is>
          <t>A 43809-2020</t>
        </is>
      </c>
      <c r="B338" s="1" t="n">
        <v>44082</v>
      </c>
      <c r="C338" s="1" t="n">
        <v>45688</v>
      </c>
      <c r="D338" t="inlineStr">
        <is>
          <t>JÄMTLANDS LÄN</t>
        </is>
      </c>
      <c r="E338" t="inlineStr">
        <is>
          <t>STRÖMSUND</t>
        </is>
      </c>
      <c r="F338" t="inlineStr">
        <is>
          <t>Sveaskog</t>
        </is>
      </c>
      <c r="G338" t="n">
        <v>10.4</v>
      </c>
      <c r="H338" t="n">
        <v>0</v>
      </c>
      <c r="I338" t="n">
        <v>0</v>
      </c>
      <c r="J338" t="n">
        <v>1</v>
      </c>
      <c r="K338" t="n">
        <v>0</v>
      </c>
      <c r="L338" t="n">
        <v>0</v>
      </c>
      <c r="M338" t="n">
        <v>0</v>
      </c>
      <c r="N338" t="n">
        <v>0</v>
      </c>
      <c r="O338" t="n">
        <v>1</v>
      </c>
      <c r="P338" t="n">
        <v>0</v>
      </c>
      <c r="Q338" t="n">
        <v>1</v>
      </c>
      <c r="R338" s="2" t="inlineStr">
        <is>
          <t>Lunglav</t>
        </is>
      </c>
      <c r="S338">
        <f>HYPERLINK("https://klasma.github.io/Logging_2313/artfynd/A 43809-2020 artfynd.xlsx", "A 43809-2020")</f>
        <v/>
      </c>
      <c r="T338">
        <f>HYPERLINK("https://klasma.github.io/Logging_2313/kartor/A 43809-2020 karta.png", "A 43809-2020")</f>
        <v/>
      </c>
      <c r="V338">
        <f>HYPERLINK("https://klasma.github.io/Logging_2313/klagomål/A 43809-2020 FSC-klagomål.docx", "A 43809-2020")</f>
        <v/>
      </c>
      <c r="W338">
        <f>HYPERLINK("https://klasma.github.io/Logging_2313/klagomålsmail/A 43809-2020 FSC-klagomål mail.docx", "A 43809-2020")</f>
        <v/>
      </c>
      <c r="X338">
        <f>HYPERLINK("https://klasma.github.io/Logging_2313/tillsyn/A 43809-2020 tillsynsbegäran.docx", "A 43809-2020")</f>
        <v/>
      </c>
      <c r="Y338">
        <f>HYPERLINK("https://klasma.github.io/Logging_2313/tillsynsmail/A 43809-2020 tillsynsbegäran mail.docx", "A 43809-2020")</f>
        <v/>
      </c>
    </row>
    <row r="339" ht="15" customHeight="1">
      <c r="A339" t="inlineStr">
        <is>
          <t>A 53035-2020</t>
        </is>
      </c>
      <c r="B339" s="1" t="n">
        <v>44120</v>
      </c>
      <c r="C339" s="1" t="n">
        <v>45688</v>
      </c>
      <c r="D339" t="inlineStr">
        <is>
          <t>JÄMTLANDS LÄN</t>
        </is>
      </c>
      <c r="E339" t="inlineStr">
        <is>
          <t>STRÖMSUND</t>
        </is>
      </c>
      <c r="F339" t="inlineStr">
        <is>
          <t>Holmen skog AB</t>
        </is>
      </c>
      <c r="G339" t="n">
        <v>4.1</v>
      </c>
      <c r="H339" t="n">
        <v>0</v>
      </c>
      <c r="I339" t="n">
        <v>0</v>
      </c>
      <c r="J339" t="n">
        <v>1</v>
      </c>
      <c r="K339" t="n">
        <v>0</v>
      </c>
      <c r="L339" t="n">
        <v>0</v>
      </c>
      <c r="M339" t="n">
        <v>0</v>
      </c>
      <c r="N339" t="n">
        <v>0</v>
      </c>
      <c r="O339" t="n">
        <v>1</v>
      </c>
      <c r="P339" t="n">
        <v>0</v>
      </c>
      <c r="Q339" t="n">
        <v>1</v>
      </c>
      <c r="R339" s="2" t="inlineStr">
        <is>
          <t>Skrovellav</t>
        </is>
      </c>
      <c r="S339">
        <f>HYPERLINK("https://klasma.github.io/Logging_2313/artfynd/A 53035-2020 artfynd.xlsx", "A 53035-2020")</f>
        <v/>
      </c>
      <c r="T339">
        <f>HYPERLINK("https://klasma.github.io/Logging_2313/kartor/A 53035-2020 karta.png", "A 53035-2020")</f>
        <v/>
      </c>
      <c r="V339">
        <f>HYPERLINK("https://klasma.github.io/Logging_2313/klagomål/A 53035-2020 FSC-klagomål.docx", "A 53035-2020")</f>
        <v/>
      </c>
      <c r="W339">
        <f>HYPERLINK("https://klasma.github.io/Logging_2313/klagomålsmail/A 53035-2020 FSC-klagomål mail.docx", "A 53035-2020")</f>
        <v/>
      </c>
      <c r="X339">
        <f>HYPERLINK("https://klasma.github.io/Logging_2313/tillsyn/A 53035-2020 tillsynsbegäran.docx", "A 53035-2020")</f>
        <v/>
      </c>
      <c r="Y339">
        <f>HYPERLINK("https://klasma.github.io/Logging_2313/tillsynsmail/A 53035-2020 tillsynsbegäran mail.docx", "A 53035-2020")</f>
        <v/>
      </c>
    </row>
    <row r="340" ht="15" customHeight="1">
      <c r="A340" t="inlineStr">
        <is>
          <t>A 54372-2020</t>
        </is>
      </c>
      <c r="B340" s="1" t="n">
        <v>44126</v>
      </c>
      <c r="C340" s="1" t="n">
        <v>45688</v>
      </c>
      <c r="D340" t="inlineStr">
        <is>
          <t>JÄMTLANDS LÄN</t>
        </is>
      </c>
      <c r="E340" t="inlineStr">
        <is>
          <t>STRÖMSUND</t>
        </is>
      </c>
      <c r="F340" t="inlineStr">
        <is>
          <t>Holmen skog AB</t>
        </is>
      </c>
      <c r="G340" t="n">
        <v>5.1</v>
      </c>
      <c r="H340" t="n">
        <v>0</v>
      </c>
      <c r="I340" t="n">
        <v>0</v>
      </c>
      <c r="J340" t="n">
        <v>1</v>
      </c>
      <c r="K340" t="n">
        <v>0</v>
      </c>
      <c r="L340" t="n">
        <v>0</v>
      </c>
      <c r="M340" t="n">
        <v>0</v>
      </c>
      <c r="N340" t="n">
        <v>0</v>
      </c>
      <c r="O340" t="n">
        <v>1</v>
      </c>
      <c r="P340" t="n">
        <v>0</v>
      </c>
      <c r="Q340" t="n">
        <v>1</v>
      </c>
      <c r="R340" s="2" t="inlineStr">
        <is>
          <t>Reliktbock</t>
        </is>
      </c>
      <c r="S340">
        <f>HYPERLINK("https://klasma.github.io/Logging_2313/artfynd/A 54372-2020 artfynd.xlsx", "A 54372-2020")</f>
        <v/>
      </c>
      <c r="T340">
        <f>HYPERLINK("https://klasma.github.io/Logging_2313/kartor/A 54372-2020 karta.png", "A 54372-2020")</f>
        <v/>
      </c>
      <c r="V340">
        <f>HYPERLINK("https://klasma.github.io/Logging_2313/klagomål/A 54372-2020 FSC-klagomål.docx", "A 54372-2020")</f>
        <v/>
      </c>
      <c r="W340">
        <f>HYPERLINK("https://klasma.github.io/Logging_2313/klagomålsmail/A 54372-2020 FSC-klagomål mail.docx", "A 54372-2020")</f>
        <v/>
      </c>
      <c r="X340">
        <f>HYPERLINK("https://klasma.github.io/Logging_2313/tillsyn/A 54372-2020 tillsynsbegäran.docx", "A 54372-2020")</f>
        <v/>
      </c>
      <c r="Y340">
        <f>HYPERLINK("https://klasma.github.io/Logging_2313/tillsynsmail/A 54372-2020 tillsynsbegäran mail.docx", "A 54372-2020")</f>
        <v/>
      </c>
    </row>
    <row r="341" ht="15" customHeight="1">
      <c r="A341" t="inlineStr">
        <is>
          <t>A 54982-2020</t>
        </is>
      </c>
      <c r="B341" s="1" t="n">
        <v>44130</v>
      </c>
      <c r="C341" s="1" t="n">
        <v>45688</v>
      </c>
      <c r="D341" t="inlineStr">
        <is>
          <t>JÄMTLANDS LÄN</t>
        </is>
      </c>
      <c r="E341" t="inlineStr">
        <is>
          <t>STRÖMSUND</t>
        </is>
      </c>
      <c r="F341" t="inlineStr">
        <is>
          <t>Holmen skog AB</t>
        </is>
      </c>
      <c r="G341" t="n">
        <v>5.7</v>
      </c>
      <c r="H341" t="n">
        <v>0</v>
      </c>
      <c r="I341" t="n">
        <v>0</v>
      </c>
      <c r="J341" t="n">
        <v>0</v>
      </c>
      <c r="K341" t="n">
        <v>1</v>
      </c>
      <c r="L341" t="n">
        <v>0</v>
      </c>
      <c r="M341" t="n">
        <v>0</v>
      </c>
      <c r="N341" t="n">
        <v>0</v>
      </c>
      <c r="O341" t="n">
        <v>1</v>
      </c>
      <c r="P341" t="n">
        <v>1</v>
      </c>
      <c r="Q341" t="n">
        <v>1</v>
      </c>
      <c r="R341" s="2" t="inlineStr">
        <is>
          <t>Norsk näverlav</t>
        </is>
      </c>
      <c r="S341">
        <f>HYPERLINK("https://klasma.github.io/Logging_2313/artfynd/A 54982-2020 artfynd.xlsx", "A 54982-2020")</f>
        <v/>
      </c>
      <c r="T341">
        <f>HYPERLINK("https://klasma.github.io/Logging_2313/kartor/A 54982-2020 karta.png", "A 54982-2020")</f>
        <v/>
      </c>
      <c r="V341">
        <f>HYPERLINK("https://klasma.github.io/Logging_2313/klagomål/A 54982-2020 FSC-klagomål.docx", "A 54982-2020")</f>
        <v/>
      </c>
      <c r="W341">
        <f>HYPERLINK("https://klasma.github.io/Logging_2313/klagomålsmail/A 54982-2020 FSC-klagomål mail.docx", "A 54982-2020")</f>
        <v/>
      </c>
      <c r="X341">
        <f>HYPERLINK("https://klasma.github.io/Logging_2313/tillsyn/A 54982-2020 tillsynsbegäran.docx", "A 54982-2020")</f>
        <v/>
      </c>
      <c r="Y341">
        <f>HYPERLINK("https://klasma.github.io/Logging_2313/tillsynsmail/A 54982-2020 tillsynsbegäran mail.docx", "A 54982-2020")</f>
        <v/>
      </c>
    </row>
    <row r="342" ht="15" customHeight="1">
      <c r="A342" t="inlineStr">
        <is>
          <t>A 58560-2020</t>
        </is>
      </c>
      <c r="B342" s="1" t="n">
        <v>44145</v>
      </c>
      <c r="C342" s="1" t="n">
        <v>45688</v>
      </c>
      <c r="D342" t="inlineStr">
        <is>
          <t>JÄMTLANDS LÄN</t>
        </is>
      </c>
      <c r="E342" t="inlineStr">
        <is>
          <t>STRÖMSUND</t>
        </is>
      </c>
      <c r="F342" t="inlineStr">
        <is>
          <t>Holmen skog AB</t>
        </is>
      </c>
      <c r="G342" t="n">
        <v>17.7</v>
      </c>
      <c r="H342" t="n">
        <v>0</v>
      </c>
      <c r="I342" t="n">
        <v>0</v>
      </c>
      <c r="J342" t="n">
        <v>0</v>
      </c>
      <c r="K342" t="n">
        <v>1</v>
      </c>
      <c r="L342" t="n">
        <v>0</v>
      </c>
      <c r="M342" t="n">
        <v>0</v>
      </c>
      <c r="N342" t="n">
        <v>0</v>
      </c>
      <c r="O342" t="n">
        <v>1</v>
      </c>
      <c r="P342" t="n">
        <v>1</v>
      </c>
      <c r="Q342" t="n">
        <v>1</v>
      </c>
      <c r="R342" s="2" t="inlineStr">
        <is>
          <t>Smalskaftslav</t>
        </is>
      </c>
      <c r="S342">
        <f>HYPERLINK("https://klasma.github.io/Logging_2313/artfynd/A 58560-2020 artfynd.xlsx", "A 58560-2020")</f>
        <v/>
      </c>
      <c r="T342">
        <f>HYPERLINK("https://klasma.github.io/Logging_2313/kartor/A 58560-2020 karta.png", "A 58560-2020")</f>
        <v/>
      </c>
      <c r="V342">
        <f>HYPERLINK("https://klasma.github.io/Logging_2313/klagomål/A 58560-2020 FSC-klagomål.docx", "A 58560-2020")</f>
        <v/>
      </c>
      <c r="W342">
        <f>HYPERLINK("https://klasma.github.io/Logging_2313/klagomålsmail/A 58560-2020 FSC-klagomål mail.docx", "A 58560-2020")</f>
        <v/>
      </c>
      <c r="X342">
        <f>HYPERLINK("https://klasma.github.io/Logging_2313/tillsyn/A 58560-2020 tillsynsbegäran.docx", "A 58560-2020")</f>
        <v/>
      </c>
      <c r="Y342">
        <f>HYPERLINK("https://klasma.github.io/Logging_2313/tillsynsmail/A 58560-2020 tillsynsbegäran mail.docx", "A 58560-2020")</f>
        <v/>
      </c>
    </row>
    <row r="343" ht="15" customHeight="1">
      <c r="A343" t="inlineStr">
        <is>
          <t>A 64823-2020</t>
        </is>
      </c>
      <c r="B343" s="1" t="n">
        <v>44169</v>
      </c>
      <c r="C343" s="1" t="n">
        <v>45688</v>
      </c>
      <c r="D343" t="inlineStr">
        <is>
          <t>JÄMTLANDS LÄN</t>
        </is>
      </c>
      <c r="E343" t="inlineStr">
        <is>
          <t>STRÖMSUND</t>
        </is>
      </c>
      <c r="F343" t="inlineStr">
        <is>
          <t>SCA</t>
        </is>
      </c>
      <c r="G343" t="n">
        <v>11.3</v>
      </c>
      <c r="H343" t="n">
        <v>1</v>
      </c>
      <c r="I343" t="n">
        <v>0</v>
      </c>
      <c r="J343" t="n">
        <v>0</v>
      </c>
      <c r="K343" t="n">
        <v>1</v>
      </c>
      <c r="L343" t="n">
        <v>0</v>
      </c>
      <c r="M343" t="n">
        <v>0</v>
      </c>
      <c r="N343" t="n">
        <v>0</v>
      </c>
      <c r="O343" t="n">
        <v>1</v>
      </c>
      <c r="P343" t="n">
        <v>1</v>
      </c>
      <c r="Q343" t="n">
        <v>1</v>
      </c>
      <c r="R343" s="2" t="inlineStr">
        <is>
          <t>Knärot</t>
        </is>
      </c>
      <c r="S343">
        <f>HYPERLINK("https://klasma.github.io/Logging_2313/artfynd/A 64823-2020 artfynd.xlsx", "A 64823-2020")</f>
        <v/>
      </c>
      <c r="T343">
        <f>HYPERLINK("https://klasma.github.io/Logging_2313/kartor/A 64823-2020 karta.png", "A 64823-2020")</f>
        <v/>
      </c>
      <c r="U343">
        <f>HYPERLINK("https://klasma.github.io/Logging_2313/knärot/A 64823-2020 karta knärot.png", "A 64823-2020")</f>
        <v/>
      </c>
      <c r="V343">
        <f>HYPERLINK("https://klasma.github.io/Logging_2313/klagomål/A 64823-2020 FSC-klagomål.docx", "A 64823-2020")</f>
        <v/>
      </c>
      <c r="W343">
        <f>HYPERLINK("https://klasma.github.io/Logging_2313/klagomålsmail/A 64823-2020 FSC-klagomål mail.docx", "A 64823-2020")</f>
        <v/>
      </c>
      <c r="X343">
        <f>HYPERLINK("https://klasma.github.io/Logging_2313/tillsyn/A 64823-2020 tillsynsbegäran.docx", "A 64823-2020")</f>
        <v/>
      </c>
      <c r="Y343">
        <f>HYPERLINK("https://klasma.github.io/Logging_2313/tillsynsmail/A 64823-2020 tillsynsbegäran mail.docx", "A 64823-2020")</f>
        <v/>
      </c>
    </row>
    <row r="344" ht="15" customHeight="1">
      <c r="A344" t="inlineStr">
        <is>
          <t>A 64791-2020</t>
        </is>
      </c>
      <c r="B344" s="1" t="n">
        <v>44169</v>
      </c>
      <c r="C344" s="1" t="n">
        <v>45688</v>
      </c>
      <c r="D344" t="inlineStr">
        <is>
          <t>JÄMTLANDS LÄN</t>
        </is>
      </c>
      <c r="E344" t="inlineStr">
        <is>
          <t>STRÖMSUND</t>
        </is>
      </c>
      <c r="G344" t="n">
        <v>3.1</v>
      </c>
      <c r="H344" t="n">
        <v>1</v>
      </c>
      <c r="I344" t="n">
        <v>0</v>
      </c>
      <c r="J344" t="n">
        <v>0</v>
      </c>
      <c r="K344" t="n">
        <v>0</v>
      </c>
      <c r="L344" t="n">
        <v>0</v>
      </c>
      <c r="M344" t="n">
        <v>0</v>
      </c>
      <c r="N344" t="n">
        <v>0</v>
      </c>
      <c r="O344" t="n">
        <v>0</v>
      </c>
      <c r="P344" t="n">
        <v>0</v>
      </c>
      <c r="Q344" t="n">
        <v>1</v>
      </c>
      <c r="R344" s="2" t="inlineStr">
        <is>
          <t>Fläcknycklar</t>
        </is>
      </c>
      <c r="S344">
        <f>HYPERLINK("https://klasma.github.io/Logging_2313/artfynd/A 64791-2020 artfynd.xlsx", "A 64791-2020")</f>
        <v/>
      </c>
      <c r="T344">
        <f>HYPERLINK("https://klasma.github.io/Logging_2313/kartor/A 64791-2020 karta.png", "A 64791-2020")</f>
        <v/>
      </c>
      <c r="V344">
        <f>HYPERLINK("https://klasma.github.io/Logging_2313/klagomål/A 64791-2020 FSC-klagomål.docx", "A 64791-2020")</f>
        <v/>
      </c>
      <c r="W344">
        <f>HYPERLINK("https://klasma.github.io/Logging_2313/klagomålsmail/A 64791-2020 FSC-klagomål mail.docx", "A 64791-2020")</f>
        <v/>
      </c>
      <c r="X344">
        <f>HYPERLINK("https://klasma.github.io/Logging_2313/tillsyn/A 64791-2020 tillsynsbegäran.docx", "A 64791-2020")</f>
        <v/>
      </c>
      <c r="Y344">
        <f>HYPERLINK("https://klasma.github.io/Logging_2313/tillsynsmail/A 64791-2020 tillsynsbegäran mail.docx", "A 64791-2020")</f>
        <v/>
      </c>
    </row>
    <row r="345" ht="15" customHeight="1">
      <c r="A345" t="inlineStr">
        <is>
          <t>A 66717-2020</t>
        </is>
      </c>
      <c r="B345" s="1" t="n">
        <v>44179</v>
      </c>
      <c r="C345" s="1" t="n">
        <v>45688</v>
      </c>
      <c r="D345" t="inlineStr">
        <is>
          <t>JÄMTLANDS LÄN</t>
        </is>
      </c>
      <c r="E345" t="inlineStr">
        <is>
          <t>STRÖMSUND</t>
        </is>
      </c>
      <c r="F345" t="inlineStr">
        <is>
          <t>SCA</t>
        </is>
      </c>
      <c r="G345" t="n">
        <v>22.4</v>
      </c>
      <c r="H345" t="n">
        <v>0</v>
      </c>
      <c r="I345" t="n">
        <v>0</v>
      </c>
      <c r="J345" t="n">
        <v>1</v>
      </c>
      <c r="K345" t="n">
        <v>0</v>
      </c>
      <c r="L345" t="n">
        <v>0</v>
      </c>
      <c r="M345" t="n">
        <v>0</v>
      </c>
      <c r="N345" t="n">
        <v>0</v>
      </c>
      <c r="O345" t="n">
        <v>1</v>
      </c>
      <c r="P345" t="n">
        <v>0</v>
      </c>
      <c r="Q345" t="n">
        <v>1</v>
      </c>
      <c r="R345" s="2" t="inlineStr">
        <is>
          <t>Gränsticka</t>
        </is>
      </c>
      <c r="S345">
        <f>HYPERLINK("https://klasma.github.io/Logging_2313/artfynd/A 66717-2020 artfynd.xlsx", "A 66717-2020")</f>
        <v/>
      </c>
      <c r="T345">
        <f>HYPERLINK("https://klasma.github.io/Logging_2313/kartor/A 66717-2020 karta.png", "A 66717-2020")</f>
        <v/>
      </c>
      <c r="V345">
        <f>HYPERLINK("https://klasma.github.io/Logging_2313/klagomål/A 66717-2020 FSC-klagomål.docx", "A 66717-2020")</f>
        <v/>
      </c>
      <c r="W345">
        <f>HYPERLINK("https://klasma.github.io/Logging_2313/klagomålsmail/A 66717-2020 FSC-klagomål mail.docx", "A 66717-2020")</f>
        <v/>
      </c>
      <c r="X345">
        <f>HYPERLINK("https://klasma.github.io/Logging_2313/tillsyn/A 66717-2020 tillsynsbegäran.docx", "A 66717-2020")</f>
        <v/>
      </c>
      <c r="Y345">
        <f>HYPERLINK("https://klasma.github.io/Logging_2313/tillsynsmail/A 66717-2020 tillsynsbegäran mail.docx", "A 66717-2020")</f>
        <v/>
      </c>
    </row>
    <row r="346" ht="15" customHeight="1">
      <c r="A346" t="inlineStr">
        <is>
          <t>A 9710-2021</t>
        </is>
      </c>
      <c r="B346" s="1" t="n">
        <v>44252</v>
      </c>
      <c r="C346" s="1" t="n">
        <v>45688</v>
      </c>
      <c r="D346" t="inlineStr">
        <is>
          <t>JÄMTLANDS LÄN</t>
        </is>
      </c>
      <c r="E346" t="inlineStr">
        <is>
          <t>STRÖMSUND</t>
        </is>
      </c>
      <c r="G346" t="n">
        <v>18.5</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9710-2021 artfynd.xlsx", "A 9710-2021")</f>
        <v/>
      </c>
      <c r="T346">
        <f>HYPERLINK("https://klasma.github.io/Logging_2313/kartor/A 9710-2021 karta.png", "A 9710-2021")</f>
        <v/>
      </c>
      <c r="V346">
        <f>HYPERLINK("https://klasma.github.io/Logging_2313/klagomål/A 9710-2021 FSC-klagomål.docx", "A 9710-2021")</f>
        <v/>
      </c>
      <c r="W346">
        <f>HYPERLINK("https://klasma.github.io/Logging_2313/klagomålsmail/A 9710-2021 FSC-klagomål mail.docx", "A 9710-2021")</f>
        <v/>
      </c>
      <c r="X346">
        <f>HYPERLINK("https://klasma.github.io/Logging_2313/tillsyn/A 9710-2021 tillsynsbegäran.docx", "A 9710-2021")</f>
        <v/>
      </c>
      <c r="Y346">
        <f>HYPERLINK("https://klasma.github.io/Logging_2313/tillsynsmail/A 9710-2021 tillsynsbegäran mail.docx", "A 9710-2021")</f>
        <v/>
      </c>
      <c r="Z346">
        <f>HYPERLINK("https://klasma.github.io/Logging_2313/fåglar/A 9710-2021 prioriterade fågelarter.docx", "A 9710-2021")</f>
        <v/>
      </c>
    </row>
    <row r="347" ht="15" customHeight="1">
      <c r="A347" t="inlineStr">
        <is>
          <t>A 17855-2021</t>
        </is>
      </c>
      <c r="B347" s="1" t="n">
        <v>44300</v>
      </c>
      <c r="C347" s="1" t="n">
        <v>45688</v>
      </c>
      <c r="D347" t="inlineStr">
        <is>
          <t>JÄMTLANDS LÄN</t>
        </is>
      </c>
      <c r="E347" t="inlineStr">
        <is>
          <t>STRÖMSUND</t>
        </is>
      </c>
      <c r="F347" t="inlineStr">
        <is>
          <t>SCA</t>
        </is>
      </c>
      <c r="G347" t="n">
        <v>10.1</v>
      </c>
      <c r="H347" t="n">
        <v>1</v>
      </c>
      <c r="I347" t="n">
        <v>0</v>
      </c>
      <c r="J347" t="n">
        <v>0</v>
      </c>
      <c r="K347" t="n">
        <v>1</v>
      </c>
      <c r="L347" t="n">
        <v>0</v>
      </c>
      <c r="M347" t="n">
        <v>0</v>
      </c>
      <c r="N347" t="n">
        <v>0</v>
      </c>
      <c r="O347" t="n">
        <v>1</v>
      </c>
      <c r="P347" t="n">
        <v>1</v>
      </c>
      <c r="Q347" t="n">
        <v>1</v>
      </c>
      <c r="R347" s="2" t="inlineStr">
        <is>
          <t>Knärot</t>
        </is>
      </c>
      <c r="S347">
        <f>HYPERLINK("https://klasma.github.io/Logging_2313/artfynd/A 17855-2021 artfynd.xlsx", "A 17855-2021")</f>
        <v/>
      </c>
      <c r="T347">
        <f>HYPERLINK("https://klasma.github.io/Logging_2313/kartor/A 17855-2021 karta.png", "A 17855-2021")</f>
        <v/>
      </c>
      <c r="U347">
        <f>HYPERLINK("https://klasma.github.io/Logging_2313/knärot/A 17855-2021 karta knärot.png", "A 17855-2021")</f>
        <v/>
      </c>
      <c r="V347">
        <f>HYPERLINK("https://klasma.github.io/Logging_2313/klagomål/A 17855-2021 FSC-klagomål.docx", "A 17855-2021")</f>
        <v/>
      </c>
      <c r="W347">
        <f>HYPERLINK("https://klasma.github.io/Logging_2313/klagomålsmail/A 17855-2021 FSC-klagomål mail.docx", "A 17855-2021")</f>
        <v/>
      </c>
      <c r="X347">
        <f>HYPERLINK("https://klasma.github.io/Logging_2313/tillsyn/A 17855-2021 tillsynsbegäran.docx", "A 17855-2021")</f>
        <v/>
      </c>
      <c r="Y347">
        <f>HYPERLINK("https://klasma.github.io/Logging_2313/tillsynsmail/A 17855-2021 tillsynsbegäran mail.docx", "A 17855-2021")</f>
        <v/>
      </c>
    </row>
    <row r="348" ht="15" customHeight="1">
      <c r="A348" t="inlineStr">
        <is>
          <t>A 21938-2021</t>
        </is>
      </c>
      <c r="B348" s="1" t="n">
        <v>44322</v>
      </c>
      <c r="C348" s="1" t="n">
        <v>45688</v>
      </c>
      <c r="D348" t="inlineStr">
        <is>
          <t>JÄMTLANDS LÄN</t>
        </is>
      </c>
      <c r="E348" t="inlineStr">
        <is>
          <t>STRÖMSUND</t>
        </is>
      </c>
      <c r="F348" t="inlineStr">
        <is>
          <t>SCA</t>
        </is>
      </c>
      <c r="G348" t="n">
        <v>4.9</v>
      </c>
      <c r="H348" t="n">
        <v>1</v>
      </c>
      <c r="I348" t="n">
        <v>0</v>
      </c>
      <c r="J348" t="n">
        <v>1</v>
      </c>
      <c r="K348" t="n">
        <v>0</v>
      </c>
      <c r="L348" t="n">
        <v>0</v>
      </c>
      <c r="M348" t="n">
        <v>0</v>
      </c>
      <c r="N348" t="n">
        <v>0</v>
      </c>
      <c r="O348" t="n">
        <v>1</v>
      </c>
      <c r="P348" t="n">
        <v>0</v>
      </c>
      <c r="Q348" t="n">
        <v>1</v>
      </c>
      <c r="R348" s="2" t="inlineStr">
        <is>
          <t>Tretåig hackspett</t>
        </is>
      </c>
      <c r="S348">
        <f>HYPERLINK("https://klasma.github.io/Logging_2313/artfynd/A 21938-2021 artfynd.xlsx", "A 21938-2021")</f>
        <v/>
      </c>
      <c r="T348">
        <f>HYPERLINK("https://klasma.github.io/Logging_2313/kartor/A 21938-2021 karta.png", "A 21938-2021")</f>
        <v/>
      </c>
      <c r="U348">
        <f>HYPERLINK("https://klasma.github.io/Logging_2313/knärot/A 21938-2021 karta knärot.png", "A 21938-2021")</f>
        <v/>
      </c>
      <c r="V348">
        <f>HYPERLINK("https://klasma.github.io/Logging_2313/klagomål/A 21938-2021 FSC-klagomål.docx", "A 21938-2021")</f>
        <v/>
      </c>
      <c r="W348">
        <f>HYPERLINK("https://klasma.github.io/Logging_2313/klagomålsmail/A 21938-2021 FSC-klagomål mail.docx", "A 21938-2021")</f>
        <v/>
      </c>
      <c r="X348">
        <f>HYPERLINK("https://klasma.github.io/Logging_2313/tillsyn/A 21938-2021 tillsynsbegäran.docx", "A 21938-2021")</f>
        <v/>
      </c>
      <c r="Y348">
        <f>HYPERLINK("https://klasma.github.io/Logging_2313/tillsynsmail/A 21938-2021 tillsynsbegäran mail.docx", "A 21938-2021")</f>
        <v/>
      </c>
      <c r="Z348">
        <f>HYPERLINK("https://klasma.github.io/Logging_2313/fåglar/A 21938-2021 prioriterade fågelarter.docx", "A 21938-2021")</f>
        <v/>
      </c>
    </row>
    <row r="349" ht="15" customHeight="1">
      <c r="A349" t="inlineStr">
        <is>
          <t>A 25818-2021</t>
        </is>
      </c>
      <c r="B349" s="1" t="n">
        <v>44344</v>
      </c>
      <c r="C349" s="1" t="n">
        <v>45688</v>
      </c>
      <c r="D349" t="inlineStr">
        <is>
          <t>JÄMTLANDS LÄN</t>
        </is>
      </c>
      <c r="E349" t="inlineStr">
        <is>
          <t>STRÖMSUND</t>
        </is>
      </c>
      <c r="F349" t="inlineStr">
        <is>
          <t>SCA</t>
        </is>
      </c>
      <c r="G349" t="n">
        <v>2.8</v>
      </c>
      <c r="H349" t="n">
        <v>1</v>
      </c>
      <c r="I349" t="n">
        <v>0</v>
      </c>
      <c r="J349" t="n">
        <v>0</v>
      </c>
      <c r="K349" t="n">
        <v>1</v>
      </c>
      <c r="L349" t="n">
        <v>0</v>
      </c>
      <c r="M349" t="n">
        <v>0</v>
      </c>
      <c r="N349" t="n">
        <v>0</v>
      </c>
      <c r="O349" t="n">
        <v>1</v>
      </c>
      <c r="P349" t="n">
        <v>1</v>
      </c>
      <c r="Q349" t="n">
        <v>1</v>
      </c>
      <c r="R349" s="2" t="inlineStr">
        <is>
          <t>Knärot</t>
        </is>
      </c>
      <c r="S349">
        <f>HYPERLINK("https://klasma.github.io/Logging_2313/artfynd/A 25818-2021 artfynd.xlsx", "A 25818-2021")</f>
        <v/>
      </c>
      <c r="T349">
        <f>HYPERLINK("https://klasma.github.io/Logging_2313/kartor/A 25818-2021 karta.png", "A 25818-2021")</f>
        <v/>
      </c>
      <c r="U349">
        <f>HYPERLINK("https://klasma.github.io/Logging_2313/knärot/A 25818-2021 karta knärot.png", "A 25818-2021")</f>
        <v/>
      </c>
      <c r="V349">
        <f>HYPERLINK("https://klasma.github.io/Logging_2313/klagomål/A 25818-2021 FSC-klagomål.docx", "A 25818-2021")</f>
        <v/>
      </c>
      <c r="W349">
        <f>HYPERLINK("https://klasma.github.io/Logging_2313/klagomålsmail/A 25818-2021 FSC-klagomål mail.docx", "A 25818-2021")</f>
        <v/>
      </c>
      <c r="X349">
        <f>HYPERLINK("https://klasma.github.io/Logging_2313/tillsyn/A 25818-2021 tillsynsbegäran.docx", "A 25818-2021")</f>
        <v/>
      </c>
      <c r="Y349">
        <f>HYPERLINK("https://klasma.github.io/Logging_2313/tillsynsmail/A 25818-2021 tillsynsbegäran mail.docx", "A 25818-2021")</f>
        <v/>
      </c>
    </row>
    <row r="350" ht="15" customHeight="1">
      <c r="A350" t="inlineStr">
        <is>
          <t>A 26148-2021</t>
        </is>
      </c>
      <c r="B350" s="1" t="n">
        <v>44346</v>
      </c>
      <c r="C350" s="1" t="n">
        <v>45688</v>
      </c>
      <c r="D350" t="inlineStr">
        <is>
          <t>JÄMTLANDS LÄN</t>
        </is>
      </c>
      <c r="E350" t="inlineStr">
        <is>
          <t>STRÖMSUND</t>
        </is>
      </c>
      <c r="F350" t="inlineStr">
        <is>
          <t>SCA</t>
        </is>
      </c>
      <c r="G350" t="n">
        <v>5.4</v>
      </c>
      <c r="H350" t="n">
        <v>0</v>
      </c>
      <c r="I350" t="n">
        <v>1</v>
      </c>
      <c r="J350" t="n">
        <v>0</v>
      </c>
      <c r="K350" t="n">
        <v>0</v>
      </c>
      <c r="L350" t="n">
        <v>0</v>
      </c>
      <c r="M350" t="n">
        <v>0</v>
      </c>
      <c r="N350" t="n">
        <v>0</v>
      </c>
      <c r="O350" t="n">
        <v>0</v>
      </c>
      <c r="P350" t="n">
        <v>0</v>
      </c>
      <c r="Q350" t="n">
        <v>1</v>
      </c>
      <c r="R350" s="2" t="inlineStr">
        <is>
          <t>Skinnlav</t>
        </is>
      </c>
      <c r="S350">
        <f>HYPERLINK("https://klasma.github.io/Logging_2313/artfynd/A 26148-2021 artfynd.xlsx", "A 26148-2021")</f>
        <v/>
      </c>
      <c r="T350">
        <f>HYPERLINK("https://klasma.github.io/Logging_2313/kartor/A 26148-2021 karta.png", "A 26148-2021")</f>
        <v/>
      </c>
      <c r="V350">
        <f>HYPERLINK("https://klasma.github.io/Logging_2313/klagomål/A 26148-2021 FSC-klagomål.docx", "A 26148-2021")</f>
        <v/>
      </c>
      <c r="W350">
        <f>HYPERLINK("https://klasma.github.io/Logging_2313/klagomålsmail/A 26148-2021 FSC-klagomål mail.docx", "A 26148-2021")</f>
        <v/>
      </c>
      <c r="X350">
        <f>HYPERLINK("https://klasma.github.io/Logging_2313/tillsyn/A 26148-2021 tillsynsbegäran.docx", "A 26148-2021")</f>
        <v/>
      </c>
      <c r="Y350">
        <f>HYPERLINK("https://klasma.github.io/Logging_2313/tillsynsmail/A 26148-2021 tillsynsbegäran mail.docx", "A 26148-2021")</f>
        <v/>
      </c>
    </row>
    <row r="351" ht="15" customHeight="1">
      <c r="A351" t="inlineStr">
        <is>
          <t>A 26151-2021</t>
        </is>
      </c>
      <c r="B351" s="1" t="n">
        <v>44346</v>
      </c>
      <c r="C351" s="1" t="n">
        <v>45688</v>
      </c>
      <c r="D351" t="inlineStr">
        <is>
          <t>JÄMTLANDS LÄN</t>
        </is>
      </c>
      <c r="E351" t="inlineStr">
        <is>
          <t>STRÖMSUND</t>
        </is>
      </c>
      <c r="F351" t="inlineStr">
        <is>
          <t>SCA</t>
        </is>
      </c>
      <c r="G351" t="n">
        <v>2.6</v>
      </c>
      <c r="H351" t="n">
        <v>0</v>
      </c>
      <c r="I351" t="n">
        <v>1</v>
      </c>
      <c r="J351" t="n">
        <v>0</v>
      </c>
      <c r="K351" t="n">
        <v>0</v>
      </c>
      <c r="L351" t="n">
        <v>0</v>
      </c>
      <c r="M351" t="n">
        <v>0</v>
      </c>
      <c r="N351" t="n">
        <v>0</v>
      </c>
      <c r="O351" t="n">
        <v>0</v>
      </c>
      <c r="P351" t="n">
        <v>0</v>
      </c>
      <c r="Q351" t="n">
        <v>1</v>
      </c>
      <c r="R351" s="2" t="inlineStr">
        <is>
          <t>Skinnlav</t>
        </is>
      </c>
      <c r="S351">
        <f>HYPERLINK("https://klasma.github.io/Logging_2313/artfynd/A 26151-2021 artfynd.xlsx", "A 26151-2021")</f>
        <v/>
      </c>
      <c r="T351">
        <f>HYPERLINK("https://klasma.github.io/Logging_2313/kartor/A 26151-2021 karta.png", "A 26151-2021")</f>
        <v/>
      </c>
      <c r="V351">
        <f>HYPERLINK("https://klasma.github.io/Logging_2313/klagomål/A 26151-2021 FSC-klagomål.docx", "A 26151-2021")</f>
        <v/>
      </c>
      <c r="W351">
        <f>HYPERLINK("https://klasma.github.io/Logging_2313/klagomålsmail/A 26151-2021 FSC-klagomål mail.docx", "A 26151-2021")</f>
        <v/>
      </c>
      <c r="X351">
        <f>HYPERLINK("https://klasma.github.io/Logging_2313/tillsyn/A 26151-2021 tillsynsbegäran.docx", "A 26151-2021")</f>
        <v/>
      </c>
      <c r="Y351">
        <f>HYPERLINK("https://klasma.github.io/Logging_2313/tillsynsmail/A 26151-2021 tillsynsbegäran mail.docx", "A 26151-2021")</f>
        <v/>
      </c>
    </row>
    <row r="352" ht="15" customHeight="1">
      <c r="A352" t="inlineStr">
        <is>
          <t>A 26147-2021</t>
        </is>
      </c>
      <c r="B352" s="1" t="n">
        <v>44346</v>
      </c>
      <c r="C352" s="1" t="n">
        <v>45688</v>
      </c>
      <c r="D352" t="inlineStr">
        <is>
          <t>JÄMTLANDS LÄN</t>
        </is>
      </c>
      <c r="E352" t="inlineStr">
        <is>
          <t>STRÖMSUND</t>
        </is>
      </c>
      <c r="F352" t="inlineStr">
        <is>
          <t>SCA</t>
        </is>
      </c>
      <c r="G352" t="n">
        <v>5.3</v>
      </c>
      <c r="H352" t="n">
        <v>0</v>
      </c>
      <c r="I352" t="n">
        <v>0</v>
      </c>
      <c r="J352" t="n">
        <v>1</v>
      </c>
      <c r="K352" t="n">
        <v>0</v>
      </c>
      <c r="L352" t="n">
        <v>0</v>
      </c>
      <c r="M352" t="n">
        <v>0</v>
      </c>
      <c r="N352" t="n">
        <v>0</v>
      </c>
      <c r="O352" t="n">
        <v>1</v>
      </c>
      <c r="P352" t="n">
        <v>0</v>
      </c>
      <c r="Q352" t="n">
        <v>1</v>
      </c>
      <c r="R352" s="2" t="inlineStr">
        <is>
          <t>Skrovellav</t>
        </is>
      </c>
      <c r="S352">
        <f>HYPERLINK("https://klasma.github.io/Logging_2313/artfynd/A 26147-2021 artfynd.xlsx", "A 26147-2021")</f>
        <v/>
      </c>
      <c r="T352">
        <f>HYPERLINK("https://klasma.github.io/Logging_2313/kartor/A 26147-2021 karta.png", "A 26147-2021")</f>
        <v/>
      </c>
      <c r="V352">
        <f>HYPERLINK("https://klasma.github.io/Logging_2313/klagomål/A 26147-2021 FSC-klagomål.docx", "A 26147-2021")</f>
        <v/>
      </c>
      <c r="W352">
        <f>HYPERLINK("https://klasma.github.io/Logging_2313/klagomålsmail/A 26147-2021 FSC-klagomål mail.docx", "A 26147-2021")</f>
        <v/>
      </c>
      <c r="X352">
        <f>HYPERLINK("https://klasma.github.io/Logging_2313/tillsyn/A 26147-2021 tillsynsbegäran.docx", "A 26147-2021")</f>
        <v/>
      </c>
      <c r="Y352">
        <f>HYPERLINK("https://klasma.github.io/Logging_2313/tillsynsmail/A 26147-2021 tillsynsbegäran mail.docx", "A 26147-2021")</f>
        <v/>
      </c>
    </row>
    <row r="353" ht="15" customHeight="1">
      <c r="A353" t="inlineStr">
        <is>
          <t>A 27560-2021</t>
        </is>
      </c>
      <c r="B353" s="1" t="n">
        <v>44352</v>
      </c>
      <c r="C353" s="1" t="n">
        <v>45688</v>
      </c>
      <c r="D353" t="inlineStr">
        <is>
          <t>JÄMTLANDS LÄN</t>
        </is>
      </c>
      <c r="E353" t="inlineStr">
        <is>
          <t>STRÖMSUND</t>
        </is>
      </c>
      <c r="G353" t="n">
        <v>2.5</v>
      </c>
      <c r="H353" t="n">
        <v>1</v>
      </c>
      <c r="I353" t="n">
        <v>0</v>
      </c>
      <c r="J353" t="n">
        <v>0</v>
      </c>
      <c r="K353" t="n">
        <v>0</v>
      </c>
      <c r="L353" t="n">
        <v>0</v>
      </c>
      <c r="M353" t="n">
        <v>0</v>
      </c>
      <c r="N353" t="n">
        <v>0</v>
      </c>
      <c r="O353" t="n">
        <v>0</v>
      </c>
      <c r="P353" t="n">
        <v>0</v>
      </c>
      <c r="Q353" t="n">
        <v>1</v>
      </c>
      <c r="R353" s="2" t="inlineStr">
        <is>
          <t>Fläcknycklar</t>
        </is>
      </c>
      <c r="S353">
        <f>HYPERLINK("https://klasma.github.io/Logging_2313/artfynd/A 27560-2021 artfynd.xlsx", "A 27560-2021")</f>
        <v/>
      </c>
      <c r="T353">
        <f>HYPERLINK("https://klasma.github.io/Logging_2313/kartor/A 27560-2021 karta.png", "A 27560-2021")</f>
        <v/>
      </c>
      <c r="V353">
        <f>HYPERLINK("https://klasma.github.io/Logging_2313/klagomål/A 27560-2021 FSC-klagomål.docx", "A 27560-2021")</f>
        <v/>
      </c>
      <c r="W353">
        <f>HYPERLINK("https://klasma.github.io/Logging_2313/klagomålsmail/A 27560-2021 FSC-klagomål mail.docx", "A 27560-2021")</f>
        <v/>
      </c>
      <c r="X353">
        <f>HYPERLINK("https://klasma.github.io/Logging_2313/tillsyn/A 27560-2021 tillsynsbegäran.docx", "A 27560-2021")</f>
        <v/>
      </c>
      <c r="Y353">
        <f>HYPERLINK("https://klasma.github.io/Logging_2313/tillsynsmail/A 27560-2021 tillsynsbegäran mail.docx", "A 27560-2021")</f>
        <v/>
      </c>
    </row>
    <row r="354" ht="15" customHeight="1">
      <c r="A354" t="inlineStr">
        <is>
          <t>A 29597-2021</t>
        </is>
      </c>
      <c r="B354" s="1" t="n">
        <v>44361</v>
      </c>
      <c r="C354" s="1" t="n">
        <v>45688</v>
      </c>
      <c r="D354" t="inlineStr">
        <is>
          <t>JÄMTLANDS LÄN</t>
        </is>
      </c>
      <c r="E354" t="inlineStr">
        <is>
          <t>STRÖMSUND</t>
        </is>
      </c>
      <c r="F354" t="inlineStr">
        <is>
          <t>SCA</t>
        </is>
      </c>
      <c r="G354" t="n">
        <v>2.6</v>
      </c>
      <c r="H354" t="n">
        <v>1</v>
      </c>
      <c r="I354" t="n">
        <v>0</v>
      </c>
      <c r="J354" t="n">
        <v>0</v>
      </c>
      <c r="K354" t="n">
        <v>0</v>
      </c>
      <c r="L354" t="n">
        <v>0</v>
      </c>
      <c r="M354" t="n">
        <v>0</v>
      </c>
      <c r="N354" t="n">
        <v>0</v>
      </c>
      <c r="O354" t="n">
        <v>0</v>
      </c>
      <c r="P354" t="n">
        <v>0</v>
      </c>
      <c r="Q354" t="n">
        <v>1</v>
      </c>
      <c r="R354" s="2" t="inlineStr">
        <is>
          <t>Mattlummer</t>
        </is>
      </c>
      <c r="S354">
        <f>HYPERLINK("https://klasma.github.io/Logging_2313/artfynd/A 29597-2021 artfynd.xlsx", "A 29597-2021")</f>
        <v/>
      </c>
      <c r="T354">
        <f>HYPERLINK("https://klasma.github.io/Logging_2313/kartor/A 29597-2021 karta.png", "A 29597-2021")</f>
        <v/>
      </c>
      <c r="V354">
        <f>HYPERLINK("https://klasma.github.io/Logging_2313/klagomål/A 29597-2021 FSC-klagomål.docx", "A 29597-2021")</f>
        <v/>
      </c>
      <c r="W354">
        <f>HYPERLINK("https://klasma.github.io/Logging_2313/klagomålsmail/A 29597-2021 FSC-klagomål mail.docx", "A 29597-2021")</f>
        <v/>
      </c>
      <c r="X354">
        <f>HYPERLINK("https://klasma.github.io/Logging_2313/tillsyn/A 29597-2021 tillsynsbegäran.docx", "A 29597-2021")</f>
        <v/>
      </c>
      <c r="Y354">
        <f>HYPERLINK("https://klasma.github.io/Logging_2313/tillsynsmail/A 29597-2021 tillsynsbegäran mail.docx", "A 29597-2021")</f>
        <v/>
      </c>
    </row>
    <row r="355" ht="15" customHeight="1">
      <c r="A355" t="inlineStr">
        <is>
          <t>A 32913-2021</t>
        </is>
      </c>
      <c r="B355" s="1" t="n">
        <v>44375</v>
      </c>
      <c r="C355" s="1" t="n">
        <v>45688</v>
      </c>
      <c r="D355" t="inlineStr">
        <is>
          <t>JÄMTLANDS LÄN</t>
        </is>
      </c>
      <c r="E355" t="inlineStr">
        <is>
          <t>STRÖMSUND</t>
        </is>
      </c>
      <c r="F355" t="inlineStr">
        <is>
          <t>SCA</t>
        </is>
      </c>
      <c r="G355" t="n">
        <v>22</v>
      </c>
      <c r="H355" t="n">
        <v>0</v>
      </c>
      <c r="I355" t="n">
        <v>1</v>
      </c>
      <c r="J355" t="n">
        <v>0</v>
      </c>
      <c r="K355" t="n">
        <v>0</v>
      </c>
      <c r="L355" t="n">
        <v>0</v>
      </c>
      <c r="M355" t="n">
        <v>0</v>
      </c>
      <c r="N355" t="n">
        <v>0</v>
      </c>
      <c r="O355" t="n">
        <v>0</v>
      </c>
      <c r="P355" t="n">
        <v>0</v>
      </c>
      <c r="Q355" t="n">
        <v>1</v>
      </c>
      <c r="R355" s="2" t="inlineStr">
        <is>
          <t>Korallblylav</t>
        </is>
      </c>
      <c r="S355">
        <f>HYPERLINK("https://klasma.github.io/Logging_2313/artfynd/A 32913-2021 artfynd.xlsx", "A 32913-2021")</f>
        <v/>
      </c>
      <c r="T355">
        <f>HYPERLINK("https://klasma.github.io/Logging_2313/kartor/A 32913-2021 karta.png", "A 32913-2021")</f>
        <v/>
      </c>
      <c r="V355">
        <f>HYPERLINK("https://klasma.github.io/Logging_2313/klagomål/A 32913-2021 FSC-klagomål.docx", "A 32913-2021")</f>
        <v/>
      </c>
      <c r="W355">
        <f>HYPERLINK("https://klasma.github.io/Logging_2313/klagomålsmail/A 32913-2021 FSC-klagomål mail.docx", "A 32913-2021")</f>
        <v/>
      </c>
      <c r="X355">
        <f>HYPERLINK("https://klasma.github.io/Logging_2313/tillsyn/A 32913-2021 tillsynsbegäran.docx", "A 32913-2021")</f>
        <v/>
      </c>
      <c r="Y355">
        <f>HYPERLINK("https://klasma.github.io/Logging_2313/tillsynsmail/A 32913-2021 tillsynsbegäran mail.docx", "A 32913-2021")</f>
        <v/>
      </c>
    </row>
    <row r="356" ht="15" customHeight="1">
      <c r="A356" t="inlineStr">
        <is>
          <t>A 33545-2021</t>
        </is>
      </c>
      <c r="B356" s="1" t="n">
        <v>44377</v>
      </c>
      <c r="C356" s="1" t="n">
        <v>45688</v>
      </c>
      <c r="D356" t="inlineStr">
        <is>
          <t>JÄMTLANDS LÄN</t>
        </is>
      </c>
      <c r="E356" t="inlineStr">
        <is>
          <t>STRÖMSUND</t>
        </is>
      </c>
      <c r="G356" t="n">
        <v>7.5</v>
      </c>
      <c r="H356" t="n">
        <v>0</v>
      </c>
      <c r="I356" t="n">
        <v>0</v>
      </c>
      <c r="J356" t="n">
        <v>1</v>
      </c>
      <c r="K356" t="n">
        <v>0</v>
      </c>
      <c r="L356" t="n">
        <v>0</v>
      </c>
      <c r="M356" t="n">
        <v>0</v>
      </c>
      <c r="N356" t="n">
        <v>0</v>
      </c>
      <c r="O356" t="n">
        <v>1</v>
      </c>
      <c r="P356" t="n">
        <v>0</v>
      </c>
      <c r="Q356" t="n">
        <v>1</v>
      </c>
      <c r="R356" s="2" t="inlineStr">
        <is>
          <t>Lunglav</t>
        </is>
      </c>
      <c r="S356">
        <f>HYPERLINK("https://klasma.github.io/Logging_2313/artfynd/A 33545-2021 artfynd.xlsx", "A 33545-2021")</f>
        <v/>
      </c>
      <c r="T356">
        <f>HYPERLINK("https://klasma.github.io/Logging_2313/kartor/A 33545-2021 karta.png", "A 33545-2021")</f>
        <v/>
      </c>
      <c r="V356">
        <f>HYPERLINK("https://klasma.github.io/Logging_2313/klagomål/A 33545-2021 FSC-klagomål.docx", "A 33545-2021")</f>
        <v/>
      </c>
      <c r="W356">
        <f>HYPERLINK("https://klasma.github.io/Logging_2313/klagomålsmail/A 33545-2021 FSC-klagomål mail.docx", "A 33545-2021")</f>
        <v/>
      </c>
      <c r="X356">
        <f>HYPERLINK("https://klasma.github.io/Logging_2313/tillsyn/A 33545-2021 tillsynsbegäran.docx", "A 33545-2021")</f>
        <v/>
      </c>
      <c r="Y356">
        <f>HYPERLINK("https://klasma.github.io/Logging_2313/tillsynsmail/A 33545-2021 tillsynsbegäran mail.docx", "A 33545-2021")</f>
        <v/>
      </c>
    </row>
    <row r="357" ht="15" customHeight="1">
      <c r="A357" t="inlineStr">
        <is>
          <t>A 35444-2021</t>
        </is>
      </c>
      <c r="B357" s="1" t="n">
        <v>44385</v>
      </c>
      <c r="C357" s="1" t="n">
        <v>45688</v>
      </c>
      <c r="D357" t="inlineStr">
        <is>
          <t>JÄMTLANDS LÄN</t>
        </is>
      </c>
      <c r="E357" t="inlineStr">
        <is>
          <t>STRÖMSUND</t>
        </is>
      </c>
      <c r="G357" t="n">
        <v>20</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35444-2021 artfynd.xlsx", "A 35444-2021")</f>
        <v/>
      </c>
      <c r="T357">
        <f>HYPERLINK("https://klasma.github.io/Logging_2313/kartor/A 35444-2021 karta.png", "A 35444-2021")</f>
        <v/>
      </c>
      <c r="V357">
        <f>HYPERLINK("https://klasma.github.io/Logging_2313/klagomål/A 35444-2021 FSC-klagomål.docx", "A 35444-2021")</f>
        <v/>
      </c>
      <c r="W357">
        <f>HYPERLINK("https://klasma.github.io/Logging_2313/klagomålsmail/A 35444-2021 FSC-klagomål mail.docx", "A 35444-2021")</f>
        <v/>
      </c>
      <c r="X357">
        <f>HYPERLINK("https://klasma.github.io/Logging_2313/tillsyn/A 35444-2021 tillsynsbegäran.docx", "A 35444-2021")</f>
        <v/>
      </c>
      <c r="Y357">
        <f>HYPERLINK("https://klasma.github.io/Logging_2313/tillsynsmail/A 35444-2021 tillsynsbegäran mail.docx", "A 35444-2021")</f>
        <v/>
      </c>
      <c r="Z357">
        <f>HYPERLINK("https://klasma.github.io/Logging_2313/fåglar/A 35444-2021 prioriterade fågelarter.docx", "A 35444-2021")</f>
        <v/>
      </c>
    </row>
    <row r="358" ht="15" customHeight="1">
      <c r="A358" t="inlineStr">
        <is>
          <t>A 38584-2021</t>
        </is>
      </c>
      <c r="B358" s="1" t="n">
        <v>44407</v>
      </c>
      <c r="C358" s="1" t="n">
        <v>45688</v>
      </c>
      <c r="D358" t="inlineStr">
        <is>
          <t>JÄMTLANDS LÄN</t>
        </is>
      </c>
      <c r="E358" t="inlineStr">
        <is>
          <t>STRÖMSUND</t>
        </is>
      </c>
      <c r="F358" t="inlineStr">
        <is>
          <t>SCA</t>
        </is>
      </c>
      <c r="G358" t="n">
        <v>8.4</v>
      </c>
      <c r="H358" t="n">
        <v>1</v>
      </c>
      <c r="I358" t="n">
        <v>0</v>
      </c>
      <c r="J358" t="n">
        <v>0</v>
      </c>
      <c r="K358" t="n">
        <v>1</v>
      </c>
      <c r="L358" t="n">
        <v>0</v>
      </c>
      <c r="M358" t="n">
        <v>0</v>
      </c>
      <c r="N358" t="n">
        <v>0</v>
      </c>
      <c r="O358" t="n">
        <v>1</v>
      </c>
      <c r="P358" t="n">
        <v>1</v>
      </c>
      <c r="Q358" t="n">
        <v>1</v>
      </c>
      <c r="R358" s="2" t="inlineStr">
        <is>
          <t>Knärot</t>
        </is>
      </c>
      <c r="S358">
        <f>HYPERLINK("https://klasma.github.io/Logging_2313/artfynd/A 38584-2021 artfynd.xlsx", "A 38584-2021")</f>
        <v/>
      </c>
      <c r="T358">
        <f>HYPERLINK("https://klasma.github.io/Logging_2313/kartor/A 38584-2021 karta.png", "A 38584-2021")</f>
        <v/>
      </c>
      <c r="U358">
        <f>HYPERLINK("https://klasma.github.io/Logging_2313/knärot/A 38584-2021 karta knärot.png", "A 38584-2021")</f>
        <v/>
      </c>
      <c r="V358">
        <f>HYPERLINK("https://klasma.github.io/Logging_2313/klagomål/A 38584-2021 FSC-klagomål.docx", "A 38584-2021")</f>
        <v/>
      </c>
      <c r="W358">
        <f>HYPERLINK("https://klasma.github.io/Logging_2313/klagomålsmail/A 38584-2021 FSC-klagomål mail.docx", "A 38584-2021")</f>
        <v/>
      </c>
      <c r="X358">
        <f>HYPERLINK("https://klasma.github.io/Logging_2313/tillsyn/A 38584-2021 tillsynsbegäran.docx", "A 38584-2021")</f>
        <v/>
      </c>
      <c r="Y358">
        <f>HYPERLINK("https://klasma.github.io/Logging_2313/tillsynsmail/A 38584-2021 tillsynsbegäran mail.docx", "A 38584-2021")</f>
        <v/>
      </c>
    </row>
    <row r="359" ht="15" customHeight="1">
      <c r="A359" t="inlineStr">
        <is>
          <t>A 39928-2021</t>
        </is>
      </c>
      <c r="B359" s="1" t="n">
        <v>44417</v>
      </c>
      <c r="C359" s="1" t="n">
        <v>45688</v>
      </c>
      <c r="D359" t="inlineStr">
        <is>
          <t>JÄMTLANDS LÄN</t>
        </is>
      </c>
      <c r="E359" t="inlineStr">
        <is>
          <t>STRÖMSUND</t>
        </is>
      </c>
      <c r="F359" t="inlineStr">
        <is>
          <t>SCA</t>
        </is>
      </c>
      <c r="G359" t="n">
        <v>1.5</v>
      </c>
      <c r="H359" t="n">
        <v>1</v>
      </c>
      <c r="I359" t="n">
        <v>0</v>
      </c>
      <c r="J359" t="n">
        <v>1</v>
      </c>
      <c r="K359" t="n">
        <v>0</v>
      </c>
      <c r="L359" t="n">
        <v>0</v>
      </c>
      <c r="M359" t="n">
        <v>0</v>
      </c>
      <c r="N359" t="n">
        <v>0</v>
      </c>
      <c r="O359" t="n">
        <v>1</v>
      </c>
      <c r="P359" t="n">
        <v>0</v>
      </c>
      <c r="Q359" t="n">
        <v>1</v>
      </c>
      <c r="R359" s="2" t="inlineStr">
        <is>
          <t>Utter</t>
        </is>
      </c>
      <c r="S359">
        <f>HYPERLINK("https://klasma.github.io/Logging_2313/artfynd/A 39928-2021 artfynd.xlsx", "A 39928-2021")</f>
        <v/>
      </c>
      <c r="T359">
        <f>HYPERLINK("https://klasma.github.io/Logging_2313/kartor/A 39928-2021 karta.png", "A 39928-2021")</f>
        <v/>
      </c>
      <c r="V359">
        <f>HYPERLINK("https://klasma.github.io/Logging_2313/klagomål/A 39928-2021 FSC-klagomål.docx", "A 39928-2021")</f>
        <v/>
      </c>
      <c r="W359">
        <f>HYPERLINK("https://klasma.github.io/Logging_2313/klagomålsmail/A 39928-2021 FSC-klagomål mail.docx", "A 39928-2021")</f>
        <v/>
      </c>
      <c r="X359">
        <f>HYPERLINK("https://klasma.github.io/Logging_2313/tillsyn/A 39928-2021 tillsynsbegäran.docx", "A 39928-2021")</f>
        <v/>
      </c>
      <c r="Y359">
        <f>HYPERLINK("https://klasma.github.io/Logging_2313/tillsynsmail/A 39928-2021 tillsynsbegäran mail.docx", "A 39928-2021")</f>
        <v/>
      </c>
    </row>
    <row r="360" ht="15" customHeight="1">
      <c r="A360" t="inlineStr">
        <is>
          <t>A 42246-2021</t>
        </is>
      </c>
      <c r="B360" s="1" t="n">
        <v>44426</v>
      </c>
      <c r="C360" s="1" t="n">
        <v>45688</v>
      </c>
      <c r="D360" t="inlineStr">
        <is>
          <t>JÄMTLANDS LÄN</t>
        </is>
      </c>
      <c r="E360" t="inlineStr">
        <is>
          <t>STRÖMSUND</t>
        </is>
      </c>
      <c r="F360" t="inlineStr">
        <is>
          <t>SCA</t>
        </is>
      </c>
      <c r="G360" t="n">
        <v>6.6</v>
      </c>
      <c r="H360" t="n">
        <v>0</v>
      </c>
      <c r="I360" t="n">
        <v>0</v>
      </c>
      <c r="J360" t="n">
        <v>1</v>
      </c>
      <c r="K360" t="n">
        <v>0</v>
      </c>
      <c r="L360" t="n">
        <v>0</v>
      </c>
      <c r="M360" t="n">
        <v>0</v>
      </c>
      <c r="N360" t="n">
        <v>0</v>
      </c>
      <c r="O360" t="n">
        <v>1</v>
      </c>
      <c r="P360" t="n">
        <v>0</v>
      </c>
      <c r="Q360" t="n">
        <v>1</v>
      </c>
      <c r="R360" s="2" t="inlineStr">
        <is>
          <t>Garnlav</t>
        </is>
      </c>
      <c r="S360">
        <f>HYPERLINK("https://klasma.github.io/Logging_2313/artfynd/A 42246-2021 artfynd.xlsx", "A 42246-2021")</f>
        <v/>
      </c>
      <c r="T360">
        <f>HYPERLINK("https://klasma.github.io/Logging_2313/kartor/A 42246-2021 karta.png", "A 42246-2021")</f>
        <v/>
      </c>
      <c r="V360">
        <f>HYPERLINK("https://klasma.github.io/Logging_2313/klagomål/A 42246-2021 FSC-klagomål.docx", "A 42246-2021")</f>
        <v/>
      </c>
      <c r="W360">
        <f>HYPERLINK("https://klasma.github.io/Logging_2313/klagomålsmail/A 42246-2021 FSC-klagomål mail.docx", "A 42246-2021")</f>
        <v/>
      </c>
      <c r="X360">
        <f>HYPERLINK("https://klasma.github.io/Logging_2313/tillsyn/A 42246-2021 tillsynsbegäran.docx", "A 42246-2021")</f>
        <v/>
      </c>
      <c r="Y360">
        <f>HYPERLINK("https://klasma.github.io/Logging_2313/tillsynsmail/A 42246-2021 tillsynsbegäran mail.docx", "A 42246-2021")</f>
        <v/>
      </c>
    </row>
    <row r="361" ht="15" customHeight="1">
      <c r="A361" t="inlineStr">
        <is>
          <t>A 50654-2021</t>
        </is>
      </c>
      <c r="B361" s="1" t="n">
        <v>44459</v>
      </c>
      <c r="C361" s="1" t="n">
        <v>45688</v>
      </c>
      <c r="D361" t="inlineStr">
        <is>
          <t>JÄMTLANDS LÄN</t>
        </is>
      </c>
      <c r="E361" t="inlineStr">
        <is>
          <t>STRÖMSUND</t>
        </is>
      </c>
      <c r="F361" t="inlineStr">
        <is>
          <t>SCA</t>
        </is>
      </c>
      <c r="G361" t="n">
        <v>3.1</v>
      </c>
      <c r="H361" t="n">
        <v>0</v>
      </c>
      <c r="I361" t="n">
        <v>0</v>
      </c>
      <c r="J361" t="n">
        <v>1</v>
      </c>
      <c r="K361" t="n">
        <v>0</v>
      </c>
      <c r="L361" t="n">
        <v>0</v>
      </c>
      <c r="M361" t="n">
        <v>0</v>
      </c>
      <c r="N361" t="n">
        <v>0</v>
      </c>
      <c r="O361" t="n">
        <v>1</v>
      </c>
      <c r="P361" t="n">
        <v>0</v>
      </c>
      <c r="Q361" t="n">
        <v>1</v>
      </c>
      <c r="R361" s="2" t="inlineStr">
        <is>
          <t>Ullticka</t>
        </is>
      </c>
      <c r="S361">
        <f>HYPERLINK("https://klasma.github.io/Logging_2313/artfynd/A 50654-2021 artfynd.xlsx", "A 50654-2021")</f>
        <v/>
      </c>
      <c r="T361">
        <f>HYPERLINK("https://klasma.github.io/Logging_2313/kartor/A 50654-2021 karta.png", "A 50654-2021")</f>
        <v/>
      </c>
      <c r="V361">
        <f>HYPERLINK("https://klasma.github.io/Logging_2313/klagomål/A 50654-2021 FSC-klagomål.docx", "A 50654-2021")</f>
        <v/>
      </c>
      <c r="W361">
        <f>HYPERLINK("https://klasma.github.io/Logging_2313/klagomålsmail/A 50654-2021 FSC-klagomål mail.docx", "A 50654-2021")</f>
        <v/>
      </c>
      <c r="X361">
        <f>HYPERLINK("https://klasma.github.io/Logging_2313/tillsyn/A 50654-2021 tillsynsbegäran.docx", "A 50654-2021")</f>
        <v/>
      </c>
      <c r="Y361">
        <f>HYPERLINK("https://klasma.github.io/Logging_2313/tillsynsmail/A 50654-2021 tillsynsbegäran mail.docx", "A 50654-2021")</f>
        <v/>
      </c>
    </row>
    <row r="362" ht="15" customHeight="1">
      <c r="A362" t="inlineStr">
        <is>
          <t>A 53509-2021</t>
        </is>
      </c>
      <c r="B362" s="1" t="n">
        <v>44468</v>
      </c>
      <c r="C362" s="1" t="n">
        <v>45688</v>
      </c>
      <c r="D362" t="inlineStr">
        <is>
          <t>JÄMTLANDS LÄN</t>
        </is>
      </c>
      <c r="E362" t="inlineStr">
        <is>
          <t>STRÖMSUND</t>
        </is>
      </c>
      <c r="F362" t="inlineStr">
        <is>
          <t>SCA</t>
        </is>
      </c>
      <c r="G362" t="n">
        <v>3.4</v>
      </c>
      <c r="H362" t="n">
        <v>0</v>
      </c>
      <c r="I362" t="n">
        <v>1</v>
      </c>
      <c r="J362" t="n">
        <v>0</v>
      </c>
      <c r="K362" t="n">
        <v>0</v>
      </c>
      <c r="L362" t="n">
        <v>0</v>
      </c>
      <c r="M362" t="n">
        <v>0</v>
      </c>
      <c r="N362" t="n">
        <v>0</v>
      </c>
      <c r="O362" t="n">
        <v>0</v>
      </c>
      <c r="P362" t="n">
        <v>0</v>
      </c>
      <c r="Q362" t="n">
        <v>1</v>
      </c>
      <c r="R362" s="2" t="inlineStr">
        <is>
          <t>Stor aspticka</t>
        </is>
      </c>
      <c r="S362">
        <f>HYPERLINK("https://klasma.github.io/Logging_2313/artfynd/A 53509-2021 artfynd.xlsx", "A 53509-2021")</f>
        <v/>
      </c>
      <c r="T362">
        <f>HYPERLINK("https://klasma.github.io/Logging_2313/kartor/A 53509-2021 karta.png", "A 53509-2021")</f>
        <v/>
      </c>
      <c r="V362">
        <f>HYPERLINK("https://klasma.github.io/Logging_2313/klagomål/A 53509-2021 FSC-klagomål.docx", "A 53509-2021")</f>
        <v/>
      </c>
      <c r="W362">
        <f>HYPERLINK("https://klasma.github.io/Logging_2313/klagomålsmail/A 53509-2021 FSC-klagomål mail.docx", "A 53509-2021")</f>
        <v/>
      </c>
      <c r="X362">
        <f>HYPERLINK("https://klasma.github.io/Logging_2313/tillsyn/A 53509-2021 tillsynsbegäran.docx", "A 53509-2021")</f>
        <v/>
      </c>
      <c r="Y362">
        <f>HYPERLINK("https://klasma.github.io/Logging_2313/tillsynsmail/A 53509-2021 tillsynsbegäran mail.docx", "A 53509-2021")</f>
        <v/>
      </c>
    </row>
    <row r="363" ht="15" customHeight="1">
      <c r="A363" t="inlineStr">
        <is>
          <t>A 53517-2021</t>
        </is>
      </c>
      <c r="B363" s="1" t="n">
        <v>44468</v>
      </c>
      <c r="C363" s="1" t="n">
        <v>45688</v>
      </c>
      <c r="D363" t="inlineStr">
        <is>
          <t>JÄMTLANDS LÄN</t>
        </is>
      </c>
      <c r="E363" t="inlineStr">
        <is>
          <t>STRÖMSUND</t>
        </is>
      </c>
      <c r="F363" t="inlineStr">
        <is>
          <t>SCA</t>
        </is>
      </c>
      <c r="G363" t="n">
        <v>3</v>
      </c>
      <c r="H363" t="n">
        <v>0</v>
      </c>
      <c r="I363" t="n">
        <v>0</v>
      </c>
      <c r="J363" t="n">
        <v>1</v>
      </c>
      <c r="K363" t="n">
        <v>0</v>
      </c>
      <c r="L363" t="n">
        <v>0</v>
      </c>
      <c r="M363" t="n">
        <v>0</v>
      </c>
      <c r="N363" t="n">
        <v>0</v>
      </c>
      <c r="O363" t="n">
        <v>1</v>
      </c>
      <c r="P363" t="n">
        <v>0</v>
      </c>
      <c r="Q363" t="n">
        <v>1</v>
      </c>
      <c r="R363" s="2" t="inlineStr">
        <is>
          <t>Lunglav</t>
        </is>
      </c>
      <c r="S363">
        <f>HYPERLINK("https://klasma.github.io/Logging_2313/artfynd/A 53517-2021 artfynd.xlsx", "A 53517-2021")</f>
        <v/>
      </c>
      <c r="T363">
        <f>HYPERLINK("https://klasma.github.io/Logging_2313/kartor/A 53517-2021 karta.png", "A 53517-2021")</f>
        <v/>
      </c>
      <c r="V363">
        <f>HYPERLINK("https://klasma.github.io/Logging_2313/klagomål/A 53517-2021 FSC-klagomål.docx", "A 53517-2021")</f>
        <v/>
      </c>
      <c r="W363">
        <f>HYPERLINK("https://klasma.github.io/Logging_2313/klagomålsmail/A 53517-2021 FSC-klagomål mail.docx", "A 53517-2021")</f>
        <v/>
      </c>
      <c r="X363">
        <f>HYPERLINK("https://klasma.github.io/Logging_2313/tillsyn/A 53517-2021 tillsynsbegäran.docx", "A 53517-2021")</f>
        <v/>
      </c>
      <c r="Y363">
        <f>HYPERLINK("https://klasma.github.io/Logging_2313/tillsynsmail/A 53517-2021 tillsynsbegäran mail.docx", "A 53517-2021")</f>
        <v/>
      </c>
    </row>
    <row r="364" ht="15" customHeight="1">
      <c r="A364" t="inlineStr">
        <is>
          <t>A 55604-2021</t>
        </is>
      </c>
      <c r="B364" s="1" t="n">
        <v>44475</v>
      </c>
      <c r="C364" s="1" t="n">
        <v>45688</v>
      </c>
      <c r="D364" t="inlineStr">
        <is>
          <t>JÄMTLANDS LÄN</t>
        </is>
      </c>
      <c r="E364" t="inlineStr">
        <is>
          <t>STRÖMSUND</t>
        </is>
      </c>
      <c r="F364" t="inlineStr">
        <is>
          <t>SCA</t>
        </is>
      </c>
      <c r="G364" t="n">
        <v>4.9</v>
      </c>
      <c r="H364" t="n">
        <v>0</v>
      </c>
      <c r="I364" t="n">
        <v>1</v>
      </c>
      <c r="J364" t="n">
        <v>0</v>
      </c>
      <c r="K364" t="n">
        <v>0</v>
      </c>
      <c r="L364" t="n">
        <v>0</v>
      </c>
      <c r="M364" t="n">
        <v>0</v>
      </c>
      <c r="N364" t="n">
        <v>0</v>
      </c>
      <c r="O364" t="n">
        <v>0</v>
      </c>
      <c r="P364" t="n">
        <v>0</v>
      </c>
      <c r="Q364" t="n">
        <v>1</v>
      </c>
      <c r="R364" s="2" t="inlineStr">
        <is>
          <t>Stor aspticka</t>
        </is>
      </c>
      <c r="S364">
        <f>HYPERLINK("https://klasma.github.io/Logging_2313/artfynd/A 55604-2021 artfynd.xlsx", "A 55604-2021")</f>
        <v/>
      </c>
      <c r="T364">
        <f>HYPERLINK("https://klasma.github.io/Logging_2313/kartor/A 55604-2021 karta.png", "A 55604-2021")</f>
        <v/>
      </c>
      <c r="V364">
        <f>HYPERLINK("https://klasma.github.io/Logging_2313/klagomål/A 55604-2021 FSC-klagomål.docx", "A 55604-2021")</f>
        <v/>
      </c>
      <c r="W364">
        <f>HYPERLINK("https://klasma.github.io/Logging_2313/klagomålsmail/A 55604-2021 FSC-klagomål mail.docx", "A 55604-2021")</f>
        <v/>
      </c>
      <c r="X364">
        <f>HYPERLINK("https://klasma.github.io/Logging_2313/tillsyn/A 55604-2021 tillsynsbegäran.docx", "A 55604-2021")</f>
        <v/>
      </c>
      <c r="Y364">
        <f>HYPERLINK("https://klasma.github.io/Logging_2313/tillsynsmail/A 55604-2021 tillsynsbegäran mail.docx", "A 55604-2021")</f>
        <v/>
      </c>
    </row>
    <row r="365" ht="15" customHeight="1">
      <c r="A365" t="inlineStr">
        <is>
          <t>A 56210-2021</t>
        </is>
      </c>
      <c r="B365" s="1" t="n">
        <v>44477</v>
      </c>
      <c r="C365" s="1" t="n">
        <v>45688</v>
      </c>
      <c r="D365" t="inlineStr">
        <is>
          <t>JÄMTLANDS LÄN</t>
        </is>
      </c>
      <c r="E365" t="inlineStr">
        <is>
          <t>STRÖMSUND</t>
        </is>
      </c>
      <c r="F365" t="inlineStr">
        <is>
          <t>SCA</t>
        </is>
      </c>
      <c r="G365" t="n">
        <v>24.1</v>
      </c>
      <c r="H365" t="n">
        <v>0</v>
      </c>
      <c r="I365" t="n">
        <v>0</v>
      </c>
      <c r="J365" t="n">
        <v>1</v>
      </c>
      <c r="K365" t="n">
        <v>0</v>
      </c>
      <c r="L365" t="n">
        <v>0</v>
      </c>
      <c r="M365" t="n">
        <v>0</v>
      </c>
      <c r="N365" t="n">
        <v>0</v>
      </c>
      <c r="O365" t="n">
        <v>1</v>
      </c>
      <c r="P365" t="n">
        <v>0</v>
      </c>
      <c r="Q365" t="n">
        <v>1</v>
      </c>
      <c r="R365" s="2" t="inlineStr">
        <is>
          <t>Skrovellav</t>
        </is>
      </c>
      <c r="S365">
        <f>HYPERLINK("https://klasma.github.io/Logging_2313/artfynd/A 56210-2021 artfynd.xlsx", "A 56210-2021")</f>
        <v/>
      </c>
      <c r="T365">
        <f>HYPERLINK("https://klasma.github.io/Logging_2313/kartor/A 56210-2021 karta.png", "A 56210-2021")</f>
        <v/>
      </c>
      <c r="V365">
        <f>HYPERLINK("https://klasma.github.io/Logging_2313/klagomål/A 56210-2021 FSC-klagomål.docx", "A 56210-2021")</f>
        <v/>
      </c>
      <c r="W365">
        <f>HYPERLINK("https://klasma.github.io/Logging_2313/klagomålsmail/A 56210-2021 FSC-klagomål mail.docx", "A 56210-2021")</f>
        <v/>
      </c>
      <c r="X365">
        <f>HYPERLINK("https://klasma.github.io/Logging_2313/tillsyn/A 56210-2021 tillsynsbegäran.docx", "A 56210-2021")</f>
        <v/>
      </c>
      <c r="Y365">
        <f>HYPERLINK("https://klasma.github.io/Logging_2313/tillsynsmail/A 56210-2021 tillsynsbegäran mail.docx", "A 56210-2021")</f>
        <v/>
      </c>
    </row>
    <row r="366" ht="15" customHeight="1">
      <c r="A366" t="inlineStr">
        <is>
          <t>A 61437-2021</t>
        </is>
      </c>
      <c r="B366" s="1" t="n">
        <v>44500</v>
      </c>
      <c r="C366" s="1" t="n">
        <v>45688</v>
      </c>
      <c r="D366" t="inlineStr">
        <is>
          <t>JÄMTLANDS LÄN</t>
        </is>
      </c>
      <c r="E366" t="inlineStr">
        <is>
          <t>STRÖMSUND</t>
        </is>
      </c>
      <c r="F366" t="inlineStr">
        <is>
          <t>SCA</t>
        </is>
      </c>
      <c r="G366" t="n">
        <v>3.6</v>
      </c>
      <c r="H366" t="n">
        <v>0</v>
      </c>
      <c r="I366" t="n">
        <v>0</v>
      </c>
      <c r="J366" t="n">
        <v>1</v>
      </c>
      <c r="K366" t="n">
        <v>0</v>
      </c>
      <c r="L366" t="n">
        <v>0</v>
      </c>
      <c r="M366" t="n">
        <v>0</v>
      </c>
      <c r="N366" t="n">
        <v>0</v>
      </c>
      <c r="O366" t="n">
        <v>1</v>
      </c>
      <c r="P366" t="n">
        <v>0</v>
      </c>
      <c r="Q366" t="n">
        <v>1</v>
      </c>
      <c r="R366" s="2" t="inlineStr">
        <is>
          <t>Rödbrun klubbdyna</t>
        </is>
      </c>
      <c r="S366">
        <f>HYPERLINK("https://klasma.github.io/Logging_2313/artfynd/A 61437-2021 artfynd.xlsx", "A 61437-2021")</f>
        <v/>
      </c>
      <c r="T366">
        <f>HYPERLINK("https://klasma.github.io/Logging_2313/kartor/A 61437-2021 karta.png", "A 61437-2021")</f>
        <v/>
      </c>
      <c r="V366">
        <f>HYPERLINK("https://klasma.github.io/Logging_2313/klagomål/A 61437-2021 FSC-klagomål.docx", "A 61437-2021")</f>
        <v/>
      </c>
      <c r="W366">
        <f>HYPERLINK("https://klasma.github.io/Logging_2313/klagomålsmail/A 61437-2021 FSC-klagomål mail.docx", "A 61437-2021")</f>
        <v/>
      </c>
      <c r="X366">
        <f>HYPERLINK("https://klasma.github.io/Logging_2313/tillsyn/A 61437-2021 tillsynsbegäran.docx", "A 61437-2021")</f>
        <v/>
      </c>
      <c r="Y366">
        <f>HYPERLINK("https://klasma.github.io/Logging_2313/tillsynsmail/A 61437-2021 tillsynsbegäran mail.docx", "A 61437-2021")</f>
        <v/>
      </c>
    </row>
    <row r="367" ht="15" customHeight="1">
      <c r="A367" t="inlineStr">
        <is>
          <t>A 61482-2021</t>
        </is>
      </c>
      <c r="B367" s="1" t="n">
        <v>44500</v>
      </c>
      <c r="C367" s="1" t="n">
        <v>45688</v>
      </c>
      <c r="D367" t="inlineStr">
        <is>
          <t>JÄMTLANDS LÄN</t>
        </is>
      </c>
      <c r="E367" t="inlineStr">
        <is>
          <t>STRÖMSUND</t>
        </is>
      </c>
      <c r="F367" t="inlineStr">
        <is>
          <t>SCA</t>
        </is>
      </c>
      <c r="G367" t="n">
        <v>5.9</v>
      </c>
      <c r="H367" t="n">
        <v>0</v>
      </c>
      <c r="I367" t="n">
        <v>0</v>
      </c>
      <c r="J367" t="n">
        <v>1</v>
      </c>
      <c r="K367" t="n">
        <v>0</v>
      </c>
      <c r="L367" t="n">
        <v>0</v>
      </c>
      <c r="M367" t="n">
        <v>0</v>
      </c>
      <c r="N367" t="n">
        <v>0</v>
      </c>
      <c r="O367" t="n">
        <v>1</v>
      </c>
      <c r="P367" t="n">
        <v>0</v>
      </c>
      <c r="Q367" t="n">
        <v>1</v>
      </c>
      <c r="R367" s="2" t="inlineStr">
        <is>
          <t>Lunglav</t>
        </is>
      </c>
      <c r="S367">
        <f>HYPERLINK("https://klasma.github.io/Logging_2313/artfynd/A 61482-2021 artfynd.xlsx", "A 61482-2021")</f>
        <v/>
      </c>
      <c r="T367">
        <f>HYPERLINK("https://klasma.github.io/Logging_2313/kartor/A 61482-2021 karta.png", "A 61482-2021")</f>
        <v/>
      </c>
      <c r="V367">
        <f>HYPERLINK("https://klasma.github.io/Logging_2313/klagomål/A 61482-2021 FSC-klagomål.docx", "A 61482-2021")</f>
        <v/>
      </c>
      <c r="W367">
        <f>HYPERLINK("https://klasma.github.io/Logging_2313/klagomålsmail/A 61482-2021 FSC-klagomål mail.docx", "A 61482-2021")</f>
        <v/>
      </c>
      <c r="X367">
        <f>HYPERLINK("https://klasma.github.io/Logging_2313/tillsyn/A 61482-2021 tillsynsbegäran.docx", "A 61482-2021")</f>
        <v/>
      </c>
      <c r="Y367">
        <f>HYPERLINK("https://klasma.github.io/Logging_2313/tillsynsmail/A 61482-2021 tillsynsbegäran mail.docx", "A 61482-2021")</f>
        <v/>
      </c>
    </row>
    <row r="368" ht="15" customHeight="1">
      <c r="A368" t="inlineStr">
        <is>
          <t>A 64658-2021</t>
        </is>
      </c>
      <c r="B368" s="1" t="n">
        <v>44511</v>
      </c>
      <c r="C368" s="1" t="n">
        <v>45688</v>
      </c>
      <c r="D368" t="inlineStr">
        <is>
          <t>JÄMTLANDS LÄN</t>
        </is>
      </c>
      <c r="E368" t="inlineStr">
        <is>
          <t>STRÖMSUND</t>
        </is>
      </c>
      <c r="F368" t="inlineStr">
        <is>
          <t>SCA</t>
        </is>
      </c>
      <c r="G368" t="n">
        <v>4.7</v>
      </c>
      <c r="H368" t="n">
        <v>0</v>
      </c>
      <c r="I368" t="n">
        <v>0</v>
      </c>
      <c r="J368" t="n">
        <v>1</v>
      </c>
      <c r="K368" t="n">
        <v>0</v>
      </c>
      <c r="L368" t="n">
        <v>0</v>
      </c>
      <c r="M368" t="n">
        <v>0</v>
      </c>
      <c r="N368" t="n">
        <v>0</v>
      </c>
      <c r="O368" t="n">
        <v>1</v>
      </c>
      <c r="P368" t="n">
        <v>0</v>
      </c>
      <c r="Q368" t="n">
        <v>1</v>
      </c>
      <c r="R368" s="2" t="inlineStr">
        <is>
          <t>Harticka</t>
        </is>
      </c>
      <c r="S368">
        <f>HYPERLINK("https://klasma.github.io/Logging_2313/artfynd/A 64658-2021 artfynd.xlsx", "A 64658-2021")</f>
        <v/>
      </c>
      <c r="T368">
        <f>HYPERLINK("https://klasma.github.io/Logging_2313/kartor/A 64658-2021 karta.png", "A 64658-2021")</f>
        <v/>
      </c>
      <c r="V368">
        <f>HYPERLINK("https://klasma.github.io/Logging_2313/klagomål/A 64658-2021 FSC-klagomål.docx", "A 64658-2021")</f>
        <v/>
      </c>
      <c r="W368">
        <f>HYPERLINK("https://klasma.github.io/Logging_2313/klagomålsmail/A 64658-2021 FSC-klagomål mail.docx", "A 64658-2021")</f>
        <v/>
      </c>
      <c r="X368">
        <f>HYPERLINK("https://klasma.github.io/Logging_2313/tillsyn/A 64658-2021 tillsynsbegäran.docx", "A 64658-2021")</f>
        <v/>
      </c>
      <c r="Y368">
        <f>HYPERLINK("https://klasma.github.io/Logging_2313/tillsynsmail/A 64658-2021 tillsynsbegäran mail.docx", "A 64658-2021")</f>
        <v/>
      </c>
    </row>
    <row r="369" ht="15" customHeight="1">
      <c r="A369" t="inlineStr">
        <is>
          <t>A 66483-2021</t>
        </is>
      </c>
      <c r="B369" s="1" t="n">
        <v>44518</v>
      </c>
      <c r="C369" s="1" t="n">
        <v>45688</v>
      </c>
      <c r="D369" t="inlineStr">
        <is>
          <t>JÄMTLANDS LÄN</t>
        </is>
      </c>
      <c r="E369" t="inlineStr">
        <is>
          <t>STRÖMSUND</t>
        </is>
      </c>
      <c r="F369" t="inlineStr">
        <is>
          <t>SCA</t>
        </is>
      </c>
      <c r="G369" t="n">
        <v>10.2</v>
      </c>
      <c r="H369" t="n">
        <v>0</v>
      </c>
      <c r="I369" t="n">
        <v>0</v>
      </c>
      <c r="J369" t="n">
        <v>1</v>
      </c>
      <c r="K369" t="n">
        <v>0</v>
      </c>
      <c r="L369" t="n">
        <v>0</v>
      </c>
      <c r="M369" t="n">
        <v>0</v>
      </c>
      <c r="N369" t="n">
        <v>0</v>
      </c>
      <c r="O369" t="n">
        <v>1</v>
      </c>
      <c r="P369" t="n">
        <v>0</v>
      </c>
      <c r="Q369" t="n">
        <v>1</v>
      </c>
      <c r="R369" s="2" t="inlineStr">
        <is>
          <t>Knottrig blåslav</t>
        </is>
      </c>
      <c r="S369">
        <f>HYPERLINK("https://klasma.github.io/Logging_2313/artfynd/A 66483-2021 artfynd.xlsx", "A 66483-2021")</f>
        <v/>
      </c>
      <c r="T369">
        <f>HYPERLINK("https://klasma.github.io/Logging_2313/kartor/A 66483-2021 karta.png", "A 66483-2021")</f>
        <v/>
      </c>
      <c r="V369">
        <f>HYPERLINK("https://klasma.github.io/Logging_2313/klagomål/A 66483-2021 FSC-klagomål.docx", "A 66483-2021")</f>
        <v/>
      </c>
      <c r="W369">
        <f>HYPERLINK("https://klasma.github.io/Logging_2313/klagomålsmail/A 66483-2021 FSC-klagomål mail.docx", "A 66483-2021")</f>
        <v/>
      </c>
      <c r="X369">
        <f>HYPERLINK("https://klasma.github.io/Logging_2313/tillsyn/A 66483-2021 tillsynsbegäran.docx", "A 66483-2021")</f>
        <v/>
      </c>
      <c r="Y369">
        <f>HYPERLINK("https://klasma.github.io/Logging_2313/tillsynsmail/A 66483-2021 tillsynsbegäran mail.docx", "A 66483-2021")</f>
        <v/>
      </c>
    </row>
    <row r="370" ht="15" customHeight="1">
      <c r="A370" t="inlineStr">
        <is>
          <t>A 68604-2021</t>
        </is>
      </c>
      <c r="B370" s="1" t="n">
        <v>44529</v>
      </c>
      <c r="C370" s="1" t="n">
        <v>45688</v>
      </c>
      <c r="D370" t="inlineStr">
        <is>
          <t>JÄMTLANDS LÄN</t>
        </is>
      </c>
      <c r="E370" t="inlineStr">
        <is>
          <t>STRÖMSUND</t>
        </is>
      </c>
      <c r="G370" t="n">
        <v>1.3</v>
      </c>
      <c r="H370" t="n">
        <v>0</v>
      </c>
      <c r="I370" t="n">
        <v>0</v>
      </c>
      <c r="J370" t="n">
        <v>1</v>
      </c>
      <c r="K370" t="n">
        <v>0</v>
      </c>
      <c r="L370" t="n">
        <v>0</v>
      </c>
      <c r="M370" t="n">
        <v>0</v>
      </c>
      <c r="N370" t="n">
        <v>0</v>
      </c>
      <c r="O370" t="n">
        <v>1</v>
      </c>
      <c r="P370" t="n">
        <v>0</v>
      </c>
      <c r="Q370" t="n">
        <v>1</v>
      </c>
      <c r="R370" s="2" t="inlineStr">
        <is>
          <t>Blanksvart spiklav</t>
        </is>
      </c>
      <c r="S370">
        <f>HYPERLINK("https://klasma.github.io/Logging_2313/artfynd/A 68604-2021 artfynd.xlsx", "A 68604-2021")</f>
        <v/>
      </c>
      <c r="T370">
        <f>HYPERLINK("https://klasma.github.io/Logging_2313/kartor/A 68604-2021 karta.png", "A 68604-2021")</f>
        <v/>
      </c>
      <c r="V370">
        <f>HYPERLINK("https://klasma.github.io/Logging_2313/klagomål/A 68604-2021 FSC-klagomål.docx", "A 68604-2021")</f>
        <v/>
      </c>
      <c r="W370">
        <f>HYPERLINK("https://klasma.github.io/Logging_2313/klagomålsmail/A 68604-2021 FSC-klagomål mail.docx", "A 68604-2021")</f>
        <v/>
      </c>
      <c r="X370">
        <f>HYPERLINK("https://klasma.github.io/Logging_2313/tillsyn/A 68604-2021 tillsynsbegäran.docx", "A 68604-2021")</f>
        <v/>
      </c>
      <c r="Y370">
        <f>HYPERLINK("https://klasma.github.io/Logging_2313/tillsynsmail/A 68604-2021 tillsynsbegäran mail.docx", "A 68604-2021")</f>
        <v/>
      </c>
    </row>
    <row r="371" ht="15" customHeight="1">
      <c r="A371" t="inlineStr">
        <is>
          <t>A 69134-2021</t>
        </is>
      </c>
      <c r="B371" s="1" t="n">
        <v>44530</v>
      </c>
      <c r="C371" s="1" t="n">
        <v>45688</v>
      </c>
      <c r="D371" t="inlineStr">
        <is>
          <t>JÄMTLANDS LÄN</t>
        </is>
      </c>
      <c r="E371" t="inlineStr">
        <is>
          <t>STRÖMSUND</t>
        </is>
      </c>
      <c r="G371" t="n">
        <v>9.4</v>
      </c>
      <c r="H371" t="n">
        <v>0</v>
      </c>
      <c r="I371" t="n">
        <v>0</v>
      </c>
      <c r="J371" t="n">
        <v>1</v>
      </c>
      <c r="K371" t="n">
        <v>0</v>
      </c>
      <c r="L371" t="n">
        <v>0</v>
      </c>
      <c r="M371" t="n">
        <v>0</v>
      </c>
      <c r="N371" t="n">
        <v>0</v>
      </c>
      <c r="O371" t="n">
        <v>1</v>
      </c>
      <c r="P371" t="n">
        <v>0</v>
      </c>
      <c r="Q371" t="n">
        <v>1</v>
      </c>
      <c r="R371" s="2" t="inlineStr">
        <is>
          <t>Garnlav</t>
        </is>
      </c>
      <c r="S371">
        <f>HYPERLINK("https://klasma.github.io/Logging_2313/artfynd/A 69134-2021 artfynd.xlsx", "A 69134-2021")</f>
        <v/>
      </c>
      <c r="T371">
        <f>HYPERLINK("https://klasma.github.io/Logging_2313/kartor/A 69134-2021 karta.png", "A 69134-2021")</f>
        <v/>
      </c>
      <c r="V371">
        <f>HYPERLINK("https://klasma.github.io/Logging_2313/klagomål/A 69134-2021 FSC-klagomål.docx", "A 69134-2021")</f>
        <v/>
      </c>
      <c r="W371">
        <f>HYPERLINK("https://klasma.github.io/Logging_2313/klagomålsmail/A 69134-2021 FSC-klagomål mail.docx", "A 69134-2021")</f>
        <v/>
      </c>
      <c r="X371">
        <f>HYPERLINK("https://klasma.github.io/Logging_2313/tillsyn/A 69134-2021 tillsynsbegäran.docx", "A 69134-2021")</f>
        <v/>
      </c>
      <c r="Y371">
        <f>HYPERLINK("https://klasma.github.io/Logging_2313/tillsynsmail/A 69134-2021 tillsynsbegäran mail.docx", "A 69134-2021")</f>
        <v/>
      </c>
    </row>
    <row r="372" ht="15" customHeight="1">
      <c r="A372" t="inlineStr">
        <is>
          <t>A 69551-2021</t>
        </is>
      </c>
      <c r="B372" s="1" t="n">
        <v>44531</v>
      </c>
      <c r="C372" s="1" t="n">
        <v>45688</v>
      </c>
      <c r="D372" t="inlineStr">
        <is>
          <t>JÄMTLANDS LÄN</t>
        </is>
      </c>
      <c r="E372" t="inlineStr">
        <is>
          <t>STRÖMSUND</t>
        </is>
      </c>
      <c r="F372" t="inlineStr">
        <is>
          <t>SCA</t>
        </is>
      </c>
      <c r="G372" t="n">
        <v>14.1</v>
      </c>
      <c r="H372" t="n">
        <v>0</v>
      </c>
      <c r="I372" t="n">
        <v>0</v>
      </c>
      <c r="J372" t="n">
        <v>1</v>
      </c>
      <c r="K372" t="n">
        <v>0</v>
      </c>
      <c r="L372" t="n">
        <v>0</v>
      </c>
      <c r="M372" t="n">
        <v>0</v>
      </c>
      <c r="N372" t="n">
        <v>0</v>
      </c>
      <c r="O372" t="n">
        <v>1</v>
      </c>
      <c r="P372" t="n">
        <v>0</v>
      </c>
      <c r="Q372" t="n">
        <v>1</v>
      </c>
      <c r="R372" s="2" t="inlineStr">
        <is>
          <t>Skrovellav</t>
        </is>
      </c>
      <c r="S372">
        <f>HYPERLINK("https://klasma.github.io/Logging_2313/artfynd/A 69551-2021 artfynd.xlsx", "A 69551-2021")</f>
        <v/>
      </c>
      <c r="T372">
        <f>HYPERLINK("https://klasma.github.io/Logging_2313/kartor/A 69551-2021 karta.png", "A 69551-2021")</f>
        <v/>
      </c>
      <c r="V372">
        <f>HYPERLINK("https://klasma.github.io/Logging_2313/klagomål/A 69551-2021 FSC-klagomål.docx", "A 69551-2021")</f>
        <v/>
      </c>
      <c r="W372">
        <f>HYPERLINK("https://klasma.github.io/Logging_2313/klagomålsmail/A 69551-2021 FSC-klagomål mail.docx", "A 69551-2021")</f>
        <v/>
      </c>
      <c r="X372">
        <f>HYPERLINK("https://klasma.github.io/Logging_2313/tillsyn/A 69551-2021 tillsynsbegäran.docx", "A 69551-2021")</f>
        <v/>
      </c>
      <c r="Y372">
        <f>HYPERLINK("https://klasma.github.io/Logging_2313/tillsynsmail/A 69551-2021 tillsynsbegäran mail.docx", "A 69551-2021")</f>
        <v/>
      </c>
    </row>
    <row r="373" ht="15" customHeight="1">
      <c r="A373" t="inlineStr">
        <is>
          <t>A 10696-2022</t>
        </is>
      </c>
      <c r="B373" s="1" t="n">
        <v>44624</v>
      </c>
      <c r="C373" s="1" t="n">
        <v>45688</v>
      </c>
      <c r="D373" t="inlineStr">
        <is>
          <t>JÄMTLANDS LÄN</t>
        </is>
      </c>
      <c r="E373" t="inlineStr">
        <is>
          <t>STRÖMSUND</t>
        </is>
      </c>
      <c r="F373" t="inlineStr">
        <is>
          <t>SCA</t>
        </is>
      </c>
      <c r="G373" t="n">
        <v>9</v>
      </c>
      <c r="H373" t="n">
        <v>0</v>
      </c>
      <c r="I373" t="n">
        <v>0</v>
      </c>
      <c r="J373" t="n">
        <v>0</v>
      </c>
      <c r="K373" t="n">
        <v>1</v>
      </c>
      <c r="L373" t="n">
        <v>0</v>
      </c>
      <c r="M373" t="n">
        <v>0</v>
      </c>
      <c r="N373" t="n">
        <v>0</v>
      </c>
      <c r="O373" t="n">
        <v>1</v>
      </c>
      <c r="P373" t="n">
        <v>1</v>
      </c>
      <c r="Q373" t="n">
        <v>1</v>
      </c>
      <c r="R373" s="2" t="inlineStr">
        <is>
          <t>Smalskaftslav</t>
        </is>
      </c>
      <c r="S373">
        <f>HYPERLINK("https://klasma.github.io/Logging_2313/artfynd/A 10696-2022 artfynd.xlsx", "A 10696-2022")</f>
        <v/>
      </c>
      <c r="T373">
        <f>HYPERLINK("https://klasma.github.io/Logging_2313/kartor/A 10696-2022 karta.png", "A 10696-2022")</f>
        <v/>
      </c>
      <c r="V373">
        <f>HYPERLINK("https://klasma.github.io/Logging_2313/klagomål/A 10696-2022 FSC-klagomål.docx", "A 10696-2022")</f>
        <v/>
      </c>
      <c r="W373">
        <f>HYPERLINK("https://klasma.github.io/Logging_2313/klagomålsmail/A 10696-2022 FSC-klagomål mail.docx", "A 10696-2022")</f>
        <v/>
      </c>
      <c r="X373">
        <f>HYPERLINK("https://klasma.github.io/Logging_2313/tillsyn/A 10696-2022 tillsynsbegäran.docx", "A 10696-2022")</f>
        <v/>
      </c>
      <c r="Y373">
        <f>HYPERLINK("https://klasma.github.io/Logging_2313/tillsynsmail/A 10696-2022 tillsynsbegäran mail.docx", "A 10696-2022")</f>
        <v/>
      </c>
    </row>
    <row r="374" ht="15" customHeight="1">
      <c r="A374" t="inlineStr">
        <is>
          <t>A 12386-2022</t>
        </is>
      </c>
      <c r="B374" s="1" t="n">
        <v>44637</v>
      </c>
      <c r="C374" s="1" t="n">
        <v>45688</v>
      </c>
      <c r="D374" t="inlineStr">
        <is>
          <t>JÄMTLANDS LÄN</t>
        </is>
      </c>
      <c r="E374" t="inlineStr">
        <is>
          <t>STRÖMSUND</t>
        </is>
      </c>
      <c r="G374" t="n">
        <v>2.1</v>
      </c>
      <c r="H374" t="n">
        <v>0</v>
      </c>
      <c r="I374" t="n">
        <v>0</v>
      </c>
      <c r="J374" t="n">
        <v>1</v>
      </c>
      <c r="K374" t="n">
        <v>0</v>
      </c>
      <c r="L374" t="n">
        <v>0</v>
      </c>
      <c r="M374" t="n">
        <v>0</v>
      </c>
      <c r="N374" t="n">
        <v>0</v>
      </c>
      <c r="O374" t="n">
        <v>1</v>
      </c>
      <c r="P374" t="n">
        <v>0</v>
      </c>
      <c r="Q374" t="n">
        <v>1</v>
      </c>
      <c r="R374" s="2" t="inlineStr">
        <is>
          <t>Lunglav</t>
        </is>
      </c>
      <c r="S374">
        <f>HYPERLINK("https://klasma.github.io/Logging_2313/artfynd/A 12386-2022 artfynd.xlsx", "A 12386-2022")</f>
        <v/>
      </c>
      <c r="T374">
        <f>HYPERLINK("https://klasma.github.io/Logging_2313/kartor/A 12386-2022 karta.png", "A 12386-2022")</f>
        <v/>
      </c>
      <c r="V374">
        <f>HYPERLINK("https://klasma.github.io/Logging_2313/klagomål/A 12386-2022 FSC-klagomål.docx", "A 12386-2022")</f>
        <v/>
      </c>
      <c r="W374">
        <f>HYPERLINK("https://klasma.github.io/Logging_2313/klagomålsmail/A 12386-2022 FSC-klagomål mail.docx", "A 12386-2022")</f>
        <v/>
      </c>
      <c r="X374">
        <f>HYPERLINK("https://klasma.github.io/Logging_2313/tillsyn/A 12386-2022 tillsynsbegäran.docx", "A 12386-2022")</f>
        <v/>
      </c>
      <c r="Y374">
        <f>HYPERLINK("https://klasma.github.io/Logging_2313/tillsynsmail/A 12386-2022 tillsynsbegäran mail.docx", "A 12386-2022")</f>
        <v/>
      </c>
    </row>
    <row r="375" ht="15" customHeight="1">
      <c r="A375" t="inlineStr">
        <is>
          <t>A 12950-2022</t>
        </is>
      </c>
      <c r="B375" s="1" t="n">
        <v>44642</v>
      </c>
      <c r="C375" s="1" t="n">
        <v>45688</v>
      </c>
      <c r="D375" t="inlineStr">
        <is>
          <t>JÄMTLANDS LÄN</t>
        </is>
      </c>
      <c r="E375" t="inlineStr">
        <is>
          <t>STRÖMSUND</t>
        </is>
      </c>
      <c r="F375" t="inlineStr">
        <is>
          <t>SCA</t>
        </is>
      </c>
      <c r="G375" t="n">
        <v>6.3</v>
      </c>
      <c r="H375" t="n">
        <v>0</v>
      </c>
      <c r="I375" t="n">
        <v>0</v>
      </c>
      <c r="J375" t="n">
        <v>1</v>
      </c>
      <c r="K375" t="n">
        <v>0</v>
      </c>
      <c r="L375" t="n">
        <v>0</v>
      </c>
      <c r="M375" t="n">
        <v>0</v>
      </c>
      <c r="N375" t="n">
        <v>0</v>
      </c>
      <c r="O375" t="n">
        <v>1</v>
      </c>
      <c r="P375" t="n">
        <v>0</v>
      </c>
      <c r="Q375" t="n">
        <v>1</v>
      </c>
      <c r="R375" s="2" t="inlineStr">
        <is>
          <t>Granticka</t>
        </is>
      </c>
      <c r="S375">
        <f>HYPERLINK("https://klasma.github.io/Logging_2313/artfynd/A 12950-2022 artfynd.xlsx", "A 12950-2022")</f>
        <v/>
      </c>
      <c r="T375">
        <f>HYPERLINK("https://klasma.github.io/Logging_2313/kartor/A 12950-2022 karta.png", "A 12950-2022")</f>
        <v/>
      </c>
      <c r="V375">
        <f>HYPERLINK("https://klasma.github.io/Logging_2313/klagomål/A 12950-2022 FSC-klagomål.docx", "A 12950-2022")</f>
        <v/>
      </c>
      <c r="W375">
        <f>HYPERLINK("https://klasma.github.io/Logging_2313/klagomålsmail/A 12950-2022 FSC-klagomål mail.docx", "A 12950-2022")</f>
        <v/>
      </c>
      <c r="X375">
        <f>HYPERLINK("https://klasma.github.io/Logging_2313/tillsyn/A 12950-2022 tillsynsbegäran.docx", "A 12950-2022")</f>
        <v/>
      </c>
      <c r="Y375">
        <f>HYPERLINK("https://klasma.github.io/Logging_2313/tillsynsmail/A 12950-2022 tillsynsbegäran mail.docx", "A 12950-2022")</f>
        <v/>
      </c>
    </row>
    <row r="376" ht="15" customHeight="1">
      <c r="A376" t="inlineStr">
        <is>
          <t>A 14290-2022</t>
        </is>
      </c>
      <c r="B376" s="1" t="n">
        <v>44651</v>
      </c>
      <c r="C376" s="1" t="n">
        <v>45688</v>
      </c>
      <c r="D376" t="inlineStr">
        <is>
          <t>JÄMTLANDS LÄN</t>
        </is>
      </c>
      <c r="E376" t="inlineStr">
        <is>
          <t>STRÖMSUND</t>
        </is>
      </c>
      <c r="F376" t="inlineStr">
        <is>
          <t>SCA</t>
        </is>
      </c>
      <c r="G376" t="n">
        <v>0.3</v>
      </c>
      <c r="H376" t="n">
        <v>0</v>
      </c>
      <c r="I376" t="n">
        <v>0</v>
      </c>
      <c r="J376" t="n">
        <v>1</v>
      </c>
      <c r="K376" t="n">
        <v>0</v>
      </c>
      <c r="L376" t="n">
        <v>0</v>
      </c>
      <c r="M376" t="n">
        <v>0</v>
      </c>
      <c r="N376" t="n">
        <v>0</v>
      </c>
      <c r="O376" t="n">
        <v>1</v>
      </c>
      <c r="P376" t="n">
        <v>0</v>
      </c>
      <c r="Q376" t="n">
        <v>1</v>
      </c>
      <c r="R376" s="2" t="inlineStr">
        <is>
          <t>Garnlav</t>
        </is>
      </c>
      <c r="S376">
        <f>HYPERLINK("https://klasma.github.io/Logging_2313/artfynd/A 14290-2022 artfynd.xlsx", "A 14290-2022")</f>
        <v/>
      </c>
      <c r="T376">
        <f>HYPERLINK("https://klasma.github.io/Logging_2313/kartor/A 14290-2022 karta.png", "A 14290-2022")</f>
        <v/>
      </c>
      <c r="U376">
        <f>HYPERLINK("https://klasma.github.io/Logging_2313/knärot/A 14290-2022 karta knärot.png", "A 14290-2022")</f>
        <v/>
      </c>
      <c r="V376">
        <f>HYPERLINK("https://klasma.github.io/Logging_2313/klagomål/A 14290-2022 FSC-klagomål.docx", "A 14290-2022")</f>
        <v/>
      </c>
      <c r="W376">
        <f>HYPERLINK("https://klasma.github.io/Logging_2313/klagomålsmail/A 14290-2022 FSC-klagomål mail.docx", "A 14290-2022")</f>
        <v/>
      </c>
      <c r="X376">
        <f>HYPERLINK("https://klasma.github.io/Logging_2313/tillsyn/A 14290-2022 tillsynsbegäran.docx", "A 14290-2022")</f>
        <v/>
      </c>
      <c r="Y376">
        <f>HYPERLINK("https://klasma.github.io/Logging_2313/tillsynsmail/A 14290-2022 tillsynsbegäran mail.docx", "A 14290-2022")</f>
        <v/>
      </c>
    </row>
    <row r="377" ht="15" customHeight="1">
      <c r="A377" t="inlineStr">
        <is>
          <t>A 14291-2022</t>
        </is>
      </c>
      <c r="B377" s="1" t="n">
        <v>44651</v>
      </c>
      <c r="C377" s="1" t="n">
        <v>45688</v>
      </c>
      <c r="D377" t="inlineStr">
        <is>
          <t>JÄMTLANDS LÄN</t>
        </is>
      </c>
      <c r="E377" t="inlineStr">
        <is>
          <t>STRÖMSUND</t>
        </is>
      </c>
      <c r="F377" t="inlineStr">
        <is>
          <t>SCA</t>
        </is>
      </c>
      <c r="G377" t="n">
        <v>0.5</v>
      </c>
      <c r="H377" t="n">
        <v>0</v>
      </c>
      <c r="I377" t="n">
        <v>0</v>
      </c>
      <c r="J377" t="n">
        <v>1</v>
      </c>
      <c r="K377" t="n">
        <v>0</v>
      </c>
      <c r="L377" t="n">
        <v>0</v>
      </c>
      <c r="M377" t="n">
        <v>0</v>
      </c>
      <c r="N377" t="n">
        <v>0</v>
      </c>
      <c r="O377" t="n">
        <v>1</v>
      </c>
      <c r="P377" t="n">
        <v>0</v>
      </c>
      <c r="Q377" t="n">
        <v>1</v>
      </c>
      <c r="R377" s="2" t="inlineStr">
        <is>
          <t>Skrovellav</t>
        </is>
      </c>
      <c r="S377">
        <f>HYPERLINK("https://klasma.github.io/Logging_2313/artfynd/A 14291-2022 artfynd.xlsx", "A 14291-2022")</f>
        <v/>
      </c>
      <c r="T377">
        <f>HYPERLINK("https://klasma.github.io/Logging_2313/kartor/A 14291-2022 karta.png", "A 14291-2022")</f>
        <v/>
      </c>
      <c r="V377">
        <f>HYPERLINK("https://klasma.github.io/Logging_2313/klagomål/A 14291-2022 FSC-klagomål.docx", "A 14291-2022")</f>
        <v/>
      </c>
      <c r="W377">
        <f>HYPERLINK("https://klasma.github.io/Logging_2313/klagomålsmail/A 14291-2022 FSC-klagomål mail.docx", "A 14291-2022")</f>
        <v/>
      </c>
      <c r="X377">
        <f>HYPERLINK("https://klasma.github.io/Logging_2313/tillsyn/A 14291-2022 tillsynsbegäran.docx", "A 14291-2022")</f>
        <v/>
      </c>
      <c r="Y377">
        <f>HYPERLINK("https://klasma.github.io/Logging_2313/tillsynsmail/A 14291-2022 tillsynsbegäran mail.docx", "A 14291-2022")</f>
        <v/>
      </c>
    </row>
    <row r="378" ht="15" customHeight="1">
      <c r="A378" t="inlineStr">
        <is>
          <t>A 14895-2022</t>
        </is>
      </c>
      <c r="B378" s="1" t="n">
        <v>44656</v>
      </c>
      <c r="C378" s="1" t="n">
        <v>45688</v>
      </c>
      <c r="D378" t="inlineStr">
        <is>
          <t>JÄMTLANDS LÄN</t>
        </is>
      </c>
      <c r="E378" t="inlineStr">
        <is>
          <t>STRÖMSUND</t>
        </is>
      </c>
      <c r="G378" t="n">
        <v>43.5</v>
      </c>
      <c r="H378" t="n">
        <v>0</v>
      </c>
      <c r="I378" t="n">
        <v>0</v>
      </c>
      <c r="J378" t="n">
        <v>1</v>
      </c>
      <c r="K378" t="n">
        <v>0</v>
      </c>
      <c r="L378" t="n">
        <v>0</v>
      </c>
      <c r="M378" t="n">
        <v>0</v>
      </c>
      <c r="N378" t="n">
        <v>0</v>
      </c>
      <c r="O378" t="n">
        <v>1</v>
      </c>
      <c r="P378" t="n">
        <v>0</v>
      </c>
      <c r="Q378" t="n">
        <v>1</v>
      </c>
      <c r="R378" s="2" t="inlineStr">
        <is>
          <t>Lunglav</t>
        </is>
      </c>
      <c r="S378">
        <f>HYPERLINK("https://klasma.github.io/Logging_2313/artfynd/A 14895-2022 artfynd.xlsx", "A 14895-2022")</f>
        <v/>
      </c>
      <c r="T378">
        <f>HYPERLINK("https://klasma.github.io/Logging_2313/kartor/A 14895-2022 karta.png", "A 14895-2022")</f>
        <v/>
      </c>
      <c r="V378">
        <f>HYPERLINK("https://klasma.github.io/Logging_2313/klagomål/A 14895-2022 FSC-klagomål.docx", "A 14895-2022")</f>
        <v/>
      </c>
      <c r="W378">
        <f>HYPERLINK("https://klasma.github.io/Logging_2313/klagomålsmail/A 14895-2022 FSC-klagomål mail.docx", "A 14895-2022")</f>
        <v/>
      </c>
      <c r="X378">
        <f>HYPERLINK("https://klasma.github.io/Logging_2313/tillsyn/A 14895-2022 tillsynsbegäran.docx", "A 14895-2022")</f>
        <v/>
      </c>
      <c r="Y378">
        <f>HYPERLINK("https://klasma.github.io/Logging_2313/tillsynsmail/A 14895-2022 tillsynsbegäran mail.docx", "A 14895-2022")</f>
        <v/>
      </c>
    </row>
    <row r="379" ht="15" customHeight="1">
      <c r="A379" t="inlineStr">
        <is>
          <t>A 15149-2022</t>
        </is>
      </c>
      <c r="B379" s="1" t="n">
        <v>44658</v>
      </c>
      <c r="C379" s="1" t="n">
        <v>45688</v>
      </c>
      <c r="D379" t="inlineStr">
        <is>
          <t>JÄMTLANDS LÄN</t>
        </is>
      </c>
      <c r="E379" t="inlineStr">
        <is>
          <t>STRÖMSUND</t>
        </is>
      </c>
      <c r="G379" t="n">
        <v>10.6</v>
      </c>
      <c r="H379" t="n">
        <v>1</v>
      </c>
      <c r="I379" t="n">
        <v>0</v>
      </c>
      <c r="J379" t="n">
        <v>0</v>
      </c>
      <c r="K379" t="n">
        <v>0</v>
      </c>
      <c r="L379" t="n">
        <v>0</v>
      </c>
      <c r="M379" t="n">
        <v>0</v>
      </c>
      <c r="N379" t="n">
        <v>0</v>
      </c>
      <c r="O379" t="n">
        <v>0</v>
      </c>
      <c r="P379" t="n">
        <v>0</v>
      </c>
      <c r="Q379" t="n">
        <v>1</v>
      </c>
      <c r="R379" s="2" t="inlineStr">
        <is>
          <t>Lavskrika</t>
        </is>
      </c>
      <c r="S379">
        <f>HYPERLINK("https://klasma.github.io/Logging_2313/artfynd/A 15149-2022 artfynd.xlsx", "A 15149-2022")</f>
        <v/>
      </c>
      <c r="T379">
        <f>HYPERLINK("https://klasma.github.io/Logging_2313/kartor/A 15149-2022 karta.png", "A 15149-2022")</f>
        <v/>
      </c>
      <c r="V379">
        <f>HYPERLINK("https://klasma.github.io/Logging_2313/klagomål/A 15149-2022 FSC-klagomål.docx", "A 15149-2022")</f>
        <v/>
      </c>
      <c r="W379">
        <f>HYPERLINK("https://klasma.github.io/Logging_2313/klagomålsmail/A 15149-2022 FSC-klagomål mail.docx", "A 15149-2022")</f>
        <v/>
      </c>
      <c r="X379">
        <f>HYPERLINK("https://klasma.github.io/Logging_2313/tillsyn/A 15149-2022 tillsynsbegäran.docx", "A 15149-2022")</f>
        <v/>
      </c>
      <c r="Y379">
        <f>HYPERLINK("https://klasma.github.io/Logging_2313/tillsynsmail/A 15149-2022 tillsynsbegäran mail.docx", "A 15149-2022")</f>
        <v/>
      </c>
      <c r="Z379">
        <f>HYPERLINK("https://klasma.github.io/Logging_2313/fåglar/A 15149-2022 prioriterade fågelarter.docx", "A 15149-2022")</f>
        <v/>
      </c>
    </row>
    <row r="380" ht="15" customHeight="1">
      <c r="A380" t="inlineStr">
        <is>
          <t>A 19600-2022</t>
        </is>
      </c>
      <c r="B380" s="1" t="n">
        <v>44693</v>
      </c>
      <c r="C380" s="1" t="n">
        <v>45688</v>
      </c>
      <c r="D380" t="inlineStr">
        <is>
          <t>JÄMTLANDS LÄN</t>
        </is>
      </c>
      <c r="E380" t="inlineStr">
        <is>
          <t>STRÖMSUND</t>
        </is>
      </c>
      <c r="F380" t="inlineStr">
        <is>
          <t>SCA</t>
        </is>
      </c>
      <c r="G380" t="n">
        <v>6.9</v>
      </c>
      <c r="H380" t="n">
        <v>0</v>
      </c>
      <c r="I380" t="n">
        <v>0</v>
      </c>
      <c r="J380" t="n">
        <v>1</v>
      </c>
      <c r="K380" t="n">
        <v>0</v>
      </c>
      <c r="L380" t="n">
        <v>0</v>
      </c>
      <c r="M380" t="n">
        <v>0</v>
      </c>
      <c r="N380" t="n">
        <v>0</v>
      </c>
      <c r="O380" t="n">
        <v>1</v>
      </c>
      <c r="P380" t="n">
        <v>0</v>
      </c>
      <c r="Q380" t="n">
        <v>1</v>
      </c>
      <c r="R380" s="2" t="inlineStr">
        <is>
          <t>Garnlav</t>
        </is>
      </c>
      <c r="S380">
        <f>HYPERLINK("https://klasma.github.io/Logging_2313/artfynd/A 19600-2022 artfynd.xlsx", "A 19600-2022")</f>
        <v/>
      </c>
      <c r="T380">
        <f>HYPERLINK("https://klasma.github.io/Logging_2313/kartor/A 19600-2022 karta.png", "A 19600-2022")</f>
        <v/>
      </c>
      <c r="V380">
        <f>HYPERLINK("https://klasma.github.io/Logging_2313/klagomål/A 19600-2022 FSC-klagomål.docx", "A 19600-2022")</f>
        <v/>
      </c>
      <c r="W380">
        <f>HYPERLINK("https://klasma.github.io/Logging_2313/klagomålsmail/A 19600-2022 FSC-klagomål mail.docx", "A 19600-2022")</f>
        <v/>
      </c>
      <c r="X380">
        <f>HYPERLINK("https://klasma.github.io/Logging_2313/tillsyn/A 19600-2022 tillsynsbegäran.docx", "A 19600-2022")</f>
        <v/>
      </c>
      <c r="Y380">
        <f>HYPERLINK("https://klasma.github.io/Logging_2313/tillsynsmail/A 19600-2022 tillsynsbegäran mail.docx", "A 19600-2022")</f>
        <v/>
      </c>
    </row>
    <row r="381" ht="15" customHeight="1">
      <c r="A381" t="inlineStr">
        <is>
          <t>A 20316-2022</t>
        </is>
      </c>
      <c r="B381" s="1" t="n">
        <v>44698</v>
      </c>
      <c r="C381" s="1" t="n">
        <v>45688</v>
      </c>
      <c r="D381" t="inlineStr">
        <is>
          <t>JÄMTLANDS LÄN</t>
        </is>
      </c>
      <c r="E381" t="inlineStr">
        <is>
          <t>STRÖMSUND</t>
        </is>
      </c>
      <c r="F381" t="inlineStr">
        <is>
          <t>SCA</t>
        </is>
      </c>
      <c r="G381" t="n">
        <v>6.4</v>
      </c>
      <c r="H381" t="n">
        <v>1</v>
      </c>
      <c r="I381" t="n">
        <v>0</v>
      </c>
      <c r="J381" t="n">
        <v>0</v>
      </c>
      <c r="K381" t="n">
        <v>0</v>
      </c>
      <c r="L381" t="n">
        <v>0</v>
      </c>
      <c r="M381" t="n">
        <v>0</v>
      </c>
      <c r="N381" t="n">
        <v>0</v>
      </c>
      <c r="O381" t="n">
        <v>0</v>
      </c>
      <c r="P381" t="n">
        <v>0</v>
      </c>
      <c r="Q381" t="n">
        <v>1</v>
      </c>
      <c r="R381" s="2" t="inlineStr">
        <is>
          <t>Fläcknycklar</t>
        </is>
      </c>
      <c r="S381">
        <f>HYPERLINK("https://klasma.github.io/Logging_2313/artfynd/A 20316-2022 artfynd.xlsx", "A 20316-2022")</f>
        <v/>
      </c>
      <c r="T381">
        <f>HYPERLINK("https://klasma.github.io/Logging_2313/kartor/A 20316-2022 karta.png", "A 20316-2022")</f>
        <v/>
      </c>
      <c r="V381">
        <f>HYPERLINK("https://klasma.github.io/Logging_2313/klagomål/A 20316-2022 FSC-klagomål.docx", "A 20316-2022")</f>
        <v/>
      </c>
      <c r="W381">
        <f>HYPERLINK("https://klasma.github.io/Logging_2313/klagomålsmail/A 20316-2022 FSC-klagomål mail.docx", "A 20316-2022")</f>
        <v/>
      </c>
      <c r="X381">
        <f>HYPERLINK("https://klasma.github.io/Logging_2313/tillsyn/A 20316-2022 tillsynsbegäran.docx", "A 20316-2022")</f>
        <v/>
      </c>
      <c r="Y381">
        <f>HYPERLINK("https://klasma.github.io/Logging_2313/tillsynsmail/A 20316-2022 tillsynsbegäran mail.docx", "A 20316-2022")</f>
        <v/>
      </c>
    </row>
    <row r="382" ht="15" customHeight="1">
      <c r="A382" t="inlineStr">
        <is>
          <t>A 21208-2022</t>
        </is>
      </c>
      <c r="B382" s="1" t="n">
        <v>44704</v>
      </c>
      <c r="C382" s="1" t="n">
        <v>45688</v>
      </c>
      <c r="D382" t="inlineStr">
        <is>
          <t>JÄMTLANDS LÄN</t>
        </is>
      </c>
      <c r="E382" t="inlineStr">
        <is>
          <t>STRÖMSUND</t>
        </is>
      </c>
      <c r="F382" t="inlineStr">
        <is>
          <t>SCA</t>
        </is>
      </c>
      <c r="G382" t="n">
        <v>1.5</v>
      </c>
      <c r="H382" t="n">
        <v>0</v>
      </c>
      <c r="I382" t="n">
        <v>0</v>
      </c>
      <c r="J382" t="n">
        <v>1</v>
      </c>
      <c r="K382" t="n">
        <v>0</v>
      </c>
      <c r="L382" t="n">
        <v>0</v>
      </c>
      <c r="M382" t="n">
        <v>0</v>
      </c>
      <c r="N382" t="n">
        <v>0</v>
      </c>
      <c r="O382" t="n">
        <v>1</v>
      </c>
      <c r="P382" t="n">
        <v>0</v>
      </c>
      <c r="Q382" t="n">
        <v>1</v>
      </c>
      <c r="R382" s="2" t="inlineStr">
        <is>
          <t>Harticka</t>
        </is>
      </c>
      <c r="S382">
        <f>HYPERLINK("https://klasma.github.io/Logging_2313/artfynd/A 21208-2022 artfynd.xlsx", "A 21208-2022")</f>
        <v/>
      </c>
      <c r="T382">
        <f>HYPERLINK("https://klasma.github.io/Logging_2313/kartor/A 21208-2022 karta.png", "A 21208-2022")</f>
        <v/>
      </c>
      <c r="V382">
        <f>HYPERLINK("https://klasma.github.io/Logging_2313/klagomål/A 21208-2022 FSC-klagomål.docx", "A 21208-2022")</f>
        <v/>
      </c>
      <c r="W382">
        <f>HYPERLINK("https://klasma.github.io/Logging_2313/klagomålsmail/A 21208-2022 FSC-klagomål mail.docx", "A 21208-2022")</f>
        <v/>
      </c>
      <c r="X382">
        <f>HYPERLINK("https://klasma.github.io/Logging_2313/tillsyn/A 21208-2022 tillsynsbegäran.docx", "A 21208-2022")</f>
        <v/>
      </c>
      <c r="Y382">
        <f>HYPERLINK("https://klasma.github.io/Logging_2313/tillsynsmail/A 21208-2022 tillsynsbegäran mail.docx", "A 21208-2022")</f>
        <v/>
      </c>
    </row>
    <row r="383" ht="15" customHeight="1">
      <c r="A383" t="inlineStr">
        <is>
          <t>A 23186-2022</t>
        </is>
      </c>
      <c r="B383" s="1" t="n">
        <v>44719</v>
      </c>
      <c r="C383" s="1" t="n">
        <v>45688</v>
      </c>
      <c r="D383" t="inlineStr">
        <is>
          <t>JÄMTLANDS LÄN</t>
        </is>
      </c>
      <c r="E383" t="inlineStr">
        <is>
          <t>STRÖMSUND</t>
        </is>
      </c>
      <c r="G383" t="n">
        <v>14.3</v>
      </c>
      <c r="H383" t="n">
        <v>0</v>
      </c>
      <c r="I383" t="n">
        <v>0</v>
      </c>
      <c r="J383" t="n">
        <v>1</v>
      </c>
      <c r="K383" t="n">
        <v>0</v>
      </c>
      <c r="L383" t="n">
        <v>0</v>
      </c>
      <c r="M383" t="n">
        <v>0</v>
      </c>
      <c r="N383" t="n">
        <v>0</v>
      </c>
      <c r="O383" t="n">
        <v>1</v>
      </c>
      <c r="P383" t="n">
        <v>0</v>
      </c>
      <c r="Q383" t="n">
        <v>1</v>
      </c>
      <c r="R383" s="2" t="inlineStr">
        <is>
          <t>Lunglav</t>
        </is>
      </c>
      <c r="S383">
        <f>HYPERLINK("https://klasma.github.io/Logging_2313/artfynd/A 23186-2022 artfynd.xlsx", "A 23186-2022")</f>
        <v/>
      </c>
      <c r="T383">
        <f>HYPERLINK("https://klasma.github.io/Logging_2313/kartor/A 23186-2022 karta.png", "A 23186-2022")</f>
        <v/>
      </c>
      <c r="V383">
        <f>HYPERLINK("https://klasma.github.io/Logging_2313/klagomål/A 23186-2022 FSC-klagomål.docx", "A 23186-2022")</f>
        <v/>
      </c>
      <c r="W383">
        <f>HYPERLINK("https://klasma.github.io/Logging_2313/klagomålsmail/A 23186-2022 FSC-klagomål mail.docx", "A 23186-2022")</f>
        <v/>
      </c>
      <c r="X383">
        <f>HYPERLINK("https://klasma.github.io/Logging_2313/tillsyn/A 23186-2022 tillsynsbegäran.docx", "A 23186-2022")</f>
        <v/>
      </c>
      <c r="Y383">
        <f>HYPERLINK("https://klasma.github.io/Logging_2313/tillsynsmail/A 23186-2022 tillsynsbegäran mail.docx", "A 23186-2022")</f>
        <v/>
      </c>
    </row>
    <row r="384" ht="15" customHeight="1">
      <c r="A384" t="inlineStr">
        <is>
          <t>A 24729-2022</t>
        </is>
      </c>
      <c r="B384" s="1" t="n">
        <v>44727</v>
      </c>
      <c r="C384" s="1" t="n">
        <v>45688</v>
      </c>
      <c r="D384" t="inlineStr">
        <is>
          <t>JÄMTLANDS LÄN</t>
        </is>
      </c>
      <c r="E384" t="inlineStr">
        <is>
          <t>STRÖMSUND</t>
        </is>
      </c>
      <c r="F384" t="inlineStr">
        <is>
          <t>SCA</t>
        </is>
      </c>
      <c r="G384" t="n">
        <v>1.3</v>
      </c>
      <c r="H384" t="n">
        <v>0</v>
      </c>
      <c r="I384" t="n">
        <v>0</v>
      </c>
      <c r="J384" t="n">
        <v>1</v>
      </c>
      <c r="K384" t="n">
        <v>0</v>
      </c>
      <c r="L384" t="n">
        <v>0</v>
      </c>
      <c r="M384" t="n">
        <v>0</v>
      </c>
      <c r="N384" t="n">
        <v>0</v>
      </c>
      <c r="O384" t="n">
        <v>1</v>
      </c>
      <c r="P384" t="n">
        <v>0</v>
      </c>
      <c r="Q384" t="n">
        <v>1</v>
      </c>
      <c r="R384" s="2" t="inlineStr">
        <is>
          <t>Granticka</t>
        </is>
      </c>
      <c r="S384">
        <f>HYPERLINK("https://klasma.github.io/Logging_2313/artfynd/A 24729-2022 artfynd.xlsx", "A 24729-2022")</f>
        <v/>
      </c>
      <c r="T384">
        <f>HYPERLINK("https://klasma.github.io/Logging_2313/kartor/A 24729-2022 karta.png", "A 24729-2022")</f>
        <v/>
      </c>
      <c r="U384">
        <f>HYPERLINK("https://klasma.github.io/Logging_2313/knärot/A 24729-2022 karta knärot.png", "A 24729-2022")</f>
        <v/>
      </c>
      <c r="V384">
        <f>HYPERLINK("https://klasma.github.io/Logging_2313/klagomål/A 24729-2022 FSC-klagomål.docx", "A 24729-2022")</f>
        <v/>
      </c>
      <c r="W384">
        <f>HYPERLINK("https://klasma.github.io/Logging_2313/klagomålsmail/A 24729-2022 FSC-klagomål mail.docx", "A 24729-2022")</f>
        <v/>
      </c>
      <c r="X384">
        <f>HYPERLINK("https://klasma.github.io/Logging_2313/tillsyn/A 24729-2022 tillsynsbegäran.docx", "A 24729-2022")</f>
        <v/>
      </c>
      <c r="Y384">
        <f>HYPERLINK("https://klasma.github.io/Logging_2313/tillsynsmail/A 24729-2022 tillsynsbegäran mail.docx", "A 24729-2022")</f>
        <v/>
      </c>
    </row>
    <row r="385" ht="15" customHeight="1">
      <c r="A385" t="inlineStr">
        <is>
          <t>A 25015-2022</t>
        </is>
      </c>
      <c r="B385" s="1" t="n">
        <v>44728</v>
      </c>
      <c r="C385" s="1" t="n">
        <v>45688</v>
      </c>
      <c r="D385" t="inlineStr">
        <is>
          <t>JÄMTLANDS LÄN</t>
        </is>
      </c>
      <c r="E385" t="inlineStr">
        <is>
          <t>STRÖMSUND</t>
        </is>
      </c>
      <c r="F385" t="inlineStr">
        <is>
          <t>SCA</t>
        </is>
      </c>
      <c r="G385" t="n">
        <v>1.5</v>
      </c>
      <c r="H385" t="n">
        <v>0</v>
      </c>
      <c r="I385" t="n">
        <v>0</v>
      </c>
      <c r="J385" t="n">
        <v>1</v>
      </c>
      <c r="K385" t="n">
        <v>0</v>
      </c>
      <c r="L385" t="n">
        <v>0</v>
      </c>
      <c r="M385" t="n">
        <v>0</v>
      </c>
      <c r="N385" t="n">
        <v>0</v>
      </c>
      <c r="O385" t="n">
        <v>1</v>
      </c>
      <c r="P385" t="n">
        <v>0</v>
      </c>
      <c r="Q385" t="n">
        <v>1</v>
      </c>
      <c r="R385" s="2" t="inlineStr">
        <is>
          <t>Ullticka</t>
        </is>
      </c>
      <c r="S385">
        <f>HYPERLINK("https://klasma.github.io/Logging_2313/artfynd/A 25015-2022 artfynd.xlsx", "A 25015-2022")</f>
        <v/>
      </c>
      <c r="T385">
        <f>HYPERLINK("https://klasma.github.io/Logging_2313/kartor/A 25015-2022 karta.png", "A 25015-2022")</f>
        <v/>
      </c>
      <c r="V385">
        <f>HYPERLINK("https://klasma.github.io/Logging_2313/klagomål/A 25015-2022 FSC-klagomål.docx", "A 25015-2022")</f>
        <v/>
      </c>
      <c r="W385">
        <f>HYPERLINK("https://klasma.github.io/Logging_2313/klagomålsmail/A 25015-2022 FSC-klagomål mail.docx", "A 25015-2022")</f>
        <v/>
      </c>
      <c r="X385">
        <f>HYPERLINK("https://klasma.github.io/Logging_2313/tillsyn/A 25015-2022 tillsynsbegäran.docx", "A 25015-2022")</f>
        <v/>
      </c>
      <c r="Y385">
        <f>HYPERLINK("https://klasma.github.io/Logging_2313/tillsynsmail/A 25015-2022 tillsynsbegäran mail.docx", "A 25015-2022")</f>
        <v/>
      </c>
    </row>
    <row r="386" ht="15" customHeight="1">
      <c r="A386" t="inlineStr">
        <is>
          <t>A 27602-2022</t>
        </is>
      </c>
      <c r="B386" s="1" t="n">
        <v>44742</v>
      </c>
      <c r="C386" s="1" t="n">
        <v>45688</v>
      </c>
      <c r="D386" t="inlineStr">
        <is>
          <t>JÄMTLANDS LÄN</t>
        </is>
      </c>
      <c r="E386" t="inlineStr">
        <is>
          <t>STRÖMSUND</t>
        </is>
      </c>
      <c r="F386" t="inlineStr">
        <is>
          <t>SCA</t>
        </is>
      </c>
      <c r="G386" t="n">
        <v>2.1</v>
      </c>
      <c r="H386" t="n">
        <v>0</v>
      </c>
      <c r="I386" t="n">
        <v>0</v>
      </c>
      <c r="J386" t="n">
        <v>1</v>
      </c>
      <c r="K386" t="n">
        <v>0</v>
      </c>
      <c r="L386" t="n">
        <v>0</v>
      </c>
      <c r="M386" t="n">
        <v>0</v>
      </c>
      <c r="N386" t="n">
        <v>0</v>
      </c>
      <c r="O386" t="n">
        <v>1</v>
      </c>
      <c r="P386" t="n">
        <v>0</v>
      </c>
      <c r="Q386" t="n">
        <v>1</v>
      </c>
      <c r="R386" s="2" t="inlineStr">
        <is>
          <t>Brunklöver</t>
        </is>
      </c>
      <c r="S386">
        <f>HYPERLINK("https://klasma.github.io/Logging_2313/artfynd/A 27602-2022 artfynd.xlsx", "A 27602-2022")</f>
        <v/>
      </c>
      <c r="T386">
        <f>HYPERLINK("https://klasma.github.io/Logging_2313/kartor/A 27602-2022 karta.png", "A 27602-2022")</f>
        <v/>
      </c>
      <c r="V386">
        <f>HYPERLINK("https://klasma.github.io/Logging_2313/klagomål/A 27602-2022 FSC-klagomål.docx", "A 27602-2022")</f>
        <v/>
      </c>
      <c r="W386">
        <f>HYPERLINK("https://klasma.github.io/Logging_2313/klagomålsmail/A 27602-2022 FSC-klagomål mail.docx", "A 27602-2022")</f>
        <v/>
      </c>
      <c r="X386">
        <f>HYPERLINK("https://klasma.github.io/Logging_2313/tillsyn/A 27602-2022 tillsynsbegäran.docx", "A 27602-2022")</f>
        <v/>
      </c>
      <c r="Y386">
        <f>HYPERLINK("https://klasma.github.io/Logging_2313/tillsynsmail/A 27602-2022 tillsynsbegäran mail.docx", "A 27602-2022")</f>
        <v/>
      </c>
    </row>
    <row r="387" ht="15" customHeight="1">
      <c r="A387" t="inlineStr">
        <is>
          <t>A 28732-2022</t>
        </is>
      </c>
      <c r="B387" s="1" t="n">
        <v>44749</v>
      </c>
      <c r="C387" s="1" t="n">
        <v>45688</v>
      </c>
      <c r="D387" t="inlineStr">
        <is>
          <t>JÄMTLANDS LÄN</t>
        </is>
      </c>
      <c r="E387" t="inlineStr">
        <is>
          <t>STRÖMSUND</t>
        </is>
      </c>
      <c r="F387" t="inlineStr">
        <is>
          <t>SCA</t>
        </is>
      </c>
      <c r="G387" t="n">
        <v>2.7</v>
      </c>
      <c r="H387" t="n">
        <v>1</v>
      </c>
      <c r="I387" t="n">
        <v>1</v>
      </c>
      <c r="J387" t="n">
        <v>0</v>
      </c>
      <c r="K387" t="n">
        <v>0</v>
      </c>
      <c r="L387" t="n">
        <v>0</v>
      </c>
      <c r="M387" t="n">
        <v>0</v>
      </c>
      <c r="N387" t="n">
        <v>0</v>
      </c>
      <c r="O387" t="n">
        <v>0</v>
      </c>
      <c r="P387" t="n">
        <v>0</v>
      </c>
      <c r="Q387" t="n">
        <v>1</v>
      </c>
      <c r="R387" s="2" t="inlineStr">
        <is>
          <t>Guckusko</t>
        </is>
      </c>
      <c r="S387">
        <f>HYPERLINK("https://klasma.github.io/Logging_2313/artfynd/A 28732-2022 artfynd.xlsx", "A 28732-2022")</f>
        <v/>
      </c>
      <c r="T387">
        <f>HYPERLINK("https://klasma.github.io/Logging_2313/kartor/A 28732-2022 karta.png", "A 28732-2022")</f>
        <v/>
      </c>
      <c r="V387">
        <f>HYPERLINK("https://klasma.github.io/Logging_2313/klagomål/A 28732-2022 FSC-klagomål.docx", "A 28732-2022")</f>
        <v/>
      </c>
      <c r="W387">
        <f>HYPERLINK("https://klasma.github.io/Logging_2313/klagomålsmail/A 28732-2022 FSC-klagomål mail.docx", "A 28732-2022")</f>
        <v/>
      </c>
      <c r="X387">
        <f>HYPERLINK("https://klasma.github.io/Logging_2313/tillsyn/A 28732-2022 tillsynsbegäran.docx", "A 28732-2022")</f>
        <v/>
      </c>
      <c r="Y387">
        <f>HYPERLINK("https://klasma.github.io/Logging_2313/tillsynsmail/A 28732-2022 tillsynsbegäran mail.docx", "A 28732-2022")</f>
        <v/>
      </c>
    </row>
    <row r="388" ht="15" customHeight="1">
      <c r="A388" t="inlineStr">
        <is>
          <t>A 30233-2022</t>
        </is>
      </c>
      <c r="B388" s="1" t="n">
        <v>44757</v>
      </c>
      <c r="C388" s="1" t="n">
        <v>45688</v>
      </c>
      <c r="D388" t="inlineStr">
        <is>
          <t>JÄMTLANDS LÄN</t>
        </is>
      </c>
      <c r="E388" t="inlineStr">
        <is>
          <t>STRÖMSUND</t>
        </is>
      </c>
      <c r="F388" t="inlineStr">
        <is>
          <t>SCA</t>
        </is>
      </c>
      <c r="G388" t="n">
        <v>10.1</v>
      </c>
      <c r="H388" t="n">
        <v>1</v>
      </c>
      <c r="I388" t="n">
        <v>1</v>
      </c>
      <c r="J388" t="n">
        <v>0</v>
      </c>
      <c r="K388" t="n">
        <v>0</v>
      </c>
      <c r="L388" t="n">
        <v>0</v>
      </c>
      <c r="M388" t="n">
        <v>0</v>
      </c>
      <c r="N388" t="n">
        <v>0</v>
      </c>
      <c r="O388" t="n">
        <v>0</v>
      </c>
      <c r="P388" t="n">
        <v>0</v>
      </c>
      <c r="Q388" t="n">
        <v>1</v>
      </c>
      <c r="R388" s="2" t="inlineStr">
        <is>
          <t>Guckusko</t>
        </is>
      </c>
      <c r="S388">
        <f>HYPERLINK("https://klasma.github.io/Logging_2313/artfynd/A 30233-2022 artfynd.xlsx", "A 30233-2022")</f>
        <v/>
      </c>
      <c r="T388">
        <f>HYPERLINK("https://klasma.github.io/Logging_2313/kartor/A 30233-2022 karta.png", "A 30233-2022")</f>
        <v/>
      </c>
      <c r="V388">
        <f>HYPERLINK("https://klasma.github.io/Logging_2313/klagomål/A 30233-2022 FSC-klagomål.docx", "A 30233-2022")</f>
        <v/>
      </c>
      <c r="W388">
        <f>HYPERLINK("https://klasma.github.io/Logging_2313/klagomålsmail/A 30233-2022 FSC-klagomål mail.docx", "A 30233-2022")</f>
        <v/>
      </c>
      <c r="X388">
        <f>HYPERLINK("https://klasma.github.io/Logging_2313/tillsyn/A 30233-2022 tillsynsbegäran.docx", "A 30233-2022")</f>
        <v/>
      </c>
      <c r="Y388">
        <f>HYPERLINK("https://klasma.github.io/Logging_2313/tillsynsmail/A 30233-2022 tillsynsbegäran mail.docx", "A 30233-2022")</f>
        <v/>
      </c>
    </row>
    <row r="389" ht="15" customHeight="1">
      <c r="A389" t="inlineStr">
        <is>
          <t>A 32351-2022</t>
        </is>
      </c>
      <c r="B389" s="1" t="n">
        <v>44781</v>
      </c>
      <c r="C389" s="1" t="n">
        <v>45688</v>
      </c>
      <c r="D389" t="inlineStr">
        <is>
          <t>JÄMTLANDS LÄN</t>
        </is>
      </c>
      <c r="E389" t="inlineStr">
        <is>
          <t>STRÖMSUND</t>
        </is>
      </c>
      <c r="F389" t="inlineStr">
        <is>
          <t>SCA</t>
        </is>
      </c>
      <c r="G389" t="n">
        <v>13.2</v>
      </c>
      <c r="H389" t="n">
        <v>0</v>
      </c>
      <c r="I389" t="n">
        <v>0</v>
      </c>
      <c r="J389" t="n">
        <v>1</v>
      </c>
      <c r="K389" t="n">
        <v>0</v>
      </c>
      <c r="L389" t="n">
        <v>0</v>
      </c>
      <c r="M389" t="n">
        <v>0</v>
      </c>
      <c r="N389" t="n">
        <v>0</v>
      </c>
      <c r="O389" t="n">
        <v>1</v>
      </c>
      <c r="P389" t="n">
        <v>0</v>
      </c>
      <c r="Q389" t="n">
        <v>1</v>
      </c>
      <c r="R389" s="2" t="inlineStr">
        <is>
          <t>Harticka</t>
        </is>
      </c>
      <c r="S389">
        <f>HYPERLINK("https://klasma.github.io/Logging_2313/artfynd/A 32351-2022 artfynd.xlsx", "A 32351-2022")</f>
        <v/>
      </c>
      <c r="T389">
        <f>HYPERLINK("https://klasma.github.io/Logging_2313/kartor/A 32351-2022 karta.png", "A 32351-2022")</f>
        <v/>
      </c>
      <c r="V389">
        <f>HYPERLINK("https://klasma.github.io/Logging_2313/klagomål/A 32351-2022 FSC-klagomål.docx", "A 32351-2022")</f>
        <v/>
      </c>
      <c r="W389">
        <f>HYPERLINK("https://klasma.github.io/Logging_2313/klagomålsmail/A 32351-2022 FSC-klagomål mail.docx", "A 32351-2022")</f>
        <v/>
      </c>
      <c r="X389">
        <f>HYPERLINK("https://klasma.github.io/Logging_2313/tillsyn/A 32351-2022 tillsynsbegäran.docx", "A 32351-2022")</f>
        <v/>
      </c>
      <c r="Y389">
        <f>HYPERLINK("https://klasma.github.io/Logging_2313/tillsynsmail/A 32351-2022 tillsynsbegäran mail.docx", "A 32351-2022")</f>
        <v/>
      </c>
    </row>
    <row r="390" ht="15" customHeight="1">
      <c r="A390" t="inlineStr">
        <is>
          <t>A 32965-2022</t>
        </is>
      </c>
      <c r="B390" s="1" t="n">
        <v>44784</v>
      </c>
      <c r="C390" s="1" t="n">
        <v>45688</v>
      </c>
      <c r="D390" t="inlineStr">
        <is>
          <t>JÄMTLANDS LÄN</t>
        </is>
      </c>
      <c r="E390" t="inlineStr">
        <is>
          <t>STRÖMSUND</t>
        </is>
      </c>
      <c r="G390" t="n">
        <v>5.8</v>
      </c>
      <c r="H390" t="n">
        <v>0</v>
      </c>
      <c r="I390" t="n">
        <v>0</v>
      </c>
      <c r="J390" t="n">
        <v>1</v>
      </c>
      <c r="K390" t="n">
        <v>0</v>
      </c>
      <c r="L390" t="n">
        <v>0</v>
      </c>
      <c r="M390" t="n">
        <v>0</v>
      </c>
      <c r="N390" t="n">
        <v>0</v>
      </c>
      <c r="O390" t="n">
        <v>1</v>
      </c>
      <c r="P390" t="n">
        <v>0</v>
      </c>
      <c r="Q390" t="n">
        <v>1</v>
      </c>
      <c r="R390" s="2" t="inlineStr">
        <is>
          <t>Vitgrynig nållav</t>
        </is>
      </c>
      <c r="S390">
        <f>HYPERLINK("https://klasma.github.io/Logging_2313/artfynd/A 32965-2022 artfynd.xlsx", "A 32965-2022")</f>
        <v/>
      </c>
      <c r="T390">
        <f>HYPERLINK("https://klasma.github.io/Logging_2313/kartor/A 32965-2022 karta.png", "A 32965-2022")</f>
        <v/>
      </c>
      <c r="V390">
        <f>HYPERLINK("https://klasma.github.io/Logging_2313/klagomål/A 32965-2022 FSC-klagomål.docx", "A 32965-2022")</f>
        <v/>
      </c>
      <c r="W390">
        <f>HYPERLINK("https://klasma.github.io/Logging_2313/klagomålsmail/A 32965-2022 FSC-klagomål mail.docx", "A 32965-2022")</f>
        <v/>
      </c>
      <c r="X390">
        <f>HYPERLINK("https://klasma.github.io/Logging_2313/tillsyn/A 32965-2022 tillsynsbegäran.docx", "A 32965-2022")</f>
        <v/>
      </c>
      <c r="Y390">
        <f>HYPERLINK("https://klasma.github.io/Logging_2313/tillsynsmail/A 32965-2022 tillsynsbegäran mail.docx", "A 32965-2022")</f>
        <v/>
      </c>
    </row>
    <row r="391" ht="15" customHeight="1">
      <c r="A391" t="inlineStr">
        <is>
          <t>A 34009-2022</t>
        </is>
      </c>
      <c r="B391" s="1" t="n">
        <v>44790</v>
      </c>
      <c r="C391" s="1" t="n">
        <v>45688</v>
      </c>
      <c r="D391" t="inlineStr">
        <is>
          <t>JÄMTLANDS LÄN</t>
        </is>
      </c>
      <c r="E391" t="inlineStr">
        <is>
          <t>STRÖMSUND</t>
        </is>
      </c>
      <c r="F391" t="inlineStr">
        <is>
          <t>SCA</t>
        </is>
      </c>
      <c r="G391" t="n">
        <v>8.5</v>
      </c>
      <c r="H391" t="n">
        <v>0</v>
      </c>
      <c r="I391" t="n">
        <v>0</v>
      </c>
      <c r="J391" t="n">
        <v>0</v>
      </c>
      <c r="K391" t="n">
        <v>1</v>
      </c>
      <c r="L391" t="n">
        <v>0</v>
      </c>
      <c r="M391" t="n">
        <v>0</v>
      </c>
      <c r="N391" t="n">
        <v>0</v>
      </c>
      <c r="O391" t="n">
        <v>1</v>
      </c>
      <c r="P391" t="n">
        <v>1</v>
      </c>
      <c r="Q391" t="n">
        <v>1</v>
      </c>
      <c r="R391" s="2" t="inlineStr">
        <is>
          <t>Rynkskinn</t>
        </is>
      </c>
      <c r="S391">
        <f>HYPERLINK("https://klasma.github.io/Logging_2313/artfynd/A 34009-2022 artfynd.xlsx", "A 34009-2022")</f>
        <v/>
      </c>
      <c r="T391">
        <f>HYPERLINK("https://klasma.github.io/Logging_2313/kartor/A 34009-2022 karta.png", "A 34009-2022")</f>
        <v/>
      </c>
      <c r="V391">
        <f>HYPERLINK("https://klasma.github.io/Logging_2313/klagomål/A 34009-2022 FSC-klagomål.docx", "A 34009-2022")</f>
        <v/>
      </c>
      <c r="W391">
        <f>HYPERLINK("https://klasma.github.io/Logging_2313/klagomålsmail/A 34009-2022 FSC-klagomål mail.docx", "A 34009-2022")</f>
        <v/>
      </c>
      <c r="X391">
        <f>HYPERLINK("https://klasma.github.io/Logging_2313/tillsyn/A 34009-2022 tillsynsbegäran.docx", "A 34009-2022")</f>
        <v/>
      </c>
      <c r="Y391">
        <f>HYPERLINK("https://klasma.github.io/Logging_2313/tillsynsmail/A 34009-2022 tillsynsbegäran mail.docx", "A 34009-2022")</f>
        <v/>
      </c>
    </row>
    <row r="392" ht="15" customHeight="1">
      <c r="A392" t="inlineStr">
        <is>
          <t>A 39696-2022</t>
        </is>
      </c>
      <c r="B392" s="1" t="n">
        <v>44818</v>
      </c>
      <c r="C392" s="1" t="n">
        <v>45688</v>
      </c>
      <c r="D392" t="inlineStr">
        <is>
          <t>JÄMTLANDS LÄN</t>
        </is>
      </c>
      <c r="E392" t="inlineStr">
        <is>
          <t>STRÖMSUND</t>
        </is>
      </c>
      <c r="F392" t="inlineStr">
        <is>
          <t>SCA</t>
        </is>
      </c>
      <c r="G392" t="n">
        <v>4.6</v>
      </c>
      <c r="H392" t="n">
        <v>0</v>
      </c>
      <c r="I392" t="n">
        <v>0</v>
      </c>
      <c r="J392" t="n">
        <v>0</v>
      </c>
      <c r="K392" t="n">
        <v>1</v>
      </c>
      <c r="L392" t="n">
        <v>0</v>
      </c>
      <c r="M392" t="n">
        <v>0</v>
      </c>
      <c r="N392" t="n">
        <v>0</v>
      </c>
      <c r="O392" t="n">
        <v>1</v>
      </c>
      <c r="P392" t="n">
        <v>1</v>
      </c>
      <c r="Q392" t="n">
        <v>1</v>
      </c>
      <c r="R392" s="2" t="inlineStr">
        <is>
          <t>Gräddporing</t>
        </is>
      </c>
      <c r="S392">
        <f>HYPERLINK("https://klasma.github.io/Logging_2313/artfynd/A 39696-2022 artfynd.xlsx", "A 39696-2022")</f>
        <v/>
      </c>
      <c r="T392">
        <f>HYPERLINK("https://klasma.github.io/Logging_2313/kartor/A 39696-2022 karta.png", "A 39696-2022")</f>
        <v/>
      </c>
      <c r="V392">
        <f>HYPERLINK("https://klasma.github.io/Logging_2313/klagomål/A 39696-2022 FSC-klagomål.docx", "A 39696-2022")</f>
        <v/>
      </c>
      <c r="W392">
        <f>HYPERLINK("https://klasma.github.io/Logging_2313/klagomålsmail/A 39696-2022 FSC-klagomål mail.docx", "A 39696-2022")</f>
        <v/>
      </c>
      <c r="X392">
        <f>HYPERLINK("https://klasma.github.io/Logging_2313/tillsyn/A 39696-2022 tillsynsbegäran.docx", "A 39696-2022")</f>
        <v/>
      </c>
      <c r="Y392">
        <f>HYPERLINK("https://klasma.github.io/Logging_2313/tillsynsmail/A 39696-2022 tillsynsbegäran mail.docx", "A 39696-2022")</f>
        <v/>
      </c>
    </row>
    <row r="393" ht="15" customHeight="1">
      <c r="A393" t="inlineStr">
        <is>
          <t>A 41193-2022</t>
        </is>
      </c>
      <c r="B393" s="1" t="n">
        <v>44826</v>
      </c>
      <c r="C393" s="1" t="n">
        <v>45688</v>
      </c>
      <c r="D393" t="inlineStr">
        <is>
          <t>JÄMTLANDS LÄN</t>
        </is>
      </c>
      <c r="E393" t="inlineStr">
        <is>
          <t>STRÖMSUND</t>
        </is>
      </c>
      <c r="F393" t="inlineStr">
        <is>
          <t>SCA</t>
        </is>
      </c>
      <c r="G393" t="n">
        <v>2.7</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41193-2022 artfynd.xlsx", "A 41193-2022")</f>
        <v/>
      </c>
      <c r="T393">
        <f>HYPERLINK("https://klasma.github.io/Logging_2313/kartor/A 41193-2022 karta.png", "A 41193-2022")</f>
        <v/>
      </c>
      <c r="V393">
        <f>HYPERLINK("https://klasma.github.io/Logging_2313/klagomål/A 41193-2022 FSC-klagomål.docx", "A 41193-2022")</f>
        <v/>
      </c>
      <c r="W393">
        <f>HYPERLINK("https://klasma.github.io/Logging_2313/klagomålsmail/A 41193-2022 FSC-klagomål mail.docx", "A 41193-2022")</f>
        <v/>
      </c>
      <c r="X393">
        <f>HYPERLINK("https://klasma.github.io/Logging_2313/tillsyn/A 41193-2022 tillsynsbegäran.docx", "A 41193-2022")</f>
        <v/>
      </c>
      <c r="Y393">
        <f>HYPERLINK("https://klasma.github.io/Logging_2313/tillsynsmail/A 41193-2022 tillsynsbegäran mail.docx", "A 41193-2022")</f>
        <v/>
      </c>
      <c r="Z393">
        <f>HYPERLINK("https://klasma.github.io/Logging_2313/fåglar/A 41193-2022 prioriterade fågelarter.docx", "A 41193-2022")</f>
        <v/>
      </c>
    </row>
    <row r="394" ht="15" customHeight="1">
      <c r="A394" t="inlineStr">
        <is>
          <t>A 41811-2022</t>
        </is>
      </c>
      <c r="B394" s="1" t="n">
        <v>44827</v>
      </c>
      <c r="C394" s="1" t="n">
        <v>45688</v>
      </c>
      <c r="D394" t="inlineStr">
        <is>
          <t>JÄMTLANDS LÄN</t>
        </is>
      </c>
      <c r="E394" t="inlineStr">
        <is>
          <t>STRÖMSUND</t>
        </is>
      </c>
      <c r="F394" t="inlineStr">
        <is>
          <t>SCA</t>
        </is>
      </c>
      <c r="G394" t="n">
        <v>7.6</v>
      </c>
      <c r="H394" t="n">
        <v>1</v>
      </c>
      <c r="I394" t="n">
        <v>0</v>
      </c>
      <c r="J394" t="n">
        <v>0</v>
      </c>
      <c r="K394" t="n">
        <v>1</v>
      </c>
      <c r="L394" t="n">
        <v>0</v>
      </c>
      <c r="M394" t="n">
        <v>0</v>
      </c>
      <c r="N394" t="n">
        <v>0</v>
      </c>
      <c r="O394" t="n">
        <v>1</v>
      </c>
      <c r="P394" t="n">
        <v>1</v>
      </c>
      <c r="Q394" t="n">
        <v>1</v>
      </c>
      <c r="R394" s="2" t="inlineStr">
        <is>
          <t>Knärot</t>
        </is>
      </c>
      <c r="S394">
        <f>HYPERLINK("https://klasma.github.io/Logging_2313/artfynd/A 41811-2022 artfynd.xlsx", "A 41811-2022")</f>
        <v/>
      </c>
      <c r="T394">
        <f>HYPERLINK("https://klasma.github.io/Logging_2313/kartor/A 41811-2022 karta.png", "A 41811-2022")</f>
        <v/>
      </c>
      <c r="U394">
        <f>HYPERLINK("https://klasma.github.io/Logging_2313/knärot/A 41811-2022 karta knärot.png", "A 41811-2022")</f>
        <v/>
      </c>
      <c r="V394">
        <f>HYPERLINK("https://klasma.github.io/Logging_2313/klagomål/A 41811-2022 FSC-klagomål.docx", "A 41811-2022")</f>
        <v/>
      </c>
      <c r="W394">
        <f>HYPERLINK("https://klasma.github.io/Logging_2313/klagomålsmail/A 41811-2022 FSC-klagomål mail.docx", "A 41811-2022")</f>
        <v/>
      </c>
      <c r="X394">
        <f>HYPERLINK("https://klasma.github.io/Logging_2313/tillsyn/A 41811-2022 tillsynsbegäran.docx", "A 41811-2022")</f>
        <v/>
      </c>
      <c r="Y394">
        <f>HYPERLINK("https://klasma.github.io/Logging_2313/tillsynsmail/A 41811-2022 tillsynsbegäran mail.docx", "A 41811-2022")</f>
        <v/>
      </c>
    </row>
    <row r="395" ht="15" customHeight="1">
      <c r="A395" t="inlineStr">
        <is>
          <t>A 46343-2022</t>
        </is>
      </c>
      <c r="B395" s="1" t="n">
        <v>44847</v>
      </c>
      <c r="C395" s="1" t="n">
        <v>45688</v>
      </c>
      <c r="D395" t="inlineStr">
        <is>
          <t>JÄMTLANDS LÄN</t>
        </is>
      </c>
      <c r="E395" t="inlineStr">
        <is>
          <t>STRÖMSUND</t>
        </is>
      </c>
      <c r="F395" t="inlineStr">
        <is>
          <t>SCA</t>
        </is>
      </c>
      <c r="G395" t="n">
        <v>0.8</v>
      </c>
      <c r="H395" t="n">
        <v>0</v>
      </c>
      <c r="I395" t="n">
        <v>0</v>
      </c>
      <c r="J395" t="n">
        <v>1</v>
      </c>
      <c r="K395" t="n">
        <v>0</v>
      </c>
      <c r="L395" t="n">
        <v>0</v>
      </c>
      <c r="M395" t="n">
        <v>0</v>
      </c>
      <c r="N395" t="n">
        <v>0</v>
      </c>
      <c r="O395" t="n">
        <v>1</v>
      </c>
      <c r="P395" t="n">
        <v>0</v>
      </c>
      <c r="Q395" t="n">
        <v>1</v>
      </c>
      <c r="R395" s="2" t="inlineStr">
        <is>
          <t>Lunglav</t>
        </is>
      </c>
      <c r="S395">
        <f>HYPERLINK("https://klasma.github.io/Logging_2313/artfynd/A 46343-2022 artfynd.xlsx", "A 46343-2022")</f>
        <v/>
      </c>
      <c r="T395">
        <f>HYPERLINK("https://klasma.github.io/Logging_2313/kartor/A 46343-2022 karta.png", "A 46343-2022")</f>
        <v/>
      </c>
      <c r="V395">
        <f>HYPERLINK("https://klasma.github.io/Logging_2313/klagomål/A 46343-2022 FSC-klagomål.docx", "A 46343-2022")</f>
        <v/>
      </c>
      <c r="W395">
        <f>HYPERLINK("https://klasma.github.io/Logging_2313/klagomålsmail/A 46343-2022 FSC-klagomål mail.docx", "A 46343-2022")</f>
        <v/>
      </c>
      <c r="X395">
        <f>HYPERLINK("https://klasma.github.io/Logging_2313/tillsyn/A 46343-2022 tillsynsbegäran.docx", "A 46343-2022")</f>
        <v/>
      </c>
      <c r="Y395">
        <f>HYPERLINK("https://klasma.github.io/Logging_2313/tillsynsmail/A 46343-2022 tillsynsbegäran mail.docx", "A 46343-2022")</f>
        <v/>
      </c>
    </row>
    <row r="396" ht="15" customHeight="1">
      <c r="A396" t="inlineStr">
        <is>
          <t>A 48544-2022</t>
        </is>
      </c>
      <c r="B396" s="1" t="n">
        <v>44858</v>
      </c>
      <c r="C396" s="1" t="n">
        <v>45688</v>
      </c>
      <c r="D396" t="inlineStr">
        <is>
          <t>JÄMTLANDS LÄN</t>
        </is>
      </c>
      <c r="E396" t="inlineStr">
        <is>
          <t>STRÖMSUND</t>
        </is>
      </c>
      <c r="F396" t="inlineStr">
        <is>
          <t>SCA</t>
        </is>
      </c>
      <c r="G396" t="n">
        <v>2.6</v>
      </c>
      <c r="H396" t="n">
        <v>1</v>
      </c>
      <c r="I396" t="n">
        <v>0</v>
      </c>
      <c r="J396" t="n">
        <v>0</v>
      </c>
      <c r="K396" t="n">
        <v>1</v>
      </c>
      <c r="L396" t="n">
        <v>0</v>
      </c>
      <c r="M396" t="n">
        <v>0</v>
      </c>
      <c r="N396" t="n">
        <v>0</v>
      </c>
      <c r="O396" t="n">
        <v>1</v>
      </c>
      <c r="P396" t="n">
        <v>1</v>
      </c>
      <c r="Q396" t="n">
        <v>1</v>
      </c>
      <c r="R396" s="2" t="inlineStr">
        <is>
          <t>Doftticka</t>
        </is>
      </c>
      <c r="S396">
        <f>HYPERLINK("https://klasma.github.io/Logging_2313/artfynd/A 48544-2022 artfynd.xlsx", "A 48544-2022")</f>
        <v/>
      </c>
      <c r="T396">
        <f>HYPERLINK("https://klasma.github.io/Logging_2313/kartor/A 48544-2022 karta.png", "A 48544-2022")</f>
        <v/>
      </c>
      <c r="V396">
        <f>HYPERLINK("https://klasma.github.io/Logging_2313/klagomål/A 48544-2022 FSC-klagomål.docx", "A 48544-2022")</f>
        <v/>
      </c>
      <c r="W396">
        <f>HYPERLINK("https://klasma.github.io/Logging_2313/klagomålsmail/A 48544-2022 FSC-klagomål mail.docx", "A 48544-2022")</f>
        <v/>
      </c>
      <c r="X396">
        <f>HYPERLINK("https://klasma.github.io/Logging_2313/tillsyn/A 48544-2022 tillsynsbegäran.docx", "A 48544-2022")</f>
        <v/>
      </c>
      <c r="Y396">
        <f>HYPERLINK("https://klasma.github.io/Logging_2313/tillsynsmail/A 48544-2022 tillsynsbegäran mail.docx", "A 48544-2022")</f>
        <v/>
      </c>
    </row>
    <row r="397" ht="15" customHeight="1">
      <c r="A397" t="inlineStr">
        <is>
          <t>A 48896-2022</t>
        </is>
      </c>
      <c r="B397" s="1" t="n">
        <v>44859</v>
      </c>
      <c r="C397" s="1" t="n">
        <v>45688</v>
      </c>
      <c r="D397" t="inlineStr">
        <is>
          <t>JÄMTLANDS LÄN</t>
        </is>
      </c>
      <c r="E397" t="inlineStr">
        <is>
          <t>STRÖMSUND</t>
        </is>
      </c>
      <c r="F397" t="inlineStr">
        <is>
          <t>SCA</t>
        </is>
      </c>
      <c r="G397" t="n">
        <v>3.3</v>
      </c>
      <c r="H397" t="n">
        <v>1</v>
      </c>
      <c r="I397" t="n">
        <v>1</v>
      </c>
      <c r="J397" t="n">
        <v>0</v>
      </c>
      <c r="K397" t="n">
        <v>0</v>
      </c>
      <c r="L397" t="n">
        <v>0</v>
      </c>
      <c r="M397" t="n">
        <v>0</v>
      </c>
      <c r="N397" t="n">
        <v>0</v>
      </c>
      <c r="O397" t="n">
        <v>0</v>
      </c>
      <c r="P397" t="n">
        <v>0</v>
      </c>
      <c r="Q397" t="n">
        <v>1</v>
      </c>
      <c r="R397" s="2" t="inlineStr">
        <is>
          <t>Guckusko</t>
        </is>
      </c>
      <c r="S397">
        <f>HYPERLINK("https://klasma.github.io/Logging_2313/artfynd/A 48896-2022 artfynd.xlsx", "A 48896-2022")</f>
        <v/>
      </c>
      <c r="T397">
        <f>HYPERLINK("https://klasma.github.io/Logging_2313/kartor/A 48896-2022 karta.png", "A 48896-2022")</f>
        <v/>
      </c>
      <c r="V397">
        <f>HYPERLINK("https://klasma.github.io/Logging_2313/klagomål/A 48896-2022 FSC-klagomål.docx", "A 48896-2022")</f>
        <v/>
      </c>
      <c r="W397">
        <f>HYPERLINK("https://klasma.github.io/Logging_2313/klagomålsmail/A 48896-2022 FSC-klagomål mail.docx", "A 48896-2022")</f>
        <v/>
      </c>
      <c r="X397">
        <f>HYPERLINK("https://klasma.github.io/Logging_2313/tillsyn/A 48896-2022 tillsynsbegäran.docx", "A 48896-2022")</f>
        <v/>
      </c>
      <c r="Y397">
        <f>HYPERLINK("https://klasma.github.io/Logging_2313/tillsynsmail/A 48896-2022 tillsynsbegäran mail.docx", "A 48896-2022")</f>
        <v/>
      </c>
    </row>
    <row r="398" ht="15" customHeight="1">
      <c r="A398" t="inlineStr">
        <is>
          <t>A 50688-2022</t>
        </is>
      </c>
      <c r="B398" s="1" t="n">
        <v>44866</v>
      </c>
      <c r="C398" s="1" t="n">
        <v>45688</v>
      </c>
      <c r="D398" t="inlineStr">
        <is>
          <t>JÄMTLANDS LÄN</t>
        </is>
      </c>
      <c r="E398" t="inlineStr">
        <is>
          <t>STRÖMSUND</t>
        </is>
      </c>
      <c r="F398" t="inlineStr">
        <is>
          <t>SCA</t>
        </is>
      </c>
      <c r="G398" t="n">
        <v>8.699999999999999</v>
      </c>
      <c r="H398" t="n">
        <v>1</v>
      </c>
      <c r="I398" t="n">
        <v>0</v>
      </c>
      <c r="J398" t="n">
        <v>1</v>
      </c>
      <c r="K398" t="n">
        <v>0</v>
      </c>
      <c r="L398" t="n">
        <v>0</v>
      </c>
      <c r="M398" t="n">
        <v>0</v>
      </c>
      <c r="N398" t="n">
        <v>0</v>
      </c>
      <c r="O398" t="n">
        <v>1</v>
      </c>
      <c r="P398" t="n">
        <v>0</v>
      </c>
      <c r="Q398" t="n">
        <v>1</v>
      </c>
      <c r="R398" s="2" t="inlineStr">
        <is>
          <t>Skogsfru</t>
        </is>
      </c>
      <c r="S398">
        <f>HYPERLINK("https://klasma.github.io/Logging_2313/artfynd/A 50688-2022 artfynd.xlsx", "A 50688-2022")</f>
        <v/>
      </c>
      <c r="T398">
        <f>HYPERLINK("https://klasma.github.io/Logging_2313/kartor/A 50688-2022 karta.png", "A 50688-2022")</f>
        <v/>
      </c>
      <c r="V398">
        <f>HYPERLINK("https://klasma.github.io/Logging_2313/klagomål/A 50688-2022 FSC-klagomål.docx", "A 50688-2022")</f>
        <v/>
      </c>
      <c r="W398">
        <f>HYPERLINK("https://klasma.github.io/Logging_2313/klagomålsmail/A 50688-2022 FSC-klagomål mail.docx", "A 50688-2022")</f>
        <v/>
      </c>
      <c r="X398">
        <f>HYPERLINK("https://klasma.github.io/Logging_2313/tillsyn/A 50688-2022 tillsynsbegäran.docx", "A 50688-2022")</f>
        <v/>
      </c>
      <c r="Y398">
        <f>HYPERLINK("https://klasma.github.io/Logging_2313/tillsynsmail/A 50688-2022 tillsynsbegäran mail.docx", "A 50688-2022")</f>
        <v/>
      </c>
    </row>
    <row r="399" ht="15" customHeight="1">
      <c r="A399" t="inlineStr">
        <is>
          <t>A 50683-2022</t>
        </is>
      </c>
      <c r="B399" s="1" t="n">
        <v>44866</v>
      </c>
      <c r="C399" s="1" t="n">
        <v>45688</v>
      </c>
      <c r="D399" t="inlineStr">
        <is>
          <t>JÄMTLANDS LÄN</t>
        </is>
      </c>
      <c r="E399" t="inlineStr">
        <is>
          <t>STRÖMSUND</t>
        </is>
      </c>
      <c r="F399" t="inlineStr">
        <is>
          <t>SCA</t>
        </is>
      </c>
      <c r="G399" t="n">
        <v>4.8</v>
      </c>
      <c r="H399" t="n">
        <v>0</v>
      </c>
      <c r="I399" t="n">
        <v>0</v>
      </c>
      <c r="J399" t="n">
        <v>1</v>
      </c>
      <c r="K399" t="n">
        <v>0</v>
      </c>
      <c r="L399" t="n">
        <v>0</v>
      </c>
      <c r="M399" t="n">
        <v>0</v>
      </c>
      <c r="N399" t="n">
        <v>0</v>
      </c>
      <c r="O399" t="n">
        <v>1</v>
      </c>
      <c r="P399" t="n">
        <v>0</v>
      </c>
      <c r="Q399" t="n">
        <v>1</v>
      </c>
      <c r="R399" s="2" t="inlineStr">
        <is>
          <t>Gammelgransskål</t>
        </is>
      </c>
      <c r="S399">
        <f>HYPERLINK("https://klasma.github.io/Logging_2313/artfynd/A 50683-2022 artfynd.xlsx", "A 50683-2022")</f>
        <v/>
      </c>
      <c r="T399">
        <f>HYPERLINK("https://klasma.github.io/Logging_2313/kartor/A 50683-2022 karta.png", "A 50683-2022")</f>
        <v/>
      </c>
      <c r="V399">
        <f>HYPERLINK("https://klasma.github.io/Logging_2313/klagomål/A 50683-2022 FSC-klagomål.docx", "A 50683-2022")</f>
        <v/>
      </c>
      <c r="W399">
        <f>HYPERLINK("https://klasma.github.io/Logging_2313/klagomålsmail/A 50683-2022 FSC-klagomål mail.docx", "A 50683-2022")</f>
        <v/>
      </c>
      <c r="X399">
        <f>HYPERLINK("https://klasma.github.io/Logging_2313/tillsyn/A 50683-2022 tillsynsbegäran.docx", "A 50683-2022")</f>
        <v/>
      </c>
      <c r="Y399">
        <f>HYPERLINK("https://klasma.github.io/Logging_2313/tillsynsmail/A 50683-2022 tillsynsbegäran mail.docx", "A 50683-2022")</f>
        <v/>
      </c>
    </row>
    <row r="400" ht="15" customHeight="1">
      <c r="A400" t="inlineStr">
        <is>
          <t>A 51309-2022</t>
        </is>
      </c>
      <c r="B400" s="1" t="n">
        <v>44868</v>
      </c>
      <c r="C400" s="1" t="n">
        <v>45688</v>
      </c>
      <c r="D400" t="inlineStr">
        <is>
          <t>JÄMTLANDS LÄN</t>
        </is>
      </c>
      <c r="E400" t="inlineStr">
        <is>
          <t>STRÖMSUND</t>
        </is>
      </c>
      <c r="F400" t="inlineStr">
        <is>
          <t>SCA</t>
        </is>
      </c>
      <c r="G400" t="n">
        <v>5.1</v>
      </c>
      <c r="H400" t="n">
        <v>0</v>
      </c>
      <c r="I400" t="n">
        <v>0</v>
      </c>
      <c r="J400" t="n">
        <v>1</v>
      </c>
      <c r="K400" t="n">
        <v>0</v>
      </c>
      <c r="L400" t="n">
        <v>0</v>
      </c>
      <c r="M400" t="n">
        <v>0</v>
      </c>
      <c r="N400" t="n">
        <v>0</v>
      </c>
      <c r="O400" t="n">
        <v>1</v>
      </c>
      <c r="P400" t="n">
        <v>0</v>
      </c>
      <c r="Q400" t="n">
        <v>1</v>
      </c>
      <c r="R400" s="2" t="inlineStr">
        <is>
          <t>Skrovellav</t>
        </is>
      </c>
      <c r="S400">
        <f>HYPERLINK("https://klasma.github.io/Logging_2313/artfynd/A 51309-2022 artfynd.xlsx", "A 51309-2022")</f>
        <v/>
      </c>
      <c r="T400">
        <f>HYPERLINK("https://klasma.github.io/Logging_2313/kartor/A 51309-2022 karta.png", "A 51309-2022")</f>
        <v/>
      </c>
      <c r="V400">
        <f>HYPERLINK("https://klasma.github.io/Logging_2313/klagomål/A 51309-2022 FSC-klagomål.docx", "A 51309-2022")</f>
        <v/>
      </c>
      <c r="W400">
        <f>HYPERLINK("https://klasma.github.io/Logging_2313/klagomålsmail/A 51309-2022 FSC-klagomål mail.docx", "A 51309-2022")</f>
        <v/>
      </c>
      <c r="X400">
        <f>HYPERLINK("https://klasma.github.io/Logging_2313/tillsyn/A 51309-2022 tillsynsbegäran.docx", "A 51309-2022")</f>
        <v/>
      </c>
      <c r="Y400">
        <f>HYPERLINK("https://klasma.github.io/Logging_2313/tillsynsmail/A 51309-2022 tillsynsbegäran mail.docx", "A 51309-2022")</f>
        <v/>
      </c>
    </row>
    <row r="401" ht="15" customHeight="1">
      <c r="A401" t="inlineStr">
        <is>
          <t>A 55530-2022</t>
        </is>
      </c>
      <c r="B401" s="1" t="n">
        <v>44887</v>
      </c>
      <c r="C401" s="1" t="n">
        <v>45688</v>
      </c>
      <c r="D401" t="inlineStr">
        <is>
          <t>JÄMTLANDS LÄN</t>
        </is>
      </c>
      <c r="E401" t="inlineStr">
        <is>
          <t>STRÖMSUND</t>
        </is>
      </c>
      <c r="F401" t="inlineStr">
        <is>
          <t>SCA</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HYPERLINK("https://klasma.github.io/Logging_2313/artfynd/A 55530-2022 artfynd.xlsx", "A 55530-2022")</f>
        <v/>
      </c>
      <c r="T401">
        <f>HYPERLINK("https://klasma.github.io/Logging_2313/kartor/A 55530-2022 karta.png", "A 55530-2022")</f>
        <v/>
      </c>
      <c r="V401">
        <f>HYPERLINK("https://klasma.github.io/Logging_2313/klagomål/A 55530-2022 FSC-klagomål.docx", "A 55530-2022")</f>
        <v/>
      </c>
      <c r="W401">
        <f>HYPERLINK("https://klasma.github.io/Logging_2313/klagomålsmail/A 55530-2022 FSC-klagomål mail.docx", "A 55530-2022")</f>
        <v/>
      </c>
      <c r="X401">
        <f>HYPERLINK("https://klasma.github.io/Logging_2313/tillsyn/A 55530-2022 tillsynsbegäran.docx", "A 55530-2022")</f>
        <v/>
      </c>
      <c r="Y401">
        <f>HYPERLINK("https://klasma.github.io/Logging_2313/tillsynsmail/A 55530-2022 tillsynsbegäran mail.docx", "A 55530-2022")</f>
        <v/>
      </c>
    </row>
    <row r="402" ht="15" customHeight="1">
      <c r="A402" t="inlineStr">
        <is>
          <t>A 56735-2022</t>
        </is>
      </c>
      <c r="B402" s="1" t="n">
        <v>44893</v>
      </c>
      <c r="C402" s="1" t="n">
        <v>45688</v>
      </c>
      <c r="D402" t="inlineStr">
        <is>
          <t>JÄMTLANDS LÄN</t>
        </is>
      </c>
      <c r="E402" t="inlineStr">
        <is>
          <t>STRÖMSUND</t>
        </is>
      </c>
      <c r="F402" t="inlineStr">
        <is>
          <t>SCA</t>
        </is>
      </c>
      <c r="G402" t="n">
        <v>1.4</v>
      </c>
      <c r="H402" t="n">
        <v>0</v>
      </c>
      <c r="I402" t="n">
        <v>0</v>
      </c>
      <c r="J402" t="n">
        <v>1</v>
      </c>
      <c r="K402" t="n">
        <v>0</v>
      </c>
      <c r="L402" t="n">
        <v>0</v>
      </c>
      <c r="M402" t="n">
        <v>0</v>
      </c>
      <c r="N402" t="n">
        <v>0</v>
      </c>
      <c r="O402" t="n">
        <v>1</v>
      </c>
      <c r="P402" t="n">
        <v>0</v>
      </c>
      <c r="Q402" t="n">
        <v>1</v>
      </c>
      <c r="R402" s="2" t="inlineStr">
        <is>
          <t>Granticka</t>
        </is>
      </c>
      <c r="S402">
        <f>HYPERLINK("https://klasma.github.io/Logging_2313/artfynd/A 56735-2022 artfynd.xlsx", "A 56735-2022")</f>
        <v/>
      </c>
      <c r="T402">
        <f>HYPERLINK("https://klasma.github.io/Logging_2313/kartor/A 56735-2022 karta.png", "A 56735-2022")</f>
        <v/>
      </c>
      <c r="V402">
        <f>HYPERLINK("https://klasma.github.io/Logging_2313/klagomål/A 56735-2022 FSC-klagomål.docx", "A 56735-2022")</f>
        <v/>
      </c>
      <c r="W402">
        <f>HYPERLINK("https://klasma.github.io/Logging_2313/klagomålsmail/A 56735-2022 FSC-klagomål mail.docx", "A 56735-2022")</f>
        <v/>
      </c>
      <c r="X402">
        <f>HYPERLINK("https://klasma.github.io/Logging_2313/tillsyn/A 56735-2022 tillsynsbegäran.docx", "A 56735-2022")</f>
        <v/>
      </c>
      <c r="Y402">
        <f>HYPERLINK("https://klasma.github.io/Logging_2313/tillsynsmail/A 56735-2022 tillsynsbegäran mail.docx", "A 56735-2022")</f>
        <v/>
      </c>
    </row>
    <row r="403" ht="15" customHeight="1">
      <c r="A403" t="inlineStr">
        <is>
          <t>A 61381-2022</t>
        </is>
      </c>
      <c r="B403" s="1" t="n">
        <v>44915</v>
      </c>
      <c r="C403" s="1" t="n">
        <v>45688</v>
      </c>
      <c r="D403" t="inlineStr">
        <is>
          <t>JÄMTLANDS LÄN</t>
        </is>
      </c>
      <c r="E403" t="inlineStr">
        <is>
          <t>STRÖMSUND</t>
        </is>
      </c>
      <c r="G403" t="n">
        <v>8.1</v>
      </c>
      <c r="H403" t="n">
        <v>0</v>
      </c>
      <c r="I403" t="n">
        <v>0</v>
      </c>
      <c r="J403" t="n">
        <v>1</v>
      </c>
      <c r="K403" t="n">
        <v>0</v>
      </c>
      <c r="L403" t="n">
        <v>0</v>
      </c>
      <c r="M403" t="n">
        <v>0</v>
      </c>
      <c r="N403" t="n">
        <v>0</v>
      </c>
      <c r="O403" t="n">
        <v>1</v>
      </c>
      <c r="P403" t="n">
        <v>0</v>
      </c>
      <c r="Q403" t="n">
        <v>1</v>
      </c>
      <c r="R403" s="2" t="inlineStr">
        <is>
          <t>Granticka</t>
        </is>
      </c>
      <c r="S403">
        <f>HYPERLINK("https://klasma.github.io/Logging_2313/artfynd/A 61381-2022 artfynd.xlsx", "A 61381-2022")</f>
        <v/>
      </c>
      <c r="T403">
        <f>HYPERLINK("https://klasma.github.io/Logging_2313/kartor/A 61381-2022 karta.png", "A 61381-2022")</f>
        <v/>
      </c>
      <c r="V403">
        <f>HYPERLINK("https://klasma.github.io/Logging_2313/klagomål/A 61381-2022 FSC-klagomål.docx", "A 61381-2022")</f>
        <v/>
      </c>
      <c r="W403">
        <f>HYPERLINK("https://klasma.github.io/Logging_2313/klagomålsmail/A 61381-2022 FSC-klagomål mail.docx", "A 61381-2022")</f>
        <v/>
      </c>
      <c r="X403">
        <f>HYPERLINK("https://klasma.github.io/Logging_2313/tillsyn/A 61381-2022 tillsynsbegäran.docx", "A 61381-2022")</f>
        <v/>
      </c>
      <c r="Y403">
        <f>HYPERLINK("https://klasma.github.io/Logging_2313/tillsynsmail/A 61381-2022 tillsynsbegäran mail.docx", "A 61381-2022")</f>
        <v/>
      </c>
    </row>
    <row r="404" ht="15" customHeight="1">
      <c r="A404" t="inlineStr">
        <is>
          <t>A 27-2023</t>
        </is>
      </c>
      <c r="B404" s="1" t="n">
        <v>44928</v>
      </c>
      <c r="C404" s="1" t="n">
        <v>45688</v>
      </c>
      <c r="D404" t="inlineStr">
        <is>
          <t>JÄMTLANDS LÄN</t>
        </is>
      </c>
      <c r="E404" t="inlineStr">
        <is>
          <t>STRÖMSUND</t>
        </is>
      </c>
      <c r="F404" t="inlineStr">
        <is>
          <t>Sveaskog</t>
        </is>
      </c>
      <c r="G404" t="n">
        <v>4.3</v>
      </c>
      <c r="H404" t="n">
        <v>0</v>
      </c>
      <c r="I404" t="n">
        <v>0</v>
      </c>
      <c r="J404" t="n">
        <v>1</v>
      </c>
      <c r="K404" t="n">
        <v>0</v>
      </c>
      <c r="L404" t="n">
        <v>0</v>
      </c>
      <c r="M404" t="n">
        <v>0</v>
      </c>
      <c r="N404" t="n">
        <v>0</v>
      </c>
      <c r="O404" t="n">
        <v>1</v>
      </c>
      <c r="P404" t="n">
        <v>0</v>
      </c>
      <c r="Q404" t="n">
        <v>1</v>
      </c>
      <c r="R404" s="2" t="inlineStr">
        <is>
          <t>Gränsticka</t>
        </is>
      </c>
      <c r="S404">
        <f>HYPERLINK("https://klasma.github.io/Logging_2313/artfynd/A 27-2023 artfynd.xlsx", "A 27-2023")</f>
        <v/>
      </c>
      <c r="T404">
        <f>HYPERLINK("https://klasma.github.io/Logging_2313/kartor/A 27-2023 karta.png", "A 27-2023")</f>
        <v/>
      </c>
      <c r="V404">
        <f>HYPERLINK("https://klasma.github.io/Logging_2313/klagomål/A 27-2023 FSC-klagomål.docx", "A 27-2023")</f>
        <v/>
      </c>
      <c r="W404">
        <f>HYPERLINK("https://klasma.github.io/Logging_2313/klagomålsmail/A 27-2023 FSC-klagomål mail.docx", "A 27-2023")</f>
        <v/>
      </c>
      <c r="X404">
        <f>HYPERLINK("https://klasma.github.io/Logging_2313/tillsyn/A 27-2023 tillsynsbegäran.docx", "A 27-2023")</f>
        <v/>
      </c>
      <c r="Y404">
        <f>HYPERLINK("https://klasma.github.io/Logging_2313/tillsynsmail/A 27-2023 tillsynsbegäran mail.docx", "A 27-2023")</f>
        <v/>
      </c>
    </row>
    <row r="405" ht="15" customHeight="1">
      <c r="A405" t="inlineStr">
        <is>
          <t>A 7929-2023</t>
        </is>
      </c>
      <c r="B405" s="1" t="n">
        <v>44970</v>
      </c>
      <c r="C405" s="1" t="n">
        <v>45688</v>
      </c>
      <c r="D405" t="inlineStr">
        <is>
          <t>JÄMTLANDS LÄN</t>
        </is>
      </c>
      <c r="E405" t="inlineStr">
        <is>
          <t>STRÖMSUND</t>
        </is>
      </c>
      <c r="F405" t="inlineStr">
        <is>
          <t>Kommuner</t>
        </is>
      </c>
      <c r="G405" t="n">
        <v>2.2</v>
      </c>
      <c r="H405" t="n">
        <v>0</v>
      </c>
      <c r="I405" t="n">
        <v>1</v>
      </c>
      <c r="J405" t="n">
        <v>0</v>
      </c>
      <c r="K405" t="n">
        <v>0</v>
      </c>
      <c r="L405" t="n">
        <v>0</v>
      </c>
      <c r="M405" t="n">
        <v>0</v>
      </c>
      <c r="N405" t="n">
        <v>0</v>
      </c>
      <c r="O405" t="n">
        <v>0</v>
      </c>
      <c r="P405" t="n">
        <v>0</v>
      </c>
      <c r="Q405" t="n">
        <v>1</v>
      </c>
      <c r="R405" s="2" t="inlineStr">
        <is>
          <t>Norrlandslav</t>
        </is>
      </c>
      <c r="S405">
        <f>HYPERLINK("https://klasma.github.io/Logging_2313/artfynd/A 7929-2023 artfynd.xlsx", "A 7929-2023")</f>
        <v/>
      </c>
      <c r="T405">
        <f>HYPERLINK("https://klasma.github.io/Logging_2313/kartor/A 7929-2023 karta.png", "A 7929-2023")</f>
        <v/>
      </c>
      <c r="V405">
        <f>HYPERLINK("https://klasma.github.io/Logging_2313/klagomål/A 7929-2023 FSC-klagomål.docx", "A 7929-2023")</f>
        <v/>
      </c>
      <c r="W405">
        <f>HYPERLINK("https://klasma.github.io/Logging_2313/klagomålsmail/A 7929-2023 FSC-klagomål mail.docx", "A 7929-2023")</f>
        <v/>
      </c>
      <c r="X405">
        <f>HYPERLINK("https://klasma.github.io/Logging_2313/tillsyn/A 7929-2023 tillsynsbegäran.docx", "A 7929-2023")</f>
        <v/>
      </c>
      <c r="Y405">
        <f>HYPERLINK("https://klasma.github.io/Logging_2313/tillsynsmail/A 7929-2023 tillsynsbegäran mail.docx", "A 7929-2023")</f>
        <v/>
      </c>
    </row>
    <row r="406" ht="15" customHeight="1">
      <c r="A406" t="inlineStr">
        <is>
          <t>A 10075-2023</t>
        </is>
      </c>
      <c r="B406" s="1" t="n">
        <v>44985</v>
      </c>
      <c r="C406" s="1" t="n">
        <v>45688</v>
      </c>
      <c r="D406" t="inlineStr">
        <is>
          <t>JÄMTLANDS LÄN</t>
        </is>
      </c>
      <c r="E406" t="inlineStr">
        <is>
          <t>STRÖMSUND</t>
        </is>
      </c>
      <c r="F406" t="inlineStr">
        <is>
          <t>SCA</t>
        </is>
      </c>
      <c r="G406" t="n">
        <v>13.4</v>
      </c>
      <c r="H406" t="n">
        <v>0</v>
      </c>
      <c r="I406" t="n">
        <v>0</v>
      </c>
      <c r="J406" t="n">
        <v>1</v>
      </c>
      <c r="K406" t="n">
        <v>0</v>
      </c>
      <c r="L406" t="n">
        <v>0</v>
      </c>
      <c r="M406" t="n">
        <v>0</v>
      </c>
      <c r="N406" t="n">
        <v>0</v>
      </c>
      <c r="O406" t="n">
        <v>1</v>
      </c>
      <c r="P406" t="n">
        <v>0</v>
      </c>
      <c r="Q406" t="n">
        <v>1</v>
      </c>
      <c r="R406" s="2" t="inlineStr">
        <is>
          <t>Brunklöver</t>
        </is>
      </c>
      <c r="S406">
        <f>HYPERLINK("https://klasma.github.io/Logging_2313/artfynd/A 10075-2023 artfynd.xlsx", "A 10075-2023")</f>
        <v/>
      </c>
      <c r="T406">
        <f>HYPERLINK("https://klasma.github.io/Logging_2313/kartor/A 10075-2023 karta.png", "A 10075-2023")</f>
        <v/>
      </c>
      <c r="V406">
        <f>HYPERLINK("https://klasma.github.io/Logging_2313/klagomål/A 10075-2023 FSC-klagomål.docx", "A 10075-2023")</f>
        <v/>
      </c>
      <c r="W406">
        <f>HYPERLINK("https://klasma.github.io/Logging_2313/klagomålsmail/A 10075-2023 FSC-klagomål mail.docx", "A 10075-2023")</f>
        <v/>
      </c>
      <c r="X406">
        <f>HYPERLINK("https://klasma.github.io/Logging_2313/tillsyn/A 10075-2023 tillsynsbegäran.docx", "A 10075-2023")</f>
        <v/>
      </c>
      <c r="Y406">
        <f>HYPERLINK("https://klasma.github.io/Logging_2313/tillsynsmail/A 10075-2023 tillsynsbegäran mail.docx", "A 10075-2023")</f>
        <v/>
      </c>
    </row>
    <row r="407" ht="15" customHeight="1">
      <c r="A407" t="inlineStr">
        <is>
          <t>A 13897-2023</t>
        </is>
      </c>
      <c r="B407" s="1" t="n">
        <v>45008</v>
      </c>
      <c r="C407" s="1" t="n">
        <v>45688</v>
      </c>
      <c r="D407" t="inlineStr">
        <is>
          <t>JÄMTLANDS LÄN</t>
        </is>
      </c>
      <c r="E407" t="inlineStr">
        <is>
          <t>STRÖMSUND</t>
        </is>
      </c>
      <c r="F407" t="inlineStr">
        <is>
          <t>Holmen skog AB</t>
        </is>
      </c>
      <c r="G407" t="n">
        <v>2.6</v>
      </c>
      <c r="H407" t="n">
        <v>0</v>
      </c>
      <c r="I407" t="n">
        <v>0</v>
      </c>
      <c r="J407" t="n">
        <v>1</v>
      </c>
      <c r="K407" t="n">
        <v>0</v>
      </c>
      <c r="L407" t="n">
        <v>0</v>
      </c>
      <c r="M407" t="n">
        <v>0</v>
      </c>
      <c r="N407" t="n">
        <v>0</v>
      </c>
      <c r="O407" t="n">
        <v>1</v>
      </c>
      <c r="P407" t="n">
        <v>0</v>
      </c>
      <c r="Q407" t="n">
        <v>1</v>
      </c>
      <c r="R407" s="2" t="inlineStr">
        <is>
          <t>Kolflarnlav</t>
        </is>
      </c>
      <c r="S407">
        <f>HYPERLINK("https://klasma.github.io/Logging_2313/artfynd/A 13897-2023 artfynd.xlsx", "A 13897-2023")</f>
        <v/>
      </c>
      <c r="T407">
        <f>HYPERLINK("https://klasma.github.io/Logging_2313/kartor/A 13897-2023 karta.png", "A 13897-2023")</f>
        <v/>
      </c>
      <c r="V407">
        <f>HYPERLINK("https://klasma.github.io/Logging_2313/klagomål/A 13897-2023 FSC-klagomål.docx", "A 13897-2023")</f>
        <v/>
      </c>
      <c r="W407">
        <f>HYPERLINK("https://klasma.github.io/Logging_2313/klagomålsmail/A 13897-2023 FSC-klagomål mail.docx", "A 13897-2023")</f>
        <v/>
      </c>
      <c r="X407">
        <f>HYPERLINK("https://klasma.github.io/Logging_2313/tillsyn/A 13897-2023 tillsynsbegäran.docx", "A 13897-2023")</f>
        <v/>
      </c>
      <c r="Y407">
        <f>HYPERLINK("https://klasma.github.io/Logging_2313/tillsynsmail/A 13897-2023 tillsynsbegäran mail.docx", "A 13897-2023")</f>
        <v/>
      </c>
    </row>
    <row r="408" ht="15" customHeight="1">
      <c r="A408" t="inlineStr">
        <is>
          <t>A 15457-2023</t>
        </is>
      </c>
      <c r="B408" s="1" t="n">
        <v>45019</v>
      </c>
      <c r="C408" s="1" t="n">
        <v>45688</v>
      </c>
      <c r="D408" t="inlineStr">
        <is>
          <t>JÄMTLANDS LÄN</t>
        </is>
      </c>
      <c r="E408" t="inlineStr">
        <is>
          <t>STRÖMSUND</t>
        </is>
      </c>
      <c r="G408" t="n">
        <v>17.2</v>
      </c>
      <c r="H408" t="n">
        <v>0</v>
      </c>
      <c r="I408" t="n">
        <v>1</v>
      </c>
      <c r="J408" t="n">
        <v>0</v>
      </c>
      <c r="K408" t="n">
        <v>0</v>
      </c>
      <c r="L408" t="n">
        <v>0</v>
      </c>
      <c r="M408" t="n">
        <v>0</v>
      </c>
      <c r="N408" t="n">
        <v>0</v>
      </c>
      <c r="O408" t="n">
        <v>0</v>
      </c>
      <c r="P408" t="n">
        <v>0</v>
      </c>
      <c r="Q408" t="n">
        <v>1</v>
      </c>
      <c r="R408" s="2" t="inlineStr">
        <is>
          <t>Taggbräken</t>
        </is>
      </c>
      <c r="S408">
        <f>HYPERLINK("https://klasma.github.io/Logging_2313/artfynd/A 15457-2023 artfynd.xlsx", "A 15457-2023")</f>
        <v/>
      </c>
      <c r="T408">
        <f>HYPERLINK("https://klasma.github.io/Logging_2313/kartor/A 15457-2023 karta.png", "A 15457-2023")</f>
        <v/>
      </c>
      <c r="V408">
        <f>HYPERLINK("https://klasma.github.io/Logging_2313/klagomål/A 15457-2023 FSC-klagomål.docx", "A 15457-2023")</f>
        <v/>
      </c>
      <c r="W408">
        <f>HYPERLINK("https://klasma.github.io/Logging_2313/klagomålsmail/A 15457-2023 FSC-klagomål mail.docx", "A 15457-2023")</f>
        <v/>
      </c>
      <c r="X408">
        <f>HYPERLINK("https://klasma.github.io/Logging_2313/tillsyn/A 15457-2023 tillsynsbegäran.docx", "A 15457-2023")</f>
        <v/>
      </c>
      <c r="Y408">
        <f>HYPERLINK("https://klasma.github.io/Logging_2313/tillsynsmail/A 15457-2023 tillsynsbegäran mail.docx", "A 15457-2023")</f>
        <v/>
      </c>
    </row>
    <row r="409" ht="15" customHeight="1">
      <c r="A409" t="inlineStr">
        <is>
          <t>A 18767-2023</t>
        </is>
      </c>
      <c r="B409" s="1" t="n">
        <v>45043</v>
      </c>
      <c r="C409" s="1" t="n">
        <v>45688</v>
      </c>
      <c r="D409" t="inlineStr">
        <is>
          <t>JÄMTLANDS LÄN</t>
        </is>
      </c>
      <c r="E409" t="inlineStr">
        <is>
          <t>STRÖMSUND</t>
        </is>
      </c>
      <c r="F409" t="inlineStr">
        <is>
          <t>SCA</t>
        </is>
      </c>
      <c r="G409" t="n">
        <v>7.5</v>
      </c>
      <c r="H409" t="n">
        <v>0</v>
      </c>
      <c r="I409" t="n">
        <v>0</v>
      </c>
      <c r="J409" t="n">
        <v>1</v>
      </c>
      <c r="K409" t="n">
        <v>0</v>
      </c>
      <c r="L409" t="n">
        <v>0</v>
      </c>
      <c r="M409" t="n">
        <v>0</v>
      </c>
      <c r="N409" t="n">
        <v>0</v>
      </c>
      <c r="O409" t="n">
        <v>1</v>
      </c>
      <c r="P409" t="n">
        <v>0</v>
      </c>
      <c r="Q409" t="n">
        <v>1</v>
      </c>
      <c r="R409" s="2" t="inlineStr">
        <is>
          <t>Vedtrappmossa</t>
        </is>
      </c>
      <c r="S409">
        <f>HYPERLINK("https://klasma.github.io/Logging_2313/artfynd/A 18767-2023 artfynd.xlsx", "A 18767-2023")</f>
        <v/>
      </c>
      <c r="T409">
        <f>HYPERLINK("https://klasma.github.io/Logging_2313/kartor/A 18767-2023 karta.png", "A 18767-2023")</f>
        <v/>
      </c>
      <c r="V409">
        <f>HYPERLINK("https://klasma.github.io/Logging_2313/klagomål/A 18767-2023 FSC-klagomål.docx", "A 18767-2023")</f>
        <v/>
      </c>
      <c r="W409">
        <f>HYPERLINK("https://klasma.github.io/Logging_2313/klagomålsmail/A 18767-2023 FSC-klagomål mail.docx", "A 18767-2023")</f>
        <v/>
      </c>
      <c r="X409">
        <f>HYPERLINK("https://klasma.github.io/Logging_2313/tillsyn/A 18767-2023 tillsynsbegäran.docx", "A 18767-2023")</f>
        <v/>
      </c>
      <c r="Y409">
        <f>HYPERLINK("https://klasma.github.io/Logging_2313/tillsynsmail/A 18767-2023 tillsynsbegäran mail.docx", "A 18767-2023")</f>
        <v/>
      </c>
    </row>
    <row r="410" ht="15" customHeight="1">
      <c r="A410" t="inlineStr">
        <is>
          <t>A 18853-2023</t>
        </is>
      </c>
      <c r="B410" s="1" t="n">
        <v>45043</v>
      </c>
      <c r="C410" s="1" t="n">
        <v>45688</v>
      </c>
      <c r="D410" t="inlineStr">
        <is>
          <t>JÄMTLANDS LÄN</t>
        </is>
      </c>
      <c r="E410" t="inlineStr">
        <is>
          <t>STRÖMSUND</t>
        </is>
      </c>
      <c r="G410" t="n">
        <v>11.9</v>
      </c>
      <c r="H410" t="n">
        <v>0</v>
      </c>
      <c r="I410" t="n">
        <v>0</v>
      </c>
      <c r="J410" t="n">
        <v>1</v>
      </c>
      <c r="K410" t="n">
        <v>0</v>
      </c>
      <c r="L410" t="n">
        <v>0</v>
      </c>
      <c r="M410" t="n">
        <v>0</v>
      </c>
      <c r="N410" t="n">
        <v>0</v>
      </c>
      <c r="O410" t="n">
        <v>1</v>
      </c>
      <c r="P410" t="n">
        <v>0</v>
      </c>
      <c r="Q410" t="n">
        <v>1</v>
      </c>
      <c r="R410" s="2" t="inlineStr">
        <is>
          <t>Granticka</t>
        </is>
      </c>
      <c r="S410">
        <f>HYPERLINK("https://klasma.github.io/Logging_2313/artfynd/A 18853-2023 artfynd.xlsx", "A 18853-2023")</f>
        <v/>
      </c>
      <c r="T410">
        <f>HYPERLINK("https://klasma.github.io/Logging_2313/kartor/A 18853-2023 karta.png", "A 18853-2023")</f>
        <v/>
      </c>
      <c r="V410">
        <f>HYPERLINK("https://klasma.github.io/Logging_2313/klagomål/A 18853-2023 FSC-klagomål.docx", "A 18853-2023")</f>
        <v/>
      </c>
      <c r="W410">
        <f>HYPERLINK("https://klasma.github.io/Logging_2313/klagomålsmail/A 18853-2023 FSC-klagomål mail.docx", "A 18853-2023")</f>
        <v/>
      </c>
      <c r="X410">
        <f>HYPERLINK("https://klasma.github.io/Logging_2313/tillsyn/A 18853-2023 tillsynsbegäran.docx", "A 18853-2023")</f>
        <v/>
      </c>
      <c r="Y410">
        <f>HYPERLINK("https://klasma.github.io/Logging_2313/tillsynsmail/A 18853-2023 tillsynsbegäran mail.docx", "A 18853-2023")</f>
        <v/>
      </c>
    </row>
    <row r="411" ht="15" customHeight="1">
      <c r="A411" t="inlineStr">
        <is>
          <t>A 20632-2023</t>
        </is>
      </c>
      <c r="B411" s="1" t="n">
        <v>45057</v>
      </c>
      <c r="C411" s="1" t="n">
        <v>45688</v>
      </c>
      <c r="D411" t="inlineStr">
        <is>
          <t>JÄMTLANDS LÄN</t>
        </is>
      </c>
      <c r="E411" t="inlineStr">
        <is>
          <t>STRÖMSUND</t>
        </is>
      </c>
      <c r="F411" t="inlineStr">
        <is>
          <t>SCA</t>
        </is>
      </c>
      <c r="G411" t="n">
        <v>6.3</v>
      </c>
      <c r="H411" t="n">
        <v>0</v>
      </c>
      <c r="I411" t="n">
        <v>0</v>
      </c>
      <c r="J411" t="n">
        <v>1</v>
      </c>
      <c r="K411" t="n">
        <v>0</v>
      </c>
      <c r="L411" t="n">
        <v>0</v>
      </c>
      <c r="M411" t="n">
        <v>0</v>
      </c>
      <c r="N411" t="n">
        <v>0</v>
      </c>
      <c r="O411" t="n">
        <v>1</v>
      </c>
      <c r="P411" t="n">
        <v>0</v>
      </c>
      <c r="Q411" t="n">
        <v>1</v>
      </c>
      <c r="R411" s="2" t="inlineStr">
        <is>
          <t>Granticka</t>
        </is>
      </c>
      <c r="S411">
        <f>HYPERLINK("https://klasma.github.io/Logging_2313/artfynd/A 20632-2023 artfynd.xlsx", "A 20632-2023")</f>
        <v/>
      </c>
      <c r="T411">
        <f>HYPERLINK("https://klasma.github.io/Logging_2313/kartor/A 20632-2023 karta.png", "A 20632-2023")</f>
        <v/>
      </c>
      <c r="V411">
        <f>HYPERLINK("https://klasma.github.io/Logging_2313/klagomål/A 20632-2023 FSC-klagomål.docx", "A 20632-2023")</f>
        <v/>
      </c>
      <c r="W411">
        <f>HYPERLINK("https://klasma.github.io/Logging_2313/klagomålsmail/A 20632-2023 FSC-klagomål mail.docx", "A 20632-2023")</f>
        <v/>
      </c>
      <c r="X411">
        <f>HYPERLINK("https://klasma.github.io/Logging_2313/tillsyn/A 20632-2023 tillsynsbegäran.docx", "A 20632-2023")</f>
        <v/>
      </c>
      <c r="Y411">
        <f>HYPERLINK("https://klasma.github.io/Logging_2313/tillsynsmail/A 20632-2023 tillsynsbegäran mail.docx", "A 20632-2023")</f>
        <v/>
      </c>
    </row>
    <row r="412" ht="15" customHeight="1">
      <c r="A412" t="inlineStr">
        <is>
          <t>A 24832-2023</t>
        </is>
      </c>
      <c r="B412" s="1" t="n">
        <v>45084</v>
      </c>
      <c r="C412" s="1" t="n">
        <v>45688</v>
      </c>
      <c r="D412" t="inlineStr">
        <is>
          <t>JÄMTLANDS LÄN</t>
        </is>
      </c>
      <c r="E412" t="inlineStr">
        <is>
          <t>STRÖMSUND</t>
        </is>
      </c>
      <c r="G412" t="n">
        <v>9.6</v>
      </c>
      <c r="H412" t="n">
        <v>0</v>
      </c>
      <c r="I412" t="n">
        <v>0</v>
      </c>
      <c r="J412" t="n">
        <v>1</v>
      </c>
      <c r="K412" t="n">
        <v>0</v>
      </c>
      <c r="L412" t="n">
        <v>0</v>
      </c>
      <c r="M412" t="n">
        <v>0</v>
      </c>
      <c r="N412" t="n">
        <v>0</v>
      </c>
      <c r="O412" t="n">
        <v>1</v>
      </c>
      <c r="P412" t="n">
        <v>0</v>
      </c>
      <c r="Q412" t="n">
        <v>1</v>
      </c>
      <c r="R412" s="2" t="inlineStr">
        <is>
          <t>Granticka</t>
        </is>
      </c>
      <c r="S412">
        <f>HYPERLINK("https://klasma.github.io/Logging_2313/artfynd/A 24832-2023 artfynd.xlsx", "A 24832-2023")</f>
        <v/>
      </c>
      <c r="T412">
        <f>HYPERLINK("https://klasma.github.io/Logging_2313/kartor/A 24832-2023 karta.png", "A 24832-2023")</f>
        <v/>
      </c>
      <c r="V412">
        <f>HYPERLINK("https://klasma.github.io/Logging_2313/klagomål/A 24832-2023 FSC-klagomål.docx", "A 24832-2023")</f>
        <v/>
      </c>
      <c r="W412">
        <f>HYPERLINK("https://klasma.github.io/Logging_2313/klagomålsmail/A 24832-2023 FSC-klagomål mail.docx", "A 24832-2023")</f>
        <v/>
      </c>
      <c r="X412">
        <f>HYPERLINK("https://klasma.github.io/Logging_2313/tillsyn/A 24832-2023 tillsynsbegäran.docx", "A 24832-2023")</f>
        <v/>
      </c>
      <c r="Y412">
        <f>HYPERLINK("https://klasma.github.io/Logging_2313/tillsynsmail/A 24832-2023 tillsynsbegäran mail.docx", "A 24832-2023")</f>
        <v/>
      </c>
    </row>
    <row r="413" ht="15" customHeight="1">
      <c r="A413" t="inlineStr">
        <is>
          <t>A 25672-2023</t>
        </is>
      </c>
      <c r="B413" s="1" t="n">
        <v>45089</v>
      </c>
      <c r="C413" s="1" t="n">
        <v>45688</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Kolflarnlav</t>
        </is>
      </c>
      <c r="S413">
        <f>HYPERLINK("https://klasma.github.io/Logging_2313/artfynd/A 25672-2023 artfynd.xlsx", "A 25672-2023")</f>
        <v/>
      </c>
      <c r="T413">
        <f>HYPERLINK("https://klasma.github.io/Logging_2313/kartor/A 25672-2023 karta.png", "A 25672-2023")</f>
        <v/>
      </c>
      <c r="V413">
        <f>HYPERLINK("https://klasma.github.io/Logging_2313/klagomål/A 25672-2023 FSC-klagomål.docx", "A 25672-2023")</f>
        <v/>
      </c>
      <c r="W413">
        <f>HYPERLINK("https://klasma.github.io/Logging_2313/klagomålsmail/A 25672-2023 FSC-klagomål mail.docx", "A 25672-2023")</f>
        <v/>
      </c>
      <c r="X413">
        <f>HYPERLINK("https://klasma.github.io/Logging_2313/tillsyn/A 25672-2023 tillsynsbegäran.docx", "A 25672-2023")</f>
        <v/>
      </c>
      <c r="Y413">
        <f>HYPERLINK("https://klasma.github.io/Logging_2313/tillsynsmail/A 25672-2023 tillsynsbegäran mail.docx", "A 25672-2023")</f>
        <v/>
      </c>
    </row>
    <row r="414" ht="15" customHeight="1">
      <c r="A414" t="inlineStr">
        <is>
          <t>A 26372-2023</t>
        </is>
      </c>
      <c r="B414" s="1" t="n">
        <v>45091</v>
      </c>
      <c r="C414" s="1" t="n">
        <v>45688</v>
      </c>
      <c r="D414" t="inlineStr">
        <is>
          <t>JÄMTLANDS LÄN</t>
        </is>
      </c>
      <c r="E414" t="inlineStr">
        <is>
          <t>STRÖMSUND</t>
        </is>
      </c>
      <c r="F414" t="inlineStr">
        <is>
          <t>SCA</t>
        </is>
      </c>
      <c r="G414" t="n">
        <v>3.1</v>
      </c>
      <c r="H414" t="n">
        <v>0</v>
      </c>
      <c r="I414" t="n">
        <v>0</v>
      </c>
      <c r="J414" t="n">
        <v>1</v>
      </c>
      <c r="K414" t="n">
        <v>0</v>
      </c>
      <c r="L414" t="n">
        <v>0</v>
      </c>
      <c r="M414" t="n">
        <v>0</v>
      </c>
      <c r="N414" t="n">
        <v>0</v>
      </c>
      <c r="O414" t="n">
        <v>1</v>
      </c>
      <c r="P414" t="n">
        <v>0</v>
      </c>
      <c r="Q414" t="n">
        <v>1</v>
      </c>
      <c r="R414" s="2" t="inlineStr">
        <is>
          <t>Harticka</t>
        </is>
      </c>
      <c r="S414">
        <f>HYPERLINK("https://klasma.github.io/Logging_2313/artfynd/A 26372-2023 artfynd.xlsx", "A 26372-2023")</f>
        <v/>
      </c>
      <c r="T414">
        <f>HYPERLINK("https://klasma.github.io/Logging_2313/kartor/A 26372-2023 karta.png", "A 26372-2023")</f>
        <v/>
      </c>
      <c r="V414">
        <f>HYPERLINK("https://klasma.github.io/Logging_2313/klagomål/A 26372-2023 FSC-klagomål.docx", "A 26372-2023")</f>
        <v/>
      </c>
      <c r="W414">
        <f>HYPERLINK("https://klasma.github.io/Logging_2313/klagomålsmail/A 26372-2023 FSC-klagomål mail.docx", "A 26372-2023")</f>
        <v/>
      </c>
      <c r="X414">
        <f>HYPERLINK("https://klasma.github.io/Logging_2313/tillsyn/A 26372-2023 tillsynsbegäran.docx", "A 26372-2023")</f>
        <v/>
      </c>
      <c r="Y414">
        <f>HYPERLINK("https://klasma.github.io/Logging_2313/tillsynsmail/A 26372-2023 tillsynsbegäran mail.docx", "A 26372-2023")</f>
        <v/>
      </c>
    </row>
    <row r="415" ht="15" customHeight="1">
      <c r="A415" t="inlineStr">
        <is>
          <t>A 29604-2023</t>
        </is>
      </c>
      <c r="B415" s="1" t="n">
        <v>45106</v>
      </c>
      <c r="C415" s="1" t="n">
        <v>45688</v>
      </c>
      <c r="D415" t="inlineStr">
        <is>
          <t>JÄMTLANDS LÄN</t>
        </is>
      </c>
      <c r="E415" t="inlineStr">
        <is>
          <t>STRÖMSUND</t>
        </is>
      </c>
      <c r="F415" t="inlineStr">
        <is>
          <t>SCA</t>
        </is>
      </c>
      <c r="G415" t="n">
        <v>1.9</v>
      </c>
      <c r="H415" t="n">
        <v>0</v>
      </c>
      <c r="I415" t="n">
        <v>0</v>
      </c>
      <c r="J415" t="n">
        <v>1</v>
      </c>
      <c r="K415" t="n">
        <v>0</v>
      </c>
      <c r="L415" t="n">
        <v>0</v>
      </c>
      <c r="M415" t="n">
        <v>0</v>
      </c>
      <c r="N415" t="n">
        <v>0</v>
      </c>
      <c r="O415" t="n">
        <v>1</v>
      </c>
      <c r="P415" t="n">
        <v>0</v>
      </c>
      <c r="Q415" t="n">
        <v>1</v>
      </c>
      <c r="R415" s="2" t="inlineStr">
        <is>
          <t>Rosenticka</t>
        </is>
      </c>
      <c r="S415">
        <f>HYPERLINK("https://klasma.github.io/Logging_2313/artfynd/A 29604-2023 artfynd.xlsx", "A 29604-2023")</f>
        <v/>
      </c>
      <c r="T415">
        <f>HYPERLINK("https://klasma.github.io/Logging_2313/kartor/A 29604-2023 karta.png", "A 29604-2023")</f>
        <v/>
      </c>
      <c r="V415">
        <f>HYPERLINK("https://klasma.github.io/Logging_2313/klagomål/A 29604-2023 FSC-klagomål.docx", "A 29604-2023")</f>
        <v/>
      </c>
      <c r="W415">
        <f>HYPERLINK("https://klasma.github.io/Logging_2313/klagomålsmail/A 29604-2023 FSC-klagomål mail.docx", "A 29604-2023")</f>
        <v/>
      </c>
      <c r="X415">
        <f>HYPERLINK("https://klasma.github.io/Logging_2313/tillsyn/A 29604-2023 tillsynsbegäran.docx", "A 29604-2023")</f>
        <v/>
      </c>
      <c r="Y415">
        <f>HYPERLINK("https://klasma.github.io/Logging_2313/tillsynsmail/A 29604-2023 tillsynsbegäran mail.docx", "A 29604-2023")</f>
        <v/>
      </c>
    </row>
    <row r="416" ht="15" customHeight="1">
      <c r="A416" t="inlineStr">
        <is>
          <t>A 32551-2023</t>
        </is>
      </c>
      <c r="B416" s="1" t="n">
        <v>45111</v>
      </c>
      <c r="C416" s="1" t="n">
        <v>45688</v>
      </c>
      <c r="D416" t="inlineStr">
        <is>
          <t>JÄMTLANDS LÄN</t>
        </is>
      </c>
      <c r="E416" t="inlineStr">
        <is>
          <t>STRÖMSUND</t>
        </is>
      </c>
      <c r="F416" t="inlineStr">
        <is>
          <t>Kommuner</t>
        </is>
      </c>
      <c r="G416" t="n">
        <v>5.3</v>
      </c>
      <c r="H416" t="n">
        <v>0</v>
      </c>
      <c r="I416" t="n">
        <v>1</v>
      </c>
      <c r="J416" t="n">
        <v>0</v>
      </c>
      <c r="K416" t="n">
        <v>0</v>
      </c>
      <c r="L416" t="n">
        <v>0</v>
      </c>
      <c r="M416" t="n">
        <v>0</v>
      </c>
      <c r="N416" t="n">
        <v>0</v>
      </c>
      <c r="O416" t="n">
        <v>0</v>
      </c>
      <c r="P416" t="n">
        <v>0</v>
      </c>
      <c r="Q416" t="n">
        <v>1</v>
      </c>
      <c r="R416" s="2" t="inlineStr">
        <is>
          <t>Skinnlav</t>
        </is>
      </c>
      <c r="S416">
        <f>HYPERLINK("https://klasma.github.io/Logging_2313/artfynd/A 32551-2023 artfynd.xlsx", "A 32551-2023")</f>
        <v/>
      </c>
      <c r="T416">
        <f>HYPERLINK("https://klasma.github.io/Logging_2313/kartor/A 32551-2023 karta.png", "A 32551-2023")</f>
        <v/>
      </c>
      <c r="V416">
        <f>HYPERLINK("https://klasma.github.io/Logging_2313/klagomål/A 32551-2023 FSC-klagomål.docx", "A 32551-2023")</f>
        <v/>
      </c>
      <c r="W416">
        <f>HYPERLINK("https://klasma.github.io/Logging_2313/klagomålsmail/A 32551-2023 FSC-klagomål mail.docx", "A 32551-2023")</f>
        <v/>
      </c>
      <c r="X416">
        <f>HYPERLINK("https://klasma.github.io/Logging_2313/tillsyn/A 32551-2023 tillsynsbegäran.docx", "A 32551-2023")</f>
        <v/>
      </c>
      <c r="Y416">
        <f>HYPERLINK("https://klasma.github.io/Logging_2313/tillsynsmail/A 32551-2023 tillsynsbegäran mail.docx", "A 32551-2023")</f>
        <v/>
      </c>
    </row>
    <row r="417" ht="15" customHeight="1">
      <c r="A417" t="inlineStr">
        <is>
          <t>A 30821-2023</t>
        </is>
      </c>
      <c r="B417" s="1" t="n">
        <v>45112</v>
      </c>
      <c r="C417" s="1" t="n">
        <v>45688</v>
      </c>
      <c r="D417" t="inlineStr">
        <is>
          <t>JÄMTLANDS LÄN</t>
        </is>
      </c>
      <c r="E417" t="inlineStr">
        <is>
          <t>STRÖMSUND</t>
        </is>
      </c>
      <c r="F417" t="inlineStr">
        <is>
          <t>SCA</t>
        </is>
      </c>
      <c r="G417" t="n">
        <v>5</v>
      </c>
      <c r="H417" t="n">
        <v>0</v>
      </c>
      <c r="I417" t="n">
        <v>0</v>
      </c>
      <c r="J417" t="n">
        <v>1</v>
      </c>
      <c r="K417" t="n">
        <v>0</v>
      </c>
      <c r="L417" t="n">
        <v>0</v>
      </c>
      <c r="M417" t="n">
        <v>0</v>
      </c>
      <c r="N417" t="n">
        <v>0</v>
      </c>
      <c r="O417" t="n">
        <v>1</v>
      </c>
      <c r="P417" t="n">
        <v>0</v>
      </c>
      <c r="Q417" t="n">
        <v>1</v>
      </c>
      <c r="R417" s="2" t="inlineStr">
        <is>
          <t>Garnlav</t>
        </is>
      </c>
      <c r="S417">
        <f>HYPERLINK("https://klasma.github.io/Logging_2313/artfynd/A 30821-2023 artfynd.xlsx", "A 30821-2023")</f>
        <v/>
      </c>
      <c r="T417">
        <f>HYPERLINK("https://klasma.github.io/Logging_2313/kartor/A 30821-2023 karta.png", "A 30821-2023")</f>
        <v/>
      </c>
      <c r="V417">
        <f>HYPERLINK("https://klasma.github.io/Logging_2313/klagomål/A 30821-2023 FSC-klagomål.docx", "A 30821-2023")</f>
        <v/>
      </c>
      <c r="W417">
        <f>HYPERLINK("https://klasma.github.io/Logging_2313/klagomålsmail/A 30821-2023 FSC-klagomål mail.docx", "A 30821-2023")</f>
        <v/>
      </c>
      <c r="X417">
        <f>HYPERLINK("https://klasma.github.io/Logging_2313/tillsyn/A 30821-2023 tillsynsbegäran.docx", "A 30821-2023")</f>
        <v/>
      </c>
      <c r="Y417">
        <f>HYPERLINK("https://klasma.github.io/Logging_2313/tillsynsmail/A 30821-2023 tillsynsbegäran mail.docx", "A 30821-2023")</f>
        <v/>
      </c>
    </row>
    <row r="418" ht="15" customHeight="1">
      <c r="A418" t="inlineStr">
        <is>
          <t>A 30848-2023</t>
        </is>
      </c>
      <c r="B418" s="1" t="n">
        <v>45112</v>
      </c>
      <c r="C418" s="1" t="n">
        <v>45688</v>
      </c>
      <c r="D418" t="inlineStr">
        <is>
          <t>JÄMTLANDS LÄN</t>
        </is>
      </c>
      <c r="E418" t="inlineStr">
        <is>
          <t>STRÖMSUND</t>
        </is>
      </c>
      <c r="F418" t="inlineStr">
        <is>
          <t>SCA</t>
        </is>
      </c>
      <c r="G418" t="n">
        <v>12.3</v>
      </c>
      <c r="H418" t="n">
        <v>0</v>
      </c>
      <c r="I418" t="n">
        <v>0</v>
      </c>
      <c r="J418" t="n">
        <v>1</v>
      </c>
      <c r="K418" t="n">
        <v>0</v>
      </c>
      <c r="L418" t="n">
        <v>0</v>
      </c>
      <c r="M418" t="n">
        <v>0</v>
      </c>
      <c r="N418" t="n">
        <v>0</v>
      </c>
      <c r="O418" t="n">
        <v>1</v>
      </c>
      <c r="P418" t="n">
        <v>0</v>
      </c>
      <c r="Q418" t="n">
        <v>1</v>
      </c>
      <c r="R418" s="2" t="inlineStr">
        <is>
          <t>Skrovellav</t>
        </is>
      </c>
      <c r="S418">
        <f>HYPERLINK("https://klasma.github.io/Logging_2313/artfynd/A 30848-2023 artfynd.xlsx", "A 30848-2023")</f>
        <v/>
      </c>
      <c r="T418">
        <f>HYPERLINK("https://klasma.github.io/Logging_2313/kartor/A 30848-2023 karta.png", "A 30848-2023")</f>
        <v/>
      </c>
      <c r="V418">
        <f>HYPERLINK("https://klasma.github.io/Logging_2313/klagomål/A 30848-2023 FSC-klagomål.docx", "A 30848-2023")</f>
        <v/>
      </c>
      <c r="W418">
        <f>HYPERLINK("https://klasma.github.io/Logging_2313/klagomålsmail/A 30848-2023 FSC-klagomål mail.docx", "A 30848-2023")</f>
        <v/>
      </c>
      <c r="X418">
        <f>HYPERLINK("https://klasma.github.io/Logging_2313/tillsyn/A 30848-2023 tillsynsbegäran.docx", "A 30848-2023")</f>
        <v/>
      </c>
      <c r="Y418">
        <f>HYPERLINK("https://klasma.github.io/Logging_2313/tillsynsmail/A 30848-2023 tillsynsbegäran mail.docx", "A 30848-2023")</f>
        <v/>
      </c>
    </row>
    <row r="419" ht="15" customHeight="1">
      <c r="A419" t="inlineStr">
        <is>
          <t>A 34006-2023</t>
        </is>
      </c>
      <c r="B419" s="1" t="n">
        <v>45134</v>
      </c>
      <c r="C419" s="1" t="n">
        <v>45688</v>
      </c>
      <c r="D419" t="inlineStr">
        <is>
          <t>JÄMTLANDS LÄN</t>
        </is>
      </c>
      <c r="E419" t="inlineStr">
        <is>
          <t>STRÖMSUND</t>
        </is>
      </c>
      <c r="F419" t="inlineStr">
        <is>
          <t>SCA</t>
        </is>
      </c>
      <c r="G419" t="n">
        <v>4</v>
      </c>
      <c r="H419" t="n">
        <v>1</v>
      </c>
      <c r="I419" t="n">
        <v>0</v>
      </c>
      <c r="J419" t="n">
        <v>1</v>
      </c>
      <c r="K419" t="n">
        <v>0</v>
      </c>
      <c r="L419" t="n">
        <v>0</v>
      </c>
      <c r="M419" t="n">
        <v>0</v>
      </c>
      <c r="N419" t="n">
        <v>0</v>
      </c>
      <c r="O419" t="n">
        <v>1</v>
      </c>
      <c r="P419" t="n">
        <v>0</v>
      </c>
      <c r="Q419" t="n">
        <v>1</v>
      </c>
      <c r="R419" s="2" t="inlineStr">
        <is>
          <t>Talltita</t>
        </is>
      </c>
      <c r="S419">
        <f>HYPERLINK("https://klasma.github.io/Logging_2313/artfynd/A 34006-2023 artfynd.xlsx", "A 34006-2023")</f>
        <v/>
      </c>
      <c r="T419">
        <f>HYPERLINK("https://klasma.github.io/Logging_2313/kartor/A 34006-2023 karta.png", "A 34006-2023")</f>
        <v/>
      </c>
      <c r="V419">
        <f>HYPERLINK("https://klasma.github.io/Logging_2313/klagomål/A 34006-2023 FSC-klagomål.docx", "A 34006-2023")</f>
        <v/>
      </c>
      <c r="W419">
        <f>HYPERLINK("https://klasma.github.io/Logging_2313/klagomålsmail/A 34006-2023 FSC-klagomål mail.docx", "A 34006-2023")</f>
        <v/>
      </c>
      <c r="X419">
        <f>HYPERLINK("https://klasma.github.io/Logging_2313/tillsyn/A 34006-2023 tillsynsbegäran.docx", "A 34006-2023")</f>
        <v/>
      </c>
      <c r="Y419">
        <f>HYPERLINK("https://klasma.github.io/Logging_2313/tillsynsmail/A 34006-2023 tillsynsbegäran mail.docx", "A 34006-2023")</f>
        <v/>
      </c>
      <c r="Z419">
        <f>HYPERLINK("https://klasma.github.io/Logging_2313/fåglar/A 34006-2023 prioriterade fågelarter.docx", "A 34006-2023")</f>
        <v/>
      </c>
    </row>
    <row r="420" ht="15" customHeight="1">
      <c r="A420" t="inlineStr">
        <is>
          <t>A 36754-2023</t>
        </is>
      </c>
      <c r="B420" s="1" t="n">
        <v>45153</v>
      </c>
      <c r="C420" s="1" t="n">
        <v>45688</v>
      </c>
      <c r="D420" t="inlineStr">
        <is>
          <t>JÄMTLANDS LÄN</t>
        </is>
      </c>
      <c r="E420" t="inlineStr">
        <is>
          <t>STRÖMSUND</t>
        </is>
      </c>
      <c r="F420" t="inlineStr">
        <is>
          <t>SCA</t>
        </is>
      </c>
      <c r="G420" t="n">
        <v>2.7</v>
      </c>
      <c r="H420" t="n">
        <v>1</v>
      </c>
      <c r="I420" t="n">
        <v>1</v>
      </c>
      <c r="J420" t="n">
        <v>0</v>
      </c>
      <c r="K420" t="n">
        <v>0</v>
      </c>
      <c r="L420" t="n">
        <v>0</v>
      </c>
      <c r="M420" t="n">
        <v>0</v>
      </c>
      <c r="N420" t="n">
        <v>0</v>
      </c>
      <c r="O420" t="n">
        <v>0</v>
      </c>
      <c r="P420" t="n">
        <v>0</v>
      </c>
      <c r="Q420" t="n">
        <v>1</v>
      </c>
      <c r="R420" s="2" t="inlineStr">
        <is>
          <t>Lappranunkel</t>
        </is>
      </c>
      <c r="S420">
        <f>HYPERLINK("https://klasma.github.io/Logging_2313/artfynd/A 36754-2023 artfynd.xlsx", "A 36754-2023")</f>
        <v/>
      </c>
      <c r="T420">
        <f>HYPERLINK("https://klasma.github.io/Logging_2313/kartor/A 36754-2023 karta.png", "A 36754-2023")</f>
        <v/>
      </c>
      <c r="V420">
        <f>HYPERLINK("https://klasma.github.io/Logging_2313/klagomål/A 36754-2023 FSC-klagomål.docx", "A 36754-2023")</f>
        <v/>
      </c>
      <c r="W420">
        <f>HYPERLINK("https://klasma.github.io/Logging_2313/klagomålsmail/A 36754-2023 FSC-klagomål mail.docx", "A 36754-2023")</f>
        <v/>
      </c>
      <c r="X420">
        <f>HYPERLINK("https://klasma.github.io/Logging_2313/tillsyn/A 36754-2023 tillsynsbegäran.docx", "A 36754-2023")</f>
        <v/>
      </c>
      <c r="Y420">
        <f>HYPERLINK("https://klasma.github.io/Logging_2313/tillsynsmail/A 36754-2023 tillsynsbegäran mail.docx", "A 36754-2023")</f>
        <v/>
      </c>
    </row>
    <row r="421" ht="15" customHeight="1">
      <c r="A421" t="inlineStr">
        <is>
          <t>A 39075-2023</t>
        </is>
      </c>
      <c r="B421" s="1" t="n">
        <v>45163</v>
      </c>
      <c r="C421" s="1" t="n">
        <v>45688</v>
      </c>
      <c r="D421" t="inlineStr">
        <is>
          <t>JÄMTLANDS LÄN</t>
        </is>
      </c>
      <c r="E421" t="inlineStr">
        <is>
          <t>STRÖMSUND</t>
        </is>
      </c>
      <c r="F421" t="inlineStr">
        <is>
          <t>SCA</t>
        </is>
      </c>
      <c r="G421" t="n">
        <v>2.1</v>
      </c>
      <c r="H421" t="n">
        <v>0</v>
      </c>
      <c r="I421" t="n">
        <v>0</v>
      </c>
      <c r="J421" t="n">
        <v>1</v>
      </c>
      <c r="K421" t="n">
        <v>0</v>
      </c>
      <c r="L421" t="n">
        <v>0</v>
      </c>
      <c r="M421" t="n">
        <v>0</v>
      </c>
      <c r="N421" t="n">
        <v>0</v>
      </c>
      <c r="O421" t="n">
        <v>1</v>
      </c>
      <c r="P421" t="n">
        <v>0</v>
      </c>
      <c r="Q421" t="n">
        <v>1</v>
      </c>
      <c r="R421" s="2" t="inlineStr">
        <is>
          <t>Brunpudrad nållav</t>
        </is>
      </c>
      <c r="S421">
        <f>HYPERLINK("https://klasma.github.io/Logging_2313/artfynd/A 39075-2023 artfynd.xlsx", "A 39075-2023")</f>
        <v/>
      </c>
      <c r="T421">
        <f>HYPERLINK("https://klasma.github.io/Logging_2313/kartor/A 39075-2023 karta.png", "A 39075-2023")</f>
        <v/>
      </c>
      <c r="V421">
        <f>HYPERLINK("https://klasma.github.io/Logging_2313/klagomål/A 39075-2023 FSC-klagomål.docx", "A 39075-2023")</f>
        <v/>
      </c>
      <c r="W421">
        <f>HYPERLINK("https://klasma.github.io/Logging_2313/klagomålsmail/A 39075-2023 FSC-klagomål mail.docx", "A 39075-2023")</f>
        <v/>
      </c>
      <c r="X421">
        <f>HYPERLINK("https://klasma.github.io/Logging_2313/tillsyn/A 39075-2023 tillsynsbegäran.docx", "A 39075-2023")</f>
        <v/>
      </c>
      <c r="Y421">
        <f>HYPERLINK("https://klasma.github.io/Logging_2313/tillsynsmail/A 39075-2023 tillsynsbegäran mail.docx", "A 39075-2023")</f>
        <v/>
      </c>
    </row>
    <row r="422" ht="15" customHeight="1">
      <c r="A422" t="inlineStr">
        <is>
          <t>A 39511-2023</t>
        </is>
      </c>
      <c r="B422" s="1" t="n">
        <v>45166</v>
      </c>
      <c r="C422" s="1" t="n">
        <v>45688</v>
      </c>
      <c r="D422" t="inlineStr">
        <is>
          <t>JÄMTLANDS LÄN</t>
        </is>
      </c>
      <c r="E422" t="inlineStr">
        <is>
          <t>STRÖMSUND</t>
        </is>
      </c>
      <c r="F422" t="inlineStr">
        <is>
          <t>SCA</t>
        </is>
      </c>
      <c r="G422" t="n">
        <v>3.7</v>
      </c>
      <c r="H422" t="n">
        <v>0</v>
      </c>
      <c r="I422" t="n">
        <v>0</v>
      </c>
      <c r="J422" t="n">
        <v>1</v>
      </c>
      <c r="K422" t="n">
        <v>0</v>
      </c>
      <c r="L422" t="n">
        <v>0</v>
      </c>
      <c r="M422" t="n">
        <v>0</v>
      </c>
      <c r="N422" t="n">
        <v>0</v>
      </c>
      <c r="O422" t="n">
        <v>1</v>
      </c>
      <c r="P422" t="n">
        <v>0</v>
      </c>
      <c r="Q422" t="n">
        <v>1</v>
      </c>
      <c r="R422" s="2" t="inlineStr">
        <is>
          <t>Rosenticka</t>
        </is>
      </c>
      <c r="S422">
        <f>HYPERLINK("https://klasma.github.io/Logging_2313/artfynd/A 39511-2023 artfynd.xlsx", "A 39511-2023")</f>
        <v/>
      </c>
      <c r="T422">
        <f>HYPERLINK("https://klasma.github.io/Logging_2313/kartor/A 39511-2023 karta.png", "A 39511-2023")</f>
        <v/>
      </c>
      <c r="V422">
        <f>HYPERLINK("https://klasma.github.io/Logging_2313/klagomål/A 39511-2023 FSC-klagomål.docx", "A 39511-2023")</f>
        <v/>
      </c>
      <c r="W422">
        <f>HYPERLINK("https://klasma.github.io/Logging_2313/klagomålsmail/A 39511-2023 FSC-klagomål mail.docx", "A 39511-2023")</f>
        <v/>
      </c>
      <c r="X422">
        <f>HYPERLINK("https://klasma.github.io/Logging_2313/tillsyn/A 39511-2023 tillsynsbegäran.docx", "A 39511-2023")</f>
        <v/>
      </c>
      <c r="Y422">
        <f>HYPERLINK("https://klasma.github.io/Logging_2313/tillsynsmail/A 39511-2023 tillsynsbegäran mail.docx", "A 39511-2023")</f>
        <v/>
      </c>
    </row>
    <row r="423" ht="15" customHeight="1">
      <c r="A423" t="inlineStr">
        <is>
          <t>A 43105-2023</t>
        </is>
      </c>
      <c r="B423" s="1" t="n">
        <v>45182</v>
      </c>
      <c r="C423" s="1" t="n">
        <v>45688</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Gammelgransskål</t>
        </is>
      </c>
      <c r="S423">
        <f>HYPERLINK("https://klasma.github.io/Logging_2313/artfynd/A 43105-2023 artfynd.xlsx", "A 43105-2023")</f>
        <v/>
      </c>
      <c r="T423">
        <f>HYPERLINK("https://klasma.github.io/Logging_2313/kartor/A 43105-2023 karta.png", "A 43105-2023")</f>
        <v/>
      </c>
      <c r="V423">
        <f>HYPERLINK("https://klasma.github.io/Logging_2313/klagomål/A 43105-2023 FSC-klagomål.docx", "A 43105-2023")</f>
        <v/>
      </c>
      <c r="W423">
        <f>HYPERLINK("https://klasma.github.io/Logging_2313/klagomålsmail/A 43105-2023 FSC-klagomål mail.docx", "A 43105-2023")</f>
        <v/>
      </c>
      <c r="X423">
        <f>HYPERLINK("https://klasma.github.io/Logging_2313/tillsyn/A 43105-2023 tillsynsbegäran.docx", "A 43105-2023")</f>
        <v/>
      </c>
      <c r="Y423">
        <f>HYPERLINK("https://klasma.github.io/Logging_2313/tillsynsmail/A 43105-2023 tillsynsbegäran mail.docx", "A 43105-2023")</f>
        <v/>
      </c>
    </row>
    <row r="424" ht="15" customHeight="1">
      <c r="A424" t="inlineStr">
        <is>
          <t>A 43406-2023</t>
        </is>
      </c>
      <c r="B424" s="1" t="n">
        <v>45183</v>
      </c>
      <c r="C424" s="1" t="n">
        <v>45688</v>
      </c>
      <c r="D424" t="inlineStr">
        <is>
          <t>JÄMTLANDS LÄN</t>
        </is>
      </c>
      <c r="E424" t="inlineStr">
        <is>
          <t>STRÖMSUND</t>
        </is>
      </c>
      <c r="F424" t="inlineStr">
        <is>
          <t>SCA</t>
        </is>
      </c>
      <c r="G424" t="n">
        <v>3.6</v>
      </c>
      <c r="H424" t="n">
        <v>0</v>
      </c>
      <c r="I424" t="n">
        <v>0</v>
      </c>
      <c r="J424" t="n">
        <v>1</v>
      </c>
      <c r="K424" t="n">
        <v>0</v>
      </c>
      <c r="L424" t="n">
        <v>0</v>
      </c>
      <c r="M424" t="n">
        <v>0</v>
      </c>
      <c r="N424" t="n">
        <v>0</v>
      </c>
      <c r="O424" t="n">
        <v>1</v>
      </c>
      <c r="P424" t="n">
        <v>0</v>
      </c>
      <c r="Q424" t="n">
        <v>1</v>
      </c>
      <c r="R424" s="2" t="inlineStr">
        <is>
          <t>Lunglav</t>
        </is>
      </c>
      <c r="S424">
        <f>HYPERLINK("https://klasma.github.io/Logging_2313/artfynd/A 43406-2023 artfynd.xlsx", "A 43406-2023")</f>
        <v/>
      </c>
      <c r="T424">
        <f>HYPERLINK("https://klasma.github.io/Logging_2313/kartor/A 43406-2023 karta.png", "A 43406-2023")</f>
        <v/>
      </c>
      <c r="V424">
        <f>HYPERLINK("https://klasma.github.io/Logging_2313/klagomål/A 43406-2023 FSC-klagomål.docx", "A 43406-2023")</f>
        <v/>
      </c>
      <c r="W424">
        <f>HYPERLINK("https://klasma.github.io/Logging_2313/klagomålsmail/A 43406-2023 FSC-klagomål mail.docx", "A 43406-2023")</f>
        <v/>
      </c>
      <c r="X424">
        <f>HYPERLINK("https://klasma.github.io/Logging_2313/tillsyn/A 43406-2023 tillsynsbegäran.docx", "A 43406-2023")</f>
        <v/>
      </c>
      <c r="Y424">
        <f>HYPERLINK("https://klasma.github.io/Logging_2313/tillsynsmail/A 43406-2023 tillsynsbegäran mail.docx", "A 43406-2023")</f>
        <v/>
      </c>
    </row>
    <row r="425" ht="15" customHeight="1">
      <c r="A425" t="inlineStr">
        <is>
          <t>A 44386-2023</t>
        </is>
      </c>
      <c r="B425" s="1" t="n">
        <v>45188</v>
      </c>
      <c r="C425" s="1" t="n">
        <v>45688</v>
      </c>
      <c r="D425" t="inlineStr">
        <is>
          <t>JÄMTLANDS LÄN</t>
        </is>
      </c>
      <c r="E425" t="inlineStr">
        <is>
          <t>STRÖMSUND</t>
        </is>
      </c>
      <c r="F425" t="inlineStr">
        <is>
          <t>SCA</t>
        </is>
      </c>
      <c r="G425" t="n">
        <v>2.5</v>
      </c>
      <c r="H425" t="n">
        <v>0</v>
      </c>
      <c r="I425" t="n">
        <v>0</v>
      </c>
      <c r="J425" t="n">
        <v>1</v>
      </c>
      <c r="K425" t="n">
        <v>0</v>
      </c>
      <c r="L425" t="n">
        <v>0</v>
      </c>
      <c r="M425" t="n">
        <v>0</v>
      </c>
      <c r="N425" t="n">
        <v>0</v>
      </c>
      <c r="O425" t="n">
        <v>1</v>
      </c>
      <c r="P425" t="n">
        <v>0</v>
      </c>
      <c r="Q425" t="n">
        <v>1</v>
      </c>
      <c r="R425" s="2" t="inlineStr">
        <is>
          <t>Stjärntagging</t>
        </is>
      </c>
      <c r="S425">
        <f>HYPERLINK("https://klasma.github.io/Logging_2313/artfynd/A 44386-2023 artfynd.xlsx", "A 44386-2023")</f>
        <v/>
      </c>
      <c r="T425">
        <f>HYPERLINK("https://klasma.github.io/Logging_2313/kartor/A 44386-2023 karta.png", "A 44386-2023")</f>
        <v/>
      </c>
      <c r="V425">
        <f>HYPERLINK("https://klasma.github.io/Logging_2313/klagomål/A 44386-2023 FSC-klagomål.docx", "A 44386-2023")</f>
        <v/>
      </c>
      <c r="W425">
        <f>HYPERLINK("https://klasma.github.io/Logging_2313/klagomålsmail/A 44386-2023 FSC-klagomål mail.docx", "A 44386-2023")</f>
        <v/>
      </c>
      <c r="X425">
        <f>HYPERLINK("https://klasma.github.io/Logging_2313/tillsyn/A 44386-2023 tillsynsbegäran.docx", "A 44386-2023")</f>
        <v/>
      </c>
      <c r="Y425">
        <f>HYPERLINK("https://klasma.github.io/Logging_2313/tillsynsmail/A 44386-2023 tillsynsbegäran mail.docx", "A 44386-2023")</f>
        <v/>
      </c>
    </row>
    <row r="426" ht="15" customHeight="1">
      <c r="A426" t="inlineStr">
        <is>
          <t>A 45485-2023</t>
        </is>
      </c>
      <c r="B426" s="1" t="n">
        <v>45194</v>
      </c>
      <c r="C426" s="1" t="n">
        <v>45688</v>
      </c>
      <c r="D426" t="inlineStr">
        <is>
          <t>JÄMTLANDS LÄN</t>
        </is>
      </c>
      <c r="E426" t="inlineStr">
        <is>
          <t>STRÖMSUND</t>
        </is>
      </c>
      <c r="G426" t="n">
        <v>3.9</v>
      </c>
      <c r="H426" t="n">
        <v>1</v>
      </c>
      <c r="I426" t="n">
        <v>0</v>
      </c>
      <c r="J426" t="n">
        <v>0</v>
      </c>
      <c r="K426" t="n">
        <v>1</v>
      </c>
      <c r="L426" t="n">
        <v>0</v>
      </c>
      <c r="M426" t="n">
        <v>0</v>
      </c>
      <c r="N426" t="n">
        <v>0</v>
      </c>
      <c r="O426" t="n">
        <v>1</v>
      </c>
      <c r="P426" t="n">
        <v>1</v>
      </c>
      <c r="Q426" t="n">
        <v>1</v>
      </c>
      <c r="R426" s="2" t="inlineStr">
        <is>
          <t>Lappuggla</t>
        </is>
      </c>
      <c r="S426">
        <f>HYPERLINK("https://klasma.github.io/Logging_2313/artfynd/A 45485-2023 artfynd.xlsx", "A 45485-2023")</f>
        <v/>
      </c>
      <c r="T426">
        <f>HYPERLINK("https://klasma.github.io/Logging_2313/kartor/A 45485-2023 karta.png", "A 45485-2023")</f>
        <v/>
      </c>
      <c r="V426">
        <f>HYPERLINK("https://klasma.github.io/Logging_2313/klagomål/A 45485-2023 FSC-klagomål.docx", "A 45485-2023")</f>
        <v/>
      </c>
      <c r="W426">
        <f>HYPERLINK("https://klasma.github.io/Logging_2313/klagomålsmail/A 45485-2023 FSC-klagomål mail.docx", "A 45485-2023")</f>
        <v/>
      </c>
      <c r="X426">
        <f>HYPERLINK("https://klasma.github.io/Logging_2313/tillsyn/A 45485-2023 tillsynsbegäran.docx", "A 45485-2023")</f>
        <v/>
      </c>
      <c r="Y426">
        <f>HYPERLINK("https://klasma.github.io/Logging_2313/tillsynsmail/A 45485-2023 tillsynsbegäran mail.docx", "A 45485-2023")</f>
        <v/>
      </c>
      <c r="Z426">
        <f>HYPERLINK("https://klasma.github.io/Logging_2313/fåglar/A 45485-2023 prioriterade fågelarter.docx", "A 45485-2023")</f>
        <v/>
      </c>
    </row>
    <row r="427" ht="15" customHeight="1">
      <c r="A427" t="inlineStr">
        <is>
          <t>A 46766-2023</t>
        </is>
      </c>
      <c r="B427" s="1" t="n">
        <v>45198</v>
      </c>
      <c r="C427" s="1" t="n">
        <v>45688</v>
      </c>
      <c r="D427" t="inlineStr">
        <is>
          <t>JÄMTLANDS LÄN</t>
        </is>
      </c>
      <c r="E427" t="inlineStr">
        <is>
          <t>STRÖMSUND</t>
        </is>
      </c>
      <c r="F427" t="inlineStr">
        <is>
          <t>Sveaskog</t>
        </is>
      </c>
      <c r="G427" t="n">
        <v>7.3</v>
      </c>
      <c r="H427" t="n">
        <v>0</v>
      </c>
      <c r="I427" t="n">
        <v>1</v>
      </c>
      <c r="J427" t="n">
        <v>0</v>
      </c>
      <c r="K427" t="n">
        <v>0</v>
      </c>
      <c r="L427" t="n">
        <v>0</v>
      </c>
      <c r="M427" t="n">
        <v>0</v>
      </c>
      <c r="N427" t="n">
        <v>0</v>
      </c>
      <c r="O427" t="n">
        <v>0</v>
      </c>
      <c r="P427" t="n">
        <v>0</v>
      </c>
      <c r="Q427" t="n">
        <v>1</v>
      </c>
      <c r="R427" s="2" t="inlineStr">
        <is>
          <t>Svavelriska</t>
        </is>
      </c>
      <c r="S427">
        <f>HYPERLINK("https://klasma.github.io/Logging_2313/artfynd/A 46766-2023 artfynd.xlsx", "A 46766-2023")</f>
        <v/>
      </c>
      <c r="T427">
        <f>HYPERLINK("https://klasma.github.io/Logging_2313/kartor/A 46766-2023 karta.png", "A 46766-2023")</f>
        <v/>
      </c>
      <c r="V427">
        <f>HYPERLINK("https://klasma.github.io/Logging_2313/klagomål/A 46766-2023 FSC-klagomål.docx", "A 46766-2023")</f>
        <v/>
      </c>
      <c r="W427">
        <f>HYPERLINK("https://klasma.github.io/Logging_2313/klagomålsmail/A 46766-2023 FSC-klagomål mail.docx", "A 46766-2023")</f>
        <v/>
      </c>
      <c r="X427">
        <f>HYPERLINK("https://klasma.github.io/Logging_2313/tillsyn/A 46766-2023 tillsynsbegäran.docx", "A 46766-2023")</f>
        <v/>
      </c>
      <c r="Y427">
        <f>HYPERLINK("https://klasma.github.io/Logging_2313/tillsynsmail/A 46766-2023 tillsynsbegäran mail.docx", "A 46766-2023")</f>
        <v/>
      </c>
    </row>
    <row r="428" ht="15" customHeight="1">
      <c r="A428" t="inlineStr">
        <is>
          <t>A 46814-2023</t>
        </is>
      </c>
      <c r="B428" s="1" t="n">
        <v>45198</v>
      </c>
      <c r="C428" s="1" t="n">
        <v>45688</v>
      </c>
      <c r="D428" t="inlineStr">
        <is>
          <t>JÄMTLANDS LÄN</t>
        </is>
      </c>
      <c r="E428" t="inlineStr">
        <is>
          <t>STRÖMSUND</t>
        </is>
      </c>
      <c r="F428" t="inlineStr">
        <is>
          <t>SCA</t>
        </is>
      </c>
      <c r="G428" t="n">
        <v>9.5</v>
      </c>
      <c r="H428" t="n">
        <v>0</v>
      </c>
      <c r="I428" t="n">
        <v>0</v>
      </c>
      <c r="J428" t="n">
        <v>0</v>
      </c>
      <c r="K428" t="n">
        <v>0</v>
      </c>
      <c r="L428" t="n">
        <v>0</v>
      </c>
      <c r="M428" t="n">
        <v>0</v>
      </c>
      <c r="N428" t="n">
        <v>0</v>
      </c>
      <c r="O428" t="n">
        <v>1</v>
      </c>
      <c r="P428" t="n">
        <v>0</v>
      </c>
      <c r="Q428" t="n">
        <v>1</v>
      </c>
      <c r="R428" s="2" t="inlineStr">
        <is>
          <t>Liten klubbdyna</t>
        </is>
      </c>
      <c r="S428">
        <f>HYPERLINK("https://klasma.github.io/Logging_2313/artfynd/A 46814-2023 artfynd.xlsx", "A 46814-2023")</f>
        <v/>
      </c>
      <c r="T428">
        <f>HYPERLINK("https://klasma.github.io/Logging_2313/kartor/A 46814-2023 karta.png", "A 46814-2023")</f>
        <v/>
      </c>
      <c r="V428">
        <f>HYPERLINK("https://klasma.github.io/Logging_2313/klagomål/A 46814-2023 FSC-klagomål.docx", "A 46814-2023")</f>
        <v/>
      </c>
      <c r="W428">
        <f>HYPERLINK("https://klasma.github.io/Logging_2313/klagomålsmail/A 46814-2023 FSC-klagomål mail.docx", "A 46814-2023")</f>
        <v/>
      </c>
      <c r="X428">
        <f>HYPERLINK("https://klasma.github.io/Logging_2313/tillsyn/A 46814-2023 tillsynsbegäran.docx", "A 46814-2023")</f>
        <v/>
      </c>
      <c r="Y428">
        <f>HYPERLINK("https://klasma.github.io/Logging_2313/tillsynsmail/A 46814-2023 tillsynsbegäran mail.docx", "A 46814-2023")</f>
        <v/>
      </c>
    </row>
    <row r="429" ht="15" customHeight="1">
      <c r="A429" t="inlineStr">
        <is>
          <t>A 49524-2023</t>
        </is>
      </c>
      <c r="B429" s="1" t="n">
        <v>45211</v>
      </c>
      <c r="C429" s="1" t="n">
        <v>45688</v>
      </c>
      <c r="D429" t="inlineStr">
        <is>
          <t>JÄMTLANDS LÄN</t>
        </is>
      </c>
      <c r="E429" t="inlineStr">
        <is>
          <t>STRÖMSUND</t>
        </is>
      </c>
      <c r="F429" t="inlineStr">
        <is>
          <t>Holmen skog AB</t>
        </is>
      </c>
      <c r="G429" t="n">
        <v>3.3</v>
      </c>
      <c r="H429" t="n">
        <v>0</v>
      </c>
      <c r="I429" t="n">
        <v>0</v>
      </c>
      <c r="J429" t="n">
        <v>1</v>
      </c>
      <c r="K429" t="n">
        <v>0</v>
      </c>
      <c r="L429" t="n">
        <v>0</v>
      </c>
      <c r="M429" t="n">
        <v>0</v>
      </c>
      <c r="N429" t="n">
        <v>0</v>
      </c>
      <c r="O429" t="n">
        <v>1</v>
      </c>
      <c r="P429" t="n">
        <v>0</v>
      </c>
      <c r="Q429" t="n">
        <v>1</v>
      </c>
      <c r="R429" s="2" t="inlineStr">
        <is>
          <t>Kolflarnlav</t>
        </is>
      </c>
      <c r="S429">
        <f>HYPERLINK("https://klasma.github.io/Logging_2313/artfynd/A 49524-2023 artfynd.xlsx", "A 49524-2023")</f>
        <v/>
      </c>
      <c r="T429">
        <f>HYPERLINK("https://klasma.github.io/Logging_2313/kartor/A 49524-2023 karta.png", "A 49524-2023")</f>
        <v/>
      </c>
      <c r="V429">
        <f>HYPERLINK("https://klasma.github.io/Logging_2313/klagomål/A 49524-2023 FSC-klagomål.docx", "A 49524-2023")</f>
        <v/>
      </c>
      <c r="W429">
        <f>HYPERLINK("https://klasma.github.io/Logging_2313/klagomålsmail/A 49524-2023 FSC-klagomål mail.docx", "A 49524-2023")</f>
        <v/>
      </c>
      <c r="X429">
        <f>HYPERLINK("https://klasma.github.io/Logging_2313/tillsyn/A 49524-2023 tillsynsbegäran.docx", "A 49524-2023")</f>
        <v/>
      </c>
      <c r="Y429">
        <f>HYPERLINK("https://klasma.github.io/Logging_2313/tillsynsmail/A 49524-2023 tillsynsbegäran mail.docx", "A 49524-2023")</f>
        <v/>
      </c>
    </row>
    <row r="430" ht="15" customHeight="1">
      <c r="A430" t="inlineStr">
        <is>
          <t>A 49651-2023</t>
        </is>
      </c>
      <c r="B430" s="1" t="n">
        <v>45211</v>
      </c>
      <c r="C430" s="1" t="n">
        <v>45688</v>
      </c>
      <c r="D430" t="inlineStr">
        <is>
          <t>JÄMTLANDS LÄN</t>
        </is>
      </c>
      <c r="E430" t="inlineStr">
        <is>
          <t>STRÖMSUND</t>
        </is>
      </c>
      <c r="F430" t="inlineStr">
        <is>
          <t>SCA</t>
        </is>
      </c>
      <c r="G430" t="n">
        <v>2.7</v>
      </c>
      <c r="H430" t="n">
        <v>1</v>
      </c>
      <c r="I430" t="n">
        <v>0</v>
      </c>
      <c r="J430" t="n">
        <v>1</v>
      </c>
      <c r="K430" t="n">
        <v>0</v>
      </c>
      <c r="L430" t="n">
        <v>0</v>
      </c>
      <c r="M430" t="n">
        <v>0</v>
      </c>
      <c r="N430" t="n">
        <v>0</v>
      </c>
      <c r="O430" t="n">
        <v>1</v>
      </c>
      <c r="P430" t="n">
        <v>0</v>
      </c>
      <c r="Q430" t="n">
        <v>1</v>
      </c>
      <c r="R430" s="2" t="inlineStr">
        <is>
          <t>Talltita</t>
        </is>
      </c>
      <c r="S430">
        <f>HYPERLINK("https://klasma.github.io/Logging_2313/artfynd/A 49651-2023 artfynd.xlsx", "A 49651-2023")</f>
        <v/>
      </c>
      <c r="T430">
        <f>HYPERLINK("https://klasma.github.io/Logging_2313/kartor/A 49651-2023 karta.png", "A 49651-2023")</f>
        <v/>
      </c>
      <c r="V430">
        <f>HYPERLINK("https://klasma.github.io/Logging_2313/klagomål/A 49651-2023 FSC-klagomål.docx", "A 49651-2023")</f>
        <v/>
      </c>
      <c r="W430">
        <f>HYPERLINK("https://klasma.github.io/Logging_2313/klagomålsmail/A 49651-2023 FSC-klagomål mail.docx", "A 49651-2023")</f>
        <v/>
      </c>
      <c r="X430">
        <f>HYPERLINK("https://klasma.github.io/Logging_2313/tillsyn/A 49651-2023 tillsynsbegäran.docx", "A 49651-2023")</f>
        <v/>
      </c>
      <c r="Y430">
        <f>HYPERLINK("https://klasma.github.io/Logging_2313/tillsynsmail/A 49651-2023 tillsynsbegäran mail.docx", "A 49651-2023")</f>
        <v/>
      </c>
      <c r="Z430">
        <f>HYPERLINK("https://klasma.github.io/Logging_2313/fåglar/A 49651-2023 prioriterade fågelarter.docx", "A 49651-2023")</f>
        <v/>
      </c>
    </row>
    <row r="431" ht="15" customHeight="1">
      <c r="A431" t="inlineStr">
        <is>
          <t>A 51024-2023</t>
        </is>
      </c>
      <c r="B431" s="1" t="n">
        <v>45218</v>
      </c>
      <c r="C431" s="1" t="n">
        <v>45688</v>
      </c>
      <c r="D431" t="inlineStr">
        <is>
          <t>JÄMTLANDS LÄN</t>
        </is>
      </c>
      <c r="E431" t="inlineStr">
        <is>
          <t>STRÖMSUND</t>
        </is>
      </c>
      <c r="G431" t="n">
        <v>5.6</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51024-2023 artfynd.xlsx", "A 51024-2023")</f>
        <v/>
      </c>
      <c r="T431">
        <f>HYPERLINK("https://klasma.github.io/Logging_2313/kartor/A 51024-2023 karta.png", "A 51024-2023")</f>
        <v/>
      </c>
      <c r="V431">
        <f>HYPERLINK("https://klasma.github.io/Logging_2313/klagomål/A 51024-2023 FSC-klagomål.docx", "A 51024-2023")</f>
        <v/>
      </c>
      <c r="W431">
        <f>HYPERLINK("https://klasma.github.io/Logging_2313/klagomålsmail/A 51024-2023 FSC-klagomål mail.docx", "A 51024-2023")</f>
        <v/>
      </c>
      <c r="X431">
        <f>HYPERLINK("https://klasma.github.io/Logging_2313/tillsyn/A 51024-2023 tillsynsbegäran.docx", "A 51024-2023")</f>
        <v/>
      </c>
      <c r="Y431">
        <f>HYPERLINK("https://klasma.github.io/Logging_2313/tillsynsmail/A 51024-2023 tillsynsbegäran mail.docx", "A 51024-2023")</f>
        <v/>
      </c>
      <c r="Z431">
        <f>HYPERLINK("https://klasma.github.io/Logging_2313/fåglar/A 51024-2023 prioriterade fågelarter.docx", "A 51024-2023")</f>
        <v/>
      </c>
    </row>
    <row r="432" ht="15" customHeight="1">
      <c r="A432" t="inlineStr">
        <is>
          <t>A 53447-2023</t>
        </is>
      </c>
      <c r="B432" s="1" t="n">
        <v>45229</v>
      </c>
      <c r="C432" s="1" t="n">
        <v>45688</v>
      </c>
      <c r="D432" t="inlineStr">
        <is>
          <t>JÄMTLANDS LÄN</t>
        </is>
      </c>
      <c r="E432" t="inlineStr">
        <is>
          <t>STRÖMSUND</t>
        </is>
      </c>
      <c r="F432" t="inlineStr">
        <is>
          <t>SCA</t>
        </is>
      </c>
      <c r="G432" t="n">
        <v>3.4</v>
      </c>
      <c r="H432" t="n">
        <v>0</v>
      </c>
      <c r="I432" t="n">
        <v>0</v>
      </c>
      <c r="J432" t="n">
        <v>1</v>
      </c>
      <c r="K432" t="n">
        <v>0</v>
      </c>
      <c r="L432" t="n">
        <v>0</v>
      </c>
      <c r="M432" t="n">
        <v>0</v>
      </c>
      <c r="N432" t="n">
        <v>0</v>
      </c>
      <c r="O432" t="n">
        <v>1</v>
      </c>
      <c r="P432" t="n">
        <v>0</v>
      </c>
      <c r="Q432" t="n">
        <v>1</v>
      </c>
      <c r="R432" s="2" t="inlineStr">
        <is>
          <t>Harticka</t>
        </is>
      </c>
      <c r="S432">
        <f>HYPERLINK("https://klasma.github.io/Logging_2313/artfynd/A 53447-2023 artfynd.xlsx", "A 53447-2023")</f>
        <v/>
      </c>
      <c r="T432">
        <f>HYPERLINK("https://klasma.github.io/Logging_2313/kartor/A 53447-2023 karta.png", "A 53447-2023")</f>
        <v/>
      </c>
      <c r="V432">
        <f>HYPERLINK("https://klasma.github.io/Logging_2313/klagomål/A 53447-2023 FSC-klagomål.docx", "A 53447-2023")</f>
        <v/>
      </c>
      <c r="W432">
        <f>HYPERLINK("https://klasma.github.io/Logging_2313/klagomålsmail/A 53447-2023 FSC-klagomål mail.docx", "A 53447-2023")</f>
        <v/>
      </c>
      <c r="X432">
        <f>HYPERLINK("https://klasma.github.io/Logging_2313/tillsyn/A 53447-2023 tillsynsbegäran.docx", "A 53447-2023")</f>
        <v/>
      </c>
      <c r="Y432">
        <f>HYPERLINK("https://klasma.github.io/Logging_2313/tillsynsmail/A 53447-2023 tillsynsbegäran mail.docx", "A 53447-2023")</f>
        <v/>
      </c>
    </row>
    <row r="433" ht="15" customHeight="1">
      <c r="A433" t="inlineStr">
        <is>
          <t>A 54064-2023</t>
        </is>
      </c>
      <c r="B433" s="1" t="n">
        <v>45231</v>
      </c>
      <c r="C433" s="1" t="n">
        <v>45688</v>
      </c>
      <c r="D433" t="inlineStr">
        <is>
          <t>JÄMTLANDS LÄN</t>
        </is>
      </c>
      <c r="E433" t="inlineStr">
        <is>
          <t>STRÖMSUND</t>
        </is>
      </c>
      <c r="F433" t="inlineStr">
        <is>
          <t>SCA</t>
        </is>
      </c>
      <c r="G433" t="n">
        <v>14.1</v>
      </c>
      <c r="H433" t="n">
        <v>0</v>
      </c>
      <c r="I433" t="n">
        <v>0</v>
      </c>
      <c r="J433" t="n">
        <v>1</v>
      </c>
      <c r="K433" t="n">
        <v>0</v>
      </c>
      <c r="L433" t="n">
        <v>0</v>
      </c>
      <c r="M433" t="n">
        <v>0</v>
      </c>
      <c r="N433" t="n">
        <v>0</v>
      </c>
      <c r="O433" t="n">
        <v>1</v>
      </c>
      <c r="P433" t="n">
        <v>0</v>
      </c>
      <c r="Q433" t="n">
        <v>1</v>
      </c>
      <c r="R433" s="2" t="inlineStr">
        <is>
          <t>Skrovellav</t>
        </is>
      </c>
      <c r="S433">
        <f>HYPERLINK("https://klasma.github.io/Logging_2313/artfynd/A 54064-2023 artfynd.xlsx", "A 54064-2023")</f>
        <v/>
      </c>
      <c r="T433">
        <f>HYPERLINK("https://klasma.github.io/Logging_2313/kartor/A 54064-2023 karta.png", "A 54064-2023")</f>
        <v/>
      </c>
      <c r="V433">
        <f>HYPERLINK("https://klasma.github.io/Logging_2313/klagomål/A 54064-2023 FSC-klagomål.docx", "A 54064-2023")</f>
        <v/>
      </c>
      <c r="W433">
        <f>HYPERLINK("https://klasma.github.io/Logging_2313/klagomålsmail/A 54064-2023 FSC-klagomål mail.docx", "A 54064-2023")</f>
        <v/>
      </c>
      <c r="X433">
        <f>HYPERLINK("https://klasma.github.io/Logging_2313/tillsyn/A 54064-2023 tillsynsbegäran.docx", "A 54064-2023")</f>
        <v/>
      </c>
      <c r="Y433">
        <f>HYPERLINK("https://klasma.github.io/Logging_2313/tillsynsmail/A 54064-2023 tillsynsbegäran mail.docx", "A 54064-2023")</f>
        <v/>
      </c>
    </row>
    <row r="434" ht="15" customHeight="1">
      <c r="A434" t="inlineStr">
        <is>
          <t>A 56689-2023</t>
        </is>
      </c>
      <c r="B434" s="1" t="n">
        <v>45243</v>
      </c>
      <c r="C434" s="1" t="n">
        <v>45688</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Garnlav</t>
        </is>
      </c>
      <c r="S434">
        <f>HYPERLINK("https://klasma.github.io/Logging_2313/artfynd/A 56689-2023 artfynd.xlsx", "A 56689-2023")</f>
        <v/>
      </c>
      <c r="T434">
        <f>HYPERLINK("https://klasma.github.io/Logging_2313/kartor/A 56689-2023 karta.png", "A 56689-2023")</f>
        <v/>
      </c>
      <c r="V434">
        <f>HYPERLINK("https://klasma.github.io/Logging_2313/klagomål/A 56689-2023 FSC-klagomål.docx", "A 56689-2023")</f>
        <v/>
      </c>
      <c r="W434">
        <f>HYPERLINK("https://klasma.github.io/Logging_2313/klagomålsmail/A 56689-2023 FSC-klagomål mail.docx", "A 56689-2023")</f>
        <v/>
      </c>
      <c r="X434">
        <f>HYPERLINK("https://klasma.github.io/Logging_2313/tillsyn/A 56689-2023 tillsynsbegäran.docx", "A 56689-2023")</f>
        <v/>
      </c>
      <c r="Y434">
        <f>HYPERLINK("https://klasma.github.io/Logging_2313/tillsynsmail/A 56689-2023 tillsynsbegäran mail.docx", "A 56689-2023")</f>
        <v/>
      </c>
    </row>
    <row r="435" ht="15" customHeight="1">
      <c r="A435" t="inlineStr">
        <is>
          <t>A 57619-2023</t>
        </is>
      </c>
      <c r="B435" s="1" t="n">
        <v>45243</v>
      </c>
      <c r="C435" s="1" t="n">
        <v>45688</v>
      </c>
      <c r="D435" t="inlineStr">
        <is>
          <t>JÄMTLANDS LÄN</t>
        </is>
      </c>
      <c r="E435" t="inlineStr">
        <is>
          <t>STRÖMSUND</t>
        </is>
      </c>
      <c r="F435" t="inlineStr">
        <is>
          <t>SCA</t>
        </is>
      </c>
      <c r="G435" t="n">
        <v>17</v>
      </c>
      <c r="H435" t="n">
        <v>0</v>
      </c>
      <c r="I435" t="n">
        <v>0</v>
      </c>
      <c r="J435" t="n">
        <v>1</v>
      </c>
      <c r="K435" t="n">
        <v>0</v>
      </c>
      <c r="L435" t="n">
        <v>0</v>
      </c>
      <c r="M435" t="n">
        <v>0</v>
      </c>
      <c r="N435" t="n">
        <v>0</v>
      </c>
      <c r="O435" t="n">
        <v>1</v>
      </c>
      <c r="P435" t="n">
        <v>0</v>
      </c>
      <c r="Q435" t="n">
        <v>1</v>
      </c>
      <c r="R435" s="2" t="inlineStr">
        <is>
          <t>Harticka</t>
        </is>
      </c>
      <c r="S435">
        <f>HYPERLINK("https://klasma.github.io/Logging_2313/artfynd/A 57619-2023 artfynd.xlsx", "A 57619-2023")</f>
        <v/>
      </c>
      <c r="T435">
        <f>HYPERLINK("https://klasma.github.io/Logging_2313/kartor/A 57619-2023 karta.png", "A 57619-2023")</f>
        <v/>
      </c>
      <c r="V435">
        <f>HYPERLINK("https://klasma.github.io/Logging_2313/klagomål/A 57619-2023 FSC-klagomål.docx", "A 57619-2023")</f>
        <v/>
      </c>
      <c r="W435">
        <f>HYPERLINK("https://klasma.github.io/Logging_2313/klagomålsmail/A 57619-2023 FSC-klagomål mail.docx", "A 57619-2023")</f>
        <v/>
      </c>
      <c r="X435">
        <f>HYPERLINK("https://klasma.github.io/Logging_2313/tillsyn/A 57619-2023 tillsynsbegäran.docx", "A 57619-2023")</f>
        <v/>
      </c>
      <c r="Y435">
        <f>HYPERLINK("https://klasma.github.io/Logging_2313/tillsynsmail/A 57619-2023 tillsynsbegäran mail.docx", "A 57619-2023")</f>
        <v/>
      </c>
    </row>
    <row r="436" ht="15" customHeight="1">
      <c r="A436" t="inlineStr">
        <is>
          <t>A 57664-2023</t>
        </is>
      </c>
      <c r="B436" s="1" t="n">
        <v>45243</v>
      </c>
      <c r="C436" s="1" t="n">
        <v>45688</v>
      </c>
      <c r="D436" t="inlineStr">
        <is>
          <t>JÄMTLANDS LÄN</t>
        </is>
      </c>
      <c r="E436" t="inlineStr">
        <is>
          <t>STRÖMSUND</t>
        </is>
      </c>
      <c r="F436" t="inlineStr">
        <is>
          <t>SCA</t>
        </is>
      </c>
      <c r="G436" t="n">
        <v>6.2</v>
      </c>
      <c r="H436" t="n">
        <v>0</v>
      </c>
      <c r="I436" t="n">
        <v>0</v>
      </c>
      <c r="J436" t="n">
        <v>0</v>
      </c>
      <c r="K436" t="n">
        <v>1</v>
      </c>
      <c r="L436" t="n">
        <v>0</v>
      </c>
      <c r="M436" t="n">
        <v>0</v>
      </c>
      <c r="N436" t="n">
        <v>0</v>
      </c>
      <c r="O436" t="n">
        <v>1</v>
      </c>
      <c r="P436" t="n">
        <v>1</v>
      </c>
      <c r="Q436" t="n">
        <v>1</v>
      </c>
      <c r="R436" s="2" t="inlineStr">
        <is>
          <t>Norsk näverlav</t>
        </is>
      </c>
      <c r="S436">
        <f>HYPERLINK("https://klasma.github.io/Logging_2313/artfynd/A 57664-2023 artfynd.xlsx", "A 57664-2023")</f>
        <v/>
      </c>
      <c r="T436">
        <f>HYPERLINK("https://klasma.github.io/Logging_2313/kartor/A 57664-2023 karta.png", "A 57664-2023")</f>
        <v/>
      </c>
      <c r="V436">
        <f>HYPERLINK("https://klasma.github.io/Logging_2313/klagomål/A 57664-2023 FSC-klagomål.docx", "A 57664-2023")</f>
        <v/>
      </c>
      <c r="W436">
        <f>HYPERLINK("https://klasma.github.io/Logging_2313/klagomålsmail/A 57664-2023 FSC-klagomål mail.docx", "A 57664-2023")</f>
        <v/>
      </c>
      <c r="X436">
        <f>HYPERLINK("https://klasma.github.io/Logging_2313/tillsyn/A 57664-2023 tillsynsbegäran.docx", "A 57664-2023")</f>
        <v/>
      </c>
      <c r="Y436">
        <f>HYPERLINK("https://klasma.github.io/Logging_2313/tillsynsmail/A 57664-2023 tillsynsbegäran mail.docx", "A 57664-2023")</f>
        <v/>
      </c>
    </row>
    <row r="437" ht="15" customHeight="1">
      <c r="A437" t="inlineStr">
        <is>
          <t>A 57390-2023</t>
        </is>
      </c>
      <c r="B437" s="1" t="n">
        <v>45245</v>
      </c>
      <c r="C437" s="1" t="n">
        <v>45688</v>
      </c>
      <c r="D437" t="inlineStr">
        <is>
          <t>JÄMTLANDS LÄN</t>
        </is>
      </c>
      <c r="E437" t="inlineStr">
        <is>
          <t>STRÖMSUND</t>
        </is>
      </c>
      <c r="G437" t="n">
        <v>4.8</v>
      </c>
      <c r="H437" t="n">
        <v>0</v>
      </c>
      <c r="I437" t="n">
        <v>1</v>
      </c>
      <c r="J437" t="n">
        <v>0</v>
      </c>
      <c r="K437" t="n">
        <v>0</v>
      </c>
      <c r="L437" t="n">
        <v>0</v>
      </c>
      <c r="M437" t="n">
        <v>0</v>
      </c>
      <c r="N437" t="n">
        <v>0</v>
      </c>
      <c r="O437" t="n">
        <v>0</v>
      </c>
      <c r="P437" t="n">
        <v>0</v>
      </c>
      <c r="Q437" t="n">
        <v>1</v>
      </c>
      <c r="R437" s="2" t="inlineStr">
        <is>
          <t>Svart trolldruva</t>
        </is>
      </c>
      <c r="S437">
        <f>HYPERLINK("https://klasma.github.io/Logging_2313/artfynd/A 57390-2023 artfynd.xlsx", "A 57390-2023")</f>
        <v/>
      </c>
      <c r="T437">
        <f>HYPERLINK("https://klasma.github.io/Logging_2313/kartor/A 57390-2023 karta.png", "A 57390-2023")</f>
        <v/>
      </c>
      <c r="V437">
        <f>HYPERLINK("https://klasma.github.io/Logging_2313/klagomål/A 57390-2023 FSC-klagomål.docx", "A 57390-2023")</f>
        <v/>
      </c>
      <c r="W437">
        <f>HYPERLINK("https://klasma.github.io/Logging_2313/klagomålsmail/A 57390-2023 FSC-klagomål mail.docx", "A 57390-2023")</f>
        <v/>
      </c>
      <c r="X437">
        <f>HYPERLINK("https://klasma.github.io/Logging_2313/tillsyn/A 57390-2023 tillsynsbegäran.docx", "A 57390-2023")</f>
        <v/>
      </c>
      <c r="Y437">
        <f>HYPERLINK("https://klasma.github.io/Logging_2313/tillsynsmail/A 57390-2023 tillsynsbegäran mail.docx", "A 57390-2023")</f>
        <v/>
      </c>
    </row>
    <row r="438" ht="15" customHeight="1">
      <c r="A438" t="inlineStr">
        <is>
          <t>A 57508-2023</t>
        </is>
      </c>
      <c r="B438" s="1" t="n">
        <v>45246</v>
      </c>
      <c r="C438" s="1" t="n">
        <v>45688</v>
      </c>
      <c r="D438" t="inlineStr">
        <is>
          <t>JÄMTLANDS LÄN</t>
        </is>
      </c>
      <c r="E438" t="inlineStr">
        <is>
          <t>STRÖMSUND</t>
        </is>
      </c>
      <c r="F438" t="inlineStr">
        <is>
          <t>Holmen skog AB</t>
        </is>
      </c>
      <c r="G438" t="n">
        <v>6.4</v>
      </c>
      <c r="H438" t="n">
        <v>0</v>
      </c>
      <c r="I438" t="n">
        <v>0</v>
      </c>
      <c r="J438" t="n">
        <v>1</v>
      </c>
      <c r="K438" t="n">
        <v>0</v>
      </c>
      <c r="L438" t="n">
        <v>0</v>
      </c>
      <c r="M438" t="n">
        <v>0</v>
      </c>
      <c r="N438" t="n">
        <v>0</v>
      </c>
      <c r="O438" t="n">
        <v>1</v>
      </c>
      <c r="P438" t="n">
        <v>0</v>
      </c>
      <c r="Q438" t="n">
        <v>1</v>
      </c>
      <c r="R438" s="2" t="inlineStr">
        <is>
          <t>Lunglav</t>
        </is>
      </c>
      <c r="S438">
        <f>HYPERLINK("https://klasma.github.io/Logging_2313/artfynd/A 57508-2023 artfynd.xlsx", "A 57508-2023")</f>
        <v/>
      </c>
      <c r="T438">
        <f>HYPERLINK("https://klasma.github.io/Logging_2313/kartor/A 57508-2023 karta.png", "A 57508-2023")</f>
        <v/>
      </c>
      <c r="V438">
        <f>HYPERLINK("https://klasma.github.io/Logging_2313/klagomål/A 57508-2023 FSC-klagomål.docx", "A 57508-2023")</f>
        <v/>
      </c>
      <c r="W438">
        <f>HYPERLINK("https://klasma.github.io/Logging_2313/klagomålsmail/A 57508-2023 FSC-klagomål mail.docx", "A 57508-2023")</f>
        <v/>
      </c>
      <c r="X438">
        <f>HYPERLINK("https://klasma.github.io/Logging_2313/tillsyn/A 57508-2023 tillsynsbegäran.docx", "A 57508-2023")</f>
        <v/>
      </c>
      <c r="Y438">
        <f>HYPERLINK("https://klasma.github.io/Logging_2313/tillsynsmail/A 57508-2023 tillsynsbegäran mail.docx", "A 57508-2023")</f>
        <v/>
      </c>
    </row>
    <row r="439" ht="15" customHeight="1">
      <c r="A439" t="inlineStr">
        <is>
          <t>A 59726-2023</t>
        </is>
      </c>
      <c r="B439" s="1" t="n">
        <v>45257</v>
      </c>
      <c r="C439" s="1" t="n">
        <v>45688</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59726-2023 artfynd.xlsx", "A 59726-2023")</f>
        <v/>
      </c>
      <c r="T439">
        <f>HYPERLINK("https://klasma.github.io/Logging_2313/kartor/A 59726-2023 karta.png", "A 59726-2023")</f>
        <v/>
      </c>
      <c r="V439">
        <f>HYPERLINK("https://klasma.github.io/Logging_2313/klagomål/A 59726-2023 FSC-klagomål.docx", "A 59726-2023")</f>
        <v/>
      </c>
      <c r="W439">
        <f>HYPERLINK("https://klasma.github.io/Logging_2313/klagomålsmail/A 59726-2023 FSC-klagomål mail.docx", "A 59726-2023")</f>
        <v/>
      </c>
      <c r="X439">
        <f>HYPERLINK("https://klasma.github.io/Logging_2313/tillsyn/A 59726-2023 tillsynsbegäran.docx", "A 59726-2023")</f>
        <v/>
      </c>
      <c r="Y439">
        <f>HYPERLINK("https://klasma.github.io/Logging_2313/tillsynsmail/A 59726-2023 tillsynsbegäran mail.docx", "A 59726-2023")</f>
        <v/>
      </c>
    </row>
    <row r="440" ht="15" customHeight="1">
      <c r="A440" t="inlineStr">
        <is>
          <t>A 60828-2023</t>
        </is>
      </c>
      <c r="B440" s="1" t="n">
        <v>45258</v>
      </c>
      <c r="C440" s="1" t="n">
        <v>45688</v>
      </c>
      <c r="D440" t="inlineStr">
        <is>
          <t>JÄMTLANDS LÄN</t>
        </is>
      </c>
      <c r="E440" t="inlineStr">
        <is>
          <t>STRÖMSUND</t>
        </is>
      </c>
      <c r="G440" t="n">
        <v>6.7</v>
      </c>
      <c r="H440" t="n">
        <v>1</v>
      </c>
      <c r="I440" t="n">
        <v>0</v>
      </c>
      <c r="J440" t="n">
        <v>1</v>
      </c>
      <c r="K440" t="n">
        <v>0</v>
      </c>
      <c r="L440" t="n">
        <v>0</v>
      </c>
      <c r="M440" t="n">
        <v>0</v>
      </c>
      <c r="N440" t="n">
        <v>0</v>
      </c>
      <c r="O440" t="n">
        <v>1</v>
      </c>
      <c r="P440" t="n">
        <v>0</v>
      </c>
      <c r="Q440" t="n">
        <v>1</v>
      </c>
      <c r="R440" s="2" t="inlineStr">
        <is>
          <t>Tretåig hackspett</t>
        </is>
      </c>
      <c r="S440">
        <f>HYPERLINK("https://klasma.github.io/Logging_2313/artfynd/A 60828-2023 artfynd.xlsx", "A 60828-2023")</f>
        <v/>
      </c>
      <c r="T440">
        <f>HYPERLINK("https://klasma.github.io/Logging_2313/kartor/A 60828-2023 karta.png", "A 60828-2023")</f>
        <v/>
      </c>
      <c r="V440">
        <f>HYPERLINK("https://klasma.github.io/Logging_2313/klagomål/A 60828-2023 FSC-klagomål.docx", "A 60828-2023")</f>
        <v/>
      </c>
      <c r="W440">
        <f>HYPERLINK("https://klasma.github.io/Logging_2313/klagomålsmail/A 60828-2023 FSC-klagomål mail.docx", "A 60828-2023")</f>
        <v/>
      </c>
      <c r="X440">
        <f>HYPERLINK("https://klasma.github.io/Logging_2313/tillsyn/A 60828-2023 tillsynsbegäran.docx", "A 60828-2023")</f>
        <v/>
      </c>
      <c r="Y440">
        <f>HYPERLINK("https://klasma.github.io/Logging_2313/tillsynsmail/A 60828-2023 tillsynsbegäran mail.docx", "A 60828-2023")</f>
        <v/>
      </c>
      <c r="Z440">
        <f>HYPERLINK("https://klasma.github.io/Logging_2313/fåglar/A 60828-2023 prioriterade fågelarter.docx", "A 60828-2023")</f>
        <v/>
      </c>
    </row>
    <row r="441" ht="15" customHeight="1">
      <c r="A441" t="inlineStr">
        <is>
          <t>A 62886-2023</t>
        </is>
      </c>
      <c r="B441" s="1" t="n">
        <v>45271</v>
      </c>
      <c r="C441" s="1" t="n">
        <v>45688</v>
      </c>
      <c r="D441" t="inlineStr">
        <is>
          <t>JÄMTLANDS LÄN</t>
        </is>
      </c>
      <c r="E441" t="inlineStr">
        <is>
          <t>STRÖMSUND</t>
        </is>
      </c>
      <c r="G441" t="n">
        <v>12.2</v>
      </c>
      <c r="H441" t="n">
        <v>0</v>
      </c>
      <c r="I441" t="n">
        <v>0</v>
      </c>
      <c r="J441" t="n">
        <v>0</v>
      </c>
      <c r="K441" t="n">
        <v>1</v>
      </c>
      <c r="L441" t="n">
        <v>0</v>
      </c>
      <c r="M441" t="n">
        <v>0</v>
      </c>
      <c r="N441" t="n">
        <v>0</v>
      </c>
      <c r="O441" t="n">
        <v>1</v>
      </c>
      <c r="P441" t="n">
        <v>1</v>
      </c>
      <c r="Q441" t="n">
        <v>1</v>
      </c>
      <c r="R441" s="2" t="inlineStr">
        <is>
          <t>Liten sotlav</t>
        </is>
      </c>
      <c r="S441">
        <f>HYPERLINK("https://klasma.github.io/Logging_2313/artfynd/A 62886-2023 artfynd.xlsx", "A 62886-2023")</f>
        <v/>
      </c>
      <c r="T441">
        <f>HYPERLINK("https://klasma.github.io/Logging_2313/kartor/A 62886-2023 karta.png", "A 62886-2023")</f>
        <v/>
      </c>
      <c r="V441">
        <f>HYPERLINK("https://klasma.github.io/Logging_2313/klagomål/A 62886-2023 FSC-klagomål.docx", "A 62886-2023")</f>
        <v/>
      </c>
      <c r="W441">
        <f>HYPERLINK("https://klasma.github.io/Logging_2313/klagomålsmail/A 62886-2023 FSC-klagomål mail.docx", "A 62886-2023")</f>
        <v/>
      </c>
      <c r="X441">
        <f>HYPERLINK("https://klasma.github.io/Logging_2313/tillsyn/A 62886-2023 tillsynsbegäran.docx", "A 62886-2023")</f>
        <v/>
      </c>
      <c r="Y441">
        <f>HYPERLINK("https://klasma.github.io/Logging_2313/tillsynsmail/A 62886-2023 tillsynsbegäran mail.docx", "A 62886-2023")</f>
        <v/>
      </c>
    </row>
    <row r="442" ht="15" customHeight="1">
      <c r="A442" t="inlineStr">
        <is>
          <t>A 63243-2023</t>
        </is>
      </c>
      <c r="B442" s="1" t="n">
        <v>45273</v>
      </c>
      <c r="C442" s="1" t="n">
        <v>45688</v>
      </c>
      <c r="D442" t="inlineStr">
        <is>
          <t>JÄMTLANDS LÄN</t>
        </is>
      </c>
      <c r="E442" t="inlineStr">
        <is>
          <t>STRÖMSUND</t>
        </is>
      </c>
      <c r="G442" t="n">
        <v>14.8</v>
      </c>
      <c r="H442" t="n">
        <v>0</v>
      </c>
      <c r="I442" t="n">
        <v>0</v>
      </c>
      <c r="J442" t="n">
        <v>1</v>
      </c>
      <c r="K442" t="n">
        <v>0</v>
      </c>
      <c r="L442" t="n">
        <v>0</v>
      </c>
      <c r="M442" t="n">
        <v>0</v>
      </c>
      <c r="N442" t="n">
        <v>0</v>
      </c>
      <c r="O442" t="n">
        <v>1</v>
      </c>
      <c r="P442" t="n">
        <v>0</v>
      </c>
      <c r="Q442" t="n">
        <v>1</v>
      </c>
      <c r="R442" s="2" t="inlineStr">
        <is>
          <t>Rödbrun klubbdyna</t>
        </is>
      </c>
      <c r="S442">
        <f>HYPERLINK("https://klasma.github.io/Logging_2313/artfynd/A 63243-2023 artfynd.xlsx", "A 63243-2023")</f>
        <v/>
      </c>
      <c r="T442">
        <f>HYPERLINK("https://klasma.github.io/Logging_2313/kartor/A 63243-2023 karta.png", "A 63243-2023")</f>
        <v/>
      </c>
      <c r="V442">
        <f>HYPERLINK("https://klasma.github.io/Logging_2313/klagomål/A 63243-2023 FSC-klagomål.docx", "A 63243-2023")</f>
        <v/>
      </c>
      <c r="W442">
        <f>HYPERLINK("https://klasma.github.io/Logging_2313/klagomålsmail/A 63243-2023 FSC-klagomål mail.docx", "A 63243-2023")</f>
        <v/>
      </c>
      <c r="X442">
        <f>HYPERLINK("https://klasma.github.io/Logging_2313/tillsyn/A 63243-2023 tillsynsbegäran.docx", "A 63243-2023")</f>
        <v/>
      </c>
      <c r="Y442">
        <f>HYPERLINK("https://klasma.github.io/Logging_2313/tillsynsmail/A 63243-2023 tillsynsbegäran mail.docx", "A 63243-2023")</f>
        <v/>
      </c>
    </row>
    <row r="443" ht="15" customHeight="1">
      <c r="A443" t="inlineStr">
        <is>
          <t>A 63860-2023</t>
        </is>
      </c>
      <c r="B443" s="1" t="n">
        <v>45278</v>
      </c>
      <c r="C443" s="1" t="n">
        <v>45688</v>
      </c>
      <c r="D443" t="inlineStr">
        <is>
          <t>JÄMTLANDS LÄN</t>
        </is>
      </c>
      <c r="E443" t="inlineStr">
        <is>
          <t>STRÖMSUND</t>
        </is>
      </c>
      <c r="G443" t="n">
        <v>2.9</v>
      </c>
      <c r="H443" t="n">
        <v>0</v>
      </c>
      <c r="I443" t="n">
        <v>1</v>
      </c>
      <c r="J443" t="n">
        <v>0</v>
      </c>
      <c r="K443" t="n">
        <v>0</v>
      </c>
      <c r="L443" t="n">
        <v>0</v>
      </c>
      <c r="M443" t="n">
        <v>0</v>
      </c>
      <c r="N443" t="n">
        <v>0</v>
      </c>
      <c r="O443" t="n">
        <v>0</v>
      </c>
      <c r="P443" t="n">
        <v>0</v>
      </c>
      <c r="Q443" t="n">
        <v>1</v>
      </c>
      <c r="R443" s="2" t="inlineStr">
        <is>
          <t>Kransrams</t>
        </is>
      </c>
      <c r="S443">
        <f>HYPERLINK("https://klasma.github.io/Logging_2313/artfynd/A 63860-2023 artfynd.xlsx", "A 63860-2023")</f>
        <v/>
      </c>
      <c r="T443">
        <f>HYPERLINK("https://klasma.github.io/Logging_2313/kartor/A 63860-2023 karta.png", "A 63860-2023")</f>
        <v/>
      </c>
      <c r="V443">
        <f>HYPERLINK("https://klasma.github.io/Logging_2313/klagomål/A 63860-2023 FSC-klagomål.docx", "A 63860-2023")</f>
        <v/>
      </c>
      <c r="W443">
        <f>HYPERLINK("https://klasma.github.io/Logging_2313/klagomålsmail/A 63860-2023 FSC-klagomål mail.docx", "A 63860-2023")</f>
        <v/>
      </c>
      <c r="X443">
        <f>HYPERLINK("https://klasma.github.io/Logging_2313/tillsyn/A 63860-2023 tillsynsbegäran.docx", "A 63860-2023")</f>
        <v/>
      </c>
      <c r="Y443">
        <f>HYPERLINK("https://klasma.github.io/Logging_2313/tillsynsmail/A 63860-2023 tillsynsbegäran mail.docx", "A 63860-2023")</f>
        <v/>
      </c>
    </row>
    <row r="444" ht="15" customHeight="1">
      <c r="A444" t="inlineStr">
        <is>
          <t>A 56-2024</t>
        </is>
      </c>
      <c r="B444" s="1" t="n">
        <v>45293</v>
      </c>
      <c r="C444" s="1" t="n">
        <v>45688</v>
      </c>
      <c r="D444" t="inlineStr">
        <is>
          <t>JÄMTLANDS LÄN</t>
        </is>
      </c>
      <c r="E444" t="inlineStr">
        <is>
          <t>STRÖMSUND</t>
        </is>
      </c>
      <c r="G444" t="n">
        <v>4.9</v>
      </c>
      <c r="H444" t="n">
        <v>0</v>
      </c>
      <c r="I444" t="n">
        <v>0</v>
      </c>
      <c r="J444" t="n">
        <v>0</v>
      </c>
      <c r="K444" t="n">
        <v>1</v>
      </c>
      <c r="L444" t="n">
        <v>0</v>
      </c>
      <c r="M444" t="n">
        <v>0</v>
      </c>
      <c r="N444" t="n">
        <v>0</v>
      </c>
      <c r="O444" t="n">
        <v>1</v>
      </c>
      <c r="P444" t="n">
        <v>1</v>
      </c>
      <c r="Q444" t="n">
        <v>1</v>
      </c>
      <c r="R444" s="2" t="inlineStr">
        <is>
          <t>Liten sotlav</t>
        </is>
      </c>
      <c r="S444">
        <f>HYPERLINK("https://klasma.github.io/Logging_2313/artfynd/A 56-2024 artfynd.xlsx", "A 56-2024")</f>
        <v/>
      </c>
      <c r="T444">
        <f>HYPERLINK("https://klasma.github.io/Logging_2313/kartor/A 56-2024 karta.png", "A 56-2024")</f>
        <v/>
      </c>
      <c r="V444">
        <f>HYPERLINK("https://klasma.github.io/Logging_2313/klagomål/A 56-2024 FSC-klagomål.docx", "A 56-2024")</f>
        <v/>
      </c>
      <c r="W444">
        <f>HYPERLINK("https://klasma.github.io/Logging_2313/klagomålsmail/A 56-2024 FSC-klagomål mail.docx", "A 56-2024")</f>
        <v/>
      </c>
      <c r="X444">
        <f>HYPERLINK("https://klasma.github.io/Logging_2313/tillsyn/A 56-2024 tillsynsbegäran.docx", "A 56-2024")</f>
        <v/>
      </c>
      <c r="Y444">
        <f>HYPERLINK("https://klasma.github.io/Logging_2313/tillsynsmail/A 56-2024 tillsynsbegäran mail.docx", "A 56-2024")</f>
        <v/>
      </c>
    </row>
    <row r="445" ht="15" customHeight="1">
      <c r="A445" t="inlineStr">
        <is>
          <t>A 3988-2024</t>
        </is>
      </c>
      <c r="B445" s="1" t="n">
        <v>45322</v>
      </c>
      <c r="C445" s="1" t="n">
        <v>45688</v>
      </c>
      <c r="D445" t="inlineStr">
        <is>
          <t>JÄMTLANDS LÄN</t>
        </is>
      </c>
      <c r="E445" t="inlineStr">
        <is>
          <t>STRÖMSUND</t>
        </is>
      </c>
      <c r="F445" t="inlineStr">
        <is>
          <t>SCA</t>
        </is>
      </c>
      <c r="G445" t="n">
        <v>16</v>
      </c>
      <c r="H445" t="n">
        <v>1</v>
      </c>
      <c r="I445" t="n">
        <v>0</v>
      </c>
      <c r="J445" t="n">
        <v>1</v>
      </c>
      <c r="K445" t="n">
        <v>0</v>
      </c>
      <c r="L445" t="n">
        <v>0</v>
      </c>
      <c r="M445" t="n">
        <v>0</v>
      </c>
      <c r="N445" t="n">
        <v>0</v>
      </c>
      <c r="O445" t="n">
        <v>1</v>
      </c>
      <c r="P445" t="n">
        <v>0</v>
      </c>
      <c r="Q445" t="n">
        <v>1</v>
      </c>
      <c r="R445" s="2" t="inlineStr">
        <is>
          <t>Järpe</t>
        </is>
      </c>
      <c r="S445">
        <f>HYPERLINK("https://klasma.github.io/Logging_2313/artfynd/A 3988-2024 artfynd.xlsx", "A 3988-2024")</f>
        <v/>
      </c>
      <c r="T445">
        <f>HYPERLINK("https://klasma.github.io/Logging_2313/kartor/A 3988-2024 karta.png", "A 3988-2024")</f>
        <v/>
      </c>
      <c r="V445">
        <f>HYPERLINK("https://klasma.github.io/Logging_2313/klagomål/A 3988-2024 FSC-klagomål.docx", "A 3988-2024")</f>
        <v/>
      </c>
      <c r="W445">
        <f>HYPERLINK("https://klasma.github.io/Logging_2313/klagomålsmail/A 3988-2024 FSC-klagomål mail.docx", "A 3988-2024")</f>
        <v/>
      </c>
      <c r="X445">
        <f>HYPERLINK("https://klasma.github.io/Logging_2313/tillsyn/A 3988-2024 tillsynsbegäran.docx", "A 3988-2024")</f>
        <v/>
      </c>
      <c r="Y445">
        <f>HYPERLINK("https://klasma.github.io/Logging_2313/tillsynsmail/A 3988-2024 tillsynsbegäran mail.docx", "A 3988-2024")</f>
        <v/>
      </c>
      <c r="Z445">
        <f>HYPERLINK("https://klasma.github.io/Logging_2313/fåglar/A 3988-2024 prioriterade fågelarter.docx", "A 3988-2024")</f>
        <v/>
      </c>
    </row>
    <row r="446" ht="15" customHeight="1">
      <c r="A446" t="inlineStr">
        <is>
          <t>A 4377-2024</t>
        </is>
      </c>
      <c r="B446" s="1" t="n">
        <v>45326</v>
      </c>
      <c r="C446" s="1" t="n">
        <v>45688</v>
      </c>
      <c r="D446" t="inlineStr">
        <is>
          <t>JÄMTLANDS LÄN</t>
        </is>
      </c>
      <c r="E446" t="inlineStr">
        <is>
          <t>STRÖMSUND</t>
        </is>
      </c>
      <c r="F446" t="inlineStr">
        <is>
          <t>SCA</t>
        </is>
      </c>
      <c r="G446" t="n">
        <v>21.4</v>
      </c>
      <c r="H446" t="n">
        <v>0</v>
      </c>
      <c r="I446" t="n">
        <v>0</v>
      </c>
      <c r="J446" t="n">
        <v>1</v>
      </c>
      <c r="K446" t="n">
        <v>0</v>
      </c>
      <c r="L446" t="n">
        <v>0</v>
      </c>
      <c r="M446" t="n">
        <v>0</v>
      </c>
      <c r="N446" t="n">
        <v>0</v>
      </c>
      <c r="O446" t="n">
        <v>1</v>
      </c>
      <c r="P446" t="n">
        <v>0</v>
      </c>
      <c r="Q446" t="n">
        <v>1</v>
      </c>
      <c r="R446" s="2" t="inlineStr">
        <is>
          <t>Lunglav</t>
        </is>
      </c>
      <c r="S446">
        <f>HYPERLINK("https://klasma.github.io/Logging_2313/artfynd/A 4377-2024 artfynd.xlsx", "A 4377-2024")</f>
        <v/>
      </c>
      <c r="T446">
        <f>HYPERLINK("https://klasma.github.io/Logging_2313/kartor/A 4377-2024 karta.png", "A 4377-2024")</f>
        <v/>
      </c>
      <c r="V446">
        <f>HYPERLINK("https://klasma.github.io/Logging_2313/klagomål/A 4377-2024 FSC-klagomål.docx", "A 4377-2024")</f>
        <v/>
      </c>
      <c r="W446">
        <f>HYPERLINK("https://klasma.github.io/Logging_2313/klagomålsmail/A 4377-2024 FSC-klagomål mail.docx", "A 4377-2024")</f>
        <v/>
      </c>
      <c r="X446">
        <f>HYPERLINK("https://klasma.github.io/Logging_2313/tillsyn/A 4377-2024 tillsynsbegäran.docx", "A 4377-2024")</f>
        <v/>
      </c>
      <c r="Y446">
        <f>HYPERLINK("https://klasma.github.io/Logging_2313/tillsynsmail/A 4377-2024 tillsynsbegäran mail.docx", "A 4377-2024")</f>
        <v/>
      </c>
    </row>
    <row r="447" ht="15" customHeight="1">
      <c r="A447" t="inlineStr">
        <is>
          <t>A 4824-2024</t>
        </is>
      </c>
      <c r="B447" s="1" t="n">
        <v>45328</v>
      </c>
      <c r="C447" s="1" t="n">
        <v>45688</v>
      </c>
      <c r="D447" t="inlineStr">
        <is>
          <t>JÄMTLANDS LÄN</t>
        </is>
      </c>
      <c r="E447" t="inlineStr">
        <is>
          <t>STRÖMSUND</t>
        </is>
      </c>
      <c r="F447" t="inlineStr">
        <is>
          <t>SCA</t>
        </is>
      </c>
      <c r="G447" t="n">
        <v>10.2</v>
      </c>
      <c r="H447" t="n">
        <v>0</v>
      </c>
      <c r="I447" t="n">
        <v>0</v>
      </c>
      <c r="J447" t="n">
        <v>1</v>
      </c>
      <c r="K447" t="n">
        <v>0</v>
      </c>
      <c r="L447" t="n">
        <v>0</v>
      </c>
      <c r="M447" t="n">
        <v>0</v>
      </c>
      <c r="N447" t="n">
        <v>0</v>
      </c>
      <c r="O447" t="n">
        <v>1</v>
      </c>
      <c r="P447" t="n">
        <v>0</v>
      </c>
      <c r="Q447" t="n">
        <v>1</v>
      </c>
      <c r="R447" s="2" t="inlineStr">
        <is>
          <t>Lunglav</t>
        </is>
      </c>
      <c r="S447">
        <f>HYPERLINK("https://klasma.github.io/Logging_2313/artfynd/A 4824-2024 artfynd.xlsx", "A 4824-2024")</f>
        <v/>
      </c>
      <c r="T447">
        <f>HYPERLINK("https://klasma.github.io/Logging_2313/kartor/A 4824-2024 karta.png", "A 4824-2024")</f>
        <v/>
      </c>
      <c r="V447">
        <f>HYPERLINK("https://klasma.github.io/Logging_2313/klagomål/A 4824-2024 FSC-klagomål.docx", "A 4824-2024")</f>
        <v/>
      </c>
      <c r="W447">
        <f>HYPERLINK("https://klasma.github.io/Logging_2313/klagomålsmail/A 4824-2024 FSC-klagomål mail.docx", "A 4824-2024")</f>
        <v/>
      </c>
      <c r="X447">
        <f>HYPERLINK("https://klasma.github.io/Logging_2313/tillsyn/A 4824-2024 tillsynsbegäran.docx", "A 4824-2024")</f>
        <v/>
      </c>
      <c r="Y447">
        <f>HYPERLINK("https://klasma.github.io/Logging_2313/tillsynsmail/A 4824-2024 tillsynsbegäran mail.docx", "A 4824-2024")</f>
        <v/>
      </c>
    </row>
    <row r="448" ht="15" customHeight="1">
      <c r="A448" t="inlineStr">
        <is>
          <t>A 8896-2024</t>
        </is>
      </c>
      <c r="B448" s="1" t="n">
        <v>45357</v>
      </c>
      <c r="C448" s="1" t="n">
        <v>45688</v>
      </c>
      <c r="D448" t="inlineStr">
        <is>
          <t>JÄMTLANDS LÄN</t>
        </is>
      </c>
      <c r="E448" t="inlineStr">
        <is>
          <t>STRÖMSUND</t>
        </is>
      </c>
      <c r="F448" t="inlineStr">
        <is>
          <t>Holmen skog AB</t>
        </is>
      </c>
      <c r="G448" t="n">
        <v>2.6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8896-2024 artfynd.xlsx", "A 8896-2024")</f>
        <v/>
      </c>
      <c r="T448">
        <f>HYPERLINK("https://klasma.github.io/Logging_2313/kartor/A 8896-2024 karta.png", "A 8896-2024")</f>
        <v/>
      </c>
      <c r="V448">
        <f>HYPERLINK("https://klasma.github.io/Logging_2313/klagomål/A 8896-2024 FSC-klagomål.docx", "A 8896-2024")</f>
        <v/>
      </c>
      <c r="W448">
        <f>HYPERLINK("https://klasma.github.io/Logging_2313/klagomålsmail/A 8896-2024 FSC-klagomål mail.docx", "A 8896-2024")</f>
        <v/>
      </c>
      <c r="X448">
        <f>HYPERLINK("https://klasma.github.io/Logging_2313/tillsyn/A 8896-2024 tillsynsbegäran.docx", "A 8896-2024")</f>
        <v/>
      </c>
      <c r="Y448">
        <f>HYPERLINK("https://klasma.github.io/Logging_2313/tillsynsmail/A 8896-2024 tillsynsbegäran mail.docx", "A 8896-2024")</f>
        <v/>
      </c>
      <c r="Z448">
        <f>HYPERLINK("https://klasma.github.io/Logging_2313/fåglar/A 8896-2024 prioriterade fågelarter.docx", "A 8896-2024")</f>
        <v/>
      </c>
    </row>
    <row r="449" ht="15" customHeight="1">
      <c r="A449" t="inlineStr">
        <is>
          <t>A 14005-2024</t>
        </is>
      </c>
      <c r="B449" s="1" t="n">
        <v>45392</v>
      </c>
      <c r="C449" s="1" t="n">
        <v>45688</v>
      </c>
      <c r="D449" t="inlineStr">
        <is>
          <t>JÄMTLANDS LÄN</t>
        </is>
      </c>
      <c r="E449" t="inlineStr">
        <is>
          <t>STRÖMSUND</t>
        </is>
      </c>
      <c r="F449" t="inlineStr">
        <is>
          <t>Holmen skog AB</t>
        </is>
      </c>
      <c r="G449" t="n">
        <v>6.3</v>
      </c>
      <c r="H449" t="n">
        <v>0</v>
      </c>
      <c r="I449" t="n">
        <v>0</v>
      </c>
      <c r="J449" t="n">
        <v>1</v>
      </c>
      <c r="K449" t="n">
        <v>0</v>
      </c>
      <c r="L449" t="n">
        <v>0</v>
      </c>
      <c r="M449" t="n">
        <v>0</v>
      </c>
      <c r="N449" t="n">
        <v>0</v>
      </c>
      <c r="O449" t="n">
        <v>1</v>
      </c>
      <c r="P449" t="n">
        <v>0</v>
      </c>
      <c r="Q449" t="n">
        <v>1</v>
      </c>
      <c r="R449" s="2" t="inlineStr">
        <is>
          <t>Blå taggsvamp</t>
        </is>
      </c>
      <c r="S449">
        <f>HYPERLINK("https://klasma.github.io/Logging_2313/artfynd/A 14005-2024 artfynd.xlsx", "A 14005-2024")</f>
        <v/>
      </c>
      <c r="T449">
        <f>HYPERLINK("https://klasma.github.io/Logging_2313/kartor/A 14005-2024 karta.png", "A 14005-2024")</f>
        <v/>
      </c>
      <c r="V449">
        <f>HYPERLINK("https://klasma.github.io/Logging_2313/klagomål/A 14005-2024 FSC-klagomål.docx", "A 14005-2024")</f>
        <v/>
      </c>
      <c r="W449">
        <f>HYPERLINK("https://klasma.github.io/Logging_2313/klagomålsmail/A 14005-2024 FSC-klagomål mail.docx", "A 14005-2024")</f>
        <v/>
      </c>
      <c r="X449">
        <f>HYPERLINK("https://klasma.github.io/Logging_2313/tillsyn/A 14005-2024 tillsynsbegäran.docx", "A 14005-2024")</f>
        <v/>
      </c>
      <c r="Y449">
        <f>HYPERLINK("https://klasma.github.io/Logging_2313/tillsynsmail/A 14005-2024 tillsynsbegäran mail.docx", "A 14005-2024")</f>
        <v/>
      </c>
    </row>
    <row r="450" ht="15" customHeight="1">
      <c r="A450" t="inlineStr">
        <is>
          <t>A 14155-2024</t>
        </is>
      </c>
      <c r="B450" s="1" t="n">
        <v>45393</v>
      </c>
      <c r="C450" s="1" t="n">
        <v>45688</v>
      </c>
      <c r="D450" t="inlineStr">
        <is>
          <t>JÄMTLANDS LÄN</t>
        </is>
      </c>
      <c r="E450" t="inlineStr">
        <is>
          <t>STRÖMSUND</t>
        </is>
      </c>
      <c r="G450" t="n">
        <v>2.4</v>
      </c>
      <c r="H450" t="n">
        <v>0</v>
      </c>
      <c r="I450" t="n">
        <v>0</v>
      </c>
      <c r="J450" t="n">
        <v>1</v>
      </c>
      <c r="K450" t="n">
        <v>0</v>
      </c>
      <c r="L450" t="n">
        <v>0</v>
      </c>
      <c r="M450" t="n">
        <v>0</v>
      </c>
      <c r="N450" t="n">
        <v>0</v>
      </c>
      <c r="O450" t="n">
        <v>1</v>
      </c>
      <c r="P450" t="n">
        <v>0</v>
      </c>
      <c r="Q450" t="n">
        <v>1</v>
      </c>
      <c r="R450" s="2" t="inlineStr">
        <is>
          <t>Vitgrynig nållav</t>
        </is>
      </c>
      <c r="S450">
        <f>HYPERLINK("https://klasma.github.io/Logging_2313/artfynd/A 14155-2024 artfynd.xlsx", "A 14155-2024")</f>
        <v/>
      </c>
      <c r="T450">
        <f>HYPERLINK("https://klasma.github.io/Logging_2313/kartor/A 14155-2024 karta.png", "A 14155-2024")</f>
        <v/>
      </c>
      <c r="V450">
        <f>HYPERLINK("https://klasma.github.io/Logging_2313/klagomål/A 14155-2024 FSC-klagomål.docx", "A 14155-2024")</f>
        <v/>
      </c>
      <c r="W450">
        <f>HYPERLINK("https://klasma.github.io/Logging_2313/klagomålsmail/A 14155-2024 FSC-klagomål mail.docx", "A 14155-2024")</f>
        <v/>
      </c>
      <c r="X450">
        <f>HYPERLINK("https://klasma.github.io/Logging_2313/tillsyn/A 14155-2024 tillsynsbegäran.docx", "A 14155-2024")</f>
        <v/>
      </c>
      <c r="Y450">
        <f>HYPERLINK("https://klasma.github.io/Logging_2313/tillsynsmail/A 14155-2024 tillsynsbegäran mail.docx", "A 14155-2024")</f>
        <v/>
      </c>
    </row>
    <row r="451" ht="15" customHeight="1">
      <c r="A451" t="inlineStr">
        <is>
          <t>A 15258-2024</t>
        </is>
      </c>
      <c r="B451" s="1" t="n">
        <v>45400</v>
      </c>
      <c r="C451" s="1" t="n">
        <v>45688</v>
      </c>
      <c r="D451" t="inlineStr">
        <is>
          <t>JÄMTLANDS LÄN</t>
        </is>
      </c>
      <c r="E451" t="inlineStr">
        <is>
          <t>STRÖMSUND</t>
        </is>
      </c>
      <c r="G451" t="n">
        <v>40.8</v>
      </c>
      <c r="H451" t="n">
        <v>0</v>
      </c>
      <c r="I451" t="n">
        <v>1</v>
      </c>
      <c r="J451" t="n">
        <v>0</v>
      </c>
      <c r="K451" t="n">
        <v>0</v>
      </c>
      <c r="L451" t="n">
        <v>0</v>
      </c>
      <c r="M451" t="n">
        <v>0</v>
      </c>
      <c r="N451" t="n">
        <v>0</v>
      </c>
      <c r="O451" t="n">
        <v>0</v>
      </c>
      <c r="P451" t="n">
        <v>0</v>
      </c>
      <c r="Q451" t="n">
        <v>1</v>
      </c>
      <c r="R451" s="2" t="inlineStr">
        <is>
          <t>Finbräken</t>
        </is>
      </c>
      <c r="S451">
        <f>HYPERLINK("https://klasma.github.io/Logging_2313/artfynd/A 15258-2024 artfynd.xlsx", "A 15258-2024")</f>
        <v/>
      </c>
      <c r="T451">
        <f>HYPERLINK("https://klasma.github.io/Logging_2313/kartor/A 15258-2024 karta.png", "A 15258-2024")</f>
        <v/>
      </c>
      <c r="V451">
        <f>HYPERLINK("https://klasma.github.io/Logging_2313/klagomål/A 15258-2024 FSC-klagomål.docx", "A 15258-2024")</f>
        <v/>
      </c>
      <c r="W451">
        <f>HYPERLINK("https://klasma.github.io/Logging_2313/klagomålsmail/A 15258-2024 FSC-klagomål mail.docx", "A 15258-2024")</f>
        <v/>
      </c>
      <c r="X451">
        <f>HYPERLINK("https://klasma.github.io/Logging_2313/tillsyn/A 15258-2024 tillsynsbegäran.docx", "A 15258-2024")</f>
        <v/>
      </c>
      <c r="Y451">
        <f>HYPERLINK("https://klasma.github.io/Logging_2313/tillsynsmail/A 15258-2024 tillsynsbegäran mail.docx", "A 15258-2024")</f>
        <v/>
      </c>
    </row>
    <row r="452" ht="15" customHeight="1">
      <c r="A452" t="inlineStr">
        <is>
          <t>A 24807-2024</t>
        </is>
      </c>
      <c r="B452" s="1" t="n">
        <v>45461</v>
      </c>
      <c r="C452" s="1" t="n">
        <v>45688</v>
      </c>
      <c r="D452" t="inlineStr">
        <is>
          <t>JÄMTLANDS LÄN</t>
        </is>
      </c>
      <c r="E452" t="inlineStr">
        <is>
          <t>STRÖMSUND</t>
        </is>
      </c>
      <c r="F452" t="inlineStr">
        <is>
          <t>SCA</t>
        </is>
      </c>
      <c r="G452" t="n">
        <v>2</v>
      </c>
      <c r="H452" t="n">
        <v>0</v>
      </c>
      <c r="I452" t="n">
        <v>0</v>
      </c>
      <c r="J452" t="n">
        <v>1</v>
      </c>
      <c r="K452" t="n">
        <v>0</v>
      </c>
      <c r="L452" t="n">
        <v>0</v>
      </c>
      <c r="M452" t="n">
        <v>0</v>
      </c>
      <c r="N452" t="n">
        <v>0</v>
      </c>
      <c r="O452" t="n">
        <v>1</v>
      </c>
      <c r="P452" t="n">
        <v>0</v>
      </c>
      <c r="Q452" t="n">
        <v>1</v>
      </c>
      <c r="R452" s="2" t="inlineStr">
        <is>
          <t>Ullticka</t>
        </is>
      </c>
      <c r="S452">
        <f>HYPERLINK("https://klasma.github.io/Logging_2313/artfynd/A 24807-2024 artfynd.xlsx", "A 24807-2024")</f>
        <v/>
      </c>
      <c r="T452">
        <f>HYPERLINK("https://klasma.github.io/Logging_2313/kartor/A 24807-2024 karta.png", "A 24807-2024")</f>
        <v/>
      </c>
      <c r="V452">
        <f>HYPERLINK("https://klasma.github.io/Logging_2313/klagomål/A 24807-2024 FSC-klagomål.docx", "A 24807-2024")</f>
        <v/>
      </c>
      <c r="W452">
        <f>HYPERLINK("https://klasma.github.io/Logging_2313/klagomålsmail/A 24807-2024 FSC-klagomål mail.docx", "A 24807-2024")</f>
        <v/>
      </c>
      <c r="X452">
        <f>HYPERLINK("https://klasma.github.io/Logging_2313/tillsyn/A 24807-2024 tillsynsbegäran.docx", "A 24807-2024")</f>
        <v/>
      </c>
      <c r="Y452">
        <f>HYPERLINK("https://klasma.github.io/Logging_2313/tillsynsmail/A 24807-2024 tillsynsbegäran mail.docx", "A 24807-2024")</f>
        <v/>
      </c>
    </row>
    <row r="453" ht="15" customHeight="1">
      <c r="A453" t="inlineStr">
        <is>
          <t>A 28509-2024</t>
        </is>
      </c>
      <c r="B453" s="1" t="n">
        <v>45478</v>
      </c>
      <c r="C453" s="1" t="n">
        <v>45688</v>
      </c>
      <c r="D453" t="inlineStr">
        <is>
          <t>JÄMTLANDS LÄN</t>
        </is>
      </c>
      <c r="E453" t="inlineStr">
        <is>
          <t>STRÖMSUND</t>
        </is>
      </c>
      <c r="F453" t="inlineStr">
        <is>
          <t>SCA</t>
        </is>
      </c>
      <c r="G453" t="n">
        <v>2.6</v>
      </c>
      <c r="H453" t="n">
        <v>0</v>
      </c>
      <c r="I453" t="n">
        <v>0</v>
      </c>
      <c r="J453" t="n">
        <v>0</v>
      </c>
      <c r="K453" t="n">
        <v>1</v>
      </c>
      <c r="L453" t="n">
        <v>0</v>
      </c>
      <c r="M453" t="n">
        <v>0</v>
      </c>
      <c r="N453" t="n">
        <v>0</v>
      </c>
      <c r="O453" t="n">
        <v>1</v>
      </c>
      <c r="P453" t="n">
        <v>1</v>
      </c>
      <c r="Q453" t="n">
        <v>1</v>
      </c>
      <c r="R453" s="2" t="inlineStr">
        <is>
          <t>Rynkskinn</t>
        </is>
      </c>
      <c r="S453">
        <f>HYPERLINK("https://klasma.github.io/Logging_2313/artfynd/A 28509-2024 artfynd.xlsx", "A 28509-2024")</f>
        <v/>
      </c>
      <c r="T453">
        <f>HYPERLINK("https://klasma.github.io/Logging_2313/kartor/A 28509-2024 karta.png", "A 28509-2024")</f>
        <v/>
      </c>
      <c r="V453">
        <f>HYPERLINK("https://klasma.github.io/Logging_2313/klagomål/A 28509-2024 FSC-klagomål.docx", "A 28509-2024")</f>
        <v/>
      </c>
      <c r="W453">
        <f>HYPERLINK("https://klasma.github.io/Logging_2313/klagomålsmail/A 28509-2024 FSC-klagomål mail.docx", "A 28509-2024")</f>
        <v/>
      </c>
      <c r="X453">
        <f>HYPERLINK("https://klasma.github.io/Logging_2313/tillsyn/A 28509-2024 tillsynsbegäran.docx", "A 28509-2024")</f>
        <v/>
      </c>
      <c r="Y453">
        <f>HYPERLINK("https://klasma.github.io/Logging_2313/tillsynsmail/A 28509-2024 tillsynsbegäran mail.docx", "A 28509-2024")</f>
        <v/>
      </c>
    </row>
    <row r="454" ht="15" customHeight="1">
      <c r="A454" t="inlineStr">
        <is>
          <t>A 30067-2024</t>
        </is>
      </c>
      <c r="B454" s="1" t="n">
        <v>45489</v>
      </c>
      <c r="C454" s="1" t="n">
        <v>45688</v>
      </c>
      <c r="D454" t="inlineStr">
        <is>
          <t>JÄMTLANDS LÄN</t>
        </is>
      </c>
      <c r="E454" t="inlineStr">
        <is>
          <t>STRÖMSUND</t>
        </is>
      </c>
      <c r="F454" t="inlineStr">
        <is>
          <t>SCA</t>
        </is>
      </c>
      <c r="G454" t="n">
        <v>4.8</v>
      </c>
      <c r="H454" t="n">
        <v>0</v>
      </c>
      <c r="I454" t="n">
        <v>0</v>
      </c>
      <c r="J454" t="n">
        <v>1</v>
      </c>
      <c r="K454" t="n">
        <v>0</v>
      </c>
      <c r="L454" t="n">
        <v>0</v>
      </c>
      <c r="M454" t="n">
        <v>0</v>
      </c>
      <c r="N454" t="n">
        <v>0</v>
      </c>
      <c r="O454" t="n">
        <v>1</v>
      </c>
      <c r="P454" t="n">
        <v>0</v>
      </c>
      <c r="Q454" t="n">
        <v>1</v>
      </c>
      <c r="R454" s="2" t="inlineStr">
        <is>
          <t>Doftskinn</t>
        </is>
      </c>
      <c r="S454">
        <f>HYPERLINK("https://klasma.github.io/Logging_2313/artfynd/A 30067-2024 artfynd.xlsx", "A 30067-2024")</f>
        <v/>
      </c>
      <c r="T454">
        <f>HYPERLINK("https://klasma.github.io/Logging_2313/kartor/A 30067-2024 karta.png", "A 30067-2024")</f>
        <v/>
      </c>
      <c r="V454">
        <f>HYPERLINK("https://klasma.github.io/Logging_2313/klagomål/A 30067-2024 FSC-klagomål.docx", "A 30067-2024")</f>
        <v/>
      </c>
      <c r="W454">
        <f>HYPERLINK("https://klasma.github.io/Logging_2313/klagomålsmail/A 30067-2024 FSC-klagomål mail.docx", "A 30067-2024")</f>
        <v/>
      </c>
      <c r="X454">
        <f>HYPERLINK("https://klasma.github.io/Logging_2313/tillsyn/A 30067-2024 tillsynsbegäran.docx", "A 30067-2024")</f>
        <v/>
      </c>
      <c r="Y454">
        <f>HYPERLINK("https://klasma.github.io/Logging_2313/tillsynsmail/A 30067-2024 tillsynsbegäran mail.docx", "A 30067-2024")</f>
        <v/>
      </c>
    </row>
    <row r="455" ht="15" customHeight="1">
      <c r="A455" t="inlineStr">
        <is>
          <t>A 31684-2024</t>
        </is>
      </c>
      <c r="B455" s="1" t="n">
        <v>45507</v>
      </c>
      <c r="C455" s="1" t="n">
        <v>45688</v>
      </c>
      <c r="D455" t="inlineStr">
        <is>
          <t>JÄMTLANDS LÄN</t>
        </is>
      </c>
      <c r="E455" t="inlineStr">
        <is>
          <t>STRÖMSUND</t>
        </is>
      </c>
      <c r="F455" t="inlineStr">
        <is>
          <t>SCA</t>
        </is>
      </c>
      <c r="G455" t="n">
        <v>5.4</v>
      </c>
      <c r="H455" t="n">
        <v>0</v>
      </c>
      <c r="I455" t="n">
        <v>0</v>
      </c>
      <c r="J455" t="n">
        <v>1</v>
      </c>
      <c r="K455" t="n">
        <v>0</v>
      </c>
      <c r="L455" t="n">
        <v>0</v>
      </c>
      <c r="M455" t="n">
        <v>0</v>
      </c>
      <c r="N455" t="n">
        <v>0</v>
      </c>
      <c r="O455" t="n">
        <v>1</v>
      </c>
      <c r="P455" t="n">
        <v>0</v>
      </c>
      <c r="Q455" t="n">
        <v>1</v>
      </c>
      <c r="R455" s="2" t="inlineStr">
        <is>
          <t>Skrovellav</t>
        </is>
      </c>
      <c r="S455">
        <f>HYPERLINK("https://klasma.github.io/Logging_2313/artfynd/A 31684-2024 artfynd.xlsx", "A 31684-2024")</f>
        <v/>
      </c>
      <c r="T455">
        <f>HYPERLINK("https://klasma.github.io/Logging_2313/kartor/A 31684-2024 karta.png", "A 31684-2024")</f>
        <v/>
      </c>
      <c r="V455">
        <f>HYPERLINK("https://klasma.github.io/Logging_2313/klagomål/A 31684-2024 FSC-klagomål.docx", "A 31684-2024")</f>
        <v/>
      </c>
      <c r="W455">
        <f>HYPERLINK("https://klasma.github.io/Logging_2313/klagomålsmail/A 31684-2024 FSC-klagomål mail.docx", "A 31684-2024")</f>
        <v/>
      </c>
      <c r="X455">
        <f>HYPERLINK("https://klasma.github.io/Logging_2313/tillsyn/A 31684-2024 tillsynsbegäran.docx", "A 31684-2024")</f>
        <v/>
      </c>
      <c r="Y455">
        <f>HYPERLINK("https://klasma.github.io/Logging_2313/tillsynsmail/A 31684-2024 tillsynsbegäran mail.docx", "A 31684-2024")</f>
        <v/>
      </c>
    </row>
    <row r="456" ht="15" customHeight="1">
      <c r="A456" t="inlineStr">
        <is>
          <t>A 32649-2024</t>
        </is>
      </c>
      <c r="B456" s="1" t="n">
        <v>45514</v>
      </c>
      <c r="C456" s="1" t="n">
        <v>45688</v>
      </c>
      <c r="D456" t="inlineStr">
        <is>
          <t>JÄMTLANDS LÄN</t>
        </is>
      </c>
      <c r="E456" t="inlineStr">
        <is>
          <t>STRÖMSUND</t>
        </is>
      </c>
      <c r="F456" t="inlineStr">
        <is>
          <t>SCA</t>
        </is>
      </c>
      <c r="G456" t="n">
        <v>3.2</v>
      </c>
      <c r="H456" t="n">
        <v>0</v>
      </c>
      <c r="I456" t="n">
        <v>0</v>
      </c>
      <c r="J456" t="n">
        <v>1</v>
      </c>
      <c r="K456" t="n">
        <v>0</v>
      </c>
      <c r="L456" t="n">
        <v>0</v>
      </c>
      <c r="M456" t="n">
        <v>0</v>
      </c>
      <c r="N456" t="n">
        <v>0</v>
      </c>
      <c r="O456" t="n">
        <v>1</v>
      </c>
      <c r="P456" t="n">
        <v>0</v>
      </c>
      <c r="Q456" t="n">
        <v>1</v>
      </c>
      <c r="R456" s="2" t="inlineStr">
        <is>
          <t>Stjärntagging</t>
        </is>
      </c>
      <c r="S456">
        <f>HYPERLINK("https://klasma.github.io/Logging_2313/artfynd/A 32649-2024 artfynd.xlsx", "A 32649-2024")</f>
        <v/>
      </c>
      <c r="T456">
        <f>HYPERLINK("https://klasma.github.io/Logging_2313/kartor/A 32649-2024 karta.png", "A 32649-2024")</f>
        <v/>
      </c>
      <c r="V456">
        <f>HYPERLINK("https://klasma.github.io/Logging_2313/klagomål/A 32649-2024 FSC-klagomål.docx", "A 32649-2024")</f>
        <v/>
      </c>
      <c r="W456">
        <f>HYPERLINK("https://klasma.github.io/Logging_2313/klagomålsmail/A 32649-2024 FSC-klagomål mail.docx", "A 32649-2024")</f>
        <v/>
      </c>
      <c r="X456">
        <f>HYPERLINK("https://klasma.github.io/Logging_2313/tillsyn/A 32649-2024 tillsynsbegäran.docx", "A 32649-2024")</f>
        <v/>
      </c>
      <c r="Y456">
        <f>HYPERLINK("https://klasma.github.io/Logging_2313/tillsynsmail/A 32649-2024 tillsynsbegäran mail.docx", "A 32649-2024")</f>
        <v/>
      </c>
    </row>
    <row r="457" ht="15" customHeight="1">
      <c r="A457" t="inlineStr">
        <is>
          <t>A 36334-2024</t>
        </is>
      </c>
      <c r="B457" s="1" t="n">
        <v>45534</v>
      </c>
      <c r="C457" s="1" t="n">
        <v>45688</v>
      </c>
      <c r="D457" t="inlineStr">
        <is>
          <t>JÄMTLANDS LÄN</t>
        </is>
      </c>
      <c r="E457" t="inlineStr">
        <is>
          <t>STRÖMSUND</t>
        </is>
      </c>
      <c r="F457" t="inlineStr">
        <is>
          <t>SCA</t>
        </is>
      </c>
      <c r="G457" t="n">
        <v>9.699999999999999</v>
      </c>
      <c r="H457" t="n">
        <v>1</v>
      </c>
      <c r="I457" t="n">
        <v>0</v>
      </c>
      <c r="J457" t="n">
        <v>0</v>
      </c>
      <c r="K457" t="n">
        <v>1</v>
      </c>
      <c r="L457" t="n">
        <v>0</v>
      </c>
      <c r="M457" t="n">
        <v>0</v>
      </c>
      <c r="N457" t="n">
        <v>0</v>
      </c>
      <c r="O457" t="n">
        <v>1</v>
      </c>
      <c r="P457" t="n">
        <v>1</v>
      </c>
      <c r="Q457" t="n">
        <v>1</v>
      </c>
      <c r="R457" s="2" t="inlineStr">
        <is>
          <t>Doftticka</t>
        </is>
      </c>
      <c r="S457">
        <f>HYPERLINK("https://klasma.github.io/Logging_2313/artfynd/A 36334-2024 artfynd.xlsx", "A 36334-2024")</f>
        <v/>
      </c>
      <c r="T457">
        <f>HYPERLINK("https://klasma.github.io/Logging_2313/kartor/A 36334-2024 karta.png", "A 36334-2024")</f>
        <v/>
      </c>
      <c r="V457">
        <f>HYPERLINK("https://klasma.github.io/Logging_2313/klagomål/A 36334-2024 FSC-klagomål.docx", "A 36334-2024")</f>
        <v/>
      </c>
      <c r="W457">
        <f>HYPERLINK("https://klasma.github.io/Logging_2313/klagomålsmail/A 36334-2024 FSC-klagomål mail.docx", "A 36334-2024")</f>
        <v/>
      </c>
      <c r="X457">
        <f>HYPERLINK("https://klasma.github.io/Logging_2313/tillsyn/A 36334-2024 tillsynsbegäran.docx", "A 36334-2024")</f>
        <v/>
      </c>
      <c r="Y457">
        <f>HYPERLINK("https://klasma.github.io/Logging_2313/tillsynsmail/A 36334-2024 tillsynsbegäran mail.docx", "A 36334-2024")</f>
        <v/>
      </c>
    </row>
    <row r="458" ht="15" customHeight="1">
      <c r="A458" t="inlineStr">
        <is>
          <t>A 40186-2024</t>
        </is>
      </c>
      <c r="B458" s="1" t="n">
        <v>45554</v>
      </c>
      <c r="C458" s="1" t="n">
        <v>45688</v>
      </c>
      <c r="D458" t="inlineStr">
        <is>
          <t>JÄMTLANDS LÄN</t>
        </is>
      </c>
      <c r="E458" t="inlineStr">
        <is>
          <t>STRÖMSUND</t>
        </is>
      </c>
      <c r="G458" t="n">
        <v>7.4</v>
      </c>
      <c r="H458" t="n">
        <v>0</v>
      </c>
      <c r="I458" t="n">
        <v>1</v>
      </c>
      <c r="J458" t="n">
        <v>0</v>
      </c>
      <c r="K458" t="n">
        <v>0</v>
      </c>
      <c r="L458" t="n">
        <v>0</v>
      </c>
      <c r="M458" t="n">
        <v>0</v>
      </c>
      <c r="N458" t="n">
        <v>0</v>
      </c>
      <c r="O458" t="n">
        <v>0</v>
      </c>
      <c r="P458" t="n">
        <v>0</v>
      </c>
      <c r="Q458" t="n">
        <v>1</v>
      </c>
      <c r="R458" s="2" t="inlineStr">
        <is>
          <t>Kransrams</t>
        </is>
      </c>
      <c r="S458">
        <f>HYPERLINK("https://klasma.github.io/Logging_2313/artfynd/A 40186-2024 artfynd.xlsx", "A 40186-2024")</f>
        <v/>
      </c>
      <c r="T458">
        <f>HYPERLINK("https://klasma.github.io/Logging_2313/kartor/A 40186-2024 karta.png", "A 40186-2024")</f>
        <v/>
      </c>
      <c r="V458">
        <f>HYPERLINK("https://klasma.github.io/Logging_2313/klagomål/A 40186-2024 FSC-klagomål.docx", "A 40186-2024")</f>
        <v/>
      </c>
      <c r="W458">
        <f>HYPERLINK("https://klasma.github.io/Logging_2313/klagomålsmail/A 40186-2024 FSC-klagomål mail.docx", "A 40186-2024")</f>
        <v/>
      </c>
      <c r="X458">
        <f>HYPERLINK("https://klasma.github.io/Logging_2313/tillsyn/A 40186-2024 tillsynsbegäran.docx", "A 40186-2024")</f>
        <v/>
      </c>
      <c r="Y458">
        <f>HYPERLINK("https://klasma.github.io/Logging_2313/tillsynsmail/A 40186-2024 tillsynsbegäran mail.docx", "A 40186-2024")</f>
        <v/>
      </c>
    </row>
    <row r="459" ht="15" customHeight="1">
      <c r="A459" t="inlineStr">
        <is>
          <t>A 41938-2024</t>
        </is>
      </c>
      <c r="B459" s="1" t="n">
        <v>45561</v>
      </c>
      <c r="C459" s="1" t="n">
        <v>45688</v>
      </c>
      <c r="D459" t="inlineStr">
        <is>
          <t>JÄMTLANDS LÄN</t>
        </is>
      </c>
      <c r="E459" t="inlineStr">
        <is>
          <t>STRÖMSUND</t>
        </is>
      </c>
      <c r="F459" t="inlineStr">
        <is>
          <t>SCA</t>
        </is>
      </c>
      <c r="G459" t="n">
        <v>5.4</v>
      </c>
      <c r="H459" t="n">
        <v>0</v>
      </c>
      <c r="I459" t="n">
        <v>0</v>
      </c>
      <c r="J459" t="n">
        <v>1</v>
      </c>
      <c r="K459" t="n">
        <v>0</v>
      </c>
      <c r="L459" t="n">
        <v>0</v>
      </c>
      <c r="M459" t="n">
        <v>0</v>
      </c>
      <c r="N459" t="n">
        <v>0</v>
      </c>
      <c r="O459" t="n">
        <v>1</v>
      </c>
      <c r="P459" t="n">
        <v>0</v>
      </c>
      <c r="Q459" t="n">
        <v>1</v>
      </c>
      <c r="R459" s="2" t="inlineStr">
        <is>
          <t>Lunglav</t>
        </is>
      </c>
      <c r="S459">
        <f>HYPERLINK("https://klasma.github.io/Logging_2313/artfynd/A 41938-2024 artfynd.xlsx", "A 41938-2024")</f>
        <v/>
      </c>
      <c r="T459">
        <f>HYPERLINK("https://klasma.github.io/Logging_2313/kartor/A 41938-2024 karta.png", "A 41938-2024")</f>
        <v/>
      </c>
      <c r="V459">
        <f>HYPERLINK("https://klasma.github.io/Logging_2313/klagomål/A 41938-2024 FSC-klagomål.docx", "A 41938-2024")</f>
        <v/>
      </c>
      <c r="W459">
        <f>HYPERLINK("https://klasma.github.io/Logging_2313/klagomålsmail/A 41938-2024 FSC-klagomål mail.docx", "A 41938-2024")</f>
        <v/>
      </c>
      <c r="X459">
        <f>HYPERLINK("https://klasma.github.io/Logging_2313/tillsyn/A 41938-2024 tillsynsbegäran.docx", "A 41938-2024")</f>
        <v/>
      </c>
      <c r="Y459">
        <f>HYPERLINK("https://klasma.github.io/Logging_2313/tillsynsmail/A 41938-2024 tillsynsbegäran mail.docx", "A 41938-2024")</f>
        <v/>
      </c>
    </row>
    <row r="460" ht="15" customHeight="1">
      <c r="A460" t="inlineStr">
        <is>
          <t>A 43888-2024</t>
        </is>
      </c>
      <c r="B460" s="1" t="n">
        <v>45572</v>
      </c>
      <c r="C460" s="1" t="n">
        <v>45688</v>
      </c>
      <c r="D460" t="inlineStr">
        <is>
          <t>JÄMTLANDS LÄN</t>
        </is>
      </c>
      <c r="E460" t="inlineStr">
        <is>
          <t>STRÖMSUND</t>
        </is>
      </c>
      <c r="G460" t="n">
        <v>16.1</v>
      </c>
      <c r="H460" t="n">
        <v>1</v>
      </c>
      <c r="I460" t="n">
        <v>0</v>
      </c>
      <c r="J460" t="n">
        <v>1</v>
      </c>
      <c r="K460" t="n">
        <v>0</v>
      </c>
      <c r="L460" t="n">
        <v>0</v>
      </c>
      <c r="M460" t="n">
        <v>0</v>
      </c>
      <c r="N460" t="n">
        <v>0</v>
      </c>
      <c r="O460" t="n">
        <v>1</v>
      </c>
      <c r="P460" t="n">
        <v>0</v>
      </c>
      <c r="Q460" t="n">
        <v>1</v>
      </c>
      <c r="R460" s="2" t="inlineStr">
        <is>
          <t>Talltita</t>
        </is>
      </c>
      <c r="S460">
        <f>HYPERLINK("https://klasma.github.io/Logging_2313/artfynd/A 43888-2024 artfynd.xlsx", "A 43888-2024")</f>
        <v/>
      </c>
      <c r="T460">
        <f>HYPERLINK("https://klasma.github.io/Logging_2313/kartor/A 43888-2024 karta.png", "A 43888-2024")</f>
        <v/>
      </c>
      <c r="V460">
        <f>HYPERLINK("https://klasma.github.io/Logging_2313/klagomål/A 43888-2024 FSC-klagomål.docx", "A 43888-2024")</f>
        <v/>
      </c>
      <c r="W460">
        <f>HYPERLINK("https://klasma.github.io/Logging_2313/klagomålsmail/A 43888-2024 FSC-klagomål mail.docx", "A 43888-2024")</f>
        <v/>
      </c>
      <c r="X460">
        <f>HYPERLINK("https://klasma.github.io/Logging_2313/tillsyn/A 43888-2024 tillsynsbegäran.docx", "A 43888-2024")</f>
        <v/>
      </c>
      <c r="Y460">
        <f>HYPERLINK("https://klasma.github.io/Logging_2313/tillsynsmail/A 43888-2024 tillsynsbegäran mail.docx", "A 43888-2024")</f>
        <v/>
      </c>
      <c r="Z460">
        <f>HYPERLINK("https://klasma.github.io/Logging_2313/fåglar/A 43888-2024 prioriterade fågelarter.docx", "A 43888-2024")</f>
        <v/>
      </c>
    </row>
    <row r="461" ht="15" customHeight="1">
      <c r="A461" t="inlineStr">
        <is>
          <t>A 44603-2024</t>
        </is>
      </c>
      <c r="B461" s="1" t="n">
        <v>45574</v>
      </c>
      <c r="C461" s="1" t="n">
        <v>45688</v>
      </c>
      <c r="D461" t="inlineStr">
        <is>
          <t>JÄMTLANDS LÄN</t>
        </is>
      </c>
      <c r="E461" t="inlineStr">
        <is>
          <t>STRÖMSUND</t>
        </is>
      </c>
      <c r="F461" t="inlineStr">
        <is>
          <t>SCA</t>
        </is>
      </c>
      <c r="G461" t="n">
        <v>4.6</v>
      </c>
      <c r="H461" t="n">
        <v>0</v>
      </c>
      <c r="I461" t="n">
        <v>0</v>
      </c>
      <c r="J461" t="n">
        <v>0</v>
      </c>
      <c r="K461" t="n">
        <v>1</v>
      </c>
      <c r="L461" t="n">
        <v>0</v>
      </c>
      <c r="M461" t="n">
        <v>0</v>
      </c>
      <c r="N461" t="n">
        <v>0</v>
      </c>
      <c r="O461" t="n">
        <v>1</v>
      </c>
      <c r="P461" t="n">
        <v>1</v>
      </c>
      <c r="Q461" t="n">
        <v>1</v>
      </c>
      <c r="R461" s="2" t="inlineStr">
        <is>
          <t>Norsk näverlav</t>
        </is>
      </c>
      <c r="S461">
        <f>HYPERLINK("https://klasma.github.io/Logging_2313/artfynd/A 44603-2024 artfynd.xlsx", "A 44603-2024")</f>
        <v/>
      </c>
      <c r="T461">
        <f>HYPERLINK("https://klasma.github.io/Logging_2313/kartor/A 44603-2024 karta.png", "A 44603-2024")</f>
        <v/>
      </c>
      <c r="V461">
        <f>HYPERLINK("https://klasma.github.io/Logging_2313/klagomål/A 44603-2024 FSC-klagomål.docx", "A 44603-2024")</f>
        <v/>
      </c>
      <c r="W461">
        <f>HYPERLINK("https://klasma.github.io/Logging_2313/klagomålsmail/A 44603-2024 FSC-klagomål mail.docx", "A 44603-2024")</f>
        <v/>
      </c>
      <c r="X461">
        <f>HYPERLINK("https://klasma.github.io/Logging_2313/tillsyn/A 44603-2024 tillsynsbegäran.docx", "A 44603-2024")</f>
        <v/>
      </c>
      <c r="Y461">
        <f>HYPERLINK("https://klasma.github.io/Logging_2313/tillsynsmail/A 44603-2024 tillsynsbegäran mail.docx", "A 44603-2024")</f>
        <v/>
      </c>
    </row>
    <row r="462" ht="15" customHeight="1">
      <c r="A462" t="inlineStr">
        <is>
          <t>A 44617-2024</t>
        </is>
      </c>
      <c r="B462" s="1" t="n">
        <v>45574</v>
      </c>
      <c r="C462" s="1" t="n">
        <v>45688</v>
      </c>
      <c r="D462" t="inlineStr">
        <is>
          <t>JÄMTLANDS LÄN</t>
        </is>
      </c>
      <c r="E462" t="inlineStr">
        <is>
          <t>STRÖMSUND</t>
        </is>
      </c>
      <c r="F462" t="inlineStr">
        <is>
          <t>SCA</t>
        </is>
      </c>
      <c r="G462" t="n">
        <v>6.1</v>
      </c>
      <c r="H462" t="n">
        <v>0</v>
      </c>
      <c r="I462" t="n">
        <v>0</v>
      </c>
      <c r="J462" t="n">
        <v>1</v>
      </c>
      <c r="K462" t="n">
        <v>0</v>
      </c>
      <c r="L462" t="n">
        <v>0</v>
      </c>
      <c r="M462" t="n">
        <v>0</v>
      </c>
      <c r="N462" t="n">
        <v>0</v>
      </c>
      <c r="O462" t="n">
        <v>1</v>
      </c>
      <c r="P462" t="n">
        <v>0</v>
      </c>
      <c r="Q462" t="n">
        <v>1</v>
      </c>
      <c r="R462" s="2" t="inlineStr">
        <is>
          <t>Granticka</t>
        </is>
      </c>
      <c r="S462">
        <f>HYPERLINK("https://klasma.github.io/Logging_2313/artfynd/A 44617-2024 artfynd.xlsx", "A 44617-2024")</f>
        <v/>
      </c>
      <c r="T462">
        <f>HYPERLINK("https://klasma.github.io/Logging_2313/kartor/A 44617-2024 karta.png", "A 44617-2024")</f>
        <v/>
      </c>
      <c r="V462">
        <f>HYPERLINK("https://klasma.github.io/Logging_2313/klagomål/A 44617-2024 FSC-klagomål.docx", "A 44617-2024")</f>
        <v/>
      </c>
      <c r="W462">
        <f>HYPERLINK("https://klasma.github.io/Logging_2313/klagomålsmail/A 44617-2024 FSC-klagomål mail.docx", "A 44617-2024")</f>
        <v/>
      </c>
      <c r="X462">
        <f>HYPERLINK("https://klasma.github.io/Logging_2313/tillsyn/A 44617-2024 tillsynsbegäran.docx", "A 44617-2024")</f>
        <v/>
      </c>
      <c r="Y462">
        <f>HYPERLINK("https://klasma.github.io/Logging_2313/tillsynsmail/A 44617-2024 tillsynsbegäran mail.docx", "A 44617-2024")</f>
        <v/>
      </c>
    </row>
    <row r="463" ht="15" customHeight="1">
      <c r="A463" t="inlineStr">
        <is>
          <t>A 48213-2024</t>
        </is>
      </c>
      <c r="B463" s="1" t="n">
        <v>45590</v>
      </c>
      <c r="C463" s="1" t="n">
        <v>45688</v>
      </c>
      <c r="D463" t="inlineStr">
        <is>
          <t>JÄMTLANDS LÄN</t>
        </is>
      </c>
      <c r="E463" t="inlineStr">
        <is>
          <t>STRÖMSUND</t>
        </is>
      </c>
      <c r="G463" t="n">
        <v>3.9</v>
      </c>
      <c r="H463" t="n">
        <v>0</v>
      </c>
      <c r="I463" t="n">
        <v>0</v>
      </c>
      <c r="J463" t="n">
        <v>1</v>
      </c>
      <c r="K463" t="n">
        <v>0</v>
      </c>
      <c r="L463" t="n">
        <v>0</v>
      </c>
      <c r="M463" t="n">
        <v>0</v>
      </c>
      <c r="N463" t="n">
        <v>0</v>
      </c>
      <c r="O463" t="n">
        <v>1</v>
      </c>
      <c r="P463" t="n">
        <v>0</v>
      </c>
      <c r="Q463" t="n">
        <v>1</v>
      </c>
      <c r="R463" s="2" t="inlineStr">
        <is>
          <t>Äggvaxskivling</t>
        </is>
      </c>
      <c r="S463">
        <f>HYPERLINK("https://klasma.github.io/Logging_2313/artfynd/A 48213-2024 artfynd.xlsx", "A 48213-2024")</f>
        <v/>
      </c>
      <c r="T463">
        <f>HYPERLINK("https://klasma.github.io/Logging_2313/kartor/A 48213-2024 karta.png", "A 48213-2024")</f>
        <v/>
      </c>
      <c r="V463">
        <f>HYPERLINK("https://klasma.github.io/Logging_2313/klagomål/A 48213-2024 FSC-klagomål.docx", "A 48213-2024")</f>
        <v/>
      </c>
      <c r="W463">
        <f>HYPERLINK("https://klasma.github.io/Logging_2313/klagomålsmail/A 48213-2024 FSC-klagomål mail.docx", "A 48213-2024")</f>
        <v/>
      </c>
      <c r="X463">
        <f>HYPERLINK("https://klasma.github.io/Logging_2313/tillsyn/A 48213-2024 tillsynsbegäran.docx", "A 48213-2024")</f>
        <v/>
      </c>
      <c r="Y463">
        <f>HYPERLINK("https://klasma.github.io/Logging_2313/tillsynsmail/A 48213-2024 tillsynsbegäran mail.docx", "A 48213-2024")</f>
        <v/>
      </c>
    </row>
    <row r="464" ht="15" customHeight="1">
      <c r="A464" t="inlineStr">
        <is>
          <t>A 48918-2024</t>
        </is>
      </c>
      <c r="B464" s="1" t="n">
        <v>45594</v>
      </c>
      <c r="C464" s="1" t="n">
        <v>45688</v>
      </c>
      <c r="D464" t="inlineStr">
        <is>
          <t>JÄMTLANDS LÄN</t>
        </is>
      </c>
      <c r="E464" t="inlineStr">
        <is>
          <t>STRÖMSUND</t>
        </is>
      </c>
      <c r="F464" t="inlineStr">
        <is>
          <t>SCA</t>
        </is>
      </c>
      <c r="G464" t="n">
        <v>5.2</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48918-2024 artfynd.xlsx", "A 48918-2024")</f>
        <v/>
      </c>
      <c r="T464">
        <f>HYPERLINK("https://klasma.github.io/Logging_2313/kartor/A 48918-2024 karta.png", "A 48918-2024")</f>
        <v/>
      </c>
      <c r="V464">
        <f>HYPERLINK("https://klasma.github.io/Logging_2313/klagomål/A 48918-2024 FSC-klagomål.docx", "A 48918-2024")</f>
        <v/>
      </c>
      <c r="W464">
        <f>HYPERLINK("https://klasma.github.io/Logging_2313/klagomålsmail/A 48918-2024 FSC-klagomål mail.docx", "A 48918-2024")</f>
        <v/>
      </c>
      <c r="X464">
        <f>HYPERLINK("https://klasma.github.io/Logging_2313/tillsyn/A 48918-2024 tillsynsbegäran.docx", "A 48918-2024")</f>
        <v/>
      </c>
      <c r="Y464">
        <f>HYPERLINK("https://klasma.github.io/Logging_2313/tillsynsmail/A 48918-2024 tillsynsbegäran mail.docx", "A 48918-2024")</f>
        <v/>
      </c>
      <c r="Z464">
        <f>HYPERLINK("https://klasma.github.io/Logging_2313/fåglar/A 48918-2024 prioriterade fågelarter.docx", "A 48918-2024")</f>
        <v/>
      </c>
    </row>
    <row r="465" ht="15" customHeight="1">
      <c r="A465" t="inlineStr">
        <is>
          <t>A 49374-2024</t>
        </is>
      </c>
      <c r="B465" s="1" t="n">
        <v>45595</v>
      </c>
      <c r="C465" s="1" t="n">
        <v>45688</v>
      </c>
      <c r="D465" t="inlineStr">
        <is>
          <t>JÄMTLANDS LÄN</t>
        </is>
      </c>
      <c r="E465" t="inlineStr">
        <is>
          <t>STRÖMSUND</t>
        </is>
      </c>
      <c r="F465" t="inlineStr">
        <is>
          <t>SCA</t>
        </is>
      </c>
      <c r="G465" t="n">
        <v>1.5</v>
      </c>
      <c r="H465" t="n">
        <v>0</v>
      </c>
      <c r="I465" t="n">
        <v>0</v>
      </c>
      <c r="J465" t="n">
        <v>1</v>
      </c>
      <c r="K465" t="n">
        <v>0</v>
      </c>
      <c r="L465" t="n">
        <v>0</v>
      </c>
      <c r="M465" t="n">
        <v>0</v>
      </c>
      <c r="N465" t="n">
        <v>0</v>
      </c>
      <c r="O465" t="n">
        <v>1</v>
      </c>
      <c r="P465" t="n">
        <v>0</v>
      </c>
      <c r="Q465" t="n">
        <v>1</v>
      </c>
      <c r="R465" s="2" t="inlineStr">
        <is>
          <t>Veckticka</t>
        </is>
      </c>
      <c r="S465">
        <f>HYPERLINK("https://klasma.github.io/Logging_2313/artfynd/A 49374-2024 artfynd.xlsx", "A 49374-2024")</f>
        <v/>
      </c>
      <c r="T465">
        <f>HYPERLINK("https://klasma.github.io/Logging_2313/kartor/A 49374-2024 karta.png", "A 49374-2024")</f>
        <v/>
      </c>
      <c r="V465">
        <f>HYPERLINK("https://klasma.github.io/Logging_2313/klagomål/A 49374-2024 FSC-klagomål.docx", "A 49374-2024")</f>
        <v/>
      </c>
      <c r="W465">
        <f>HYPERLINK("https://klasma.github.io/Logging_2313/klagomålsmail/A 49374-2024 FSC-klagomål mail.docx", "A 49374-2024")</f>
        <v/>
      </c>
      <c r="X465">
        <f>HYPERLINK("https://klasma.github.io/Logging_2313/tillsyn/A 49374-2024 tillsynsbegäran.docx", "A 49374-2024")</f>
        <v/>
      </c>
      <c r="Y465">
        <f>HYPERLINK("https://klasma.github.io/Logging_2313/tillsynsmail/A 49374-2024 tillsynsbegäran mail.docx", "A 49374-2024")</f>
        <v/>
      </c>
    </row>
    <row r="466" ht="15" customHeight="1">
      <c r="A466" t="inlineStr">
        <is>
          <t>A 51487-2024</t>
        </is>
      </c>
      <c r="B466" s="1" t="n">
        <v>45604</v>
      </c>
      <c r="C466" s="1" t="n">
        <v>45688</v>
      </c>
      <c r="D466" t="inlineStr">
        <is>
          <t>JÄMTLANDS LÄN</t>
        </is>
      </c>
      <c r="E466" t="inlineStr">
        <is>
          <t>STRÖMSUND</t>
        </is>
      </c>
      <c r="F466" t="inlineStr">
        <is>
          <t>Kommuner</t>
        </is>
      </c>
      <c r="G466" t="n">
        <v>6.8</v>
      </c>
      <c r="H466" t="n">
        <v>1</v>
      </c>
      <c r="I466" t="n">
        <v>0</v>
      </c>
      <c r="J466" t="n">
        <v>1</v>
      </c>
      <c r="K466" t="n">
        <v>0</v>
      </c>
      <c r="L466" t="n">
        <v>0</v>
      </c>
      <c r="M466" t="n">
        <v>0</v>
      </c>
      <c r="N466" t="n">
        <v>0</v>
      </c>
      <c r="O466" t="n">
        <v>1</v>
      </c>
      <c r="P466" t="n">
        <v>0</v>
      </c>
      <c r="Q466" t="n">
        <v>1</v>
      </c>
      <c r="R466" s="2" t="inlineStr">
        <is>
          <t>Spillkråka</t>
        </is>
      </c>
      <c r="S466">
        <f>HYPERLINK("https://klasma.github.io/Logging_2313/artfynd/A 51487-2024 artfynd.xlsx", "A 51487-2024")</f>
        <v/>
      </c>
      <c r="T466">
        <f>HYPERLINK("https://klasma.github.io/Logging_2313/kartor/A 51487-2024 karta.png", "A 51487-2024")</f>
        <v/>
      </c>
      <c r="V466">
        <f>HYPERLINK("https://klasma.github.io/Logging_2313/klagomål/A 51487-2024 FSC-klagomål.docx", "A 51487-2024")</f>
        <v/>
      </c>
      <c r="W466">
        <f>HYPERLINK("https://klasma.github.io/Logging_2313/klagomålsmail/A 51487-2024 FSC-klagomål mail.docx", "A 51487-2024")</f>
        <v/>
      </c>
      <c r="X466">
        <f>HYPERLINK("https://klasma.github.io/Logging_2313/tillsyn/A 51487-2024 tillsynsbegäran.docx", "A 51487-2024")</f>
        <v/>
      </c>
      <c r="Y466">
        <f>HYPERLINK("https://klasma.github.io/Logging_2313/tillsynsmail/A 51487-2024 tillsynsbegäran mail.docx", "A 51487-2024")</f>
        <v/>
      </c>
      <c r="Z466">
        <f>HYPERLINK("https://klasma.github.io/Logging_2313/fåglar/A 51487-2024 prioriterade fågelarter.docx", "A 51487-2024")</f>
        <v/>
      </c>
    </row>
    <row r="467" ht="15" customHeight="1">
      <c r="A467" t="inlineStr">
        <is>
          <t>A 53170-2024</t>
        </is>
      </c>
      <c r="B467" s="1" t="n">
        <v>45611</v>
      </c>
      <c r="C467" s="1" t="n">
        <v>45688</v>
      </c>
      <c r="D467" t="inlineStr">
        <is>
          <t>JÄMTLANDS LÄN</t>
        </is>
      </c>
      <c r="E467" t="inlineStr">
        <is>
          <t>STRÖMSUND</t>
        </is>
      </c>
      <c r="G467" t="n">
        <v>21.1</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53170-2024 artfynd.xlsx", "A 53170-2024")</f>
        <v/>
      </c>
      <c r="T467">
        <f>HYPERLINK("https://klasma.github.io/Logging_2313/kartor/A 53170-2024 karta.png", "A 53170-2024")</f>
        <v/>
      </c>
      <c r="V467">
        <f>HYPERLINK("https://klasma.github.io/Logging_2313/klagomål/A 53170-2024 FSC-klagomål.docx", "A 53170-2024")</f>
        <v/>
      </c>
      <c r="W467">
        <f>HYPERLINK("https://klasma.github.io/Logging_2313/klagomålsmail/A 53170-2024 FSC-klagomål mail.docx", "A 53170-2024")</f>
        <v/>
      </c>
      <c r="X467">
        <f>HYPERLINK("https://klasma.github.io/Logging_2313/tillsyn/A 53170-2024 tillsynsbegäran.docx", "A 53170-2024")</f>
        <v/>
      </c>
      <c r="Y467">
        <f>HYPERLINK("https://klasma.github.io/Logging_2313/tillsynsmail/A 53170-2024 tillsynsbegäran mail.docx", "A 53170-2024")</f>
        <v/>
      </c>
      <c r="Z467">
        <f>HYPERLINK("https://klasma.github.io/Logging_2313/fåglar/A 53170-2024 prioriterade fågelarter.docx", "A 53170-2024")</f>
        <v/>
      </c>
    </row>
    <row r="468" ht="15" customHeight="1">
      <c r="A468" t="inlineStr">
        <is>
          <t>A 53680-2024</t>
        </is>
      </c>
      <c r="B468" s="1" t="n">
        <v>45615</v>
      </c>
      <c r="C468" s="1" t="n">
        <v>45688</v>
      </c>
      <c r="D468" t="inlineStr">
        <is>
          <t>JÄMTLANDS LÄN</t>
        </is>
      </c>
      <c r="E468" t="inlineStr">
        <is>
          <t>STRÖMSUND</t>
        </is>
      </c>
      <c r="F468" t="inlineStr">
        <is>
          <t>SCA</t>
        </is>
      </c>
      <c r="G468" t="n">
        <v>5.6</v>
      </c>
      <c r="H468" t="n">
        <v>1</v>
      </c>
      <c r="I468" t="n">
        <v>0</v>
      </c>
      <c r="J468" t="n">
        <v>0</v>
      </c>
      <c r="K468" t="n">
        <v>0</v>
      </c>
      <c r="L468" t="n">
        <v>0</v>
      </c>
      <c r="M468" t="n">
        <v>0</v>
      </c>
      <c r="N468" t="n">
        <v>0</v>
      </c>
      <c r="O468" t="n">
        <v>0</v>
      </c>
      <c r="P468" t="n">
        <v>0</v>
      </c>
      <c r="Q468" t="n">
        <v>1</v>
      </c>
      <c r="R468" s="2" t="inlineStr">
        <is>
          <t>Fläcknycklar</t>
        </is>
      </c>
      <c r="S468">
        <f>HYPERLINK("https://klasma.github.io/Logging_2313/artfynd/A 53680-2024 artfynd.xlsx", "A 53680-2024")</f>
        <v/>
      </c>
      <c r="T468">
        <f>HYPERLINK("https://klasma.github.io/Logging_2313/kartor/A 53680-2024 karta.png", "A 53680-2024")</f>
        <v/>
      </c>
      <c r="V468">
        <f>HYPERLINK("https://klasma.github.io/Logging_2313/klagomål/A 53680-2024 FSC-klagomål.docx", "A 53680-2024")</f>
        <v/>
      </c>
      <c r="W468">
        <f>HYPERLINK("https://klasma.github.io/Logging_2313/klagomålsmail/A 53680-2024 FSC-klagomål mail.docx", "A 53680-2024")</f>
        <v/>
      </c>
      <c r="X468">
        <f>HYPERLINK("https://klasma.github.io/Logging_2313/tillsyn/A 53680-2024 tillsynsbegäran.docx", "A 53680-2024")</f>
        <v/>
      </c>
      <c r="Y468">
        <f>HYPERLINK("https://klasma.github.io/Logging_2313/tillsynsmail/A 53680-2024 tillsynsbegäran mail.docx", "A 53680-2024")</f>
        <v/>
      </c>
    </row>
    <row r="469" ht="15" customHeight="1">
      <c r="A469" t="inlineStr">
        <is>
          <t>A 54583-2024</t>
        </is>
      </c>
      <c r="B469" s="1" t="n">
        <v>45617</v>
      </c>
      <c r="C469" s="1" t="n">
        <v>45688</v>
      </c>
      <c r="D469" t="inlineStr">
        <is>
          <t>JÄMTLANDS LÄN</t>
        </is>
      </c>
      <c r="E469" t="inlineStr">
        <is>
          <t>STRÖMSUND</t>
        </is>
      </c>
      <c r="F469" t="inlineStr">
        <is>
          <t>SCA</t>
        </is>
      </c>
      <c r="G469" t="n">
        <v>8.5</v>
      </c>
      <c r="H469" t="n">
        <v>0</v>
      </c>
      <c r="I469" t="n">
        <v>0</v>
      </c>
      <c r="J469" t="n">
        <v>1</v>
      </c>
      <c r="K469" t="n">
        <v>0</v>
      </c>
      <c r="L469" t="n">
        <v>0</v>
      </c>
      <c r="M469" t="n">
        <v>0</v>
      </c>
      <c r="N469" t="n">
        <v>0</v>
      </c>
      <c r="O469" t="n">
        <v>1</v>
      </c>
      <c r="P469" t="n">
        <v>0</v>
      </c>
      <c r="Q469" t="n">
        <v>1</v>
      </c>
      <c r="R469" s="2" t="inlineStr">
        <is>
          <t>Gammelgransskål</t>
        </is>
      </c>
      <c r="S469">
        <f>HYPERLINK("https://klasma.github.io/Logging_2313/artfynd/A 54583-2024 artfynd.xlsx", "A 54583-2024")</f>
        <v/>
      </c>
      <c r="T469">
        <f>HYPERLINK("https://klasma.github.io/Logging_2313/kartor/A 54583-2024 karta.png", "A 54583-2024")</f>
        <v/>
      </c>
      <c r="V469">
        <f>HYPERLINK("https://klasma.github.io/Logging_2313/klagomål/A 54583-2024 FSC-klagomål.docx", "A 54583-2024")</f>
        <v/>
      </c>
      <c r="W469">
        <f>HYPERLINK("https://klasma.github.io/Logging_2313/klagomålsmail/A 54583-2024 FSC-klagomål mail.docx", "A 54583-2024")</f>
        <v/>
      </c>
      <c r="X469">
        <f>HYPERLINK("https://klasma.github.io/Logging_2313/tillsyn/A 54583-2024 tillsynsbegäran.docx", "A 54583-2024")</f>
        <v/>
      </c>
      <c r="Y469">
        <f>HYPERLINK("https://klasma.github.io/Logging_2313/tillsynsmail/A 54583-2024 tillsynsbegäran mail.docx", "A 54583-2024")</f>
        <v/>
      </c>
    </row>
    <row r="470" ht="15" customHeight="1">
      <c r="A470" t="inlineStr">
        <is>
          <t>A 55383-2024</t>
        </is>
      </c>
      <c r="B470" s="1" t="n">
        <v>45622</v>
      </c>
      <c r="C470" s="1" t="n">
        <v>45688</v>
      </c>
      <c r="D470" t="inlineStr">
        <is>
          <t>JÄMTLANDS LÄN</t>
        </is>
      </c>
      <c r="E470" t="inlineStr">
        <is>
          <t>STRÖMSUND</t>
        </is>
      </c>
      <c r="G470" t="n">
        <v>4.8</v>
      </c>
      <c r="H470" t="n">
        <v>1</v>
      </c>
      <c r="I470" t="n">
        <v>0</v>
      </c>
      <c r="J470" t="n">
        <v>1</v>
      </c>
      <c r="K470" t="n">
        <v>0</v>
      </c>
      <c r="L470" t="n">
        <v>0</v>
      </c>
      <c r="M470" t="n">
        <v>0</v>
      </c>
      <c r="N470" t="n">
        <v>0</v>
      </c>
      <c r="O470" t="n">
        <v>1</v>
      </c>
      <c r="P470" t="n">
        <v>0</v>
      </c>
      <c r="Q470" t="n">
        <v>1</v>
      </c>
      <c r="R470" s="2" t="inlineStr">
        <is>
          <t>Utter</t>
        </is>
      </c>
      <c r="S470">
        <f>HYPERLINK("https://klasma.github.io/Logging_2313/artfynd/A 55383-2024 artfynd.xlsx", "A 55383-2024")</f>
        <v/>
      </c>
      <c r="T470">
        <f>HYPERLINK("https://klasma.github.io/Logging_2313/kartor/A 55383-2024 karta.png", "A 55383-2024")</f>
        <v/>
      </c>
      <c r="V470">
        <f>HYPERLINK("https://klasma.github.io/Logging_2313/klagomål/A 55383-2024 FSC-klagomål.docx", "A 55383-2024")</f>
        <v/>
      </c>
      <c r="W470">
        <f>HYPERLINK("https://klasma.github.io/Logging_2313/klagomålsmail/A 55383-2024 FSC-klagomål mail.docx", "A 55383-2024")</f>
        <v/>
      </c>
      <c r="X470">
        <f>HYPERLINK("https://klasma.github.io/Logging_2313/tillsyn/A 55383-2024 tillsynsbegäran.docx", "A 55383-2024")</f>
        <v/>
      </c>
      <c r="Y470">
        <f>HYPERLINK("https://klasma.github.io/Logging_2313/tillsynsmail/A 55383-2024 tillsynsbegäran mail.docx", "A 55383-2024")</f>
        <v/>
      </c>
    </row>
    <row r="471" ht="15" customHeight="1">
      <c r="A471" t="inlineStr">
        <is>
          <t>A 57068-2024</t>
        </is>
      </c>
      <c r="B471" s="1" t="n">
        <v>45629</v>
      </c>
      <c r="C471" s="1" t="n">
        <v>45688</v>
      </c>
      <c r="D471" t="inlineStr">
        <is>
          <t>JÄMTLANDS LÄN</t>
        </is>
      </c>
      <c r="E471" t="inlineStr">
        <is>
          <t>STRÖMSUND</t>
        </is>
      </c>
      <c r="F471" t="inlineStr">
        <is>
          <t>SCA</t>
        </is>
      </c>
      <c r="G471" t="n">
        <v>3.5</v>
      </c>
      <c r="H471" t="n">
        <v>0</v>
      </c>
      <c r="I471" t="n">
        <v>0</v>
      </c>
      <c r="J471" t="n">
        <v>1</v>
      </c>
      <c r="K471" t="n">
        <v>0</v>
      </c>
      <c r="L471" t="n">
        <v>0</v>
      </c>
      <c r="M471" t="n">
        <v>0</v>
      </c>
      <c r="N471" t="n">
        <v>0</v>
      </c>
      <c r="O471" t="n">
        <v>1</v>
      </c>
      <c r="P471" t="n">
        <v>0</v>
      </c>
      <c r="Q471" t="n">
        <v>1</v>
      </c>
      <c r="R471" s="2" t="inlineStr">
        <is>
          <t>Lunglav</t>
        </is>
      </c>
      <c r="S471">
        <f>HYPERLINK("https://klasma.github.io/Logging_2313/artfynd/A 57068-2024 artfynd.xlsx", "A 57068-2024")</f>
        <v/>
      </c>
      <c r="T471">
        <f>HYPERLINK("https://klasma.github.io/Logging_2313/kartor/A 57068-2024 karta.png", "A 57068-2024")</f>
        <v/>
      </c>
      <c r="V471">
        <f>HYPERLINK("https://klasma.github.io/Logging_2313/klagomål/A 57068-2024 FSC-klagomål.docx", "A 57068-2024")</f>
        <v/>
      </c>
      <c r="W471">
        <f>HYPERLINK("https://klasma.github.io/Logging_2313/klagomålsmail/A 57068-2024 FSC-klagomål mail.docx", "A 57068-2024")</f>
        <v/>
      </c>
      <c r="X471">
        <f>HYPERLINK("https://klasma.github.io/Logging_2313/tillsyn/A 57068-2024 tillsynsbegäran.docx", "A 57068-2024")</f>
        <v/>
      </c>
      <c r="Y471">
        <f>HYPERLINK("https://klasma.github.io/Logging_2313/tillsynsmail/A 57068-2024 tillsynsbegäran mail.docx", "A 57068-2024")</f>
        <v/>
      </c>
    </row>
    <row r="472" ht="15" customHeight="1">
      <c r="A472" t="inlineStr">
        <is>
          <t>A 59845-2024</t>
        </is>
      </c>
      <c r="B472" s="1" t="n">
        <v>45639</v>
      </c>
      <c r="C472" s="1" t="n">
        <v>45688</v>
      </c>
      <c r="D472" t="inlineStr">
        <is>
          <t>JÄMTLANDS LÄN</t>
        </is>
      </c>
      <c r="E472" t="inlineStr">
        <is>
          <t>STRÖMSUND</t>
        </is>
      </c>
      <c r="F472" t="inlineStr">
        <is>
          <t>SCA</t>
        </is>
      </c>
      <c r="G472" t="n">
        <v>4.2</v>
      </c>
      <c r="H472" t="n">
        <v>0</v>
      </c>
      <c r="I472" t="n">
        <v>0</v>
      </c>
      <c r="J472" t="n">
        <v>1</v>
      </c>
      <c r="K472" t="n">
        <v>0</v>
      </c>
      <c r="L472" t="n">
        <v>0</v>
      </c>
      <c r="M472" t="n">
        <v>0</v>
      </c>
      <c r="N472" t="n">
        <v>0</v>
      </c>
      <c r="O472" t="n">
        <v>1</v>
      </c>
      <c r="P472" t="n">
        <v>0</v>
      </c>
      <c r="Q472" t="n">
        <v>1</v>
      </c>
      <c r="R472" s="2" t="inlineStr">
        <is>
          <t>Lunglav</t>
        </is>
      </c>
      <c r="S472">
        <f>HYPERLINK("https://klasma.github.io/Logging_2313/artfynd/A 59845-2024 artfynd.xlsx", "A 59845-2024")</f>
        <v/>
      </c>
      <c r="T472">
        <f>HYPERLINK("https://klasma.github.io/Logging_2313/kartor/A 59845-2024 karta.png", "A 59845-2024")</f>
        <v/>
      </c>
      <c r="V472">
        <f>HYPERLINK("https://klasma.github.io/Logging_2313/klagomål/A 59845-2024 FSC-klagomål.docx", "A 59845-2024")</f>
        <v/>
      </c>
      <c r="W472">
        <f>HYPERLINK("https://klasma.github.io/Logging_2313/klagomålsmail/A 59845-2024 FSC-klagomål mail.docx", "A 59845-2024")</f>
        <v/>
      </c>
      <c r="X472">
        <f>HYPERLINK("https://klasma.github.io/Logging_2313/tillsyn/A 59845-2024 tillsynsbegäran.docx", "A 59845-2024")</f>
        <v/>
      </c>
      <c r="Y472">
        <f>HYPERLINK("https://klasma.github.io/Logging_2313/tillsynsmail/A 59845-2024 tillsynsbegäran mail.docx", "A 59845-2024")</f>
        <v/>
      </c>
    </row>
    <row r="473" ht="15" customHeight="1">
      <c r="A473" t="inlineStr">
        <is>
          <t>A 60152-2024</t>
        </is>
      </c>
      <c r="B473" s="1" t="n">
        <v>45642</v>
      </c>
      <c r="C473" s="1" t="n">
        <v>45688</v>
      </c>
      <c r="D473" t="inlineStr">
        <is>
          <t>JÄMTLANDS LÄN</t>
        </is>
      </c>
      <c r="E473" t="inlineStr">
        <is>
          <t>STRÖMSUND</t>
        </is>
      </c>
      <c r="G473" t="n">
        <v>14.5</v>
      </c>
      <c r="H473" t="n">
        <v>1</v>
      </c>
      <c r="I473" t="n">
        <v>0</v>
      </c>
      <c r="J473" t="n">
        <v>0</v>
      </c>
      <c r="K473" t="n">
        <v>1</v>
      </c>
      <c r="L473" t="n">
        <v>0</v>
      </c>
      <c r="M473" t="n">
        <v>0</v>
      </c>
      <c r="N473" t="n">
        <v>0</v>
      </c>
      <c r="O473" t="n">
        <v>1</v>
      </c>
      <c r="P473" t="n">
        <v>1</v>
      </c>
      <c r="Q473" t="n">
        <v>1</v>
      </c>
      <c r="R473" s="2" t="inlineStr">
        <is>
          <t>Doftticka</t>
        </is>
      </c>
      <c r="S473">
        <f>HYPERLINK("https://klasma.github.io/Logging_2313/artfynd/A 60152-2024 artfynd.xlsx", "A 60152-2024")</f>
        <v/>
      </c>
      <c r="T473">
        <f>HYPERLINK("https://klasma.github.io/Logging_2313/kartor/A 60152-2024 karta.png", "A 60152-2024")</f>
        <v/>
      </c>
      <c r="V473">
        <f>HYPERLINK("https://klasma.github.io/Logging_2313/klagomål/A 60152-2024 FSC-klagomål.docx", "A 60152-2024")</f>
        <v/>
      </c>
      <c r="W473">
        <f>HYPERLINK("https://klasma.github.io/Logging_2313/klagomålsmail/A 60152-2024 FSC-klagomål mail.docx", "A 60152-2024")</f>
        <v/>
      </c>
      <c r="X473">
        <f>HYPERLINK("https://klasma.github.io/Logging_2313/tillsyn/A 60152-2024 tillsynsbegäran.docx", "A 60152-2024")</f>
        <v/>
      </c>
      <c r="Y473">
        <f>HYPERLINK("https://klasma.github.io/Logging_2313/tillsynsmail/A 60152-2024 tillsynsbegäran mail.docx", "A 60152-2024")</f>
        <v/>
      </c>
    </row>
    <row r="474" ht="15" customHeight="1">
      <c r="A474" t="inlineStr">
        <is>
          <t>A 61159-2024</t>
        </is>
      </c>
      <c r="B474" s="1" t="n">
        <v>45645</v>
      </c>
      <c r="C474" s="1" t="n">
        <v>45688</v>
      </c>
      <c r="D474" t="inlineStr">
        <is>
          <t>JÄMTLANDS LÄN</t>
        </is>
      </c>
      <c r="E474" t="inlineStr">
        <is>
          <t>STRÖMSUND</t>
        </is>
      </c>
      <c r="F474" t="inlineStr">
        <is>
          <t>SCA</t>
        </is>
      </c>
      <c r="G474" t="n">
        <v>5.3</v>
      </c>
      <c r="H474" t="n">
        <v>0</v>
      </c>
      <c r="I474" t="n">
        <v>1</v>
      </c>
      <c r="J474" t="n">
        <v>0</v>
      </c>
      <c r="K474" t="n">
        <v>0</v>
      </c>
      <c r="L474" t="n">
        <v>0</v>
      </c>
      <c r="M474" t="n">
        <v>0</v>
      </c>
      <c r="N474" t="n">
        <v>0</v>
      </c>
      <c r="O474" t="n">
        <v>0</v>
      </c>
      <c r="P474" t="n">
        <v>0</v>
      </c>
      <c r="Q474" t="n">
        <v>1</v>
      </c>
      <c r="R474" s="2" t="inlineStr">
        <is>
          <t>Bårdlav</t>
        </is>
      </c>
      <c r="S474">
        <f>HYPERLINK("https://klasma.github.io/Logging_2313/artfynd/A 61159-2024 artfynd.xlsx", "A 61159-2024")</f>
        <v/>
      </c>
      <c r="T474">
        <f>HYPERLINK("https://klasma.github.io/Logging_2313/kartor/A 61159-2024 karta.png", "A 61159-2024")</f>
        <v/>
      </c>
      <c r="V474">
        <f>HYPERLINK("https://klasma.github.io/Logging_2313/klagomål/A 61159-2024 FSC-klagomål.docx", "A 61159-2024")</f>
        <v/>
      </c>
      <c r="W474">
        <f>HYPERLINK("https://klasma.github.io/Logging_2313/klagomålsmail/A 61159-2024 FSC-klagomål mail.docx", "A 61159-2024")</f>
        <v/>
      </c>
      <c r="X474">
        <f>HYPERLINK("https://klasma.github.io/Logging_2313/tillsyn/A 61159-2024 tillsynsbegäran.docx", "A 61159-2024")</f>
        <v/>
      </c>
      <c r="Y474">
        <f>HYPERLINK("https://klasma.github.io/Logging_2313/tillsynsmail/A 61159-2024 tillsynsbegäran mail.docx", "A 61159-2024")</f>
        <v/>
      </c>
    </row>
    <row r="475" ht="15" customHeight="1">
      <c r="A475" t="inlineStr">
        <is>
          <t>A 2759-2025</t>
        </is>
      </c>
      <c r="B475" s="1" t="n">
        <v>45674</v>
      </c>
      <c r="C475" s="1" t="n">
        <v>45688</v>
      </c>
      <c r="D475" t="inlineStr">
        <is>
          <t>JÄMTLANDS LÄN</t>
        </is>
      </c>
      <c r="E475" t="inlineStr">
        <is>
          <t>STRÖMSUND</t>
        </is>
      </c>
      <c r="G475" t="n">
        <v>2.5</v>
      </c>
      <c r="H475" t="n">
        <v>0</v>
      </c>
      <c r="I475" t="n">
        <v>1</v>
      </c>
      <c r="J475" t="n">
        <v>0</v>
      </c>
      <c r="K475" t="n">
        <v>0</v>
      </c>
      <c r="L475" t="n">
        <v>0</v>
      </c>
      <c r="M475" t="n">
        <v>0</v>
      </c>
      <c r="N475" t="n">
        <v>0</v>
      </c>
      <c r="O475" t="n">
        <v>0</v>
      </c>
      <c r="P475" t="n">
        <v>0</v>
      </c>
      <c r="Q475" t="n">
        <v>1</v>
      </c>
      <c r="R475" s="2" t="inlineStr">
        <is>
          <t>Finbräken</t>
        </is>
      </c>
      <c r="S475">
        <f>HYPERLINK("https://klasma.github.io/Logging_2313/artfynd/A 2759-2025 artfynd.xlsx", "A 2759-2025")</f>
        <v/>
      </c>
      <c r="T475">
        <f>HYPERLINK("https://klasma.github.io/Logging_2313/kartor/A 2759-2025 karta.png", "A 2759-2025")</f>
        <v/>
      </c>
      <c r="V475">
        <f>HYPERLINK("https://klasma.github.io/Logging_2313/klagomål/A 2759-2025 FSC-klagomål.docx", "A 2759-2025")</f>
        <v/>
      </c>
      <c r="W475">
        <f>HYPERLINK("https://klasma.github.io/Logging_2313/klagomålsmail/A 2759-2025 FSC-klagomål mail.docx", "A 2759-2025")</f>
        <v/>
      </c>
      <c r="X475">
        <f>HYPERLINK("https://klasma.github.io/Logging_2313/tillsyn/A 2759-2025 tillsynsbegäran.docx", "A 2759-2025")</f>
        <v/>
      </c>
      <c r="Y475">
        <f>HYPERLINK("https://klasma.github.io/Logging_2313/tillsynsmail/A 2759-2025 tillsynsbegäran mail.docx", "A 2759-2025")</f>
        <v/>
      </c>
    </row>
    <row r="476" ht="15" customHeight="1">
      <c r="A476" t="inlineStr">
        <is>
          <t>A 3832-2025</t>
        </is>
      </c>
      <c r="B476" s="1" t="n">
        <v>45682</v>
      </c>
      <c r="C476" s="1" t="n">
        <v>45688</v>
      </c>
      <c r="D476" t="inlineStr">
        <is>
          <t>JÄMTLANDS LÄN</t>
        </is>
      </c>
      <c r="E476" t="inlineStr">
        <is>
          <t>STRÖMSUND</t>
        </is>
      </c>
      <c r="F476" t="inlineStr">
        <is>
          <t>SCA</t>
        </is>
      </c>
      <c r="G476" t="n">
        <v>11.8</v>
      </c>
      <c r="H476" t="n">
        <v>0</v>
      </c>
      <c r="I476" t="n">
        <v>0</v>
      </c>
      <c r="J476" t="n">
        <v>1</v>
      </c>
      <c r="K476" t="n">
        <v>0</v>
      </c>
      <c r="L476" t="n">
        <v>0</v>
      </c>
      <c r="M476" t="n">
        <v>0</v>
      </c>
      <c r="N476" t="n">
        <v>0</v>
      </c>
      <c r="O476" t="n">
        <v>1</v>
      </c>
      <c r="P476" t="n">
        <v>0</v>
      </c>
      <c r="Q476" t="n">
        <v>1</v>
      </c>
      <c r="R476" s="2" t="inlineStr">
        <is>
          <t>Garnlav</t>
        </is>
      </c>
      <c r="S476">
        <f>HYPERLINK("https://klasma.github.io/Logging_2313/artfynd/A 3832-2025 artfynd.xlsx", "A 3832-2025")</f>
        <v/>
      </c>
      <c r="T476">
        <f>HYPERLINK("https://klasma.github.io/Logging_2313/kartor/A 3832-2025 karta.png", "A 3832-2025")</f>
        <v/>
      </c>
      <c r="V476">
        <f>HYPERLINK("https://klasma.github.io/Logging_2313/klagomål/A 3832-2025 FSC-klagomål.docx", "A 3832-2025")</f>
        <v/>
      </c>
      <c r="W476">
        <f>HYPERLINK("https://klasma.github.io/Logging_2313/klagomålsmail/A 3832-2025 FSC-klagomål mail.docx", "A 3832-2025")</f>
        <v/>
      </c>
      <c r="X476">
        <f>HYPERLINK("https://klasma.github.io/Logging_2313/tillsyn/A 3832-2025 tillsynsbegäran.docx", "A 3832-2025")</f>
        <v/>
      </c>
      <c r="Y476">
        <f>HYPERLINK("https://klasma.github.io/Logging_2313/tillsynsmail/A 3832-2025 tillsynsbegäran mail.docx", "A 3832-2025")</f>
        <v/>
      </c>
    </row>
    <row r="477" ht="15" customHeight="1">
      <c r="A477" t="inlineStr">
        <is>
          <t>A 18058-2019</t>
        </is>
      </c>
      <c r="B477" s="1" t="n">
        <v>43557</v>
      </c>
      <c r="C477" s="1" t="n">
        <v>45688</v>
      </c>
      <c r="D477" t="inlineStr">
        <is>
          <t>JÄMTLANDS LÄN</t>
        </is>
      </c>
      <c r="E477" t="inlineStr">
        <is>
          <t>STRÖMSUND</t>
        </is>
      </c>
      <c r="G477" t="n">
        <v>0.7</v>
      </c>
      <c r="H477" t="n">
        <v>0</v>
      </c>
      <c r="I477" t="n">
        <v>0</v>
      </c>
      <c r="J477" t="n">
        <v>0</v>
      </c>
      <c r="K477" t="n">
        <v>0</v>
      </c>
      <c r="L477" t="n">
        <v>0</v>
      </c>
      <c r="M477" t="n">
        <v>0</v>
      </c>
      <c r="N477" t="n">
        <v>0</v>
      </c>
      <c r="O477" t="n">
        <v>0</v>
      </c>
      <c r="P477" t="n">
        <v>0</v>
      </c>
      <c r="Q477" t="n">
        <v>0</v>
      </c>
      <c r="R477" s="2" t="inlineStr"/>
    </row>
    <row r="478" ht="15" customHeight="1">
      <c r="A478" t="inlineStr">
        <is>
          <t>A 18057-2019</t>
        </is>
      </c>
      <c r="B478" s="1" t="n">
        <v>43557</v>
      </c>
      <c r="C478" s="1" t="n">
        <v>45688</v>
      </c>
      <c r="D478" t="inlineStr">
        <is>
          <t>JÄMTLANDS LÄN</t>
        </is>
      </c>
      <c r="E478" t="inlineStr">
        <is>
          <t>STRÖMSUND</t>
        </is>
      </c>
      <c r="G478" t="n">
        <v>1.3</v>
      </c>
      <c r="H478" t="n">
        <v>0</v>
      </c>
      <c r="I478" t="n">
        <v>0</v>
      </c>
      <c r="J478" t="n">
        <v>0</v>
      </c>
      <c r="K478" t="n">
        <v>0</v>
      </c>
      <c r="L478" t="n">
        <v>0</v>
      </c>
      <c r="M478" t="n">
        <v>0</v>
      </c>
      <c r="N478" t="n">
        <v>0</v>
      </c>
      <c r="O478" t="n">
        <v>0</v>
      </c>
      <c r="P478" t="n">
        <v>0</v>
      </c>
      <c r="Q478" t="n">
        <v>0</v>
      </c>
      <c r="R478" s="2" t="inlineStr"/>
    </row>
    <row r="479" ht="15" customHeight="1">
      <c r="A479" t="inlineStr">
        <is>
          <t>A 20569-2019</t>
        </is>
      </c>
      <c r="B479" s="1" t="n">
        <v>43572</v>
      </c>
      <c r="C479" s="1" t="n">
        <v>45688</v>
      </c>
      <c r="D479" t="inlineStr">
        <is>
          <t>JÄMTLANDS LÄN</t>
        </is>
      </c>
      <c r="E479" t="inlineStr">
        <is>
          <t>STRÖMSUND</t>
        </is>
      </c>
      <c r="G479" t="n">
        <v>1.2</v>
      </c>
      <c r="H479" t="n">
        <v>0</v>
      </c>
      <c r="I479" t="n">
        <v>0</v>
      </c>
      <c r="J479" t="n">
        <v>0</v>
      </c>
      <c r="K479" t="n">
        <v>0</v>
      </c>
      <c r="L479" t="n">
        <v>0</v>
      </c>
      <c r="M479" t="n">
        <v>0</v>
      </c>
      <c r="N479" t="n">
        <v>0</v>
      </c>
      <c r="O479" t="n">
        <v>0</v>
      </c>
      <c r="P479" t="n">
        <v>0</v>
      </c>
      <c r="Q479" t="n">
        <v>0</v>
      </c>
      <c r="R479" s="2" t="inlineStr"/>
    </row>
    <row r="480" ht="15" customHeight="1">
      <c r="A480" t="inlineStr">
        <is>
          <t>A 21702-2019</t>
        </is>
      </c>
      <c r="B480" s="1" t="n">
        <v>43581</v>
      </c>
      <c r="C480" s="1" t="n">
        <v>45688</v>
      </c>
      <c r="D480" t="inlineStr">
        <is>
          <t>JÄMTLANDS LÄN</t>
        </is>
      </c>
      <c r="E480" t="inlineStr">
        <is>
          <t>STRÖMSUND</t>
        </is>
      </c>
      <c r="G480" t="n">
        <v>1.6</v>
      </c>
      <c r="H480" t="n">
        <v>0</v>
      </c>
      <c r="I480" t="n">
        <v>0</v>
      </c>
      <c r="J480" t="n">
        <v>0</v>
      </c>
      <c r="K480" t="n">
        <v>0</v>
      </c>
      <c r="L480" t="n">
        <v>0</v>
      </c>
      <c r="M480" t="n">
        <v>0</v>
      </c>
      <c r="N480" t="n">
        <v>0</v>
      </c>
      <c r="O480" t="n">
        <v>0</v>
      </c>
      <c r="P480" t="n">
        <v>0</v>
      </c>
      <c r="Q480" t="n">
        <v>0</v>
      </c>
      <c r="R480" s="2" t="inlineStr"/>
    </row>
    <row r="481" ht="15" customHeight="1">
      <c r="A481" t="inlineStr">
        <is>
          <t>A 21676-2019</t>
        </is>
      </c>
      <c r="B481" s="1" t="n">
        <v>43581</v>
      </c>
      <c r="C481" s="1" t="n">
        <v>45688</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21696-2019</t>
        </is>
      </c>
      <c r="B482" s="1" t="n">
        <v>43581</v>
      </c>
      <c r="C482" s="1" t="n">
        <v>45688</v>
      </c>
      <c r="D482" t="inlineStr">
        <is>
          <t>JÄMTLANDS LÄN</t>
        </is>
      </c>
      <c r="E482" t="inlineStr">
        <is>
          <t>STRÖMSUND</t>
        </is>
      </c>
      <c r="G482" t="n">
        <v>1.5</v>
      </c>
      <c r="H482" t="n">
        <v>0</v>
      </c>
      <c r="I482" t="n">
        <v>0</v>
      </c>
      <c r="J482" t="n">
        <v>0</v>
      </c>
      <c r="K482" t="n">
        <v>0</v>
      </c>
      <c r="L482" t="n">
        <v>0</v>
      </c>
      <c r="M482" t="n">
        <v>0</v>
      </c>
      <c r="N482" t="n">
        <v>0</v>
      </c>
      <c r="O482" t="n">
        <v>0</v>
      </c>
      <c r="P482" t="n">
        <v>0</v>
      </c>
      <c r="Q482" t="n">
        <v>0</v>
      </c>
      <c r="R482" s="2" t="inlineStr"/>
    </row>
    <row r="483" ht="15" customHeight="1">
      <c r="A483" t="inlineStr">
        <is>
          <t>A 21763-2019</t>
        </is>
      </c>
      <c r="B483" s="1" t="n">
        <v>43581</v>
      </c>
      <c r="C483" s="1" t="n">
        <v>45688</v>
      </c>
      <c r="D483" t="inlineStr">
        <is>
          <t>JÄMTLANDS LÄN</t>
        </is>
      </c>
      <c r="E483" t="inlineStr">
        <is>
          <t>STRÖMSUND</t>
        </is>
      </c>
      <c r="G483" t="n">
        <v>12.7</v>
      </c>
      <c r="H483" t="n">
        <v>0</v>
      </c>
      <c r="I483" t="n">
        <v>0</v>
      </c>
      <c r="J483" t="n">
        <v>0</v>
      </c>
      <c r="K483" t="n">
        <v>0</v>
      </c>
      <c r="L483" t="n">
        <v>0</v>
      </c>
      <c r="M483" t="n">
        <v>0</v>
      </c>
      <c r="N483" t="n">
        <v>0</v>
      </c>
      <c r="O483" t="n">
        <v>0</v>
      </c>
      <c r="P483" t="n">
        <v>0</v>
      </c>
      <c r="Q483" t="n">
        <v>0</v>
      </c>
      <c r="R483" s="2" t="inlineStr"/>
    </row>
    <row r="484" ht="15" customHeight="1">
      <c r="A484" t="inlineStr">
        <is>
          <t>A 22113-2019</t>
        </is>
      </c>
      <c r="B484" s="1" t="n">
        <v>43584</v>
      </c>
      <c r="C484" s="1" t="n">
        <v>45688</v>
      </c>
      <c r="D484" t="inlineStr">
        <is>
          <t>JÄMTLANDS LÄN</t>
        </is>
      </c>
      <c r="E484" t="inlineStr">
        <is>
          <t>STRÖMSUND</t>
        </is>
      </c>
      <c r="G484" t="n">
        <v>3.3</v>
      </c>
      <c r="H484" t="n">
        <v>0</v>
      </c>
      <c r="I484" t="n">
        <v>0</v>
      </c>
      <c r="J484" t="n">
        <v>0</v>
      </c>
      <c r="K484" t="n">
        <v>0</v>
      </c>
      <c r="L484" t="n">
        <v>0</v>
      </c>
      <c r="M484" t="n">
        <v>0</v>
      </c>
      <c r="N484" t="n">
        <v>0</v>
      </c>
      <c r="O484" t="n">
        <v>0</v>
      </c>
      <c r="P484" t="n">
        <v>0</v>
      </c>
      <c r="Q484" t="n">
        <v>0</v>
      </c>
      <c r="R484" s="2" t="inlineStr"/>
      <c r="U484">
        <f>HYPERLINK("https://klasma.github.io/Logging_2313/knärot/A 22113-2019 karta knärot.png", "A 22113-2019")</f>
        <v/>
      </c>
      <c r="V484">
        <f>HYPERLINK("https://klasma.github.io/Logging_2313/klagomål/A 22113-2019 FSC-klagomål.docx", "A 22113-2019")</f>
        <v/>
      </c>
      <c r="W484">
        <f>HYPERLINK("https://klasma.github.io/Logging_2313/klagomålsmail/A 22113-2019 FSC-klagomål mail.docx", "A 22113-2019")</f>
        <v/>
      </c>
      <c r="X484">
        <f>HYPERLINK("https://klasma.github.io/Logging_2313/tillsyn/A 22113-2019 tillsynsbegäran.docx", "A 22113-2019")</f>
        <v/>
      </c>
      <c r="Y484">
        <f>HYPERLINK("https://klasma.github.io/Logging_2313/tillsynsmail/A 22113-2019 tillsynsbegäran mail.docx", "A 22113-2019")</f>
        <v/>
      </c>
    </row>
    <row r="485" ht="15" customHeight="1">
      <c r="A485" t="inlineStr">
        <is>
          <t>A 22293-2019</t>
        </is>
      </c>
      <c r="B485" s="1" t="n">
        <v>43585</v>
      </c>
      <c r="C485" s="1" t="n">
        <v>45688</v>
      </c>
      <c r="D485" t="inlineStr">
        <is>
          <t>JÄMTLANDS LÄN</t>
        </is>
      </c>
      <c r="E485" t="inlineStr">
        <is>
          <t>STRÖMSUND</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22305-2019</t>
        </is>
      </c>
      <c r="B486" s="1" t="n">
        <v>43585</v>
      </c>
      <c r="C486" s="1" t="n">
        <v>45688</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22291-2019</t>
        </is>
      </c>
      <c r="B487" s="1" t="n">
        <v>43585</v>
      </c>
      <c r="C487" s="1" t="n">
        <v>45688</v>
      </c>
      <c r="D487" t="inlineStr">
        <is>
          <t>JÄMTLANDS LÄN</t>
        </is>
      </c>
      <c r="E487" t="inlineStr">
        <is>
          <t>STRÖMSUND</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22777-2019</t>
        </is>
      </c>
      <c r="B488" s="1" t="n">
        <v>43589</v>
      </c>
      <c r="C488" s="1" t="n">
        <v>45688</v>
      </c>
      <c r="D488" t="inlineStr">
        <is>
          <t>JÄMTLANDS LÄN</t>
        </is>
      </c>
      <c r="E488" t="inlineStr">
        <is>
          <t>STRÖMSUND</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23040-2019</t>
        </is>
      </c>
      <c r="B489" s="1" t="n">
        <v>43591</v>
      </c>
      <c r="C489" s="1" t="n">
        <v>45688</v>
      </c>
      <c r="D489" t="inlineStr">
        <is>
          <t>JÄMTLANDS LÄN</t>
        </is>
      </c>
      <c r="E489" t="inlineStr">
        <is>
          <t>STRÖMSUND</t>
        </is>
      </c>
      <c r="G489" t="n">
        <v>30.4</v>
      </c>
      <c r="H489" t="n">
        <v>0</v>
      </c>
      <c r="I489" t="n">
        <v>0</v>
      </c>
      <c r="J489" t="n">
        <v>0</v>
      </c>
      <c r="K489" t="n">
        <v>0</v>
      </c>
      <c r="L489" t="n">
        <v>0</v>
      </c>
      <c r="M489" t="n">
        <v>0</v>
      </c>
      <c r="N489" t="n">
        <v>0</v>
      </c>
      <c r="O489" t="n">
        <v>0</v>
      </c>
      <c r="P489" t="n">
        <v>0</v>
      </c>
      <c r="Q489" t="n">
        <v>0</v>
      </c>
      <c r="R489" s="2" t="inlineStr"/>
    </row>
    <row r="490" ht="15" customHeight="1">
      <c r="A490" t="inlineStr">
        <is>
          <t>A 23481-2019</t>
        </is>
      </c>
      <c r="B490" s="1" t="n">
        <v>43593</v>
      </c>
      <c r="C490" s="1" t="n">
        <v>45688</v>
      </c>
      <c r="D490" t="inlineStr">
        <is>
          <t>JÄMTLANDS LÄN</t>
        </is>
      </c>
      <c r="E490" t="inlineStr">
        <is>
          <t>STRÖMSUND</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23941-2019</t>
        </is>
      </c>
      <c r="B491" s="1" t="n">
        <v>43595</v>
      </c>
      <c r="C491" s="1" t="n">
        <v>45688</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23945-2019</t>
        </is>
      </c>
      <c r="B492" s="1" t="n">
        <v>43596</v>
      </c>
      <c r="C492" s="1" t="n">
        <v>45688</v>
      </c>
      <c r="D492" t="inlineStr">
        <is>
          <t>JÄMTLANDS LÄN</t>
        </is>
      </c>
      <c r="E492" t="inlineStr">
        <is>
          <t>STRÖMSUND</t>
        </is>
      </c>
      <c r="G492" t="n">
        <v>0.4</v>
      </c>
      <c r="H492" t="n">
        <v>0</v>
      </c>
      <c r="I492" t="n">
        <v>0</v>
      </c>
      <c r="J492" t="n">
        <v>0</v>
      </c>
      <c r="K492" t="n">
        <v>0</v>
      </c>
      <c r="L492" t="n">
        <v>0</v>
      </c>
      <c r="M492" t="n">
        <v>0</v>
      </c>
      <c r="N492" t="n">
        <v>0</v>
      </c>
      <c r="O492" t="n">
        <v>0</v>
      </c>
      <c r="P492" t="n">
        <v>0</v>
      </c>
      <c r="Q492" t="n">
        <v>0</v>
      </c>
      <c r="R492" s="2" t="inlineStr"/>
    </row>
    <row r="493" ht="15" customHeight="1">
      <c r="A493" t="inlineStr">
        <is>
          <t>A 23958-2019</t>
        </is>
      </c>
      <c r="B493" s="1" t="n">
        <v>43597</v>
      </c>
      <c r="C493" s="1" t="n">
        <v>45688</v>
      </c>
      <c r="D493" t="inlineStr">
        <is>
          <t>JÄMTLANDS LÄN</t>
        </is>
      </c>
      <c r="E493" t="inlineStr">
        <is>
          <t>STRÖMSUND</t>
        </is>
      </c>
      <c r="G493" t="n">
        <v>20.7</v>
      </c>
      <c r="H493" t="n">
        <v>0</v>
      </c>
      <c r="I493" t="n">
        <v>0</v>
      </c>
      <c r="J493" t="n">
        <v>0</v>
      </c>
      <c r="K493" t="n">
        <v>0</v>
      </c>
      <c r="L493" t="n">
        <v>0</v>
      </c>
      <c r="M493" t="n">
        <v>0</v>
      </c>
      <c r="N493" t="n">
        <v>0</v>
      </c>
      <c r="O493" t="n">
        <v>0</v>
      </c>
      <c r="P493" t="n">
        <v>0</v>
      </c>
      <c r="Q493" t="n">
        <v>0</v>
      </c>
      <c r="R493" s="2" t="inlineStr"/>
    </row>
    <row r="494" ht="15" customHeight="1">
      <c r="A494" t="inlineStr">
        <is>
          <t>A 24525-2019</t>
        </is>
      </c>
      <c r="B494" s="1" t="n">
        <v>43598</v>
      </c>
      <c r="C494" s="1" t="n">
        <v>45688</v>
      </c>
      <c r="D494" t="inlineStr">
        <is>
          <t>JÄMTLANDS LÄN</t>
        </is>
      </c>
      <c r="E494" t="inlineStr">
        <is>
          <t>STRÖMSUND</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24162-2019</t>
        </is>
      </c>
      <c r="B495" s="1" t="n">
        <v>43598</v>
      </c>
      <c r="C495" s="1" t="n">
        <v>45688</v>
      </c>
      <c r="D495" t="inlineStr">
        <is>
          <t>JÄMTLANDS LÄN</t>
        </is>
      </c>
      <c r="E495" t="inlineStr">
        <is>
          <t>STRÖMSUND</t>
        </is>
      </c>
      <c r="F495" t="inlineStr">
        <is>
          <t>SCA</t>
        </is>
      </c>
      <c r="G495" t="n">
        <v>18.9</v>
      </c>
      <c r="H495" t="n">
        <v>0</v>
      </c>
      <c r="I495" t="n">
        <v>0</v>
      </c>
      <c r="J495" t="n">
        <v>0</v>
      </c>
      <c r="K495" t="n">
        <v>0</v>
      </c>
      <c r="L495" t="n">
        <v>0</v>
      </c>
      <c r="M495" t="n">
        <v>0</v>
      </c>
      <c r="N495" t="n">
        <v>0</v>
      </c>
      <c r="O495" t="n">
        <v>0</v>
      </c>
      <c r="P495" t="n">
        <v>0</v>
      </c>
      <c r="Q495" t="n">
        <v>0</v>
      </c>
      <c r="R495" s="2" t="inlineStr"/>
    </row>
    <row r="496" ht="15" customHeight="1">
      <c r="A496" t="inlineStr">
        <is>
          <t>A 24787-2019</t>
        </is>
      </c>
      <c r="B496" s="1" t="n">
        <v>43601</v>
      </c>
      <c r="C496" s="1" t="n">
        <v>45688</v>
      </c>
      <c r="D496" t="inlineStr">
        <is>
          <t>JÄMTLANDS LÄN</t>
        </is>
      </c>
      <c r="E496" t="inlineStr">
        <is>
          <t>STRÖMSUND</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25923-2019</t>
        </is>
      </c>
      <c r="B497" s="1" t="n">
        <v>43608</v>
      </c>
      <c r="C497" s="1" t="n">
        <v>45688</v>
      </c>
      <c r="D497" t="inlineStr">
        <is>
          <t>JÄMTLANDS LÄN</t>
        </is>
      </c>
      <c r="E497" t="inlineStr">
        <is>
          <t>STRÖMSUND</t>
        </is>
      </c>
      <c r="F497" t="inlineStr">
        <is>
          <t>Kommuner</t>
        </is>
      </c>
      <c r="G497" t="n">
        <v>3.6</v>
      </c>
      <c r="H497" t="n">
        <v>0</v>
      </c>
      <c r="I497" t="n">
        <v>0</v>
      </c>
      <c r="J497" t="n">
        <v>0</v>
      </c>
      <c r="K497" t="n">
        <v>0</v>
      </c>
      <c r="L497" t="n">
        <v>0</v>
      </c>
      <c r="M497" t="n">
        <v>0</v>
      </c>
      <c r="N497" t="n">
        <v>0</v>
      </c>
      <c r="O497" t="n">
        <v>0</v>
      </c>
      <c r="P497" t="n">
        <v>0</v>
      </c>
      <c r="Q497" t="n">
        <v>0</v>
      </c>
      <c r="R497" s="2" t="inlineStr"/>
    </row>
    <row r="498" ht="15" customHeight="1">
      <c r="A498" t="inlineStr">
        <is>
          <t>A 25915-2019</t>
        </is>
      </c>
      <c r="B498" s="1" t="n">
        <v>43608</v>
      </c>
      <c r="C498" s="1" t="n">
        <v>45688</v>
      </c>
      <c r="D498" t="inlineStr">
        <is>
          <t>JÄMTLANDS LÄN</t>
        </is>
      </c>
      <c r="E498" t="inlineStr">
        <is>
          <t>STRÖMSUND</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25925-2019</t>
        </is>
      </c>
      <c r="B499" s="1" t="n">
        <v>43608</v>
      </c>
      <c r="C499" s="1" t="n">
        <v>45688</v>
      </c>
      <c r="D499" t="inlineStr">
        <is>
          <t>JÄMTLANDS LÄN</t>
        </is>
      </c>
      <c r="E499" t="inlineStr">
        <is>
          <t>STRÖMSUND</t>
        </is>
      </c>
      <c r="F499" t="inlineStr">
        <is>
          <t>Kommuner</t>
        </is>
      </c>
      <c r="G499" t="n">
        <v>12.6</v>
      </c>
      <c r="H499" t="n">
        <v>0</v>
      </c>
      <c r="I499" t="n">
        <v>0</v>
      </c>
      <c r="J499" t="n">
        <v>0</v>
      </c>
      <c r="K499" t="n">
        <v>0</v>
      </c>
      <c r="L499" t="n">
        <v>0</v>
      </c>
      <c r="M499" t="n">
        <v>0</v>
      </c>
      <c r="N499" t="n">
        <v>0</v>
      </c>
      <c r="O499" t="n">
        <v>0</v>
      </c>
      <c r="P499" t="n">
        <v>0</v>
      </c>
      <c r="Q499" t="n">
        <v>0</v>
      </c>
      <c r="R499" s="2" t="inlineStr"/>
    </row>
    <row r="500" ht="15" customHeight="1">
      <c r="A500" t="inlineStr">
        <is>
          <t>A 25910-2019</t>
        </is>
      </c>
      <c r="B500" s="1" t="n">
        <v>43608</v>
      </c>
      <c r="C500" s="1" t="n">
        <v>45688</v>
      </c>
      <c r="D500" t="inlineStr">
        <is>
          <t>JÄMTLANDS LÄN</t>
        </is>
      </c>
      <c r="E500" t="inlineStr">
        <is>
          <t>STRÖMSUND</t>
        </is>
      </c>
      <c r="F500" t="inlineStr">
        <is>
          <t>Kommuner</t>
        </is>
      </c>
      <c r="G500" t="n">
        <v>7</v>
      </c>
      <c r="H500" t="n">
        <v>0</v>
      </c>
      <c r="I500" t="n">
        <v>0</v>
      </c>
      <c r="J500" t="n">
        <v>0</v>
      </c>
      <c r="K500" t="n">
        <v>0</v>
      </c>
      <c r="L500" t="n">
        <v>0</v>
      </c>
      <c r="M500" t="n">
        <v>0</v>
      </c>
      <c r="N500" t="n">
        <v>0</v>
      </c>
      <c r="O500" t="n">
        <v>0</v>
      </c>
      <c r="P500" t="n">
        <v>0</v>
      </c>
      <c r="Q500" t="n">
        <v>0</v>
      </c>
      <c r="R500" s="2" t="inlineStr"/>
    </row>
    <row r="501" ht="15" customHeight="1">
      <c r="A501" t="inlineStr">
        <is>
          <t>A 25918-2019</t>
        </is>
      </c>
      <c r="B501" s="1" t="n">
        <v>43608</v>
      </c>
      <c r="C501" s="1" t="n">
        <v>45688</v>
      </c>
      <c r="D501" t="inlineStr">
        <is>
          <t>JÄMTLANDS LÄN</t>
        </is>
      </c>
      <c r="E501" t="inlineStr">
        <is>
          <t>STRÖMSUND</t>
        </is>
      </c>
      <c r="F501" t="inlineStr">
        <is>
          <t>Kommuner</t>
        </is>
      </c>
      <c r="G501" t="n">
        <v>1.4</v>
      </c>
      <c r="H501" t="n">
        <v>0</v>
      </c>
      <c r="I501" t="n">
        <v>0</v>
      </c>
      <c r="J501" t="n">
        <v>0</v>
      </c>
      <c r="K501" t="n">
        <v>0</v>
      </c>
      <c r="L501" t="n">
        <v>0</v>
      </c>
      <c r="M501" t="n">
        <v>0</v>
      </c>
      <c r="N501" t="n">
        <v>0</v>
      </c>
      <c r="O501" t="n">
        <v>0</v>
      </c>
      <c r="P501" t="n">
        <v>0</v>
      </c>
      <c r="Q501" t="n">
        <v>0</v>
      </c>
      <c r="R501" s="2" t="inlineStr"/>
    </row>
    <row r="502" ht="15" customHeight="1">
      <c r="A502" t="inlineStr">
        <is>
          <t>A 25950-2019</t>
        </is>
      </c>
      <c r="B502" s="1" t="n">
        <v>43608</v>
      </c>
      <c r="C502" s="1" t="n">
        <v>45688</v>
      </c>
      <c r="D502" t="inlineStr">
        <is>
          <t>JÄMTLANDS LÄN</t>
        </is>
      </c>
      <c r="E502" t="inlineStr">
        <is>
          <t>STRÖMSUND</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26012-2019</t>
        </is>
      </c>
      <c r="B503" s="1" t="n">
        <v>43608</v>
      </c>
      <c r="C503" s="1" t="n">
        <v>45688</v>
      </c>
      <c r="D503" t="inlineStr">
        <is>
          <t>JÄMTLANDS LÄN</t>
        </is>
      </c>
      <c r="E503" t="inlineStr">
        <is>
          <t>STRÖMSUND</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25921-2019</t>
        </is>
      </c>
      <c r="B504" s="1" t="n">
        <v>43608</v>
      </c>
      <c r="C504" s="1" t="n">
        <v>45688</v>
      </c>
      <c r="D504" t="inlineStr">
        <is>
          <t>JÄMTLANDS LÄN</t>
        </is>
      </c>
      <c r="E504" t="inlineStr">
        <is>
          <t>STRÖMSUND</t>
        </is>
      </c>
      <c r="F504" t="inlineStr">
        <is>
          <t>Kommuner</t>
        </is>
      </c>
      <c r="G504" t="n">
        <v>23.9</v>
      </c>
      <c r="H504" t="n">
        <v>0</v>
      </c>
      <c r="I504" t="n">
        <v>0</v>
      </c>
      <c r="J504" t="n">
        <v>0</v>
      </c>
      <c r="K504" t="n">
        <v>0</v>
      </c>
      <c r="L504" t="n">
        <v>0</v>
      </c>
      <c r="M504" t="n">
        <v>0</v>
      </c>
      <c r="N504" t="n">
        <v>0</v>
      </c>
      <c r="O504" t="n">
        <v>0</v>
      </c>
      <c r="P504" t="n">
        <v>0</v>
      </c>
      <c r="Q504" t="n">
        <v>0</v>
      </c>
      <c r="R504" s="2" t="inlineStr"/>
    </row>
    <row r="505" ht="15" customHeight="1">
      <c r="A505" t="inlineStr">
        <is>
          <t>A 25984-2019</t>
        </is>
      </c>
      <c r="B505" s="1" t="n">
        <v>43608</v>
      </c>
      <c r="C505" s="1" t="n">
        <v>45688</v>
      </c>
      <c r="D505" t="inlineStr">
        <is>
          <t>JÄMTLANDS LÄN</t>
        </is>
      </c>
      <c r="E505" t="inlineStr">
        <is>
          <t>STRÖMSUND</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26252-2019</t>
        </is>
      </c>
      <c r="B506" s="1" t="n">
        <v>43609</v>
      </c>
      <c r="C506" s="1" t="n">
        <v>45688</v>
      </c>
      <c r="D506" t="inlineStr">
        <is>
          <t>JÄMTLANDS LÄN</t>
        </is>
      </c>
      <c r="E506" t="inlineStr">
        <is>
          <t>STRÖMSUND</t>
        </is>
      </c>
      <c r="F506" t="inlineStr">
        <is>
          <t>SCA</t>
        </is>
      </c>
      <c r="G506" t="n">
        <v>10.5</v>
      </c>
      <c r="H506" t="n">
        <v>0</v>
      </c>
      <c r="I506" t="n">
        <v>0</v>
      </c>
      <c r="J506" t="n">
        <v>0</v>
      </c>
      <c r="K506" t="n">
        <v>0</v>
      </c>
      <c r="L506" t="n">
        <v>0</v>
      </c>
      <c r="M506" t="n">
        <v>0</v>
      </c>
      <c r="N506" t="n">
        <v>0</v>
      </c>
      <c r="O506" t="n">
        <v>0</v>
      </c>
      <c r="P506" t="n">
        <v>0</v>
      </c>
      <c r="Q506" t="n">
        <v>0</v>
      </c>
      <c r="R506" s="2" t="inlineStr"/>
    </row>
    <row r="507" ht="15" customHeight="1">
      <c r="A507" t="inlineStr">
        <is>
          <t>A 26251-2019</t>
        </is>
      </c>
      <c r="B507" s="1" t="n">
        <v>43609</v>
      </c>
      <c r="C507" s="1" t="n">
        <v>45688</v>
      </c>
      <c r="D507" t="inlineStr">
        <is>
          <t>JÄMTLANDS LÄN</t>
        </is>
      </c>
      <c r="E507" t="inlineStr">
        <is>
          <t>STRÖMSUND</t>
        </is>
      </c>
      <c r="F507" t="inlineStr">
        <is>
          <t>SCA</t>
        </is>
      </c>
      <c r="G507" t="n">
        <v>6.9</v>
      </c>
      <c r="H507" t="n">
        <v>0</v>
      </c>
      <c r="I507" t="n">
        <v>0</v>
      </c>
      <c r="J507" t="n">
        <v>0</v>
      </c>
      <c r="K507" t="n">
        <v>0</v>
      </c>
      <c r="L507" t="n">
        <v>0</v>
      </c>
      <c r="M507" t="n">
        <v>0</v>
      </c>
      <c r="N507" t="n">
        <v>0</v>
      </c>
      <c r="O507" t="n">
        <v>0</v>
      </c>
      <c r="P507" t="n">
        <v>0</v>
      </c>
      <c r="Q507" t="n">
        <v>0</v>
      </c>
      <c r="R507" s="2" t="inlineStr"/>
    </row>
    <row r="508" ht="15" customHeight="1">
      <c r="A508" t="inlineStr">
        <is>
          <t>A 27536-2019</t>
        </is>
      </c>
      <c r="B508" s="1" t="n">
        <v>43612</v>
      </c>
      <c r="C508" s="1" t="n">
        <v>45688</v>
      </c>
      <c r="D508" t="inlineStr">
        <is>
          <t>JÄMTLANDS LÄN</t>
        </is>
      </c>
      <c r="E508" t="inlineStr">
        <is>
          <t>STRÖMSUND</t>
        </is>
      </c>
      <c r="G508" t="n">
        <v>1.3</v>
      </c>
      <c r="H508" t="n">
        <v>0</v>
      </c>
      <c r="I508" t="n">
        <v>0</v>
      </c>
      <c r="J508" t="n">
        <v>0</v>
      </c>
      <c r="K508" t="n">
        <v>0</v>
      </c>
      <c r="L508" t="n">
        <v>0</v>
      </c>
      <c r="M508" t="n">
        <v>0</v>
      </c>
      <c r="N508" t="n">
        <v>0</v>
      </c>
      <c r="O508" t="n">
        <v>0</v>
      </c>
      <c r="P508" t="n">
        <v>0</v>
      </c>
      <c r="Q508" t="n">
        <v>0</v>
      </c>
      <c r="R508" s="2" t="inlineStr"/>
    </row>
    <row r="509" ht="15" customHeight="1">
      <c r="A509" t="inlineStr">
        <is>
          <t>A 26937-2019</t>
        </is>
      </c>
      <c r="B509" s="1" t="n">
        <v>43613</v>
      </c>
      <c r="C509" s="1" t="n">
        <v>45688</v>
      </c>
      <c r="D509" t="inlineStr">
        <is>
          <t>JÄMTLANDS LÄN</t>
        </is>
      </c>
      <c r="E509" t="inlineStr">
        <is>
          <t>STRÖMSUND</t>
        </is>
      </c>
      <c r="G509" t="n">
        <v>0.8</v>
      </c>
      <c r="H509" t="n">
        <v>0</v>
      </c>
      <c r="I509" t="n">
        <v>0</v>
      </c>
      <c r="J509" t="n">
        <v>0</v>
      </c>
      <c r="K509" t="n">
        <v>0</v>
      </c>
      <c r="L509" t="n">
        <v>0</v>
      </c>
      <c r="M509" t="n">
        <v>0</v>
      </c>
      <c r="N509" t="n">
        <v>0</v>
      </c>
      <c r="O509" t="n">
        <v>0</v>
      </c>
      <c r="P509" t="n">
        <v>0</v>
      </c>
      <c r="Q509" t="n">
        <v>0</v>
      </c>
      <c r="R509" s="2" t="inlineStr"/>
    </row>
    <row r="510" ht="15" customHeight="1">
      <c r="A510" t="inlineStr">
        <is>
          <t>A 27249-2019</t>
        </is>
      </c>
      <c r="B510" s="1" t="n">
        <v>43614</v>
      </c>
      <c r="C510" s="1" t="n">
        <v>45688</v>
      </c>
      <c r="D510" t="inlineStr">
        <is>
          <t>JÄMTLANDS LÄN</t>
        </is>
      </c>
      <c r="E510" t="inlineStr">
        <is>
          <t>STRÖMSUND</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27367-2019</t>
        </is>
      </c>
      <c r="B511" s="1" t="n">
        <v>43616</v>
      </c>
      <c r="C511" s="1" t="n">
        <v>45688</v>
      </c>
      <c r="D511" t="inlineStr">
        <is>
          <t>JÄMTLANDS LÄN</t>
        </is>
      </c>
      <c r="E511" t="inlineStr">
        <is>
          <t>STRÖMSUND</t>
        </is>
      </c>
      <c r="G511" t="n">
        <v>0.2</v>
      </c>
      <c r="H511" t="n">
        <v>0</v>
      </c>
      <c r="I511" t="n">
        <v>0</v>
      </c>
      <c r="J511" t="n">
        <v>0</v>
      </c>
      <c r="K511" t="n">
        <v>0</v>
      </c>
      <c r="L511" t="n">
        <v>0</v>
      </c>
      <c r="M511" t="n">
        <v>0</v>
      </c>
      <c r="N511" t="n">
        <v>0</v>
      </c>
      <c r="O511" t="n">
        <v>0</v>
      </c>
      <c r="P511" t="n">
        <v>0</v>
      </c>
      <c r="Q511" t="n">
        <v>0</v>
      </c>
      <c r="R511" s="2" t="inlineStr"/>
    </row>
    <row r="512" ht="15" customHeight="1">
      <c r="A512" t="inlineStr">
        <is>
          <t>A 27514-2019</t>
        </is>
      </c>
      <c r="B512" s="1" t="n">
        <v>43619</v>
      </c>
      <c r="C512" s="1" t="n">
        <v>45688</v>
      </c>
      <c r="D512" t="inlineStr">
        <is>
          <t>JÄMTLANDS LÄN</t>
        </is>
      </c>
      <c r="E512" t="inlineStr">
        <is>
          <t>STRÖMSUND</t>
        </is>
      </c>
      <c r="G512" t="n">
        <v>3.6</v>
      </c>
      <c r="H512" t="n">
        <v>0</v>
      </c>
      <c r="I512" t="n">
        <v>0</v>
      </c>
      <c r="J512" t="n">
        <v>0</v>
      </c>
      <c r="K512" t="n">
        <v>0</v>
      </c>
      <c r="L512" t="n">
        <v>0</v>
      </c>
      <c r="M512" t="n">
        <v>0</v>
      </c>
      <c r="N512" t="n">
        <v>0</v>
      </c>
      <c r="O512" t="n">
        <v>0</v>
      </c>
      <c r="P512" t="n">
        <v>0</v>
      </c>
      <c r="Q512" t="n">
        <v>0</v>
      </c>
      <c r="R512" s="2" t="inlineStr"/>
    </row>
    <row r="513" ht="15" customHeight="1">
      <c r="A513" t="inlineStr">
        <is>
          <t>A 27817-2019</t>
        </is>
      </c>
      <c r="B513" s="1" t="n">
        <v>43620</v>
      </c>
      <c r="C513" s="1" t="n">
        <v>45688</v>
      </c>
      <c r="D513" t="inlineStr">
        <is>
          <t>JÄMTLANDS LÄN</t>
        </is>
      </c>
      <c r="E513" t="inlineStr">
        <is>
          <t>STRÖMSUND</t>
        </is>
      </c>
      <c r="G513" t="n">
        <v>0.7</v>
      </c>
      <c r="H513" t="n">
        <v>0</v>
      </c>
      <c r="I513" t="n">
        <v>0</v>
      </c>
      <c r="J513" t="n">
        <v>0</v>
      </c>
      <c r="K513" t="n">
        <v>0</v>
      </c>
      <c r="L513" t="n">
        <v>0</v>
      </c>
      <c r="M513" t="n">
        <v>0</v>
      </c>
      <c r="N513" t="n">
        <v>0</v>
      </c>
      <c r="O513" t="n">
        <v>0</v>
      </c>
      <c r="P513" t="n">
        <v>0</v>
      </c>
      <c r="Q513" t="n">
        <v>0</v>
      </c>
      <c r="R513" s="2" t="inlineStr"/>
    </row>
    <row r="514" ht="15" customHeight="1">
      <c r="A514" t="inlineStr">
        <is>
          <t>A 28215-2019</t>
        </is>
      </c>
      <c r="B514" s="1" t="n">
        <v>43622</v>
      </c>
      <c r="C514" s="1" t="n">
        <v>45688</v>
      </c>
      <c r="D514" t="inlineStr">
        <is>
          <t>JÄMTLANDS LÄN</t>
        </is>
      </c>
      <c r="E514" t="inlineStr">
        <is>
          <t>STRÖMSUND</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28766-2019</t>
        </is>
      </c>
      <c r="B515" s="1" t="n">
        <v>43627</v>
      </c>
      <c r="C515" s="1" t="n">
        <v>45688</v>
      </c>
      <c r="D515" t="inlineStr">
        <is>
          <t>JÄMTLANDS LÄN</t>
        </is>
      </c>
      <c r="E515" t="inlineStr">
        <is>
          <t>STRÖMSUND</t>
        </is>
      </c>
      <c r="G515" t="n">
        <v>19.8</v>
      </c>
      <c r="H515" t="n">
        <v>0</v>
      </c>
      <c r="I515" t="n">
        <v>0</v>
      </c>
      <c r="J515" t="n">
        <v>0</v>
      </c>
      <c r="K515" t="n">
        <v>0</v>
      </c>
      <c r="L515" t="n">
        <v>0</v>
      </c>
      <c r="M515" t="n">
        <v>0</v>
      </c>
      <c r="N515" t="n">
        <v>0</v>
      </c>
      <c r="O515" t="n">
        <v>0</v>
      </c>
      <c r="P515" t="n">
        <v>0</v>
      </c>
      <c r="Q515" t="n">
        <v>0</v>
      </c>
      <c r="R515" s="2" t="inlineStr"/>
    </row>
    <row r="516" ht="15" customHeight="1">
      <c r="A516" t="inlineStr">
        <is>
          <t>A 28671-2019</t>
        </is>
      </c>
      <c r="B516" s="1" t="n">
        <v>43627</v>
      </c>
      <c r="C516" s="1" t="n">
        <v>45688</v>
      </c>
      <c r="D516" t="inlineStr">
        <is>
          <t>JÄMTLANDS LÄN</t>
        </is>
      </c>
      <c r="E516" t="inlineStr">
        <is>
          <t>STRÖMSUND</t>
        </is>
      </c>
      <c r="G516" t="n">
        <v>21.3</v>
      </c>
      <c r="H516" t="n">
        <v>0</v>
      </c>
      <c r="I516" t="n">
        <v>0</v>
      </c>
      <c r="J516" t="n">
        <v>0</v>
      </c>
      <c r="K516" t="n">
        <v>0</v>
      </c>
      <c r="L516" t="n">
        <v>0</v>
      </c>
      <c r="M516" t="n">
        <v>0</v>
      </c>
      <c r="N516" t="n">
        <v>0</v>
      </c>
      <c r="O516" t="n">
        <v>0</v>
      </c>
      <c r="P516" t="n">
        <v>0</v>
      </c>
      <c r="Q516" t="n">
        <v>0</v>
      </c>
      <c r="R516" s="2" t="inlineStr"/>
    </row>
    <row r="517" ht="15" customHeight="1">
      <c r="A517" t="inlineStr">
        <is>
          <t>A 29166-2019</t>
        </is>
      </c>
      <c r="B517" s="1" t="n">
        <v>43628</v>
      </c>
      <c r="C517" s="1" t="n">
        <v>45688</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29359-2019</t>
        </is>
      </c>
      <c r="B518" s="1" t="n">
        <v>43629</v>
      </c>
      <c r="C518" s="1" t="n">
        <v>45688</v>
      </c>
      <c r="D518" t="inlineStr">
        <is>
          <t>JÄMTLANDS LÄN</t>
        </is>
      </c>
      <c r="E518" t="inlineStr">
        <is>
          <t>STRÖMSUND</t>
        </is>
      </c>
      <c r="G518" t="n">
        <v>3</v>
      </c>
      <c r="H518" t="n">
        <v>0</v>
      </c>
      <c r="I518" t="n">
        <v>0</v>
      </c>
      <c r="J518" t="n">
        <v>0</v>
      </c>
      <c r="K518" t="n">
        <v>0</v>
      </c>
      <c r="L518" t="n">
        <v>0</v>
      </c>
      <c r="M518" t="n">
        <v>0</v>
      </c>
      <c r="N518" t="n">
        <v>0</v>
      </c>
      <c r="O518" t="n">
        <v>0</v>
      </c>
      <c r="P518" t="n">
        <v>0</v>
      </c>
      <c r="Q518" t="n">
        <v>0</v>
      </c>
      <c r="R518" s="2" t="inlineStr"/>
    </row>
    <row r="519" ht="15" customHeight="1">
      <c r="A519" t="inlineStr">
        <is>
          <t>A 29378-2019</t>
        </is>
      </c>
      <c r="B519" s="1" t="n">
        <v>43629</v>
      </c>
      <c r="C519" s="1" t="n">
        <v>45688</v>
      </c>
      <c r="D519" t="inlineStr">
        <is>
          <t>JÄMTLANDS LÄN</t>
        </is>
      </c>
      <c r="E519" t="inlineStr">
        <is>
          <t>STRÖMSUND</t>
        </is>
      </c>
      <c r="G519" t="n">
        <v>33.5</v>
      </c>
      <c r="H519" t="n">
        <v>0</v>
      </c>
      <c r="I519" t="n">
        <v>0</v>
      </c>
      <c r="J519" t="n">
        <v>0</v>
      </c>
      <c r="K519" t="n">
        <v>0</v>
      </c>
      <c r="L519" t="n">
        <v>0</v>
      </c>
      <c r="M519" t="n">
        <v>0</v>
      </c>
      <c r="N519" t="n">
        <v>0</v>
      </c>
      <c r="O519" t="n">
        <v>0</v>
      </c>
      <c r="P519" t="n">
        <v>0</v>
      </c>
      <c r="Q519" t="n">
        <v>0</v>
      </c>
      <c r="R519" s="2" t="inlineStr"/>
    </row>
    <row r="520" ht="15" customHeight="1">
      <c r="A520" t="inlineStr">
        <is>
          <t>A 29740-2019</t>
        </is>
      </c>
      <c r="B520" s="1" t="n">
        <v>43630</v>
      </c>
      <c r="C520" s="1" t="n">
        <v>45688</v>
      </c>
      <c r="D520" t="inlineStr">
        <is>
          <t>JÄMTLANDS LÄN</t>
        </is>
      </c>
      <c r="E520" t="inlineStr">
        <is>
          <t>STRÖMSUND</t>
        </is>
      </c>
      <c r="F520" t="inlineStr">
        <is>
          <t>SCA</t>
        </is>
      </c>
      <c r="G520" t="n">
        <v>62.8</v>
      </c>
      <c r="H520" t="n">
        <v>0</v>
      </c>
      <c r="I520" t="n">
        <v>0</v>
      </c>
      <c r="J520" t="n">
        <v>0</v>
      </c>
      <c r="K520" t="n">
        <v>0</v>
      </c>
      <c r="L520" t="n">
        <v>0</v>
      </c>
      <c r="M520" t="n">
        <v>0</v>
      </c>
      <c r="N520" t="n">
        <v>0</v>
      </c>
      <c r="O520" t="n">
        <v>0</v>
      </c>
      <c r="P520" t="n">
        <v>0</v>
      </c>
      <c r="Q520" t="n">
        <v>0</v>
      </c>
      <c r="R520" s="2" t="inlineStr"/>
    </row>
    <row r="521" ht="15" customHeight="1">
      <c r="A521" t="inlineStr">
        <is>
          <t>A 30136-2019</t>
        </is>
      </c>
      <c r="B521" s="1" t="n">
        <v>43634</v>
      </c>
      <c r="C521" s="1" t="n">
        <v>45688</v>
      </c>
      <c r="D521" t="inlineStr">
        <is>
          <t>JÄMTLANDS LÄN</t>
        </is>
      </c>
      <c r="E521" t="inlineStr">
        <is>
          <t>STRÖMSUND</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30378-2019</t>
        </is>
      </c>
      <c r="B522" s="1" t="n">
        <v>43634</v>
      </c>
      <c r="C522" s="1" t="n">
        <v>45688</v>
      </c>
      <c r="D522" t="inlineStr">
        <is>
          <t>JÄMTLANDS LÄN</t>
        </is>
      </c>
      <c r="E522" t="inlineStr">
        <is>
          <t>STRÖMSUND</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30139-2019</t>
        </is>
      </c>
      <c r="B523" s="1" t="n">
        <v>43634</v>
      </c>
      <c r="C523" s="1" t="n">
        <v>45688</v>
      </c>
      <c r="D523" t="inlineStr">
        <is>
          <t>JÄMTLANDS LÄN</t>
        </is>
      </c>
      <c r="E523" t="inlineStr">
        <is>
          <t>STRÖMSUND</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30915-2019</t>
        </is>
      </c>
      <c r="B524" s="1" t="n">
        <v>43636</v>
      </c>
      <c r="C524" s="1" t="n">
        <v>45688</v>
      </c>
      <c r="D524" t="inlineStr">
        <is>
          <t>JÄMTLANDS LÄN</t>
        </is>
      </c>
      <c r="E524" t="inlineStr">
        <is>
          <t>STRÖMSUND</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32482-2019</t>
        </is>
      </c>
      <c r="B525" s="1" t="n">
        <v>43644</v>
      </c>
      <c r="C525" s="1" t="n">
        <v>45688</v>
      </c>
      <c r="D525" t="inlineStr">
        <is>
          <t>JÄMTLANDS LÄN</t>
        </is>
      </c>
      <c r="E525" t="inlineStr">
        <is>
          <t>STRÖMSUND</t>
        </is>
      </c>
      <c r="F525" t="inlineStr">
        <is>
          <t>SCA</t>
        </is>
      </c>
      <c r="G525" t="n">
        <v>8.4</v>
      </c>
      <c r="H525" t="n">
        <v>0</v>
      </c>
      <c r="I525" t="n">
        <v>0</v>
      </c>
      <c r="J525" t="n">
        <v>0</v>
      </c>
      <c r="K525" t="n">
        <v>0</v>
      </c>
      <c r="L525" t="n">
        <v>0</v>
      </c>
      <c r="M525" t="n">
        <v>0</v>
      </c>
      <c r="N525" t="n">
        <v>0</v>
      </c>
      <c r="O525" t="n">
        <v>0</v>
      </c>
      <c r="P525" t="n">
        <v>0</v>
      </c>
      <c r="Q525" t="n">
        <v>0</v>
      </c>
      <c r="R525" s="2" t="inlineStr"/>
    </row>
    <row r="526" ht="15" customHeight="1">
      <c r="A526" t="inlineStr">
        <is>
          <t>A 32739-2019</t>
        </is>
      </c>
      <c r="B526" s="1" t="n">
        <v>43647</v>
      </c>
      <c r="C526" s="1" t="n">
        <v>45688</v>
      </c>
      <c r="D526" t="inlineStr">
        <is>
          <t>JÄMTLANDS LÄN</t>
        </is>
      </c>
      <c r="E526" t="inlineStr">
        <is>
          <t>STRÖMSUND</t>
        </is>
      </c>
      <c r="F526" t="inlineStr">
        <is>
          <t>SCA</t>
        </is>
      </c>
      <c r="G526" t="n">
        <v>174.6</v>
      </c>
      <c r="H526" t="n">
        <v>0</v>
      </c>
      <c r="I526" t="n">
        <v>0</v>
      </c>
      <c r="J526" t="n">
        <v>0</v>
      </c>
      <c r="K526" t="n">
        <v>0</v>
      </c>
      <c r="L526" t="n">
        <v>0</v>
      </c>
      <c r="M526" t="n">
        <v>0</v>
      </c>
      <c r="N526" t="n">
        <v>0</v>
      </c>
      <c r="O526" t="n">
        <v>0</v>
      </c>
      <c r="P526" t="n">
        <v>0</v>
      </c>
      <c r="Q526" t="n">
        <v>0</v>
      </c>
      <c r="R526" s="2" t="inlineStr"/>
    </row>
    <row r="527" ht="15" customHeight="1">
      <c r="A527" t="inlineStr">
        <is>
          <t>A 32748-2019</t>
        </is>
      </c>
      <c r="B527" s="1" t="n">
        <v>43647</v>
      </c>
      <c r="C527" s="1" t="n">
        <v>45688</v>
      </c>
      <c r="D527" t="inlineStr">
        <is>
          <t>JÄMTLANDS LÄN</t>
        </is>
      </c>
      <c r="E527" t="inlineStr">
        <is>
          <t>STRÖMSUND</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32974-2019</t>
        </is>
      </c>
      <c r="B528" s="1" t="n">
        <v>43648</v>
      </c>
      <c r="C528" s="1" t="n">
        <v>45688</v>
      </c>
      <c r="D528" t="inlineStr">
        <is>
          <t>JÄMTLANDS LÄN</t>
        </is>
      </c>
      <c r="E528" t="inlineStr">
        <is>
          <t>STRÖMSUND</t>
        </is>
      </c>
      <c r="G528" t="n">
        <v>2.8</v>
      </c>
      <c r="H528" t="n">
        <v>0</v>
      </c>
      <c r="I528" t="n">
        <v>0</v>
      </c>
      <c r="J528" t="n">
        <v>0</v>
      </c>
      <c r="K528" t="n">
        <v>0</v>
      </c>
      <c r="L528" t="n">
        <v>0</v>
      </c>
      <c r="M528" t="n">
        <v>0</v>
      </c>
      <c r="N528" t="n">
        <v>0</v>
      </c>
      <c r="O528" t="n">
        <v>0</v>
      </c>
      <c r="P528" t="n">
        <v>0</v>
      </c>
      <c r="Q528" t="n">
        <v>0</v>
      </c>
      <c r="R528" s="2" t="inlineStr"/>
    </row>
    <row r="529" ht="15" customHeight="1">
      <c r="A529" t="inlineStr">
        <is>
          <t>A 32973-2019</t>
        </is>
      </c>
      <c r="B529" s="1" t="n">
        <v>43648</v>
      </c>
      <c r="C529" s="1" t="n">
        <v>45688</v>
      </c>
      <c r="D529" t="inlineStr">
        <is>
          <t>JÄMTLANDS LÄN</t>
        </is>
      </c>
      <c r="E529" t="inlineStr">
        <is>
          <t>STRÖMSUND</t>
        </is>
      </c>
      <c r="G529" t="n">
        <v>3.5</v>
      </c>
      <c r="H529" t="n">
        <v>0</v>
      </c>
      <c r="I529" t="n">
        <v>0</v>
      </c>
      <c r="J529" t="n">
        <v>0</v>
      </c>
      <c r="K529" t="n">
        <v>0</v>
      </c>
      <c r="L529" t="n">
        <v>0</v>
      </c>
      <c r="M529" t="n">
        <v>0</v>
      </c>
      <c r="N529" t="n">
        <v>0</v>
      </c>
      <c r="O529" t="n">
        <v>0</v>
      </c>
      <c r="P529" t="n">
        <v>0</v>
      </c>
      <c r="Q529" t="n">
        <v>0</v>
      </c>
      <c r="R529" s="2" t="inlineStr"/>
    </row>
    <row r="530" ht="15" customHeight="1">
      <c r="A530" t="inlineStr">
        <is>
          <t>A 32971-2019</t>
        </is>
      </c>
      <c r="B530" s="1" t="n">
        <v>43648</v>
      </c>
      <c r="C530" s="1" t="n">
        <v>45688</v>
      </c>
      <c r="D530" t="inlineStr">
        <is>
          <t>JÄMTLANDS LÄN</t>
        </is>
      </c>
      <c r="E530" t="inlineStr">
        <is>
          <t>STRÖMSUND</t>
        </is>
      </c>
      <c r="G530" t="n">
        <v>0.9</v>
      </c>
      <c r="H530" t="n">
        <v>0</v>
      </c>
      <c r="I530" t="n">
        <v>0</v>
      </c>
      <c r="J530" t="n">
        <v>0</v>
      </c>
      <c r="K530" t="n">
        <v>0</v>
      </c>
      <c r="L530" t="n">
        <v>0</v>
      </c>
      <c r="M530" t="n">
        <v>0</v>
      </c>
      <c r="N530" t="n">
        <v>0</v>
      </c>
      <c r="O530" t="n">
        <v>0</v>
      </c>
      <c r="P530" t="n">
        <v>0</v>
      </c>
      <c r="Q530" t="n">
        <v>0</v>
      </c>
      <c r="R530" s="2" t="inlineStr"/>
    </row>
    <row r="531" ht="15" customHeight="1">
      <c r="A531" t="inlineStr">
        <is>
          <t>A 32975-2019</t>
        </is>
      </c>
      <c r="B531" s="1" t="n">
        <v>43648</v>
      </c>
      <c r="C531" s="1" t="n">
        <v>45688</v>
      </c>
      <c r="D531" t="inlineStr">
        <is>
          <t>JÄMTLANDS LÄN</t>
        </is>
      </c>
      <c r="E531" t="inlineStr">
        <is>
          <t>STRÖMSUND</t>
        </is>
      </c>
      <c r="G531" t="n">
        <v>2.3</v>
      </c>
      <c r="H531" t="n">
        <v>0</v>
      </c>
      <c r="I531" t="n">
        <v>0</v>
      </c>
      <c r="J531" t="n">
        <v>0</v>
      </c>
      <c r="K531" t="n">
        <v>0</v>
      </c>
      <c r="L531" t="n">
        <v>0</v>
      </c>
      <c r="M531" t="n">
        <v>0</v>
      </c>
      <c r="N531" t="n">
        <v>0</v>
      </c>
      <c r="O531" t="n">
        <v>0</v>
      </c>
      <c r="P531" t="n">
        <v>0</v>
      </c>
      <c r="Q531" t="n">
        <v>0</v>
      </c>
      <c r="R531" s="2" t="inlineStr"/>
    </row>
    <row r="532" ht="15" customHeight="1">
      <c r="A532" t="inlineStr">
        <is>
          <t>A 34758-2019</t>
        </is>
      </c>
      <c r="B532" s="1" t="n">
        <v>43649</v>
      </c>
      <c r="C532" s="1" t="n">
        <v>45688</v>
      </c>
      <c r="D532" t="inlineStr">
        <is>
          <t>JÄMTLANDS LÄN</t>
        </is>
      </c>
      <c r="E532" t="inlineStr">
        <is>
          <t>STRÖMSUND</t>
        </is>
      </c>
      <c r="G532" t="n">
        <v>2.2</v>
      </c>
      <c r="H532" t="n">
        <v>0</v>
      </c>
      <c r="I532" t="n">
        <v>0</v>
      </c>
      <c r="J532" t="n">
        <v>0</v>
      </c>
      <c r="K532" t="n">
        <v>0</v>
      </c>
      <c r="L532" t="n">
        <v>0</v>
      </c>
      <c r="M532" t="n">
        <v>0</v>
      </c>
      <c r="N532" t="n">
        <v>0</v>
      </c>
      <c r="O532" t="n">
        <v>0</v>
      </c>
      <c r="P532" t="n">
        <v>0</v>
      </c>
      <c r="Q532" t="n">
        <v>0</v>
      </c>
      <c r="R532" s="2" t="inlineStr"/>
    </row>
    <row r="533" ht="15" customHeight="1">
      <c r="A533" t="inlineStr">
        <is>
          <t>A 33538-2019</t>
        </is>
      </c>
      <c r="B533" s="1" t="n">
        <v>43651</v>
      </c>
      <c r="C533" s="1" t="n">
        <v>45688</v>
      </c>
      <c r="D533" t="inlineStr">
        <is>
          <t>JÄMTLANDS LÄN</t>
        </is>
      </c>
      <c r="E533" t="inlineStr">
        <is>
          <t>STRÖMSUND</t>
        </is>
      </c>
      <c r="F533" t="inlineStr">
        <is>
          <t>Holmen skog AB</t>
        </is>
      </c>
      <c r="G533" t="n">
        <v>15.6</v>
      </c>
      <c r="H533" t="n">
        <v>0</v>
      </c>
      <c r="I533" t="n">
        <v>0</v>
      </c>
      <c r="J533" t="n">
        <v>0</v>
      </c>
      <c r="K533" t="n">
        <v>0</v>
      </c>
      <c r="L533" t="n">
        <v>0</v>
      </c>
      <c r="M533" t="n">
        <v>0</v>
      </c>
      <c r="N533" t="n">
        <v>0</v>
      </c>
      <c r="O533" t="n">
        <v>0</v>
      </c>
      <c r="P533" t="n">
        <v>0</v>
      </c>
      <c r="Q533" t="n">
        <v>0</v>
      </c>
      <c r="R533" s="2" t="inlineStr"/>
    </row>
    <row r="534" ht="15" customHeight="1">
      <c r="A534" t="inlineStr">
        <is>
          <t>A 33701-2019</t>
        </is>
      </c>
      <c r="B534" s="1" t="n">
        <v>43651</v>
      </c>
      <c r="C534" s="1" t="n">
        <v>45688</v>
      </c>
      <c r="D534" t="inlineStr">
        <is>
          <t>JÄMTLANDS LÄN</t>
        </is>
      </c>
      <c r="E534" t="inlineStr">
        <is>
          <t>STRÖMSUND</t>
        </is>
      </c>
      <c r="F534" t="inlineStr">
        <is>
          <t>Holmen skog AB</t>
        </is>
      </c>
      <c r="G534" t="n">
        <v>21.7</v>
      </c>
      <c r="H534" t="n">
        <v>0</v>
      </c>
      <c r="I534" t="n">
        <v>0</v>
      </c>
      <c r="J534" t="n">
        <v>0</v>
      </c>
      <c r="K534" t="n">
        <v>0</v>
      </c>
      <c r="L534" t="n">
        <v>0</v>
      </c>
      <c r="M534" t="n">
        <v>0</v>
      </c>
      <c r="N534" t="n">
        <v>0</v>
      </c>
      <c r="O534" t="n">
        <v>0</v>
      </c>
      <c r="P534" t="n">
        <v>0</v>
      </c>
      <c r="Q534" t="n">
        <v>0</v>
      </c>
      <c r="R534" s="2" t="inlineStr"/>
    </row>
    <row r="535" ht="15" customHeight="1">
      <c r="A535" t="inlineStr">
        <is>
          <t>A 33825-2019</t>
        </is>
      </c>
      <c r="B535" s="1" t="n">
        <v>43651</v>
      </c>
      <c r="C535" s="1" t="n">
        <v>45688</v>
      </c>
      <c r="D535" t="inlineStr">
        <is>
          <t>JÄMTLANDS LÄN</t>
        </is>
      </c>
      <c r="E535" t="inlineStr">
        <is>
          <t>STRÖMSUND</t>
        </is>
      </c>
      <c r="F535" t="inlineStr">
        <is>
          <t>SCA</t>
        </is>
      </c>
      <c r="G535" t="n">
        <v>15.6</v>
      </c>
      <c r="H535" t="n">
        <v>0</v>
      </c>
      <c r="I535" t="n">
        <v>0</v>
      </c>
      <c r="J535" t="n">
        <v>0</v>
      </c>
      <c r="K535" t="n">
        <v>0</v>
      </c>
      <c r="L535" t="n">
        <v>0</v>
      </c>
      <c r="M535" t="n">
        <v>0</v>
      </c>
      <c r="N535" t="n">
        <v>0</v>
      </c>
      <c r="O535" t="n">
        <v>0</v>
      </c>
      <c r="P535" t="n">
        <v>0</v>
      </c>
      <c r="Q535" t="n">
        <v>0</v>
      </c>
      <c r="R535" s="2" t="inlineStr"/>
    </row>
    <row r="536" ht="15" customHeight="1">
      <c r="A536" t="inlineStr">
        <is>
          <t>A 33552-2019</t>
        </is>
      </c>
      <c r="B536" s="1" t="n">
        <v>43651</v>
      </c>
      <c r="C536" s="1" t="n">
        <v>45688</v>
      </c>
      <c r="D536" t="inlineStr">
        <is>
          <t>JÄMTLANDS LÄN</t>
        </is>
      </c>
      <c r="E536" t="inlineStr">
        <is>
          <t>STRÖMSUND</t>
        </is>
      </c>
      <c r="F536" t="inlineStr">
        <is>
          <t>Holmen skog AB</t>
        </is>
      </c>
      <c r="G536" t="n">
        <v>15.9</v>
      </c>
      <c r="H536" t="n">
        <v>0</v>
      </c>
      <c r="I536" t="n">
        <v>0</v>
      </c>
      <c r="J536" t="n">
        <v>0</v>
      </c>
      <c r="K536" t="n">
        <v>0</v>
      </c>
      <c r="L536" t="n">
        <v>0</v>
      </c>
      <c r="M536" t="n">
        <v>0</v>
      </c>
      <c r="N536" t="n">
        <v>0</v>
      </c>
      <c r="O536" t="n">
        <v>0</v>
      </c>
      <c r="P536" t="n">
        <v>0</v>
      </c>
      <c r="Q536" t="n">
        <v>0</v>
      </c>
      <c r="R536" s="2" t="inlineStr"/>
    </row>
    <row r="537" ht="15" customHeight="1">
      <c r="A537" t="inlineStr">
        <is>
          <t>A 34125-2019</t>
        </is>
      </c>
      <c r="B537" s="1" t="n">
        <v>43654</v>
      </c>
      <c r="C537" s="1" t="n">
        <v>45688</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34144-2019</t>
        </is>
      </c>
      <c r="B538" s="1" t="n">
        <v>43655</v>
      </c>
      <c r="C538" s="1" t="n">
        <v>45688</v>
      </c>
      <c r="D538" t="inlineStr">
        <is>
          <t>JÄMTLANDS LÄN</t>
        </is>
      </c>
      <c r="E538" t="inlineStr">
        <is>
          <t>STRÖMSUND</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34156-2019</t>
        </is>
      </c>
      <c r="B539" s="1" t="n">
        <v>43655</v>
      </c>
      <c r="C539" s="1" t="n">
        <v>45688</v>
      </c>
      <c r="D539" t="inlineStr">
        <is>
          <t>JÄMTLANDS LÄN</t>
        </is>
      </c>
      <c r="E539" t="inlineStr">
        <is>
          <t>STRÖMSUND</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34152-2019</t>
        </is>
      </c>
      <c r="B540" s="1" t="n">
        <v>43655</v>
      </c>
      <c r="C540" s="1" t="n">
        <v>45688</v>
      </c>
      <c r="D540" t="inlineStr">
        <is>
          <t>JÄMTLANDS LÄN</t>
        </is>
      </c>
      <c r="E540" t="inlineStr">
        <is>
          <t>STRÖMSUND</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34233-2019</t>
        </is>
      </c>
      <c r="B541" s="1" t="n">
        <v>43655</v>
      </c>
      <c r="C541" s="1" t="n">
        <v>45688</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34146-2019</t>
        </is>
      </c>
      <c r="B542" s="1" t="n">
        <v>43655</v>
      </c>
      <c r="C542" s="1" t="n">
        <v>45688</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35674-2019</t>
        </is>
      </c>
      <c r="B543" s="1" t="n">
        <v>43655</v>
      </c>
      <c r="C543" s="1" t="n">
        <v>45688</v>
      </c>
      <c r="D543" t="inlineStr">
        <is>
          <t>JÄMTLANDS LÄN</t>
        </is>
      </c>
      <c r="E543" t="inlineStr">
        <is>
          <t>STRÖMSUND</t>
        </is>
      </c>
      <c r="G543" t="n">
        <v>2.8</v>
      </c>
      <c r="H543" t="n">
        <v>0</v>
      </c>
      <c r="I543" t="n">
        <v>0</v>
      </c>
      <c r="J543" t="n">
        <v>0</v>
      </c>
      <c r="K543" t="n">
        <v>0</v>
      </c>
      <c r="L543" t="n">
        <v>0</v>
      </c>
      <c r="M543" t="n">
        <v>0</v>
      </c>
      <c r="N543" t="n">
        <v>0</v>
      </c>
      <c r="O543" t="n">
        <v>0</v>
      </c>
      <c r="P543" t="n">
        <v>0</v>
      </c>
      <c r="Q543" t="n">
        <v>0</v>
      </c>
      <c r="R543" s="2" t="inlineStr"/>
    </row>
    <row r="544" ht="15" customHeight="1">
      <c r="A544" t="inlineStr">
        <is>
          <t>A 34219-2019</t>
        </is>
      </c>
      <c r="B544" s="1" t="n">
        <v>43655</v>
      </c>
      <c r="C544" s="1" t="n">
        <v>45688</v>
      </c>
      <c r="D544" t="inlineStr">
        <is>
          <t>JÄMTLANDS LÄN</t>
        </is>
      </c>
      <c r="E544" t="inlineStr">
        <is>
          <t>STRÖMSUND</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34741-2019</t>
        </is>
      </c>
      <c r="B545" s="1" t="n">
        <v>43657</v>
      </c>
      <c r="C545" s="1" t="n">
        <v>45688</v>
      </c>
      <c r="D545" t="inlineStr">
        <is>
          <t>JÄMTLANDS LÄN</t>
        </is>
      </c>
      <c r="E545" t="inlineStr">
        <is>
          <t>STRÖMSUND</t>
        </is>
      </c>
      <c r="F545" t="inlineStr">
        <is>
          <t>SCA</t>
        </is>
      </c>
      <c r="G545" t="n">
        <v>11.3</v>
      </c>
      <c r="H545" t="n">
        <v>0</v>
      </c>
      <c r="I545" t="n">
        <v>0</v>
      </c>
      <c r="J545" t="n">
        <v>0</v>
      </c>
      <c r="K545" t="n">
        <v>0</v>
      </c>
      <c r="L545" t="n">
        <v>0</v>
      </c>
      <c r="M545" t="n">
        <v>0</v>
      </c>
      <c r="N545" t="n">
        <v>0</v>
      </c>
      <c r="O545" t="n">
        <v>0</v>
      </c>
      <c r="P545" t="n">
        <v>0</v>
      </c>
      <c r="Q545" t="n">
        <v>0</v>
      </c>
      <c r="R545" s="2" t="inlineStr"/>
    </row>
    <row r="546" ht="15" customHeight="1">
      <c r="A546" t="inlineStr">
        <is>
          <t>A 36193-2019</t>
        </is>
      </c>
      <c r="B546" s="1" t="n">
        <v>43657</v>
      </c>
      <c r="C546" s="1" t="n">
        <v>45688</v>
      </c>
      <c r="D546" t="inlineStr">
        <is>
          <t>JÄMTLANDS LÄN</t>
        </is>
      </c>
      <c r="E546" t="inlineStr">
        <is>
          <t>STRÖMSUND</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34794-2019</t>
        </is>
      </c>
      <c r="B547" s="1" t="n">
        <v>43658</v>
      </c>
      <c r="C547" s="1" t="n">
        <v>45688</v>
      </c>
      <c r="D547" t="inlineStr">
        <is>
          <t>JÄMTLANDS LÄN</t>
        </is>
      </c>
      <c r="E547" t="inlineStr">
        <is>
          <t>STRÖMSUND</t>
        </is>
      </c>
      <c r="F547" t="inlineStr">
        <is>
          <t>Sveaskog</t>
        </is>
      </c>
      <c r="G547" t="n">
        <v>9.5</v>
      </c>
      <c r="H547" t="n">
        <v>0</v>
      </c>
      <c r="I547" t="n">
        <v>0</v>
      </c>
      <c r="J547" t="n">
        <v>0</v>
      </c>
      <c r="K547" t="n">
        <v>0</v>
      </c>
      <c r="L547" t="n">
        <v>0</v>
      </c>
      <c r="M547" t="n">
        <v>0</v>
      </c>
      <c r="N547" t="n">
        <v>0</v>
      </c>
      <c r="O547" t="n">
        <v>0</v>
      </c>
      <c r="P547" t="n">
        <v>0</v>
      </c>
      <c r="Q547" t="n">
        <v>0</v>
      </c>
      <c r="R547" s="2" t="inlineStr"/>
    </row>
    <row r="548" ht="15" customHeight="1">
      <c r="A548" t="inlineStr">
        <is>
          <t>A 35323-2019</t>
        </is>
      </c>
      <c r="B548" s="1" t="n">
        <v>43662</v>
      </c>
      <c r="C548" s="1" t="n">
        <v>45688</v>
      </c>
      <c r="D548" t="inlineStr">
        <is>
          <t>JÄMTLANDS LÄN</t>
        </is>
      </c>
      <c r="E548" t="inlineStr">
        <is>
          <t>STRÖMSUND</t>
        </is>
      </c>
      <c r="F548" t="inlineStr">
        <is>
          <t>SCA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35472-2019</t>
        </is>
      </c>
      <c r="B549" s="1" t="n">
        <v>43663</v>
      </c>
      <c r="C549" s="1" t="n">
        <v>45688</v>
      </c>
      <c r="D549" t="inlineStr">
        <is>
          <t>JÄMTLANDS LÄN</t>
        </is>
      </c>
      <c r="E549" t="inlineStr">
        <is>
          <t>STRÖMSUND</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35442-2019</t>
        </is>
      </c>
      <c r="B550" s="1" t="n">
        <v>43663</v>
      </c>
      <c r="C550" s="1" t="n">
        <v>45688</v>
      </c>
      <c r="D550" t="inlineStr">
        <is>
          <t>JÄMTLANDS LÄN</t>
        </is>
      </c>
      <c r="E550" t="inlineStr">
        <is>
          <t>STRÖMSUND</t>
        </is>
      </c>
      <c r="F550" t="inlineStr">
        <is>
          <t>Holmen skog AB</t>
        </is>
      </c>
      <c r="G550" t="n">
        <v>5</v>
      </c>
      <c r="H550" t="n">
        <v>0</v>
      </c>
      <c r="I550" t="n">
        <v>0</v>
      </c>
      <c r="J550" t="n">
        <v>0</v>
      </c>
      <c r="K550" t="n">
        <v>0</v>
      </c>
      <c r="L550" t="n">
        <v>0</v>
      </c>
      <c r="M550" t="n">
        <v>0</v>
      </c>
      <c r="N550" t="n">
        <v>0</v>
      </c>
      <c r="O550" t="n">
        <v>0</v>
      </c>
      <c r="P550" t="n">
        <v>0</v>
      </c>
      <c r="Q550" t="n">
        <v>0</v>
      </c>
      <c r="R550" s="2" t="inlineStr"/>
    </row>
    <row r="551" ht="15" customHeight="1">
      <c r="A551" t="inlineStr">
        <is>
          <t>A 35621-2019</t>
        </is>
      </c>
      <c r="B551" s="1" t="n">
        <v>43664</v>
      </c>
      <c r="C551" s="1" t="n">
        <v>45688</v>
      </c>
      <c r="D551" t="inlineStr">
        <is>
          <t>JÄMTLANDS LÄN</t>
        </is>
      </c>
      <c r="E551" t="inlineStr">
        <is>
          <t>STRÖMSUND</t>
        </is>
      </c>
      <c r="G551" t="n">
        <v>35.5</v>
      </c>
      <c r="H551" t="n">
        <v>0</v>
      </c>
      <c r="I551" t="n">
        <v>0</v>
      </c>
      <c r="J551" t="n">
        <v>0</v>
      </c>
      <c r="K551" t="n">
        <v>0</v>
      </c>
      <c r="L551" t="n">
        <v>0</v>
      </c>
      <c r="M551" t="n">
        <v>0</v>
      </c>
      <c r="N551" t="n">
        <v>0</v>
      </c>
      <c r="O551" t="n">
        <v>0</v>
      </c>
      <c r="P551" t="n">
        <v>0</v>
      </c>
      <c r="Q551" t="n">
        <v>0</v>
      </c>
      <c r="R551" s="2" t="inlineStr"/>
    </row>
    <row r="552" ht="15" customHeight="1">
      <c r="A552" t="inlineStr">
        <is>
          <t>A 37879-2019</t>
        </is>
      </c>
      <c r="B552" s="1" t="n">
        <v>43682</v>
      </c>
      <c r="C552" s="1" t="n">
        <v>45688</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37880-2019</t>
        </is>
      </c>
      <c r="B553" s="1" t="n">
        <v>43682</v>
      </c>
      <c r="C553" s="1" t="n">
        <v>45688</v>
      </c>
      <c r="D553" t="inlineStr">
        <is>
          <t>JÄMTLANDS LÄN</t>
        </is>
      </c>
      <c r="E553" t="inlineStr">
        <is>
          <t>STRÖMSUND</t>
        </is>
      </c>
      <c r="G553" t="n">
        <v>3.9</v>
      </c>
      <c r="H553" t="n">
        <v>0</v>
      </c>
      <c r="I553" t="n">
        <v>0</v>
      </c>
      <c r="J553" t="n">
        <v>0</v>
      </c>
      <c r="K553" t="n">
        <v>0</v>
      </c>
      <c r="L553" t="n">
        <v>0</v>
      </c>
      <c r="M553" t="n">
        <v>0</v>
      </c>
      <c r="N553" t="n">
        <v>0</v>
      </c>
      <c r="O553" t="n">
        <v>0</v>
      </c>
      <c r="P553" t="n">
        <v>0</v>
      </c>
      <c r="Q553" t="n">
        <v>0</v>
      </c>
      <c r="R553" s="2" t="inlineStr"/>
    </row>
    <row r="554" ht="15" customHeight="1">
      <c r="A554" t="inlineStr">
        <is>
          <t>A 38122-2019</t>
        </is>
      </c>
      <c r="B554" s="1" t="n">
        <v>43683</v>
      </c>
      <c r="C554" s="1" t="n">
        <v>45688</v>
      </c>
      <c r="D554" t="inlineStr">
        <is>
          <t>JÄMTLANDS LÄN</t>
        </is>
      </c>
      <c r="E554" t="inlineStr">
        <is>
          <t>STRÖMSUND</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38312-2019</t>
        </is>
      </c>
      <c r="B555" s="1" t="n">
        <v>43684</v>
      </c>
      <c r="C555" s="1" t="n">
        <v>45688</v>
      </c>
      <c r="D555" t="inlineStr">
        <is>
          <t>JÄMTLANDS LÄN</t>
        </is>
      </c>
      <c r="E555" t="inlineStr">
        <is>
          <t>STRÖMSUND</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38578-2019</t>
        </is>
      </c>
      <c r="B556" s="1" t="n">
        <v>43685</v>
      </c>
      <c r="C556" s="1" t="n">
        <v>45688</v>
      </c>
      <c r="D556" t="inlineStr">
        <is>
          <t>JÄMTLANDS LÄN</t>
        </is>
      </c>
      <c r="E556" t="inlineStr">
        <is>
          <t>STRÖMSUND</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38577-2019</t>
        </is>
      </c>
      <c r="B557" s="1" t="n">
        <v>43685</v>
      </c>
      <c r="C557" s="1" t="n">
        <v>45688</v>
      </c>
      <c r="D557" t="inlineStr">
        <is>
          <t>JÄMTLANDS LÄN</t>
        </is>
      </c>
      <c r="E557" t="inlineStr">
        <is>
          <t>STRÖMSUND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39129-2019</t>
        </is>
      </c>
      <c r="B558" s="1" t="n">
        <v>43689</v>
      </c>
      <c r="C558" s="1" t="n">
        <v>45688</v>
      </c>
      <c r="D558" t="inlineStr">
        <is>
          <t>JÄMTLANDS LÄN</t>
        </is>
      </c>
      <c r="E558" t="inlineStr">
        <is>
          <t>STRÖMSUND</t>
        </is>
      </c>
      <c r="F558" t="inlineStr">
        <is>
          <t>SCA</t>
        </is>
      </c>
      <c r="G558" t="n">
        <v>67.2</v>
      </c>
      <c r="H558" t="n">
        <v>0</v>
      </c>
      <c r="I558" t="n">
        <v>0</v>
      </c>
      <c r="J558" t="n">
        <v>0</v>
      </c>
      <c r="K558" t="n">
        <v>0</v>
      </c>
      <c r="L558" t="n">
        <v>0</v>
      </c>
      <c r="M558" t="n">
        <v>0</v>
      </c>
      <c r="N558" t="n">
        <v>0</v>
      </c>
      <c r="O558" t="n">
        <v>0</v>
      </c>
      <c r="P558" t="n">
        <v>0</v>
      </c>
      <c r="Q558" t="n">
        <v>0</v>
      </c>
      <c r="R558" s="2" t="inlineStr"/>
    </row>
    <row r="559" ht="15" customHeight="1">
      <c r="A559" t="inlineStr">
        <is>
          <t>A 39226-2019</t>
        </is>
      </c>
      <c r="B559" s="1" t="n">
        <v>43690</v>
      </c>
      <c r="C559" s="1" t="n">
        <v>45688</v>
      </c>
      <c r="D559" t="inlineStr">
        <is>
          <t>JÄMTLANDS LÄN</t>
        </is>
      </c>
      <c r="E559" t="inlineStr">
        <is>
          <t>STRÖMSUND</t>
        </is>
      </c>
      <c r="G559" t="n">
        <v>3.3</v>
      </c>
      <c r="H559" t="n">
        <v>0</v>
      </c>
      <c r="I559" t="n">
        <v>0</v>
      </c>
      <c r="J559" t="n">
        <v>0</v>
      </c>
      <c r="K559" t="n">
        <v>0</v>
      </c>
      <c r="L559" t="n">
        <v>0</v>
      </c>
      <c r="M559" t="n">
        <v>0</v>
      </c>
      <c r="N559" t="n">
        <v>0</v>
      </c>
      <c r="O559" t="n">
        <v>0</v>
      </c>
      <c r="P559" t="n">
        <v>0</v>
      </c>
      <c r="Q559" t="n">
        <v>0</v>
      </c>
      <c r="R559" s="2" t="inlineStr"/>
    </row>
    <row r="560" ht="15" customHeight="1">
      <c r="A560" t="inlineStr">
        <is>
          <t>A 39282-2019</t>
        </is>
      </c>
      <c r="B560" s="1" t="n">
        <v>43690</v>
      </c>
      <c r="C560" s="1" t="n">
        <v>45688</v>
      </c>
      <c r="D560" t="inlineStr">
        <is>
          <t>JÄMTLANDS LÄN</t>
        </is>
      </c>
      <c r="E560" t="inlineStr">
        <is>
          <t>STRÖMSUND</t>
        </is>
      </c>
      <c r="F560" t="inlineStr">
        <is>
          <t>Holmen skog AB</t>
        </is>
      </c>
      <c r="G560" t="n">
        <v>21.2</v>
      </c>
      <c r="H560" t="n">
        <v>0</v>
      </c>
      <c r="I560" t="n">
        <v>0</v>
      </c>
      <c r="J560" t="n">
        <v>0</v>
      </c>
      <c r="K560" t="n">
        <v>0</v>
      </c>
      <c r="L560" t="n">
        <v>0</v>
      </c>
      <c r="M560" t="n">
        <v>0</v>
      </c>
      <c r="N560" t="n">
        <v>0</v>
      </c>
      <c r="O560" t="n">
        <v>0</v>
      </c>
      <c r="P560" t="n">
        <v>0</v>
      </c>
      <c r="Q560" t="n">
        <v>0</v>
      </c>
      <c r="R560" s="2" t="inlineStr"/>
    </row>
    <row r="561" ht="15" customHeight="1">
      <c r="A561" t="inlineStr">
        <is>
          <t>A 40509-2019</t>
        </is>
      </c>
      <c r="B561" s="1" t="n">
        <v>43696</v>
      </c>
      <c r="C561" s="1" t="n">
        <v>45688</v>
      </c>
      <c r="D561" t="inlineStr">
        <is>
          <t>JÄMTLANDS LÄN</t>
        </is>
      </c>
      <c r="E561" t="inlineStr">
        <is>
          <t>STRÖMSUND</t>
        </is>
      </c>
      <c r="G561" t="n">
        <v>16.4</v>
      </c>
      <c r="H561" t="n">
        <v>0</v>
      </c>
      <c r="I561" t="n">
        <v>0</v>
      </c>
      <c r="J561" t="n">
        <v>0</v>
      </c>
      <c r="K561" t="n">
        <v>0</v>
      </c>
      <c r="L561" t="n">
        <v>0</v>
      </c>
      <c r="M561" t="n">
        <v>0</v>
      </c>
      <c r="N561" t="n">
        <v>0</v>
      </c>
      <c r="O561" t="n">
        <v>0</v>
      </c>
      <c r="P561" t="n">
        <v>0</v>
      </c>
      <c r="Q561" t="n">
        <v>0</v>
      </c>
      <c r="R561" s="2" t="inlineStr"/>
    </row>
    <row r="562" ht="15" customHeight="1">
      <c r="A562" t="inlineStr">
        <is>
          <t>A 40661-2019</t>
        </is>
      </c>
      <c r="B562" s="1" t="n">
        <v>43696</v>
      </c>
      <c r="C562" s="1" t="n">
        <v>45688</v>
      </c>
      <c r="D562" t="inlineStr">
        <is>
          <t>JÄMTLANDS LÄN</t>
        </is>
      </c>
      <c r="E562" t="inlineStr">
        <is>
          <t>STRÖMSUND</t>
        </is>
      </c>
      <c r="G562" t="n">
        <v>2.9</v>
      </c>
      <c r="H562" t="n">
        <v>0</v>
      </c>
      <c r="I562" t="n">
        <v>0</v>
      </c>
      <c r="J562" t="n">
        <v>0</v>
      </c>
      <c r="K562" t="n">
        <v>0</v>
      </c>
      <c r="L562" t="n">
        <v>0</v>
      </c>
      <c r="M562" t="n">
        <v>0</v>
      </c>
      <c r="N562" t="n">
        <v>0</v>
      </c>
      <c r="O562" t="n">
        <v>0</v>
      </c>
      <c r="P562" t="n">
        <v>0</v>
      </c>
      <c r="Q562" t="n">
        <v>0</v>
      </c>
      <c r="R562" s="2" t="inlineStr"/>
    </row>
    <row r="563" ht="15" customHeight="1">
      <c r="A563" t="inlineStr">
        <is>
          <t>A 40670-2019</t>
        </is>
      </c>
      <c r="B563" s="1" t="n">
        <v>43696</v>
      </c>
      <c r="C563" s="1" t="n">
        <v>45688</v>
      </c>
      <c r="D563" t="inlineStr">
        <is>
          <t>JÄMTLANDS LÄN</t>
        </is>
      </c>
      <c r="E563" t="inlineStr">
        <is>
          <t>STRÖMSUND</t>
        </is>
      </c>
      <c r="F563" t="inlineStr">
        <is>
          <t>SCA</t>
        </is>
      </c>
      <c r="G563" t="n">
        <v>8.9</v>
      </c>
      <c r="H563" t="n">
        <v>0</v>
      </c>
      <c r="I563" t="n">
        <v>0</v>
      </c>
      <c r="J563" t="n">
        <v>0</v>
      </c>
      <c r="K563" t="n">
        <v>0</v>
      </c>
      <c r="L563" t="n">
        <v>0</v>
      </c>
      <c r="M563" t="n">
        <v>0</v>
      </c>
      <c r="N563" t="n">
        <v>0</v>
      </c>
      <c r="O563" t="n">
        <v>0</v>
      </c>
      <c r="P563" t="n">
        <v>0</v>
      </c>
      <c r="Q563" t="n">
        <v>0</v>
      </c>
      <c r="R563" s="2" t="inlineStr"/>
    </row>
    <row r="564" ht="15" customHeight="1">
      <c r="A564" t="inlineStr">
        <is>
          <t>A 40508-2019</t>
        </is>
      </c>
      <c r="B564" s="1" t="n">
        <v>43696</v>
      </c>
      <c r="C564" s="1" t="n">
        <v>45688</v>
      </c>
      <c r="D564" t="inlineStr">
        <is>
          <t>JÄMTLANDS LÄN</t>
        </is>
      </c>
      <c r="E564" t="inlineStr">
        <is>
          <t>STRÖMSUND</t>
        </is>
      </c>
      <c r="G564" t="n">
        <v>3.3</v>
      </c>
      <c r="H564" t="n">
        <v>0</v>
      </c>
      <c r="I564" t="n">
        <v>0</v>
      </c>
      <c r="J564" t="n">
        <v>0</v>
      </c>
      <c r="K564" t="n">
        <v>0</v>
      </c>
      <c r="L564" t="n">
        <v>0</v>
      </c>
      <c r="M564" t="n">
        <v>0</v>
      </c>
      <c r="N564" t="n">
        <v>0</v>
      </c>
      <c r="O564" t="n">
        <v>0</v>
      </c>
      <c r="P564" t="n">
        <v>0</v>
      </c>
      <c r="Q564" t="n">
        <v>0</v>
      </c>
      <c r="R564" s="2" t="inlineStr"/>
    </row>
    <row r="565" ht="15" customHeight="1">
      <c r="A565" t="inlineStr">
        <is>
          <t>A 41007-2019</t>
        </is>
      </c>
      <c r="B565" s="1" t="n">
        <v>43697</v>
      </c>
      <c r="C565" s="1" t="n">
        <v>45688</v>
      </c>
      <c r="D565" t="inlineStr">
        <is>
          <t>JÄMTLANDS LÄN</t>
        </is>
      </c>
      <c r="E565" t="inlineStr">
        <is>
          <t>STRÖMSUND</t>
        </is>
      </c>
      <c r="G565" t="n">
        <v>7.2</v>
      </c>
      <c r="H565" t="n">
        <v>0</v>
      </c>
      <c r="I565" t="n">
        <v>0</v>
      </c>
      <c r="J565" t="n">
        <v>0</v>
      </c>
      <c r="K565" t="n">
        <v>0</v>
      </c>
      <c r="L565" t="n">
        <v>0</v>
      </c>
      <c r="M565" t="n">
        <v>0</v>
      </c>
      <c r="N565" t="n">
        <v>0</v>
      </c>
      <c r="O565" t="n">
        <v>0</v>
      </c>
      <c r="P565" t="n">
        <v>0</v>
      </c>
      <c r="Q565" t="n">
        <v>0</v>
      </c>
      <c r="R565" s="2" t="inlineStr"/>
    </row>
    <row r="566" ht="15" customHeight="1">
      <c r="A566" t="inlineStr">
        <is>
          <t>A 41042-2019</t>
        </is>
      </c>
      <c r="B566" s="1" t="n">
        <v>43697</v>
      </c>
      <c r="C566" s="1" t="n">
        <v>45688</v>
      </c>
      <c r="D566" t="inlineStr">
        <is>
          <t>JÄMTLANDS LÄN</t>
        </is>
      </c>
      <c r="E566" t="inlineStr">
        <is>
          <t>STRÖMSUND</t>
        </is>
      </c>
      <c r="F566" t="inlineStr">
        <is>
          <t>SCA</t>
        </is>
      </c>
      <c r="G566" t="n">
        <v>58.2</v>
      </c>
      <c r="H566" t="n">
        <v>0</v>
      </c>
      <c r="I566" t="n">
        <v>0</v>
      </c>
      <c r="J566" t="n">
        <v>0</v>
      </c>
      <c r="K566" t="n">
        <v>0</v>
      </c>
      <c r="L566" t="n">
        <v>0</v>
      </c>
      <c r="M566" t="n">
        <v>0</v>
      </c>
      <c r="N566" t="n">
        <v>0</v>
      </c>
      <c r="O566" t="n">
        <v>0</v>
      </c>
      <c r="P566" t="n">
        <v>0</v>
      </c>
      <c r="Q566" t="n">
        <v>0</v>
      </c>
      <c r="R566" s="2" t="inlineStr"/>
    </row>
    <row r="567" ht="15" customHeight="1">
      <c r="A567" t="inlineStr">
        <is>
          <t>A 42420-2019</t>
        </is>
      </c>
      <c r="B567" s="1" t="n">
        <v>43703</v>
      </c>
      <c r="C567" s="1" t="n">
        <v>45688</v>
      </c>
      <c r="D567" t="inlineStr">
        <is>
          <t>JÄMTLANDS LÄN</t>
        </is>
      </c>
      <c r="E567" t="inlineStr">
        <is>
          <t>STRÖMSUND</t>
        </is>
      </c>
      <c r="G567" t="n">
        <v>8.4</v>
      </c>
      <c r="H567" t="n">
        <v>0</v>
      </c>
      <c r="I567" t="n">
        <v>0</v>
      </c>
      <c r="J567" t="n">
        <v>0</v>
      </c>
      <c r="K567" t="n">
        <v>0</v>
      </c>
      <c r="L567" t="n">
        <v>0</v>
      </c>
      <c r="M567" t="n">
        <v>0</v>
      </c>
      <c r="N567" t="n">
        <v>0</v>
      </c>
      <c r="O567" t="n">
        <v>0</v>
      </c>
      <c r="P567" t="n">
        <v>0</v>
      </c>
      <c r="Q567" t="n">
        <v>0</v>
      </c>
      <c r="R567" s="2" t="inlineStr"/>
    </row>
    <row r="568" ht="15" customHeight="1">
      <c r="A568" t="inlineStr">
        <is>
          <t>A 43180-2019</t>
        </is>
      </c>
      <c r="B568" s="1" t="n">
        <v>43705</v>
      </c>
      <c r="C568" s="1" t="n">
        <v>45688</v>
      </c>
      <c r="D568" t="inlineStr">
        <is>
          <t>JÄMTLANDS LÄN</t>
        </is>
      </c>
      <c r="E568" t="inlineStr">
        <is>
          <t>STRÖMSUND</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43707-2019</t>
        </is>
      </c>
      <c r="B569" s="1" t="n">
        <v>43707</v>
      </c>
      <c r="C569" s="1" t="n">
        <v>45688</v>
      </c>
      <c r="D569" t="inlineStr">
        <is>
          <t>JÄMTLANDS LÄN</t>
        </is>
      </c>
      <c r="E569" t="inlineStr">
        <is>
          <t>STRÖMSUND</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43943-2019</t>
        </is>
      </c>
      <c r="B570" s="1" t="n">
        <v>43707</v>
      </c>
      <c r="C570" s="1" t="n">
        <v>45688</v>
      </c>
      <c r="D570" t="inlineStr">
        <is>
          <t>JÄMTLANDS LÄN</t>
        </is>
      </c>
      <c r="E570" t="inlineStr">
        <is>
          <t>STRÖMSUND</t>
        </is>
      </c>
      <c r="F570" t="inlineStr">
        <is>
          <t>SCA</t>
        </is>
      </c>
      <c r="G570" t="n">
        <v>11.9</v>
      </c>
      <c r="H570" t="n">
        <v>0</v>
      </c>
      <c r="I570" t="n">
        <v>0</v>
      </c>
      <c r="J570" t="n">
        <v>0</v>
      </c>
      <c r="K570" t="n">
        <v>0</v>
      </c>
      <c r="L570" t="n">
        <v>0</v>
      </c>
      <c r="M570" t="n">
        <v>0</v>
      </c>
      <c r="N570" t="n">
        <v>0</v>
      </c>
      <c r="O570" t="n">
        <v>0</v>
      </c>
      <c r="P570" t="n">
        <v>0</v>
      </c>
      <c r="Q570" t="n">
        <v>0</v>
      </c>
      <c r="R570" s="2" t="inlineStr"/>
    </row>
    <row r="571" ht="15" customHeight="1">
      <c r="A571" t="inlineStr">
        <is>
          <t>A 43793-2019</t>
        </is>
      </c>
      <c r="B571" s="1" t="n">
        <v>43707</v>
      </c>
      <c r="C571" s="1" t="n">
        <v>45688</v>
      </c>
      <c r="D571" t="inlineStr">
        <is>
          <t>JÄMTLANDS LÄN</t>
        </is>
      </c>
      <c r="E571" t="inlineStr">
        <is>
          <t>STRÖMSUND</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45171-2019</t>
        </is>
      </c>
      <c r="B572" s="1" t="n">
        <v>43707</v>
      </c>
      <c r="C572" s="1" t="n">
        <v>45688</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44010-2019</t>
        </is>
      </c>
      <c r="B573" s="1" t="n">
        <v>43709</v>
      </c>
      <c r="C573" s="1" t="n">
        <v>45688</v>
      </c>
      <c r="D573" t="inlineStr">
        <is>
          <t>JÄMTLANDS LÄN</t>
        </is>
      </c>
      <c r="E573" t="inlineStr">
        <is>
          <t>STRÖMSUND</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44535-2019</t>
        </is>
      </c>
      <c r="B574" s="1" t="n">
        <v>43711</v>
      </c>
      <c r="C574" s="1" t="n">
        <v>45688</v>
      </c>
      <c r="D574" t="inlineStr">
        <is>
          <t>JÄMTLANDS LÄN</t>
        </is>
      </c>
      <c r="E574" t="inlineStr">
        <is>
          <t>STRÖMSUND</t>
        </is>
      </c>
      <c r="G574" t="n">
        <v>23.8</v>
      </c>
      <c r="H574" t="n">
        <v>0</v>
      </c>
      <c r="I574" t="n">
        <v>0</v>
      </c>
      <c r="J574" t="n">
        <v>0</v>
      </c>
      <c r="K574" t="n">
        <v>0</v>
      </c>
      <c r="L574" t="n">
        <v>0</v>
      </c>
      <c r="M574" t="n">
        <v>0</v>
      </c>
      <c r="N574" t="n">
        <v>0</v>
      </c>
      <c r="O574" t="n">
        <v>0</v>
      </c>
      <c r="P574" t="n">
        <v>0</v>
      </c>
      <c r="Q574" t="n">
        <v>0</v>
      </c>
      <c r="R574" s="2" t="inlineStr"/>
    </row>
    <row r="575" ht="15" customHeight="1">
      <c r="A575" t="inlineStr">
        <is>
          <t>A 44604-2019</t>
        </is>
      </c>
      <c r="B575" s="1" t="n">
        <v>43711</v>
      </c>
      <c r="C575" s="1" t="n">
        <v>45688</v>
      </c>
      <c r="D575" t="inlineStr">
        <is>
          <t>JÄMTLANDS LÄN</t>
        </is>
      </c>
      <c r="E575" t="inlineStr">
        <is>
          <t>STRÖMSUND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45773-2019</t>
        </is>
      </c>
      <c r="B576" s="1" t="n">
        <v>43711</v>
      </c>
      <c r="C576" s="1" t="n">
        <v>45688</v>
      </c>
      <c r="D576" t="inlineStr">
        <is>
          <t>JÄMTLANDS LÄN</t>
        </is>
      </c>
      <c r="E576" t="inlineStr">
        <is>
          <t>STRÖMSUND</t>
        </is>
      </c>
      <c r="G576" t="n">
        <v>3.2</v>
      </c>
      <c r="H576" t="n">
        <v>0</v>
      </c>
      <c r="I576" t="n">
        <v>0</v>
      </c>
      <c r="J576" t="n">
        <v>0</v>
      </c>
      <c r="K576" t="n">
        <v>0</v>
      </c>
      <c r="L576" t="n">
        <v>0</v>
      </c>
      <c r="M576" t="n">
        <v>0</v>
      </c>
      <c r="N576" t="n">
        <v>0</v>
      </c>
      <c r="O576" t="n">
        <v>0</v>
      </c>
      <c r="P576" t="n">
        <v>0</v>
      </c>
      <c r="Q576" t="n">
        <v>0</v>
      </c>
      <c r="R576" s="2" t="inlineStr"/>
    </row>
    <row r="577" ht="15" customHeight="1">
      <c r="A577" t="inlineStr">
        <is>
          <t>A 44605-2019</t>
        </is>
      </c>
      <c r="B577" s="1" t="n">
        <v>43711</v>
      </c>
      <c r="C577" s="1" t="n">
        <v>45688</v>
      </c>
      <c r="D577" t="inlineStr">
        <is>
          <t>JÄMTLANDS LÄN</t>
        </is>
      </c>
      <c r="E577" t="inlineStr">
        <is>
          <t>STRÖMSUND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45737-2019</t>
        </is>
      </c>
      <c r="B578" s="1" t="n">
        <v>43711</v>
      </c>
      <c r="C578" s="1" t="n">
        <v>45688</v>
      </c>
      <c r="D578" t="inlineStr">
        <is>
          <t>JÄMTLANDS LÄN</t>
        </is>
      </c>
      <c r="E578" t="inlineStr">
        <is>
          <t>STRÖMSUND</t>
        </is>
      </c>
      <c r="F578" t="inlineStr">
        <is>
          <t>Holmen skog AB</t>
        </is>
      </c>
      <c r="G578" t="n">
        <v>9.5</v>
      </c>
      <c r="H578" t="n">
        <v>0</v>
      </c>
      <c r="I578" t="n">
        <v>0</v>
      </c>
      <c r="J578" t="n">
        <v>0</v>
      </c>
      <c r="K578" t="n">
        <v>0</v>
      </c>
      <c r="L578" t="n">
        <v>0</v>
      </c>
      <c r="M578" t="n">
        <v>0</v>
      </c>
      <c r="N578" t="n">
        <v>0</v>
      </c>
      <c r="O578" t="n">
        <v>0</v>
      </c>
      <c r="P578" t="n">
        <v>0</v>
      </c>
      <c r="Q578" t="n">
        <v>0</v>
      </c>
      <c r="R578" s="2" t="inlineStr"/>
    </row>
    <row r="579" ht="15" customHeight="1">
      <c r="A579" t="inlineStr">
        <is>
          <t>A 45776-2019</t>
        </is>
      </c>
      <c r="B579" s="1" t="n">
        <v>43711</v>
      </c>
      <c r="C579" s="1" t="n">
        <v>45688</v>
      </c>
      <c r="D579" t="inlineStr">
        <is>
          <t>JÄMTLANDS LÄN</t>
        </is>
      </c>
      <c r="E579" t="inlineStr">
        <is>
          <t>STRÖMSUND</t>
        </is>
      </c>
      <c r="G579" t="n">
        <v>3.6</v>
      </c>
      <c r="H579" t="n">
        <v>0</v>
      </c>
      <c r="I579" t="n">
        <v>0</v>
      </c>
      <c r="J579" t="n">
        <v>0</v>
      </c>
      <c r="K579" t="n">
        <v>0</v>
      </c>
      <c r="L579" t="n">
        <v>0</v>
      </c>
      <c r="M579" t="n">
        <v>0</v>
      </c>
      <c r="N579" t="n">
        <v>0</v>
      </c>
      <c r="O579" t="n">
        <v>0</v>
      </c>
      <c r="P579" t="n">
        <v>0</v>
      </c>
      <c r="Q579" t="n">
        <v>0</v>
      </c>
      <c r="R579" s="2" t="inlineStr"/>
    </row>
    <row r="580" ht="15" customHeight="1">
      <c r="A580" t="inlineStr">
        <is>
          <t>A 44774-2019</t>
        </is>
      </c>
      <c r="B580" s="1" t="n">
        <v>43712</v>
      </c>
      <c r="C580" s="1" t="n">
        <v>45688</v>
      </c>
      <c r="D580" t="inlineStr">
        <is>
          <t>JÄMTLANDS LÄN</t>
        </is>
      </c>
      <c r="E580" t="inlineStr">
        <is>
          <t>STRÖMSUND</t>
        </is>
      </c>
      <c r="G580" t="n">
        <v>4.6</v>
      </c>
      <c r="H580" t="n">
        <v>0</v>
      </c>
      <c r="I580" t="n">
        <v>0</v>
      </c>
      <c r="J580" t="n">
        <v>0</v>
      </c>
      <c r="K580" t="n">
        <v>0</v>
      </c>
      <c r="L580" t="n">
        <v>0</v>
      </c>
      <c r="M580" t="n">
        <v>0</v>
      </c>
      <c r="N580" t="n">
        <v>0</v>
      </c>
      <c r="O580" t="n">
        <v>0</v>
      </c>
      <c r="P580" t="n">
        <v>0</v>
      </c>
      <c r="Q580" t="n">
        <v>0</v>
      </c>
      <c r="R580" s="2" t="inlineStr"/>
    </row>
    <row r="581" ht="15" customHeight="1">
      <c r="A581" t="inlineStr">
        <is>
          <t>A 44809-2019</t>
        </is>
      </c>
      <c r="B581" s="1" t="n">
        <v>43712</v>
      </c>
      <c r="C581" s="1" t="n">
        <v>45688</v>
      </c>
      <c r="D581" t="inlineStr">
        <is>
          <t>JÄMTLANDS LÄN</t>
        </is>
      </c>
      <c r="E581" t="inlineStr">
        <is>
          <t>STRÖMSUND</t>
        </is>
      </c>
      <c r="F581" t="inlineStr">
        <is>
          <t>Kommuner</t>
        </is>
      </c>
      <c r="G581" t="n">
        <v>13.4</v>
      </c>
      <c r="H581" t="n">
        <v>0</v>
      </c>
      <c r="I581" t="n">
        <v>0</v>
      </c>
      <c r="J581" t="n">
        <v>0</v>
      </c>
      <c r="K581" t="n">
        <v>0</v>
      </c>
      <c r="L581" t="n">
        <v>0</v>
      </c>
      <c r="M581" t="n">
        <v>0</v>
      </c>
      <c r="N581" t="n">
        <v>0</v>
      </c>
      <c r="O581" t="n">
        <v>0</v>
      </c>
      <c r="P581" t="n">
        <v>0</v>
      </c>
      <c r="Q581" t="n">
        <v>0</v>
      </c>
      <c r="R581" s="2" t="inlineStr"/>
    </row>
    <row r="582" ht="15" customHeight="1">
      <c r="A582" t="inlineStr">
        <is>
          <t>A 44882-2019</t>
        </is>
      </c>
      <c r="B582" s="1" t="n">
        <v>43712</v>
      </c>
      <c r="C582" s="1" t="n">
        <v>45688</v>
      </c>
      <c r="D582" t="inlineStr">
        <is>
          <t>JÄMTLANDS LÄN</t>
        </is>
      </c>
      <c r="E582" t="inlineStr">
        <is>
          <t>STRÖMSUND</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44956-2019</t>
        </is>
      </c>
      <c r="B583" s="1" t="n">
        <v>43713</v>
      </c>
      <c r="C583" s="1" t="n">
        <v>45688</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45165-2019</t>
        </is>
      </c>
      <c r="B584" s="1" t="n">
        <v>43713</v>
      </c>
      <c r="C584" s="1" t="n">
        <v>45688</v>
      </c>
      <c r="D584" t="inlineStr">
        <is>
          <t>JÄMTLANDS LÄN</t>
        </is>
      </c>
      <c r="E584" t="inlineStr">
        <is>
          <t>STRÖMSUND</t>
        </is>
      </c>
      <c r="F584" t="inlineStr">
        <is>
          <t>Holmen skog AB</t>
        </is>
      </c>
      <c r="G584" t="n">
        <v>25.4</v>
      </c>
      <c r="H584" t="n">
        <v>0</v>
      </c>
      <c r="I584" t="n">
        <v>0</v>
      </c>
      <c r="J584" t="n">
        <v>0</v>
      </c>
      <c r="K584" t="n">
        <v>0</v>
      </c>
      <c r="L584" t="n">
        <v>0</v>
      </c>
      <c r="M584" t="n">
        <v>0</v>
      </c>
      <c r="N584" t="n">
        <v>0</v>
      </c>
      <c r="O584" t="n">
        <v>0</v>
      </c>
      <c r="P584" t="n">
        <v>0</v>
      </c>
      <c r="Q584" t="n">
        <v>0</v>
      </c>
      <c r="R584" s="2" t="inlineStr"/>
    </row>
    <row r="585" ht="15" customHeight="1">
      <c r="A585" t="inlineStr">
        <is>
          <t>A 45362-2019</t>
        </is>
      </c>
      <c r="B585" s="1" t="n">
        <v>43714</v>
      </c>
      <c r="C585" s="1" t="n">
        <v>45688</v>
      </c>
      <c r="D585" t="inlineStr">
        <is>
          <t>JÄMTLANDS LÄN</t>
        </is>
      </c>
      <c r="E585" t="inlineStr">
        <is>
          <t>STRÖMSUND</t>
        </is>
      </c>
      <c r="G585" t="n">
        <v>4.2</v>
      </c>
      <c r="H585" t="n">
        <v>0</v>
      </c>
      <c r="I585" t="n">
        <v>0</v>
      </c>
      <c r="J585" t="n">
        <v>0</v>
      </c>
      <c r="K585" t="n">
        <v>0</v>
      </c>
      <c r="L585" t="n">
        <v>0</v>
      </c>
      <c r="M585" t="n">
        <v>0</v>
      </c>
      <c r="N585" t="n">
        <v>0</v>
      </c>
      <c r="O585" t="n">
        <v>0</v>
      </c>
      <c r="P585" t="n">
        <v>0</v>
      </c>
      <c r="Q585" t="n">
        <v>0</v>
      </c>
      <c r="R585" s="2" t="inlineStr"/>
    </row>
    <row r="586" ht="15" customHeight="1">
      <c r="A586" t="inlineStr">
        <is>
          <t>A 45649-2019</t>
        </is>
      </c>
      <c r="B586" s="1" t="n">
        <v>43717</v>
      </c>
      <c r="C586" s="1" t="n">
        <v>45688</v>
      </c>
      <c r="D586" t="inlineStr">
        <is>
          <t>JÄMTLANDS LÄN</t>
        </is>
      </c>
      <c r="E586" t="inlineStr">
        <is>
          <t>STRÖMSUND</t>
        </is>
      </c>
      <c r="F586" t="inlineStr">
        <is>
          <t>Holmen skog AB</t>
        </is>
      </c>
      <c r="G586" t="n">
        <v>24.2</v>
      </c>
      <c r="H586" t="n">
        <v>0</v>
      </c>
      <c r="I586" t="n">
        <v>0</v>
      </c>
      <c r="J586" t="n">
        <v>0</v>
      </c>
      <c r="K586" t="n">
        <v>0</v>
      </c>
      <c r="L586" t="n">
        <v>0</v>
      </c>
      <c r="M586" t="n">
        <v>0</v>
      </c>
      <c r="N586" t="n">
        <v>0</v>
      </c>
      <c r="O586" t="n">
        <v>0</v>
      </c>
      <c r="P586" t="n">
        <v>0</v>
      </c>
      <c r="Q586" t="n">
        <v>0</v>
      </c>
      <c r="R586" s="2" t="inlineStr"/>
    </row>
    <row r="587" ht="15" customHeight="1">
      <c r="A587" t="inlineStr">
        <is>
          <t>A 45918-2019</t>
        </is>
      </c>
      <c r="B587" s="1" t="n">
        <v>43717</v>
      </c>
      <c r="C587" s="1" t="n">
        <v>45688</v>
      </c>
      <c r="D587" t="inlineStr">
        <is>
          <t>JÄMTLANDS LÄN</t>
        </is>
      </c>
      <c r="E587" t="inlineStr">
        <is>
          <t>STRÖMSUND</t>
        </is>
      </c>
      <c r="G587" t="n">
        <v>1.5</v>
      </c>
      <c r="H587" t="n">
        <v>0</v>
      </c>
      <c r="I587" t="n">
        <v>0</v>
      </c>
      <c r="J587" t="n">
        <v>0</v>
      </c>
      <c r="K587" t="n">
        <v>0</v>
      </c>
      <c r="L587" t="n">
        <v>0</v>
      </c>
      <c r="M587" t="n">
        <v>0</v>
      </c>
      <c r="N587" t="n">
        <v>0</v>
      </c>
      <c r="O587" t="n">
        <v>0</v>
      </c>
      <c r="P587" t="n">
        <v>0</v>
      </c>
      <c r="Q587" t="n">
        <v>0</v>
      </c>
      <c r="R587" s="2" t="inlineStr"/>
    </row>
    <row r="588" ht="15" customHeight="1">
      <c r="A588" t="inlineStr">
        <is>
          <t>A 45917-2019</t>
        </is>
      </c>
      <c r="B588" s="1" t="n">
        <v>43717</v>
      </c>
      <c r="C588" s="1" t="n">
        <v>45688</v>
      </c>
      <c r="D588" t="inlineStr">
        <is>
          <t>JÄMTLANDS LÄN</t>
        </is>
      </c>
      <c r="E588" t="inlineStr">
        <is>
          <t>STRÖMSUND</t>
        </is>
      </c>
      <c r="G588" t="n">
        <v>1.5</v>
      </c>
      <c r="H588" t="n">
        <v>0</v>
      </c>
      <c r="I588" t="n">
        <v>0</v>
      </c>
      <c r="J588" t="n">
        <v>0</v>
      </c>
      <c r="K588" t="n">
        <v>0</v>
      </c>
      <c r="L588" t="n">
        <v>0</v>
      </c>
      <c r="M588" t="n">
        <v>0</v>
      </c>
      <c r="N588" t="n">
        <v>0</v>
      </c>
      <c r="O588" t="n">
        <v>0</v>
      </c>
      <c r="P588" t="n">
        <v>0</v>
      </c>
      <c r="Q588" t="n">
        <v>0</v>
      </c>
      <c r="R588" s="2" t="inlineStr"/>
    </row>
    <row r="589" ht="15" customHeight="1">
      <c r="A589" t="inlineStr">
        <is>
          <t>A 45835-2019</t>
        </is>
      </c>
      <c r="B589" s="1" t="n">
        <v>43717</v>
      </c>
      <c r="C589" s="1" t="n">
        <v>45688</v>
      </c>
      <c r="D589" t="inlineStr">
        <is>
          <t>JÄMTLANDS LÄN</t>
        </is>
      </c>
      <c r="E589" t="inlineStr">
        <is>
          <t>STRÖMSUND</t>
        </is>
      </c>
      <c r="F589" t="inlineStr">
        <is>
          <t>Holmen skog AB</t>
        </is>
      </c>
      <c r="G589" t="n">
        <v>5.9</v>
      </c>
      <c r="H589" t="n">
        <v>0</v>
      </c>
      <c r="I589" t="n">
        <v>0</v>
      </c>
      <c r="J589" t="n">
        <v>0</v>
      </c>
      <c r="K589" t="n">
        <v>0</v>
      </c>
      <c r="L589" t="n">
        <v>0</v>
      </c>
      <c r="M589" t="n">
        <v>0</v>
      </c>
      <c r="N589" t="n">
        <v>0</v>
      </c>
      <c r="O589" t="n">
        <v>0</v>
      </c>
      <c r="P589" t="n">
        <v>0</v>
      </c>
      <c r="Q589" t="n">
        <v>0</v>
      </c>
      <c r="R589" s="2" t="inlineStr"/>
    </row>
    <row r="590" ht="15" customHeight="1">
      <c r="A590" t="inlineStr">
        <is>
          <t>A 45963-2019</t>
        </is>
      </c>
      <c r="B590" s="1" t="n">
        <v>43718</v>
      </c>
      <c r="C590" s="1" t="n">
        <v>45688</v>
      </c>
      <c r="D590" t="inlineStr">
        <is>
          <t>JÄMTLANDS LÄN</t>
        </is>
      </c>
      <c r="E590" t="inlineStr">
        <is>
          <t>STRÖMSUND</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47082-2019</t>
        </is>
      </c>
      <c r="B591" s="1" t="n">
        <v>43720</v>
      </c>
      <c r="C591" s="1" t="n">
        <v>45688</v>
      </c>
      <c r="D591" t="inlineStr">
        <is>
          <t>JÄMTLANDS LÄN</t>
        </is>
      </c>
      <c r="E591" t="inlineStr">
        <is>
          <t>STRÖMSUND</t>
        </is>
      </c>
      <c r="F591" t="inlineStr">
        <is>
          <t>SCA</t>
        </is>
      </c>
      <c r="G591" t="n">
        <v>11.6</v>
      </c>
      <c r="H591" t="n">
        <v>0</v>
      </c>
      <c r="I591" t="n">
        <v>0</v>
      </c>
      <c r="J591" t="n">
        <v>0</v>
      </c>
      <c r="K591" t="n">
        <v>0</v>
      </c>
      <c r="L591" t="n">
        <v>0</v>
      </c>
      <c r="M591" t="n">
        <v>0</v>
      </c>
      <c r="N591" t="n">
        <v>0</v>
      </c>
      <c r="O591" t="n">
        <v>0</v>
      </c>
      <c r="P591" t="n">
        <v>0</v>
      </c>
      <c r="Q591" t="n">
        <v>0</v>
      </c>
      <c r="R591" s="2" t="inlineStr"/>
    </row>
    <row r="592" ht="15" customHeight="1">
      <c r="A592" t="inlineStr">
        <is>
          <t>A 47410-2019</t>
        </is>
      </c>
      <c r="B592" s="1" t="n">
        <v>43723</v>
      </c>
      <c r="C592" s="1" t="n">
        <v>45688</v>
      </c>
      <c r="D592" t="inlineStr">
        <is>
          <t>JÄMTLANDS LÄN</t>
        </is>
      </c>
      <c r="E592" t="inlineStr">
        <is>
          <t>STRÖMSUND</t>
        </is>
      </c>
      <c r="G592" t="n">
        <v>5.4</v>
      </c>
      <c r="H592" t="n">
        <v>0</v>
      </c>
      <c r="I592" t="n">
        <v>0</v>
      </c>
      <c r="J592" t="n">
        <v>0</v>
      </c>
      <c r="K592" t="n">
        <v>0</v>
      </c>
      <c r="L592" t="n">
        <v>0</v>
      </c>
      <c r="M592" t="n">
        <v>0</v>
      </c>
      <c r="N592" t="n">
        <v>0</v>
      </c>
      <c r="O592" t="n">
        <v>0</v>
      </c>
      <c r="P592" t="n">
        <v>0</v>
      </c>
      <c r="Q592" t="n">
        <v>0</v>
      </c>
      <c r="R592" s="2" t="inlineStr"/>
    </row>
    <row r="593" ht="15" customHeight="1">
      <c r="A593" t="inlineStr">
        <is>
          <t>A 47531-2019</t>
        </is>
      </c>
      <c r="B593" s="1" t="n">
        <v>43724</v>
      </c>
      <c r="C593" s="1" t="n">
        <v>45688</v>
      </c>
      <c r="D593" t="inlineStr">
        <is>
          <t>JÄMTLANDS LÄN</t>
        </is>
      </c>
      <c r="E593" t="inlineStr">
        <is>
          <t>STRÖMSUND</t>
        </is>
      </c>
      <c r="G593" t="n">
        <v>30.4</v>
      </c>
      <c r="H593" t="n">
        <v>0</v>
      </c>
      <c r="I593" t="n">
        <v>0</v>
      </c>
      <c r="J593" t="n">
        <v>0</v>
      </c>
      <c r="K593" t="n">
        <v>0</v>
      </c>
      <c r="L593" t="n">
        <v>0</v>
      </c>
      <c r="M593" t="n">
        <v>0</v>
      </c>
      <c r="N593" t="n">
        <v>0</v>
      </c>
      <c r="O593" t="n">
        <v>0</v>
      </c>
      <c r="P593" t="n">
        <v>0</v>
      </c>
      <c r="Q593" t="n">
        <v>0</v>
      </c>
      <c r="R593" s="2" t="inlineStr"/>
    </row>
    <row r="594" ht="15" customHeight="1">
      <c r="A594" t="inlineStr">
        <is>
          <t>A 47811-2019</t>
        </is>
      </c>
      <c r="B594" s="1" t="n">
        <v>43724</v>
      </c>
      <c r="C594" s="1" t="n">
        <v>45688</v>
      </c>
      <c r="D594" t="inlineStr">
        <is>
          <t>JÄMTLANDS LÄN</t>
        </is>
      </c>
      <c r="E594" t="inlineStr">
        <is>
          <t>STRÖMSUND</t>
        </is>
      </c>
      <c r="F594" t="inlineStr">
        <is>
          <t>SCA</t>
        </is>
      </c>
      <c r="G594" t="n">
        <v>14.6</v>
      </c>
      <c r="H594" t="n">
        <v>0</v>
      </c>
      <c r="I594" t="n">
        <v>0</v>
      </c>
      <c r="J594" t="n">
        <v>0</v>
      </c>
      <c r="K594" t="n">
        <v>0</v>
      </c>
      <c r="L594" t="n">
        <v>0</v>
      </c>
      <c r="M594" t="n">
        <v>0</v>
      </c>
      <c r="N594" t="n">
        <v>0</v>
      </c>
      <c r="O594" t="n">
        <v>0</v>
      </c>
      <c r="P594" t="n">
        <v>0</v>
      </c>
      <c r="Q594" t="n">
        <v>0</v>
      </c>
      <c r="R594" s="2" t="inlineStr"/>
    </row>
    <row r="595" ht="15" customHeight="1">
      <c r="A595" t="inlineStr">
        <is>
          <t>A 48052-2019</t>
        </is>
      </c>
      <c r="B595" s="1" t="n">
        <v>43725</v>
      </c>
      <c r="C595" s="1" t="n">
        <v>45688</v>
      </c>
      <c r="D595" t="inlineStr">
        <is>
          <t>JÄMTLANDS LÄN</t>
        </is>
      </c>
      <c r="E595" t="inlineStr">
        <is>
          <t>STRÖMSUND</t>
        </is>
      </c>
      <c r="G595" t="n">
        <v>4.8</v>
      </c>
      <c r="H595" t="n">
        <v>0</v>
      </c>
      <c r="I595" t="n">
        <v>0</v>
      </c>
      <c r="J595" t="n">
        <v>0</v>
      </c>
      <c r="K595" t="n">
        <v>0</v>
      </c>
      <c r="L595" t="n">
        <v>0</v>
      </c>
      <c r="M595" t="n">
        <v>0</v>
      </c>
      <c r="N595" t="n">
        <v>0</v>
      </c>
      <c r="O595" t="n">
        <v>0</v>
      </c>
      <c r="P595" t="n">
        <v>0</v>
      </c>
      <c r="Q595" t="n">
        <v>0</v>
      </c>
      <c r="R595" s="2" t="inlineStr"/>
    </row>
    <row r="596" ht="15" customHeight="1">
      <c r="A596" t="inlineStr">
        <is>
          <t>A 48578-2019</t>
        </is>
      </c>
      <c r="B596" s="1" t="n">
        <v>43727</v>
      </c>
      <c r="C596" s="1" t="n">
        <v>45688</v>
      </c>
      <c r="D596" t="inlineStr">
        <is>
          <t>JÄMTLANDS LÄN</t>
        </is>
      </c>
      <c r="E596" t="inlineStr">
        <is>
          <t>STRÖMSUND</t>
        </is>
      </c>
      <c r="G596" t="n">
        <v>20.8</v>
      </c>
      <c r="H596" t="n">
        <v>0</v>
      </c>
      <c r="I596" t="n">
        <v>0</v>
      </c>
      <c r="J596" t="n">
        <v>0</v>
      </c>
      <c r="K596" t="n">
        <v>0</v>
      </c>
      <c r="L596" t="n">
        <v>0</v>
      </c>
      <c r="M596" t="n">
        <v>0</v>
      </c>
      <c r="N596" t="n">
        <v>0</v>
      </c>
      <c r="O596" t="n">
        <v>0</v>
      </c>
      <c r="P596" t="n">
        <v>0</v>
      </c>
      <c r="Q596" t="n">
        <v>0</v>
      </c>
      <c r="R596" s="2" t="inlineStr"/>
    </row>
    <row r="597" ht="15" customHeight="1">
      <c r="A597" t="inlineStr">
        <is>
          <t>A 48565-2019</t>
        </is>
      </c>
      <c r="B597" s="1" t="n">
        <v>43727</v>
      </c>
      <c r="C597" s="1" t="n">
        <v>45688</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48620-2019</t>
        </is>
      </c>
      <c r="B598" s="1" t="n">
        <v>43727</v>
      </c>
      <c r="C598" s="1" t="n">
        <v>45688</v>
      </c>
      <c r="D598" t="inlineStr">
        <is>
          <t>JÄMTLANDS LÄN</t>
        </is>
      </c>
      <c r="E598" t="inlineStr">
        <is>
          <t>STRÖMSUND</t>
        </is>
      </c>
      <c r="G598" t="n">
        <v>2.4</v>
      </c>
      <c r="H598" t="n">
        <v>0</v>
      </c>
      <c r="I598" t="n">
        <v>0</v>
      </c>
      <c r="J598" t="n">
        <v>0</v>
      </c>
      <c r="K598" t="n">
        <v>0</v>
      </c>
      <c r="L598" t="n">
        <v>0</v>
      </c>
      <c r="M598" t="n">
        <v>0</v>
      </c>
      <c r="N598" t="n">
        <v>0</v>
      </c>
      <c r="O598" t="n">
        <v>0</v>
      </c>
      <c r="P598" t="n">
        <v>0</v>
      </c>
      <c r="Q598" t="n">
        <v>0</v>
      </c>
      <c r="R598" s="2" t="inlineStr"/>
    </row>
    <row r="599" ht="15" customHeight="1">
      <c r="A599" t="inlineStr">
        <is>
          <t>A 48573-2019</t>
        </is>
      </c>
      <c r="B599" s="1" t="n">
        <v>43727</v>
      </c>
      <c r="C599" s="1" t="n">
        <v>45688</v>
      </c>
      <c r="D599" t="inlineStr">
        <is>
          <t>JÄMTLANDS LÄN</t>
        </is>
      </c>
      <c r="E599" t="inlineStr">
        <is>
          <t>STRÖMSUND</t>
        </is>
      </c>
      <c r="G599" t="n">
        <v>7.5</v>
      </c>
      <c r="H599" t="n">
        <v>0</v>
      </c>
      <c r="I599" t="n">
        <v>0</v>
      </c>
      <c r="J599" t="n">
        <v>0</v>
      </c>
      <c r="K599" t="n">
        <v>0</v>
      </c>
      <c r="L599" t="n">
        <v>0</v>
      </c>
      <c r="M599" t="n">
        <v>0</v>
      </c>
      <c r="N599" t="n">
        <v>0</v>
      </c>
      <c r="O599" t="n">
        <v>0</v>
      </c>
      <c r="P599" t="n">
        <v>0</v>
      </c>
      <c r="Q599" t="n">
        <v>0</v>
      </c>
      <c r="R599" s="2" t="inlineStr"/>
    </row>
    <row r="600" ht="15" customHeight="1">
      <c r="A600" t="inlineStr">
        <is>
          <t>A 48951-2019</t>
        </is>
      </c>
      <c r="B600" s="1" t="n">
        <v>43728</v>
      </c>
      <c r="C600" s="1" t="n">
        <v>45688</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48965-2019</t>
        </is>
      </c>
      <c r="B601" s="1" t="n">
        <v>43728</v>
      </c>
      <c r="C601" s="1" t="n">
        <v>45688</v>
      </c>
      <c r="D601" t="inlineStr">
        <is>
          <t>JÄMTLANDS LÄN</t>
        </is>
      </c>
      <c r="E601" t="inlineStr">
        <is>
          <t>STRÖMSUND</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49291-2019</t>
        </is>
      </c>
      <c r="B602" s="1" t="n">
        <v>43731</v>
      </c>
      <c r="C602" s="1" t="n">
        <v>45688</v>
      </c>
      <c r="D602" t="inlineStr">
        <is>
          <t>JÄMTLANDS LÄN</t>
        </is>
      </c>
      <c r="E602" t="inlineStr">
        <is>
          <t>STRÖMSUND</t>
        </is>
      </c>
      <c r="G602" t="n">
        <v>20.7</v>
      </c>
      <c r="H602" t="n">
        <v>0</v>
      </c>
      <c r="I602" t="n">
        <v>0</v>
      </c>
      <c r="J602" t="n">
        <v>0</v>
      </c>
      <c r="K602" t="n">
        <v>0</v>
      </c>
      <c r="L602" t="n">
        <v>0</v>
      </c>
      <c r="M602" t="n">
        <v>0</v>
      </c>
      <c r="N602" t="n">
        <v>0</v>
      </c>
      <c r="O602" t="n">
        <v>0</v>
      </c>
      <c r="P602" t="n">
        <v>0</v>
      </c>
      <c r="Q602" t="n">
        <v>0</v>
      </c>
      <c r="R602" s="2" t="inlineStr"/>
    </row>
    <row r="603" ht="15" customHeight="1">
      <c r="A603" t="inlineStr">
        <is>
          <t>A 49316-2019</t>
        </is>
      </c>
      <c r="B603" s="1" t="n">
        <v>43731</v>
      </c>
      <c r="C603" s="1" t="n">
        <v>45688</v>
      </c>
      <c r="D603" t="inlineStr">
        <is>
          <t>JÄMTLANDS LÄN</t>
        </is>
      </c>
      <c r="E603" t="inlineStr">
        <is>
          <t>STRÖMSUND</t>
        </is>
      </c>
      <c r="G603" t="n">
        <v>1</v>
      </c>
      <c r="H603" t="n">
        <v>0</v>
      </c>
      <c r="I603" t="n">
        <v>0</v>
      </c>
      <c r="J603" t="n">
        <v>0</v>
      </c>
      <c r="K603" t="n">
        <v>0</v>
      </c>
      <c r="L603" t="n">
        <v>0</v>
      </c>
      <c r="M603" t="n">
        <v>0</v>
      </c>
      <c r="N603" t="n">
        <v>0</v>
      </c>
      <c r="O603" t="n">
        <v>0</v>
      </c>
      <c r="P603" t="n">
        <v>0</v>
      </c>
      <c r="Q603" t="n">
        <v>0</v>
      </c>
      <c r="R603" s="2" t="inlineStr"/>
    </row>
    <row r="604" ht="15" customHeight="1">
      <c r="A604" t="inlineStr">
        <is>
          <t>A 50001-2019</t>
        </is>
      </c>
      <c r="B604" s="1" t="n">
        <v>43733</v>
      </c>
      <c r="C604" s="1" t="n">
        <v>45688</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50305-2019</t>
        </is>
      </c>
      <c r="B605" s="1" t="n">
        <v>43734</v>
      </c>
      <c r="C605" s="1" t="n">
        <v>45688</v>
      </c>
      <c r="D605" t="inlineStr">
        <is>
          <t>JÄMTLANDS LÄN</t>
        </is>
      </c>
      <c r="E605" t="inlineStr">
        <is>
          <t>STRÖMSUND</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50302-2019</t>
        </is>
      </c>
      <c r="B606" s="1" t="n">
        <v>43734</v>
      </c>
      <c r="C606" s="1" t="n">
        <v>45688</v>
      </c>
      <c r="D606" t="inlineStr">
        <is>
          <t>JÄMTLANDS LÄN</t>
        </is>
      </c>
      <c r="E606" t="inlineStr">
        <is>
          <t>STRÖMSUND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51008-2019</t>
        </is>
      </c>
      <c r="B607" s="1" t="n">
        <v>43738</v>
      </c>
      <c r="C607" s="1" t="n">
        <v>45688</v>
      </c>
      <c r="D607" t="inlineStr">
        <is>
          <t>JÄMTLANDS LÄN</t>
        </is>
      </c>
      <c r="E607" t="inlineStr">
        <is>
          <t>STRÖMSUND</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51183-2019</t>
        </is>
      </c>
      <c r="B608" s="1" t="n">
        <v>43739</v>
      </c>
      <c r="C608" s="1" t="n">
        <v>45688</v>
      </c>
      <c r="D608" t="inlineStr">
        <is>
          <t>JÄMTLANDS LÄN</t>
        </is>
      </c>
      <c r="E608" t="inlineStr">
        <is>
          <t>STRÖMSUND</t>
        </is>
      </c>
      <c r="F608" t="inlineStr">
        <is>
          <t>Sveaskog</t>
        </is>
      </c>
      <c r="G608" t="n">
        <v>6.9</v>
      </c>
      <c r="H608" t="n">
        <v>0</v>
      </c>
      <c r="I608" t="n">
        <v>0</v>
      </c>
      <c r="J608" t="n">
        <v>0</v>
      </c>
      <c r="K608" t="n">
        <v>0</v>
      </c>
      <c r="L608" t="n">
        <v>0</v>
      </c>
      <c r="M608" t="n">
        <v>0</v>
      </c>
      <c r="N608" t="n">
        <v>0</v>
      </c>
      <c r="O608" t="n">
        <v>0</v>
      </c>
      <c r="P608" t="n">
        <v>0</v>
      </c>
      <c r="Q608" t="n">
        <v>0</v>
      </c>
      <c r="R608" s="2" t="inlineStr"/>
    </row>
    <row r="609" ht="15" customHeight="1">
      <c r="A609" t="inlineStr">
        <is>
          <t>A 51015-2019</t>
        </is>
      </c>
      <c r="B609" s="1" t="n">
        <v>43739</v>
      </c>
      <c r="C609" s="1" t="n">
        <v>45688</v>
      </c>
      <c r="D609" t="inlineStr">
        <is>
          <t>JÄMTLANDS LÄN</t>
        </is>
      </c>
      <c r="E609" t="inlineStr">
        <is>
          <t>STRÖMSUND</t>
        </is>
      </c>
      <c r="G609" t="n">
        <v>2.1</v>
      </c>
      <c r="H609" t="n">
        <v>0</v>
      </c>
      <c r="I609" t="n">
        <v>0</v>
      </c>
      <c r="J609" t="n">
        <v>0</v>
      </c>
      <c r="K609" t="n">
        <v>0</v>
      </c>
      <c r="L609" t="n">
        <v>0</v>
      </c>
      <c r="M609" t="n">
        <v>0</v>
      </c>
      <c r="N609" t="n">
        <v>0</v>
      </c>
      <c r="O609" t="n">
        <v>0</v>
      </c>
      <c r="P609" t="n">
        <v>0</v>
      </c>
      <c r="Q609" t="n">
        <v>0</v>
      </c>
      <c r="R609" s="2" t="inlineStr"/>
    </row>
    <row r="610" ht="15" customHeight="1">
      <c r="A610" t="inlineStr">
        <is>
          <t>A 51951-2019</t>
        </is>
      </c>
      <c r="B610" s="1" t="n">
        <v>43741</v>
      </c>
      <c r="C610" s="1" t="n">
        <v>45688</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52258-2019</t>
        </is>
      </c>
      <c r="B611" s="1" t="n">
        <v>43742</v>
      </c>
      <c r="C611" s="1" t="n">
        <v>45688</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52384-2019</t>
        </is>
      </c>
      <c r="B612" s="1" t="n">
        <v>43745</v>
      </c>
      <c r="C612" s="1" t="n">
        <v>45688</v>
      </c>
      <c r="D612" t="inlineStr">
        <is>
          <t>JÄMTLANDS LÄN</t>
        </is>
      </c>
      <c r="E612" t="inlineStr">
        <is>
          <t>STRÖMSUND</t>
        </is>
      </c>
      <c r="G612" t="n">
        <v>3.7</v>
      </c>
      <c r="H612" t="n">
        <v>0</v>
      </c>
      <c r="I612" t="n">
        <v>0</v>
      </c>
      <c r="J612" t="n">
        <v>0</v>
      </c>
      <c r="K612" t="n">
        <v>0</v>
      </c>
      <c r="L612" t="n">
        <v>0</v>
      </c>
      <c r="M612" t="n">
        <v>0</v>
      </c>
      <c r="N612" t="n">
        <v>0</v>
      </c>
      <c r="O612" t="n">
        <v>0</v>
      </c>
      <c r="P612" t="n">
        <v>0</v>
      </c>
      <c r="Q612" t="n">
        <v>0</v>
      </c>
      <c r="R612" s="2" t="inlineStr"/>
    </row>
    <row r="613" ht="15" customHeight="1">
      <c r="A613" t="inlineStr">
        <is>
          <t>A 53874-2019</t>
        </is>
      </c>
      <c r="B613" s="1" t="n">
        <v>43745</v>
      </c>
      <c r="C613" s="1" t="n">
        <v>45688</v>
      </c>
      <c r="D613" t="inlineStr">
        <is>
          <t>JÄMTLANDS LÄN</t>
        </is>
      </c>
      <c r="E613" t="inlineStr">
        <is>
          <t>STRÖMSUND</t>
        </is>
      </c>
      <c r="G613" t="n">
        <v>10.1</v>
      </c>
      <c r="H613" t="n">
        <v>0</v>
      </c>
      <c r="I613" t="n">
        <v>0</v>
      </c>
      <c r="J613" t="n">
        <v>0</v>
      </c>
      <c r="K613" t="n">
        <v>0</v>
      </c>
      <c r="L613" t="n">
        <v>0</v>
      </c>
      <c r="M613" t="n">
        <v>0</v>
      </c>
      <c r="N613" t="n">
        <v>0</v>
      </c>
      <c r="O613" t="n">
        <v>0</v>
      </c>
      <c r="P613" t="n">
        <v>0</v>
      </c>
      <c r="Q613" t="n">
        <v>0</v>
      </c>
      <c r="R613" s="2" t="inlineStr"/>
    </row>
    <row r="614" ht="15" customHeight="1">
      <c r="A614" t="inlineStr">
        <is>
          <t>A 53886-2019</t>
        </is>
      </c>
      <c r="B614" s="1" t="n">
        <v>43745</v>
      </c>
      <c r="C614" s="1" t="n">
        <v>45688</v>
      </c>
      <c r="D614" t="inlineStr">
        <is>
          <t>JÄMTLANDS LÄN</t>
        </is>
      </c>
      <c r="E614" t="inlineStr">
        <is>
          <t>STRÖMSUND</t>
        </is>
      </c>
      <c r="G614" t="n">
        <v>15.2</v>
      </c>
      <c r="H614" t="n">
        <v>0</v>
      </c>
      <c r="I614" t="n">
        <v>0</v>
      </c>
      <c r="J614" t="n">
        <v>0</v>
      </c>
      <c r="K614" t="n">
        <v>0</v>
      </c>
      <c r="L614" t="n">
        <v>0</v>
      </c>
      <c r="M614" t="n">
        <v>0</v>
      </c>
      <c r="N614" t="n">
        <v>0</v>
      </c>
      <c r="O614" t="n">
        <v>0</v>
      </c>
      <c r="P614" t="n">
        <v>0</v>
      </c>
      <c r="Q614" t="n">
        <v>0</v>
      </c>
      <c r="R614" s="2" t="inlineStr"/>
    </row>
    <row r="615" ht="15" customHeight="1">
      <c r="A615" t="inlineStr">
        <is>
          <t>A 53483-2019</t>
        </is>
      </c>
      <c r="B615" s="1" t="n">
        <v>43748</v>
      </c>
      <c r="C615" s="1" t="n">
        <v>45688</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54235-2019</t>
        </is>
      </c>
      <c r="B616" s="1" t="n">
        <v>43748</v>
      </c>
      <c r="C616" s="1" t="n">
        <v>45688</v>
      </c>
      <c r="D616" t="inlineStr">
        <is>
          <t>JÄMTLANDS LÄN</t>
        </is>
      </c>
      <c r="E616" t="inlineStr">
        <is>
          <t>STRÖMSUND</t>
        </is>
      </c>
      <c r="G616" t="n">
        <v>0.9</v>
      </c>
      <c r="H616" t="n">
        <v>0</v>
      </c>
      <c r="I616" t="n">
        <v>0</v>
      </c>
      <c r="J616" t="n">
        <v>0</v>
      </c>
      <c r="K616" t="n">
        <v>0</v>
      </c>
      <c r="L616" t="n">
        <v>0</v>
      </c>
      <c r="M616" t="n">
        <v>0</v>
      </c>
      <c r="N616" t="n">
        <v>0</v>
      </c>
      <c r="O616" t="n">
        <v>0</v>
      </c>
      <c r="P616" t="n">
        <v>0</v>
      </c>
      <c r="Q616" t="n">
        <v>0</v>
      </c>
      <c r="R616" s="2" t="inlineStr"/>
    </row>
    <row r="617" ht="15" customHeight="1">
      <c r="A617" t="inlineStr">
        <is>
          <t>A 57227-2019</t>
        </is>
      </c>
      <c r="B617" s="1" t="n">
        <v>43748</v>
      </c>
      <c r="C617" s="1" t="n">
        <v>45688</v>
      </c>
      <c r="D617" t="inlineStr">
        <is>
          <t>JÄMTLANDS LÄN</t>
        </is>
      </c>
      <c r="E617" t="inlineStr">
        <is>
          <t>STRÖMSUND</t>
        </is>
      </c>
      <c r="G617" t="n">
        <v>1.1</v>
      </c>
      <c r="H617" t="n">
        <v>0</v>
      </c>
      <c r="I617" t="n">
        <v>0</v>
      </c>
      <c r="J617" t="n">
        <v>0</v>
      </c>
      <c r="K617" t="n">
        <v>0</v>
      </c>
      <c r="L617" t="n">
        <v>0</v>
      </c>
      <c r="M617" t="n">
        <v>0</v>
      </c>
      <c r="N617" t="n">
        <v>0</v>
      </c>
      <c r="O617" t="n">
        <v>0</v>
      </c>
      <c r="P617" t="n">
        <v>0</v>
      </c>
      <c r="Q617" t="n">
        <v>0</v>
      </c>
      <c r="R617" s="2" t="inlineStr"/>
    </row>
    <row r="618" ht="15" customHeight="1">
      <c r="A618" t="inlineStr">
        <is>
          <t>A 53898-2019</t>
        </is>
      </c>
      <c r="B618" s="1" t="n">
        <v>43748</v>
      </c>
      <c r="C618" s="1" t="n">
        <v>45688</v>
      </c>
      <c r="D618" t="inlineStr">
        <is>
          <t>JÄMTLANDS LÄN</t>
        </is>
      </c>
      <c r="E618" t="inlineStr">
        <is>
          <t>STRÖMSUND</t>
        </is>
      </c>
      <c r="G618" t="n">
        <v>4.2</v>
      </c>
      <c r="H618" t="n">
        <v>0</v>
      </c>
      <c r="I618" t="n">
        <v>0</v>
      </c>
      <c r="J618" t="n">
        <v>0</v>
      </c>
      <c r="K618" t="n">
        <v>0</v>
      </c>
      <c r="L618" t="n">
        <v>0</v>
      </c>
      <c r="M618" t="n">
        <v>0</v>
      </c>
      <c r="N618" t="n">
        <v>0</v>
      </c>
      <c r="O618" t="n">
        <v>0</v>
      </c>
      <c r="P618" t="n">
        <v>0</v>
      </c>
      <c r="Q618" t="n">
        <v>0</v>
      </c>
      <c r="R618" s="2" t="inlineStr"/>
    </row>
    <row r="619" ht="15" customHeight="1">
      <c r="A619" t="inlineStr">
        <is>
          <t>A 53482-2019</t>
        </is>
      </c>
      <c r="B619" s="1" t="n">
        <v>43748</v>
      </c>
      <c r="C619" s="1" t="n">
        <v>45688</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53895-2019</t>
        </is>
      </c>
      <c r="B620" s="1" t="n">
        <v>43748</v>
      </c>
      <c r="C620" s="1" t="n">
        <v>45688</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54672-2019</t>
        </is>
      </c>
      <c r="B621" s="1" t="n">
        <v>43754</v>
      </c>
      <c r="C621" s="1" t="n">
        <v>45688</v>
      </c>
      <c r="D621" t="inlineStr">
        <is>
          <t>JÄMTLANDS LÄN</t>
        </is>
      </c>
      <c r="E621" t="inlineStr">
        <is>
          <t>STRÖMSUND</t>
        </is>
      </c>
      <c r="F621" t="inlineStr">
        <is>
          <t>SCA</t>
        </is>
      </c>
      <c r="G621" t="n">
        <v>15.7</v>
      </c>
      <c r="H621" t="n">
        <v>0</v>
      </c>
      <c r="I621" t="n">
        <v>0</v>
      </c>
      <c r="J621" t="n">
        <v>0</v>
      </c>
      <c r="K621" t="n">
        <v>0</v>
      </c>
      <c r="L621" t="n">
        <v>0</v>
      </c>
      <c r="M621" t="n">
        <v>0</v>
      </c>
      <c r="N621" t="n">
        <v>0</v>
      </c>
      <c r="O621" t="n">
        <v>0</v>
      </c>
      <c r="P621" t="n">
        <v>0</v>
      </c>
      <c r="Q621" t="n">
        <v>0</v>
      </c>
      <c r="R621" s="2" t="inlineStr"/>
    </row>
    <row r="622" ht="15" customHeight="1">
      <c r="A622" t="inlineStr">
        <is>
          <t>A 55028-2019</t>
        </is>
      </c>
      <c r="B622" s="1" t="n">
        <v>43755</v>
      </c>
      <c r="C622" s="1" t="n">
        <v>45688</v>
      </c>
      <c r="D622" t="inlineStr">
        <is>
          <t>JÄMTLANDS LÄN</t>
        </is>
      </c>
      <c r="E622" t="inlineStr">
        <is>
          <t>STRÖMSUND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56155-2019</t>
        </is>
      </c>
      <c r="B623" s="1" t="n">
        <v>43756</v>
      </c>
      <c r="C623" s="1" t="n">
        <v>45688</v>
      </c>
      <c r="D623" t="inlineStr">
        <is>
          <t>JÄMTLANDS LÄN</t>
        </is>
      </c>
      <c r="E623" t="inlineStr">
        <is>
          <t>STRÖMSUND</t>
        </is>
      </c>
      <c r="G623" t="n">
        <v>4.7</v>
      </c>
      <c r="H623" t="n">
        <v>0</v>
      </c>
      <c r="I623" t="n">
        <v>0</v>
      </c>
      <c r="J623" t="n">
        <v>0</v>
      </c>
      <c r="K623" t="n">
        <v>0</v>
      </c>
      <c r="L623" t="n">
        <v>0</v>
      </c>
      <c r="M623" t="n">
        <v>0</v>
      </c>
      <c r="N623" t="n">
        <v>0</v>
      </c>
      <c r="O623" t="n">
        <v>0</v>
      </c>
      <c r="P623" t="n">
        <v>0</v>
      </c>
      <c r="Q623" t="n">
        <v>0</v>
      </c>
      <c r="R623" s="2" t="inlineStr"/>
    </row>
    <row r="624" ht="15" customHeight="1">
      <c r="A624" t="inlineStr">
        <is>
          <t>A 23225-2020</t>
        </is>
      </c>
      <c r="B624" s="1" t="n">
        <v>43756</v>
      </c>
      <c r="C624" s="1" t="n">
        <v>45688</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55663-2019</t>
        </is>
      </c>
      <c r="B625" s="1" t="n">
        <v>43760</v>
      </c>
      <c r="C625" s="1" t="n">
        <v>45688</v>
      </c>
      <c r="D625" t="inlineStr">
        <is>
          <t>JÄMTLANDS LÄN</t>
        </is>
      </c>
      <c r="E625" t="inlineStr">
        <is>
          <t>STRÖMSUND</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55675-2019</t>
        </is>
      </c>
      <c r="B626" s="1" t="n">
        <v>43760</v>
      </c>
      <c r="C626" s="1" t="n">
        <v>45688</v>
      </c>
      <c r="D626" t="inlineStr">
        <is>
          <t>JÄMTLANDS LÄN</t>
        </is>
      </c>
      <c r="E626" t="inlineStr">
        <is>
          <t>STRÖMSUND</t>
        </is>
      </c>
      <c r="G626" t="n">
        <v>0.6</v>
      </c>
      <c r="H626" t="n">
        <v>0</v>
      </c>
      <c r="I626" t="n">
        <v>0</v>
      </c>
      <c r="J626" t="n">
        <v>0</v>
      </c>
      <c r="K626" t="n">
        <v>0</v>
      </c>
      <c r="L626" t="n">
        <v>0</v>
      </c>
      <c r="M626" t="n">
        <v>0</v>
      </c>
      <c r="N626" t="n">
        <v>0</v>
      </c>
      <c r="O626" t="n">
        <v>0</v>
      </c>
      <c r="P626" t="n">
        <v>0</v>
      </c>
      <c r="Q626" t="n">
        <v>0</v>
      </c>
      <c r="R626" s="2" t="inlineStr"/>
    </row>
    <row r="627" ht="15" customHeight="1">
      <c r="A627" t="inlineStr">
        <is>
          <t>A 55728-2019</t>
        </is>
      </c>
      <c r="B627" s="1" t="n">
        <v>43760</v>
      </c>
      <c r="C627" s="1" t="n">
        <v>45688</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55725-2019</t>
        </is>
      </c>
      <c r="B628" s="1" t="n">
        <v>43760</v>
      </c>
      <c r="C628" s="1" t="n">
        <v>45688</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56798-2019</t>
        </is>
      </c>
      <c r="B629" s="1" t="n">
        <v>43763</v>
      </c>
      <c r="C629" s="1" t="n">
        <v>45688</v>
      </c>
      <c r="D629" t="inlineStr">
        <is>
          <t>JÄMTLANDS LÄN</t>
        </is>
      </c>
      <c r="E629" t="inlineStr">
        <is>
          <t>STRÖMSUND</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56797-2019</t>
        </is>
      </c>
      <c r="B630" s="1" t="n">
        <v>43763</v>
      </c>
      <c r="C630" s="1" t="n">
        <v>45688</v>
      </c>
      <c r="D630" t="inlineStr">
        <is>
          <t>JÄMTLANDS LÄN</t>
        </is>
      </c>
      <c r="E630" t="inlineStr">
        <is>
          <t>STRÖMSUND</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56801-2019</t>
        </is>
      </c>
      <c r="B631" s="1" t="n">
        <v>43763</v>
      </c>
      <c r="C631" s="1" t="n">
        <v>45688</v>
      </c>
      <c r="D631" t="inlineStr">
        <is>
          <t>JÄMTLANDS LÄN</t>
        </is>
      </c>
      <c r="E631" t="inlineStr">
        <is>
          <t>STRÖMSUND</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56800-2019</t>
        </is>
      </c>
      <c r="B632" s="1" t="n">
        <v>43763</v>
      </c>
      <c r="C632" s="1" t="n">
        <v>45688</v>
      </c>
      <c r="D632" t="inlineStr">
        <is>
          <t>JÄMTLANDS LÄN</t>
        </is>
      </c>
      <c r="E632" t="inlineStr">
        <is>
          <t>STRÖMSUND</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56799-2019</t>
        </is>
      </c>
      <c r="B633" s="1" t="n">
        <v>43763</v>
      </c>
      <c r="C633" s="1" t="n">
        <v>45688</v>
      </c>
      <c r="D633" t="inlineStr">
        <is>
          <t>JÄMTLANDS LÄN</t>
        </is>
      </c>
      <c r="E633" t="inlineStr">
        <is>
          <t>STRÖMSUND</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56692-2019</t>
        </is>
      </c>
      <c r="B634" s="1" t="n">
        <v>43763</v>
      </c>
      <c r="C634" s="1" t="n">
        <v>45688</v>
      </c>
      <c r="D634" t="inlineStr">
        <is>
          <t>JÄMTLANDS LÄN</t>
        </is>
      </c>
      <c r="E634" t="inlineStr">
        <is>
          <t>STRÖMSUND</t>
        </is>
      </c>
      <c r="G634" t="n">
        <v>0.8</v>
      </c>
      <c r="H634" t="n">
        <v>0</v>
      </c>
      <c r="I634" t="n">
        <v>0</v>
      </c>
      <c r="J634" t="n">
        <v>0</v>
      </c>
      <c r="K634" t="n">
        <v>0</v>
      </c>
      <c r="L634" t="n">
        <v>0</v>
      </c>
      <c r="M634" t="n">
        <v>0</v>
      </c>
      <c r="N634" t="n">
        <v>0</v>
      </c>
      <c r="O634" t="n">
        <v>0</v>
      </c>
      <c r="P634" t="n">
        <v>0</v>
      </c>
      <c r="Q634" t="n">
        <v>0</v>
      </c>
      <c r="R634" s="2" t="inlineStr"/>
    </row>
    <row r="635" ht="15" customHeight="1">
      <c r="A635" t="inlineStr">
        <is>
          <t>A 56808-2019</t>
        </is>
      </c>
      <c r="B635" s="1" t="n">
        <v>43763</v>
      </c>
      <c r="C635" s="1" t="n">
        <v>45688</v>
      </c>
      <c r="D635" t="inlineStr">
        <is>
          <t>JÄMTLANDS LÄN</t>
        </is>
      </c>
      <c r="E635" t="inlineStr">
        <is>
          <t>STRÖMSUND</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56809-2019</t>
        </is>
      </c>
      <c r="B636" s="1" t="n">
        <v>43763</v>
      </c>
      <c r="C636" s="1" t="n">
        <v>45688</v>
      </c>
      <c r="D636" t="inlineStr">
        <is>
          <t>JÄMTLANDS LÄN</t>
        </is>
      </c>
      <c r="E636" t="inlineStr">
        <is>
          <t>STRÖMSUND</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57546-2019</t>
        </is>
      </c>
      <c r="B637" s="1" t="n">
        <v>43767</v>
      </c>
      <c r="C637" s="1" t="n">
        <v>45688</v>
      </c>
      <c r="D637" t="inlineStr">
        <is>
          <t>JÄMTLANDS LÄN</t>
        </is>
      </c>
      <c r="E637" t="inlineStr">
        <is>
          <t>STRÖMSUND</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58662-2019</t>
        </is>
      </c>
      <c r="B638" s="1" t="n">
        <v>43767</v>
      </c>
      <c r="C638" s="1" t="n">
        <v>45688</v>
      </c>
      <c r="D638" t="inlineStr">
        <is>
          <t>JÄMTLANDS LÄN</t>
        </is>
      </c>
      <c r="E638" t="inlineStr">
        <is>
          <t>STRÖMSUND</t>
        </is>
      </c>
      <c r="G638" t="n">
        <v>18.4</v>
      </c>
      <c r="H638" t="n">
        <v>0</v>
      </c>
      <c r="I638" t="n">
        <v>0</v>
      </c>
      <c r="J638" t="n">
        <v>0</v>
      </c>
      <c r="K638" t="n">
        <v>0</v>
      </c>
      <c r="L638" t="n">
        <v>0</v>
      </c>
      <c r="M638" t="n">
        <v>0</v>
      </c>
      <c r="N638" t="n">
        <v>0</v>
      </c>
      <c r="O638" t="n">
        <v>0</v>
      </c>
      <c r="P638" t="n">
        <v>0</v>
      </c>
      <c r="Q638" t="n">
        <v>0</v>
      </c>
      <c r="R638" s="2" t="inlineStr"/>
    </row>
    <row r="639" ht="15" customHeight="1">
      <c r="A639" t="inlineStr">
        <is>
          <t>A 57547-2019</t>
        </is>
      </c>
      <c r="B639" s="1" t="n">
        <v>43767</v>
      </c>
      <c r="C639" s="1" t="n">
        <v>45688</v>
      </c>
      <c r="D639" t="inlineStr">
        <is>
          <t>JÄMTLANDS LÄN</t>
        </is>
      </c>
      <c r="E639" t="inlineStr">
        <is>
          <t>STRÖMSUND</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57552-2019</t>
        </is>
      </c>
      <c r="B640" s="1" t="n">
        <v>43767</v>
      </c>
      <c r="C640" s="1" t="n">
        <v>45688</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57873-2019</t>
        </is>
      </c>
      <c r="B641" s="1" t="n">
        <v>43768</v>
      </c>
      <c r="C641" s="1" t="n">
        <v>45688</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57872-2019</t>
        </is>
      </c>
      <c r="B642" s="1" t="n">
        <v>43768</v>
      </c>
      <c r="C642" s="1" t="n">
        <v>45688</v>
      </c>
      <c r="D642" t="inlineStr">
        <is>
          <t>JÄMTLANDS LÄN</t>
        </is>
      </c>
      <c r="E642" t="inlineStr">
        <is>
          <t>STRÖMSUND</t>
        </is>
      </c>
      <c r="G642" t="n">
        <v>47.2</v>
      </c>
      <c r="H642" t="n">
        <v>0</v>
      </c>
      <c r="I642" t="n">
        <v>0</v>
      </c>
      <c r="J642" t="n">
        <v>0</v>
      </c>
      <c r="K642" t="n">
        <v>0</v>
      </c>
      <c r="L642" t="n">
        <v>0</v>
      </c>
      <c r="M642" t="n">
        <v>0</v>
      </c>
      <c r="N642" t="n">
        <v>0</v>
      </c>
      <c r="O642" t="n">
        <v>0</v>
      </c>
      <c r="P642" t="n">
        <v>0</v>
      </c>
      <c r="Q642" t="n">
        <v>0</v>
      </c>
      <c r="R642" s="2" t="inlineStr"/>
    </row>
    <row r="643" ht="15" customHeight="1">
      <c r="A643" t="inlineStr">
        <is>
          <t>A 58844-2019</t>
        </is>
      </c>
      <c r="B643" s="1" t="n">
        <v>43768</v>
      </c>
      <c r="C643" s="1" t="n">
        <v>45688</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58172-2019</t>
        </is>
      </c>
      <c r="B644" s="1" t="n">
        <v>43769</v>
      </c>
      <c r="C644" s="1" t="n">
        <v>45688</v>
      </c>
      <c r="D644" t="inlineStr">
        <is>
          <t>JÄMTLANDS LÄN</t>
        </is>
      </c>
      <c r="E644" t="inlineStr">
        <is>
          <t>STRÖMSUND</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59543-2019</t>
        </is>
      </c>
      <c r="B645" s="1" t="n">
        <v>43773</v>
      </c>
      <c r="C645" s="1" t="n">
        <v>45688</v>
      </c>
      <c r="D645" t="inlineStr">
        <is>
          <t>JÄMTLANDS LÄN</t>
        </is>
      </c>
      <c r="E645" t="inlineStr">
        <is>
          <t>STRÖMSUND</t>
        </is>
      </c>
      <c r="G645" t="n">
        <v>6.3</v>
      </c>
      <c r="H645" t="n">
        <v>0</v>
      </c>
      <c r="I645" t="n">
        <v>0</v>
      </c>
      <c r="J645" t="n">
        <v>0</v>
      </c>
      <c r="K645" t="n">
        <v>0</v>
      </c>
      <c r="L645" t="n">
        <v>0</v>
      </c>
      <c r="M645" t="n">
        <v>0</v>
      </c>
      <c r="N645" t="n">
        <v>0</v>
      </c>
      <c r="O645" t="n">
        <v>0</v>
      </c>
      <c r="P645" t="n">
        <v>0</v>
      </c>
      <c r="Q645" t="n">
        <v>0</v>
      </c>
      <c r="R645" s="2" t="inlineStr"/>
    </row>
    <row r="646" ht="15" customHeight="1">
      <c r="A646" t="inlineStr">
        <is>
          <t>A 59425-2019</t>
        </is>
      </c>
      <c r="B646" s="1" t="n">
        <v>43775</v>
      </c>
      <c r="C646" s="1" t="n">
        <v>45688</v>
      </c>
      <c r="D646" t="inlineStr">
        <is>
          <t>JÄMTLANDS LÄN</t>
        </is>
      </c>
      <c r="E646" t="inlineStr">
        <is>
          <t>STRÖMSUND</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59456-2019</t>
        </is>
      </c>
      <c r="B647" s="1" t="n">
        <v>43776</v>
      </c>
      <c r="C647" s="1" t="n">
        <v>45688</v>
      </c>
      <c r="D647" t="inlineStr">
        <is>
          <t>JÄMTLANDS LÄN</t>
        </is>
      </c>
      <c r="E647" t="inlineStr">
        <is>
          <t>STRÖMSUND</t>
        </is>
      </c>
      <c r="G647" t="n">
        <v>2.1</v>
      </c>
      <c r="H647" t="n">
        <v>0</v>
      </c>
      <c r="I647" t="n">
        <v>0</v>
      </c>
      <c r="J647" t="n">
        <v>0</v>
      </c>
      <c r="K647" t="n">
        <v>0</v>
      </c>
      <c r="L647" t="n">
        <v>0</v>
      </c>
      <c r="M647" t="n">
        <v>0</v>
      </c>
      <c r="N647" t="n">
        <v>0</v>
      </c>
      <c r="O647" t="n">
        <v>0</v>
      </c>
      <c r="P647" t="n">
        <v>0</v>
      </c>
      <c r="Q647" t="n">
        <v>0</v>
      </c>
      <c r="R647" s="2" t="inlineStr"/>
    </row>
    <row r="648" ht="15" customHeight="1">
      <c r="A648" t="inlineStr">
        <is>
          <t>A 61411-2019</t>
        </is>
      </c>
      <c r="B648" s="1" t="n">
        <v>43780</v>
      </c>
      <c r="C648" s="1" t="n">
        <v>45688</v>
      </c>
      <c r="D648" t="inlineStr">
        <is>
          <t>JÄMTLANDS LÄN</t>
        </is>
      </c>
      <c r="E648" t="inlineStr">
        <is>
          <t>STRÖMSUND</t>
        </is>
      </c>
      <c r="G648" t="n">
        <v>2.3</v>
      </c>
      <c r="H648" t="n">
        <v>0</v>
      </c>
      <c r="I648" t="n">
        <v>0</v>
      </c>
      <c r="J648" t="n">
        <v>0</v>
      </c>
      <c r="K648" t="n">
        <v>0</v>
      </c>
      <c r="L648" t="n">
        <v>0</v>
      </c>
      <c r="M648" t="n">
        <v>0</v>
      </c>
      <c r="N648" t="n">
        <v>0</v>
      </c>
      <c r="O648" t="n">
        <v>0</v>
      </c>
      <c r="P648" t="n">
        <v>0</v>
      </c>
      <c r="Q648" t="n">
        <v>0</v>
      </c>
      <c r="R648" s="2" t="inlineStr"/>
    </row>
    <row r="649" ht="15" customHeight="1">
      <c r="A649" t="inlineStr">
        <is>
          <t>A 61703-2019</t>
        </is>
      </c>
      <c r="B649" s="1" t="n">
        <v>43780</v>
      </c>
      <c r="C649" s="1" t="n">
        <v>45688</v>
      </c>
      <c r="D649" t="inlineStr">
        <is>
          <t>JÄMTLANDS LÄN</t>
        </is>
      </c>
      <c r="E649" t="inlineStr">
        <is>
          <t>STRÖMSUND</t>
        </is>
      </c>
      <c r="G649" t="n">
        <v>4</v>
      </c>
      <c r="H649" t="n">
        <v>0</v>
      </c>
      <c r="I649" t="n">
        <v>0</v>
      </c>
      <c r="J649" t="n">
        <v>0</v>
      </c>
      <c r="K649" t="n">
        <v>0</v>
      </c>
      <c r="L649" t="n">
        <v>0</v>
      </c>
      <c r="M649" t="n">
        <v>0</v>
      </c>
      <c r="N649" t="n">
        <v>0</v>
      </c>
      <c r="O649" t="n">
        <v>0</v>
      </c>
      <c r="P649" t="n">
        <v>0</v>
      </c>
      <c r="Q649" t="n">
        <v>0</v>
      </c>
      <c r="R649" s="2" t="inlineStr"/>
    </row>
    <row r="650" ht="15" customHeight="1">
      <c r="A650" t="inlineStr">
        <is>
          <t>A 61705-2019</t>
        </is>
      </c>
      <c r="B650" s="1" t="n">
        <v>43780</v>
      </c>
      <c r="C650" s="1" t="n">
        <v>45688</v>
      </c>
      <c r="D650" t="inlineStr">
        <is>
          <t>JÄMTLANDS LÄN</t>
        </is>
      </c>
      <c r="E650" t="inlineStr">
        <is>
          <t>STRÖMSUND</t>
        </is>
      </c>
      <c r="G650" t="n">
        <v>6.4</v>
      </c>
      <c r="H650" t="n">
        <v>0</v>
      </c>
      <c r="I650" t="n">
        <v>0</v>
      </c>
      <c r="J650" t="n">
        <v>0</v>
      </c>
      <c r="K650" t="n">
        <v>0</v>
      </c>
      <c r="L650" t="n">
        <v>0</v>
      </c>
      <c r="M650" t="n">
        <v>0</v>
      </c>
      <c r="N650" t="n">
        <v>0</v>
      </c>
      <c r="O650" t="n">
        <v>0</v>
      </c>
      <c r="P650" t="n">
        <v>0</v>
      </c>
      <c r="Q650" t="n">
        <v>0</v>
      </c>
      <c r="R650" s="2" t="inlineStr"/>
    </row>
    <row r="651" ht="15" customHeight="1">
      <c r="A651" t="inlineStr">
        <is>
          <t>A 60569-2019</t>
        </is>
      </c>
      <c r="B651" s="1" t="n">
        <v>43781</v>
      </c>
      <c r="C651" s="1" t="n">
        <v>45688</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60536-2019</t>
        </is>
      </c>
      <c r="B652" s="1" t="n">
        <v>43781</v>
      </c>
      <c r="C652" s="1" t="n">
        <v>45688</v>
      </c>
      <c r="D652" t="inlineStr">
        <is>
          <t>JÄMTLANDS LÄN</t>
        </is>
      </c>
      <c r="E652" t="inlineStr">
        <is>
          <t>STRÖMSUND</t>
        </is>
      </c>
      <c r="G652" t="n">
        <v>0.2</v>
      </c>
      <c r="H652" t="n">
        <v>0</v>
      </c>
      <c r="I652" t="n">
        <v>0</v>
      </c>
      <c r="J652" t="n">
        <v>0</v>
      </c>
      <c r="K652" t="n">
        <v>0</v>
      </c>
      <c r="L652" t="n">
        <v>0</v>
      </c>
      <c r="M652" t="n">
        <v>0</v>
      </c>
      <c r="N652" t="n">
        <v>0</v>
      </c>
      <c r="O652" t="n">
        <v>0</v>
      </c>
      <c r="P652" t="n">
        <v>0</v>
      </c>
      <c r="Q652" t="n">
        <v>0</v>
      </c>
      <c r="R652" s="2" t="inlineStr"/>
    </row>
    <row r="653" ht="15" customHeight="1">
      <c r="A653" t="inlineStr">
        <is>
          <t>A 61122-2019</t>
        </is>
      </c>
      <c r="B653" s="1" t="n">
        <v>43782</v>
      </c>
      <c r="C653" s="1" t="n">
        <v>45688</v>
      </c>
      <c r="D653" t="inlineStr">
        <is>
          <t>JÄMTLANDS LÄN</t>
        </is>
      </c>
      <c r="E653" t="inlineStr">
        <is>
          <t>STRÖMSUND</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62256-2019</t>
        </is>
      </c>
      <c r="B654" s="1" t="n">
        <v>43782</v>
      </c>
      <c r="C654" s="1" t="n">
        <v>45688</v>
      </c>
      <c r="D654" t="inlineStr">
        <is>
          <t>JÄMTLANDS LÄN</t>
        </is>
      </c>
      <c r="E654" t="inlineStr">
        <is>
          <t>STRÖMSUND</t>
        </is>
      </c>
      <c r="G654" t="n">
        <v>1.6</v>
      </c>
      <c r="H654" t="n">
        <v>0</v>
      </c>
      <c r="I654" t="n">
        <v>0</v>
      </c>
      <c r="J654" t="n">
        <v>0</v>
      </c>
      <c r="K654" t="n">
        <v>0</v>
      </c>
      <c r="L654" t="n">
        <v>0</v>
      </c>
      <c r="M654" t="n">
        <v>0</v>
      </c>
      <c r="N654" t="n">
        <v>0</v>
      </c>
      <c r="O654" t="n">
        <v>0</v>
      </c>
      <c r="P654" t="n">
        <v>0</v>
      </c>
      <c r="Q654" t="n">
        <v>0</v>
      </c>
      <c r="R654" s="2" t="inlineStr"/>
    </row>
    <row r="655" ht="15" customHeight="1">
      <c r="A655" t="inlineStr">
        <is>
          <t>A 60955-2019</t>
        </is>
      </c>
      <c r="B655" s="1" t="n">
        <v>43782</v>
      </c>
      <c r="C655" s="1" t="n">
        <v>45688</v>
      </c>
      <c r="D655" t="inlineStr">
        <is>
          <t>JÄMTLANDS LÄN</t>
        </is>
      </c>
      <c r="E655" t="inlineStr">
        <is>
          <t>STRÖMSUND</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61690-2019</t>
        </is>
      </c>
      <c r="B656" s="1" t="n">
        <v>43784</v>
      </c>
      <c r="C656" s="1" t="n">
        <v>45688</v>
      </c>
      <c r="D656" t="inlineStr">
        <is>
          <t>JÄMTLANDS LÄN</t>
        </is>
      </c>
      <c r="E656" t="inlineStr">
        <is>
          <t>STRÖMSUND</t>
        </is>
      </c>
      <c r="G656" t="n">
        <v>6</v>
      </c>
      <c r="H656" t="n">
        <v>0</v>
      </c>
      <c r="I656" t="n">
        <v>0</v>
      </c>
      <c r="J656" t="n">
        <v>0</v>
      </c>
      <c r="K656" t="n">
        <v>0</v>
      </c>
      <c r="L656" t="n">
        <v>0</v>
      </c>
      <c r="M656" t="n">
        <v>0</v>
      </c>
      <c r="N656" t="n">
        <v>0</v>
      </c>
      <c r="O656" t="n">
        <v>0</v>
      </c>
      <c r="P656" t="n">
        <v>0</v>
      </c>
      <c r="Q656" t="n">
        <v>0</v>
      </c>
      <c r="R656" s="2" t="inlineStr"/>
    </row>
    <row r="657" ht="15" customHeight="1">
      <c r="A657" t="inlineStr">
        <is>
          <t>A 61778-2019</t>
        </is>
      </c>
      <c r="B657" s="1" t="n">
        <v>43784</v>
      </c>
      <c r="C657" s="1" t="n">
        <v>45688</v>
      </c>
      <c r="D657" t="inlineStr">
        <is>
          <t>JÄMTLANDS LÄN</t>
        </is>
      </c>
      <c r="E657" t="inlineStr">
        <is>
          <t>STRÖMSUND</t>
        </is>
      </c>
      <c r="G657" t="n">
        <v>1</v>
      </c>
      <c r="H657" t="n">
        <v>0</v>
      </c>
      <c r="I657" t="n">
        <v>0</v>
      </c>
      <c r="J657" t="n">
        <v>0</v>
      </c>
      <c r="K657" t="n">
        <v>0</v>
      </c>
      <c r="L657" t="n">
        <v>0</v>
      </c>
      <c r="M657" t="n">
        <v>0</v>
      </c>
      <c r="N657" t="n">
        <v>0</v>
      </c>
      <c r="O657" t="n">
        <v>0</v>
      </c>
      <c r="P657" t="n">
        <v>0</v>
      </c>
      <c r="Q657" t="n">
        <v>0</v>
      </c>
      <c r="R657" s="2" t="inlineStr"/>
    </row>
    <row r="658" ht="15" customHeight="1">
      <c r="A658" t="inlineStr">
        <is>
          <t>A 61833-2019</t>
        </is>
      </c>
      <c r="B658" s="1" t="n">
        <v>43786</v>
      </c>
      <c r="C658" s="1" t="n">
        <v>45688</v>
      </c>
      <c r="D658" t="inlineStr">
        <is>
          <t>JÄMTLANDS LÄN</t>
        </is>
      </c>
      <c r="E658" t="inlineStr">
        <is>
          <t>STRÖMSUND</t>
        </is>
      </c>
      <c r="G658" t="n">
        <v>11.5</v>
      </c>
      <c r="H658" t="n">
        <v>0</v>
      </c>
      <c r="I658" t="n">
        <v>0</v>
      </c>
      <c r="J658" t="n">
        <v>0</v>
      </c>
      <c r="K658" t="n">
        <v>0</v>
      </c>
      <c r="L658" t="n">
        <v>0</v>
      </c>
      <c r="M658" t="n">
        <v>0</v>
      </c>
      <c r="N658" t="n">
        <v>0</v>
      </c>
      <c r="O658" t="n">
        <v>0</v>
      </c>
      <c r="P658" t="n">
        <v>0</v>
      </c>
      <c r="Q658" t="n">
        <v>0</v>
      </c>
      <c r="R658" s="2" t="inlineStr"/>
    </row>
    <row r="659" ht="15" customHeight="1">
      <c r="A659" t="inlineStr">
        <is>
          <t>A 61838-2019</t>
        </is>
      </c>
      <c r="B659" s="1" t="n">
        <v>43786</v>
      </c>
      <c r="C659" s="1" t="n">
        <v>45688</v>
      </c>
      <c r="D659" t="inlineStr">
        <is>
          <t>JÄMTLANDS LÄN</t>
        </is>
      </c>
      <c r="E659" t="inlineStr">
        <is>
          <t>STRÖMSUND</t>
        </is>
      </c>
      <c r="G659" t="n">
        <v>0.8</v>
      </c>
      <c r="H659" t="n">
        <v>0</v>
      </c>
      <c r="I659" t="n">
        <v>0</v>
      </c>
      <c r="J659" t="n">
        <v>0</v>
      </c>
      <c r="K659" t="n">
        <v>0</v>
      </c>
      <c r="L659" t="n">
        <v>0</v>
      </c>
      <c r="M659" t="n">
        <v>0</v>
      </c>
      <c r="N659" t="n">
        <v>0</v>
      </c>
      <c r="O659" t="n">
        <v>0</v>
      </c>
      <c r="P659" t="n">
        <v>0</v>
      </c>
      <c r="Q659" t="n">
        <v>0</v>
      </c>
      <c r="R659" s="2" t="inlineStr"/>
    </row>
    <row r="660" ht="15" customHeight="1">
      <c r="A660" t="inlineStr">
        <is>
          <t>A 61830-2019</t>
        </is>
      </c>
      <c r="B660" s="1" t="n">
        <v>43786</v>
      </c>
      <c r="C660" s="1" t="n">
        <v>45688</v>
      </c>
      <c r="D660" t="inlineStr">
        <is>
          <t>JÄMTLANDS LÄN</t>
        </is>
      </c>
      <c r="E660" t="inlineStr">
        <is>
          <t>STRÖMSUND</t>
        </is>
      </c>
      <c r="G660" t="n">
        <v>8</v>
      </c>
      <c r="H660" t="n">
        <v>0</v>
      </c>
      <c r="I660" t="n">
        <v>0</v>
      </c>
      <c r="J660" t="n">
        <v>0</v>
      </c>
      <c r="K660" t="n">
        <v>0</v>
      </c>
      <c r="L660" t="n">
        <v>0</v>
      </c>
      <c r="M660" t="n">
        <v>0</v>
      </c>
      <c r="N660" t="n">
        <v>0</v>
      </c>
      <c r="O660" t="n">
        <v>0</v>
      </c>
      <c r="P660" t="n">
        <v>0</v>
      </c>
      <c r="Q660" t="n">
        <v>0</v>
      </c>
      <c r="R660" s="2" t="inlineStr"/>
    </row>
    <row r="661" ht="15" customHeight="1">
      <c r="A661" t="inlineStr">
        <is>
          <t>A 61835-2019</t>
        </is>
      </c>
      <c r="B661" s="1" t="n">
        <v>43786</v>
      </c>
      <c r="C661" s="1" t="n">
        <v>45688</v>
      </c>
      <c r="D661" t="inlineStr">
        <is>
          <t>JÄMTLANDS LÄN</t>
        </is>
      </c>
      <c r="E661" t="inlineStr">
        <is>
          <t>STRÖMSUND</t>
        </is>
      </c>
      <c r="G661" t="n">
        <v>6</v>
      </c>
      <c r="H661" t="n">
        <v>0</v>
      </c>
      <c r="I661" t="n">
        <v>0</v>
      </c>
      <c r="J661" t="n">
        <v>0</v>
      </c>
      <c r="K661" t="n">
        <v>0</v>
      </c>
      <c r="L661" t="n">
        <v>0</v>
      </c>
      <c r="M661" t="n">
        <v>0</v>
      </c>
      <c r="N661" t="n">
        <v>0</v>
      </c>
      <c r="O661" t="n">
        <v>0</v>
      </c>
      <c r="P661" t="n">
        <v>0</v>
      </c>
      <c r="Q661" t="n">
        <v>0</v>
      </c>
      <c r="R661" s="2" t="inlineStr"/>
    </row>
    <row r="662" ht="15" customHeight="1">
      <c r="A662" t="inlineStr">
        <is>
          <t>A 61829-2019</t>
        </is>
      </c>
      <c r="B662" s="1" t="n">
        <v>43786</v>
      </c>
      <c r="C662" s="1" t="n">
        <v>45688</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61834-2019</t>
        </is>
      </c>
      <c r="B663" s="1" t="n">
        <v>43786</v>
      </c>
      <c r="C663" s="1" t="n">
        <v>45688</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61836-2019</t>
        </is>
      </c>
      <c r="B664" s="1" t="n">
        <v>43786</v>
      </c>
      <c r="C664" s="1" t="n">
        <v>45688</v>
      </c>
      <c r="D664" t="inlineStr">
        <is>
          <t>JÄMTLANDS LÄN</t>
        </is>
      </c>
      <c r="E664" t="inlineStr">
        <is>
          <t>STRÖMSUND</t>
        </is>
      </c>
      <c r="G664" t="n">
        <v>3.1</v>
      </c>
      <c r="H664" t="n">
        <v>0</v>
      </c>
      <c r="I664" t="n">
        <v>0</v>
      </c>
      <c r="J664" t="n">
        <v>0</v>
      </c>
      <c r="K664" t="n">
        <v>0</v>
      </c>
      <c r="L664" t="n">
        <v>0</v>
      </c>
      <c r="M664" t="n">
        <v>0</v>
      </c>
      <c r="N664" t="n">
        <v>0</v>
      </c>
      <c r="O664" t="n">
        <v>0</v>
      </c>
      <c r="P664" t="n">
        <v>0</v>
      </c>
      <c r="Q664" t="n">
        <v>0</v>
      </c>
      <c r="R664" s="2" t="inlineStr"/>
    </row>
    <row r="665" ht="15" customHeight="1">
      <c r="A665" t="inlineStr">
        <is>
          <t>A 61832-2019</t>
        </is>
      </c>
      <c r="B665" s="1" t="n">
        <v>43786</v>
      </c>
      <c r="C665" s="1" t="n">
        <v>45688</v>
      </c>
      <c r="D665" t="inlineStr">
        <is>
          <t>JÄMTLANDS LÄN</t>
        </is>
      </c>
      <c r="E665" t="inlineStr">
        <is>
          <t>STRÖMSUND</t>
        </is>
      </c>
      <c r="G665" t="n">
        <v>19.9</v>
      </c>
      <c r="H665" t="n">
        <v>0</v>
      </c>
      <c r="I665" t="n">
        <v>0</v>
      </c>
      <c r="J665" t="n">
        <v>0</v>
      </c>
      <c r="K665" t="n">
        <v>0</v>
      </c>
      <c r="L665" t="n">
        <v>0</v>
      </c>
      <c r="M665" t="n">
        <v>0</v>
      </c>
      <c r="N665" t="n">
        <v>0</v>
      </c>
      <c r="O665" t="n">
        <v>0</v>
      </c>
      <c r="P665" t="n">
        <v>0</v>
      </c>
      <c r="Q665" t="n">
        <v>0</v>
      </c>
      <c r="R665" s="2" t="inlineStr"/>
    </row>
    <row r="666" ht="15" customHeight="1">
      <c r="A666" t="inlineStr">
        <is>
          <t>A 62492-2019</t>
        </is>
      </c>
      <c r="B666" s="1" t="n">
        <v>43788</v>
      </c>
      <c r="C666" s="1" t="n">
        <v>45688</v>
      </c>
      <c r="D666" t="inlineStr">
        <is>
          <t>JÄMTLANDS LÄN</t>
        </is>
      </c>
      <c r="E666" t="inlineStr">
        <is>
          <t>STRÖMSUND</t>
        </is>
      </c>
      <c r="F666" t="inlineStr">
        <is>
          <t>SCA</t>
        </is>
      </c>
      <c r="G666" t="n">
        <v>6.3</v>
      </c>
      <c r="H666" t="n">
        <v>0</v>
      </c>
      <c r="I666" t="n">
        <v>0</v>
      </c>
      <c r="J666" t="n">
        <v>0</v>
      </c>
      <c r="K666" t="n">
        <v>0</v>
      </c>
      <c r="L666" t="n">
        <v>0</v>
      </c>
      <c r="M666" t="n">
        <v>0</v>
      </c>
      <c r="N666" t="n">
        <v>0</v>
      </c>
      <c r="O666" t="n">
        <v>0</v>
      </c>
      <c r="P666" t="n">
        <v>0</v>
      </c>
      <c r="Q666" t="n">
        <v>0</v>
      </c>
      <c r="R666" s="2" t="inlineStr"/>
    </row>
    <row r="667" ht="15" customHeight="1">
      <c r="A667" t="inlineStr">
        <is>
          <t>A 63715-2019</t>
        </is>
      </c>
      <c r="B667" s="1" t="n">
        <v>43789</v>
      </c>
      <c r="C667" s="1" t="n">
        <v>45688</v>
      </c>
      <c r="D667" t="inlineStr">
        <is>
          <t>JÄMTLANDS LÄN</t>
        </is>
      </c>
      <c r="E667" t="inlineStr">
        <is>
          <t>STRÖMSUND</t>
        </is>
      </c>
      <c r="G667" t="n">
        <v>5.8</v>
      </c>
      <c r="H667" t="n">
        <v>0</v>
      </c>
      <c r="I667" t="n">
        <v>0</v>
      </c>
      <c r="J667" t="n">
        <v>0</v>
      </c>
      <c r="K667" t="n">
        <v>0</v>
      </c>
      <c r="L667" t="n">
        <v>0</v>
      </c>
      <c r="M667" t="n">
        <v>0</v>
      </c>
      <c r="N667" t="n">
        <v>0</v>
      </c>
      <c r="O667" t="n">
        <v>0</v>
      </c>
      <c r="P667" t="n">
        <v>0</v>
      </c>
      <c r="Q667" t="n">
        <v>0</v>
      </c>
      <c r="R667" s="2" t="inlineStr"/>
    </row>
    <row r="668" ht="15" customHeight="1">
      <c r="A668" t="inlineStr">
        <is>
          <t>A 62511-2019</t>
        </is>
      </c>
      <c r="B668" s="1" t="n">
        <v>43789</v>
      </c>
      <c r="C668" s="1" t="n">
        <v>45688</v>
      </c>
      <c r="D668" t="inlineStr">
        <is>
          <t>JÄMTLANDS LÄN</t>
        </is>
      </c>
      <c r="E668" t="inlineStr">
        <is>
          <t>STRÖMSUND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63927-2019</t>
        </is>
      </c>
      <c r="B669" s="1" t="n">
        <v>43790</v>
      </c>
      <c r="C669" s="1" t="n">
        <v>45688</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63918-2019</t>
        </is>
      </c>
      <c r="B670" s="1" t="n">
        <v>43790</v>
      </c>
      <c r="C670" s="1" t="n">
        <v>45688</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63429-2019</t>
        </is>
      </c>
      <c r="B671" s="1" t="n">
        <v>43794</v>
      </c>
      <c r="C671" s="1" t="n">
        <v>45688</v>
      </c>
      <c r="D671" t="inlineStr">
        <is>
          <t>JÄMTLANDS LÄN</t>
        </is>
      </c>
      <c r="E671" t="inlineStr">
        <is>
          <t>STRÖMSUND</t>
        </is>
      </c>
      <c r="G671" t="n">
        <v>11</v>
      </c>
      <c r="H671" t="n">
        <v>0</v>
      </c>
      <c r="I671" t="n">
        <v>0</v>
      </c>
      <c r="J671" t="n">
        <v>0</v>
      </c>
      <c r="K671" t="n">
        <v>0</v>
      </c>
      <c r="L671" t="n">
        <v>0</v>
      </c>
      <c r="M671" t="n">
        <v>0</v>
      </c>
      <c r="N671" t="n">
        <v>0</v>
      </c>
      <c r="O671" t="n">
        <v>0</v>
      </c>
      <c r="P671" t="n">
        <v>0</v>
      </c>
      <c r="Q671" t="n">
        <v>0</v>
      </c>
      <c r="R671" s="2" t="inlineStr"/>
    </row>
    <row r="672" ht="15" customHeight="1">
      <c r="A672" t="inlineStr">
        <is>
          <t>A 63443-2019</t>
        </is>
      </c>
      <c r="B672" s="1" t="n">
        <v>43794</v>
      </c>
      <c r="C672" s="1" t="n">
        <v>45688</v>
      </c>
      <c r="D672" t="inlineStr">
        <is>
          <t>JÄMTLANDS LÄN</t>
        </is>
      </c>
      <c r="E672" t="inlineStr">
        <is>
          <t>STRÖMSUND</t>
        </is>
      </c>
      <c r="G672" t="n">
        <v>13.8</v>
      </c>
      <c r="H672" t="n">
        <v>0</v>
      </c>
      <c r="I672" t="n">
        <v>0</v>
      </c>
      <c r="J672" t="n">
        <v>0</v>
      </c>
      <c r="K672" t="n">
        <v>0</v>
      </c>
      <c r="L672" t="n">
        <v>0</v>
      </c>
      <c r="M672" t="n">
        <v>0</v>
      </c>
      <c r="N672" t="n">
        <v>0</v>
      </c>
      <c r="O672" t="n">
        <v>0</v>
      </c>
      <c r="P672" t="n">
        <v>0</v>
      </c>
      <c r="Q672" t="n">
        <v>0</v>
      </c>
      <c r="R672" s="2" t="inlineStr"/>
    </row>
    <row r="673" ht="15" customHeight="1">
      <c r="A673" t="inlineStr">
        <is>
          <t>A 63426-2019</t>
        </is>
      </c>
      <c r="B673" s="1" t="n">
        <v>43794</v>
      </c>
      <c r="C673" s="1" t="n">
        <v>45688</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63444-2019</t>
        </is>
      </c>
      <c r="B674" s="1" t="n">
        <v>43794</v>
      </c>
      <c r="C674" s="1" t="n">
        <v>45688</v>
      </c>
      <c r="D674" t="inlineStr">
        <is>
          <t>JÄMTLANDS LÄN</t>
        </is>
      </c>
      <c r="E674" t="inlineStr">
        <is>
          <t>STRÖMSUND</t>
        </is>
      </c>
      <c r="G674" t="n">
        <v>5.6</v>
      </c>
      <c r="H674" t="n">
        <v>0</v>
      </c>
      <c r="I674" t="n">
        <v>0</v>
      </c>
      <c r="J674" t="n">
        <v>0</v>
      </c>
      <c r="K674" t="n">
        <v>0</v>
      </c>
      <c r="L674" t="n">
        <v>0</v>
      </c>
      <c r="M674" t="n">
        <v>0</v>
      </c>
      <c r="N674" t="n">
        <v>0</v>
      </c>
      <c r="O674" t="n">
        <v>0</v>
      </c>
      <c r="P674" t="n">
        <v>0</v>
      </c>
      <c r="Q674" t="n">
        <v>0</v>
      </c>
      <c r="R674" s="2" t="inlineStr"/>
    </row>
    <row r="675" ht="15" customHeight="1">
      <c r="A675" t="inlineStr">
        <is>
          <t>A 64138-2019</t>
        </is>
      </c>
      <c r="B675" s="1" t="n">
        <v>43796</v>
      </c>
      <c r="C675" s="1" t="n">
        <v>45688</v>
      </c>
      <c r="D675" t="inlineStr">
        <is>
          <t>JÄMTLANDS LÄN</t>
        </is>
      </c>
      <c r="E675" t="inlineStr">
        <is>
          <t>STRÖMSUND</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64463-2019</t>
        </is>
      </c>
      <c r="B676" s="1" t="n">
        <v>43797</v>
      </c>
      <c r="C676" s="1" t="n">
        <v>45688</v>
      </c>
      <c r="D676" t="inlineStr">
        <is>
          <t>JÄMTLANDS LÄN</t>
        </is>
      </c>
      <c r="E676" t="inlineStr">
        <is>
          <t>STRÖMSUND</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65415-2019</t>
        </is>
      </c>
      <c r="B677" s="1" t="n">
        <v>43797</v>
      </c>
      <c r="C677" s="1" t="n">
        <v>45688</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65390-2019</t>
        </is>
      </c>
      <c r="B678" s="1" t="n">
        <v>43797</v>
      </c>
      <c r="C678" s="1" t="n">
        <v>45688</v>
      </c>
      <c r="D678" t="inlineStr">
        <is>
          <t>JÄMTLANDS LÄN</t>
        </is>
      </c>
      <c r="E678" t="inlineStr">
        <is>
          <t>STRÖMSUND</t>
        </is>
      </c>
      <c r="G678" t="n">
        <v>0.9</v>
      </c>
      <c r="H678" t="n">
        <v>0</v>
      </c>
      <c r="I678" t="n">
        <v>0</v>
      </c>
      <c r="J678" t="n">
        <v>0</v>
      </c>
      <c r="K678" t="n">
        <v>0</v>
      </c>
      <c r="L678" t="n">
        <v>0</v>
      </c>
      <c r="M678" t="n">
        <v>0</v>
      </c>
      <c r="N678" t="n">
        <v>0</v>
      </c>
      <c r="O678" t="n">
        <v>0</v>
      </c>
      <c r="P678" t="n">
        <v>0</v>
      </c>
      <c r="Q678" t="n">
        <v>0</v>
      </c>
      <c r="R678" s="2" t="inlineStr"/>
    </row>
    <row r="679" ht="15" customHeight="1">
      <c r="A679" t="inlineStr">
        <is>
          <t>A 66574-2019</t>
        </is>
      </c>
      <c r="B679" s="1" t="n">
        <v>43803</v>
      </c>
      <c r="C679" s="1" t="n">
        <v>45688</v>
      </c>
      <c r="D679" t="inlineStr">
        <is>
          <t>JÄMTLANDS LÄN</t>
        </is>
      </c>
      <c r="E679" t="inlineStr">
        <is>
          <t>STRÖMSUND</t>
        </is>
      </c>
      <c r="G679" t="n">
        <v>0.7</v>
      </c>
      <c r="H679" t="n">
        <v>0</v>
      </c>
      <c r="I679" t="n">
        <v>0</v>
      </c>
      <c r="J679" t="n">
        <v>0</v>
      </c>
      <c r="K679" t="n">
        <v>0</v>
      </c>
      <c r="L679" t="n">
        <v>0</v>
      </c>
      <c r="M679" t="n">
        <v>0</v>
      </c>
      <c r="N679" t="n">
        <v>0</v>
      </c>
      <c r="O679" t="n">
        <v>0</v>
      </c>
      <c r="P679" t="n">
        <v>0</v>
      </c>
      <c r="Q679" t="n">
        <v>0</v>
      </c>
      <c r="R679" s="2" t="inlineStr"/>
    </row>
    <row r="680" ht="15" customHeight="1">
      <c r="A680" t="inlineStr">
        <is>
          <t>A 65781-2019</t>
        </is>
      </c>
      <c r="B680" s="1" t="n">
        <v>43804</v>
      </c>
      <c r="C680" s="1" t="n">
        <v>45688</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67064-2019</t>
        </is>
      </c>
      <c r="B681" s="1" t="n">
        <v>43805</v>
      </c>
      <c r="C681" s="1" t="n">
        <v>45688</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66349-2019</t>
        </is>
      </c>
      <c r="B682" s="1" t="n">
        <v>43808</v>
      </c>
      <c r="C682" s="1" t="n">
        <v>45688</v>
      </c>
      <c r="D682" t="inlineStr">
        <is>
          <t>JÄMTLANDS LÄN</t>
        </is>
      </c>
      <c r="E682" t="inlineStr">
        <is>
          <t>STRÖMSUND</t>
        </is>
      </c>
      <c r="F682" t="inlineStr">
        <is>
          <t>Sveaskog</t>
        </is>
      </c>
      <c r="G682" t="n">
        <v>3.7</v>
      </c>
      <c r="H682" t="n">
        <v>0</v>
      </c>
      <c r="I682" t="n">
        <v>0</v>
      </c>
      <c r="J682" t="n">
        <v>0</v>
      </c>
      <c r="K682" t="n">
        <v>0</v>
      </c>
      <c r="L682" t="n">
        <v>0</v>
      </c>
      <c r="M682" t="n">
        <v>0</v>
      </c>
      <c r="N682" t="n">
        <v>0</v>
      </c>
      <c r="O682" t="n">
        <v>0</v>
      </c>
      <c r="P682" t="n">
        <v>0</v>
      </c>
      <c r="Q682" t="n">
        <v>0</v>
      </c>
      <c r="R682" s="2" t="inlineStr"/>
    </row>
    <row r="683" ht="15" customHeight="1">
      <c r="A683" t="inlineStr">
        <is>
          <t>A 67820-2019</t>
        </is>
      </c>
      <c r="B683" s="1" t="n">
        <v>43815</v>
      </c>
      <c r="C683" s="1" t="n">
        <v>45688</v>
      </c>
      <c r="D683" t="inlineStr">
        <is>
          <t>JÄMTLANDS LÄN</t>
        </is>
      </c>
      <c r="E683" t="inlineStr">
        <is>
          <t>STRÖMSUND</t>
        </is>
      </c>
      <c r="F683" t="inlineStr">
        <is>
          <t>SCA</t>
        </is>
      </c>
      <c r="G683" t="n">
        <v>28.7</v>
      </c>
      <c r="H683" t="n">
        <v>0</v>
      </c>
      <c r="I683" t="n">
        <v>0</v>
      </c>
      <c r="J683" t="n">
        <v>0</v>
      </c>
      <c r="K683" t="n">
        <v>0</v>
      </c>
      <c r="L683" t="n">
        <v>0</v>
      </c>
      <c r="M683" t="n">
        <v>0</v>
      </c>
      <c r="N683" t="n">
        <v>0</v>
      </c>
      <c r="O683" t="n">
        <v>0</v>
      </c>
      <c r="P683" t="n">
        <v>0</v>
      </c>
      <c r="Q683" t="n">
        <v>0</v>
      </c>
      <c r="R683" s="2" t="inlineStr"/>
    </row>
    <row r="684" ht="15" customHeight="1">
      <c r="A684" t="inlineStr">
        <is>
          <t>A 67914-2019</t>
        </is>
      </c>
      <c r="B684" s="1" t="n">
        <v>43816</v>
      </c>
      <c r="C684" s="1" t="n">
        <v>45688</v>
      </c>
      <c r="D684" t="inlineStr">
        <is>
          <t>JÄMTLANDS LÄN</t>
        </is>
      </c>
      <c r="E684" t="inlineStr">
        <is>
          <t>STRÖMSUND</t>
        </is>
      </c>
      <c r="F684" t="inlineStr">
        <is>
          <t>Holmen skog AB</t>
        </is>
      </c>
      <c r="G684" t="n">
        <v>27.7</v>
      </c>
      <c r="H684" t="n">
        <v>0</v>
      </c>
      <c r="I684" t="n">
        <v>0</v>
      </c>
      <c r="J684" t="n">
        <v>0</v>
      </c>
      <c r="K684" t="n">
        <v>0</v>
      </c>
      <c r="L684" t="n">
        <v>0</v>
      </c>
      <c r="M684" t="n">
        <v>0</v>
      </c>
      <c r="N684" t="n">
        <v>0</v>
      </c>
      <c r="O684" t="n">
        <v>0</v>
      </c>
      <c r="P684" t="n">
        <v>0</v>
      </c>
      <c r="Q684" t="n">
        <v>0</v>
      </c>
      <c r="R684" s="2" t="inlineStr"/>
    </row>
    <row r="685" ht="15" customHeight="1">
      <c r="A685" t="inlineStr">
        <is>
          <t>A 68080-2019</t>
        </is>
      </c>
      <c r="B685" s="1" t="n">
        <v>43816</v>
      </c>
      <c r="C685" s="1" t="n">
        <v>45688</v>
      </c>
      <c r="D685" t="inlineStr">
        <is>
          <t>JÄMTLANDS LÄN</t>
        </is>
      </c>
      <c r="E685" t="inlineStr">
        <is>
          <t>STRÖMSUND</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68607-2019</t>
        </is>
      </c>
      <c r="B686" s="1" t="n">
        <v>43818</v>
      </c>
      <c r="C686" s="1" t="n">
        <v>45688</v>
      </c>
      <c r="D686" t="inlineStr">
        <is>
          <t>JÄMTLANDS LÄN</t>
        </is>
      </c>
      <c r="E686" t="inlineStr">
        <is>
          <t>STRÖMSUND</t>
        </is>
      </c>
      <c r="G686" t="n">
        <v>2.5</v>
      </c>
      <c r="H686" t="n">
        <v>0</v>
      </c>
      <c r="I686" t="n">
        <v>0</v>
      </c>
      <c r="J686" t="n">
        <v>0</v>
      </c>
      <c r="K686" t="n">
        <v>0</v>
      </c>
      <c r="L686" t="n">
        <v>0</v>
      </c>
      <c r="M686" t="n">
        <v>0</v>
      </c>
      <c r="N686" t="n">
        <v>0</v>
      </c>
      <c r="O686" t="n">
        <v>0</v>
      </c>
      <c r="P686" t="n">
        <v>0</v>
      </c>
      <c r="Q686" t="n">
        <v>0</v>
      </c>
      <c r="R686" s="2" t="inlineStr"/>
    </row>
    <row r="687" ht="15" customHeight="1">
      <c r="A687" t="inlineStr">
        <is>
          <t>A 68335-2019</t>
        </is>
      </c>
      <c r="B687" s="1" t="n">
        <v>43818</v>
      </c>
      <c r="C687" s="1" t="n">
        <v>45688</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861-2020</t>
        </is>
      </c>
      <c r="B688" s="1" t="n">
        <v>43838</v>
      </c>
      <c r="C688" s="1" t="n">
        <v>45688</v>
      </c>
      <c r="D688" t="inlineStr">
        <is>
          <t>JÄMTLANDS LÄN</t>
        </is>
      </c>
      <c r="E688" t="inlineStr">
        <is>
          <t>STRÖMSUND</t>
        </is>
      </c>
      <c r="G688" t="n">
        <v>0.6</v>
      </c>
      <c r="H688" t="n">
        <v>0</v>
      </c>
      <c r="I688" t="n">
        <v>0</v>
      </c>
      <c r="J688" t="n">
        <v>0</v>
      </c>
      <c r="K688" t="n">
        <v>0</v>
      </c>
      <c r="L688" t="n">
        <v>0</v>
      </c>
      <c r="M688" t="n">
        <v>0</v>
      </c>
      <c r="N688" t="n">
        <v>0</v>
      </c>
      <c r="O688" t="n">
        <v>0</v>
      </c>
      <c r="P688" t="n">
        <v>0</v>
      </c>
      <c r="Q688" t="n">
        <v>0</v>
      </c>
      <c r="R688" s="2" t="inlineStr"/>
    </row>
    <row r="689" ht="15" customHeight="1">
      <c r="A689" t="inlineStr">
        <is>
          <t>A 1034-2020</t>
        </is>
      </c>
      <c r="B689" s="1" t="n">
        <v>43839</v>
      </c>
      <c r="C689" s="1" t="n">
        <v>45688</v>
      </c>
      <c r="D689" t="inlineStr">
        <is>
          <t>JÄMTLANDS LÄN</t>
        </is>
      </c>
      <c r="E689" t="inlineStr">
        <is>
          <t>STRÖMSUND</t>
        </is>
      </c>
      <c r="G689" t="n">
        <v>1.7</v>
      </c>
      <c r="H689" t="n">
        <v>0</v>
      </c>
      <c r="I689" t="n">
        <v>0</v>
      </c>
      <c r="J689" t="n">
        <v>0</v>
      </c>
      <c r="K689" t="n">
        <v>0</v>
      </c>
      <c r="L689" t="n">
        <v>0</v>
      </c>
      <c r="M689" t="n">
        <v>0</v>
      </c>
      <c r="N689" t="n">
        <v>0</v>
      </c>
      <c r="O689" t="n">
        <v>0</v>
      </c>
      <c r="P689" t="n">
        <v>0</v>
      </c>
      <c r="Q689" t="n">
        <v>0</v>
      </c>
      <c r="R689" s="2" t="inlineStr"/>
    </row>
    <row r="690" ht="15" customHeight="1">
      <c r="A690" t="inlineStr">
        <is>
          <t>A 1134-2020</t>
        </is>
      </c>
      <c r="B690" s="1" t="n">
        <v>43840</v>
      </c>
      <c r="C690" s="1" t="n">
        <v>45688</v>
      </c>
      <c r="D690" t="inlineStr">
        <is>
          <t>JÄMTLANDS LÄN</t>
        </is>
      </c>
      <c r="E690" t="inlineStr">
        <is>
          <t>STRÖMSUND</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1138-2020</t>
        </is>
      </c>
      <c r="B691" s="1" t="n">
        <v>43840</v>
      </c>
      <c r="C691" s="1" t="n">
        <v>45688</v>
      </c>
      <c r="D691" t="inlineStr">
        <is>
          <t>JÄMTLANDS LÄN</t>
        </is>
      </c>
      <c r="E691" t="inlineStr">
        <is>
          <t>STRÖMSUND</t>
        </is>
      </c>
      <c r="G691" t="n">
        <v>6.5</v>
      </c>
      <c r="H691" t="n">
        <v>0</v>
      </c>
      <c r="I691" t="n">
        <v>0</v>
      </c>
      <c r="J691" t="n">
        <v>0</v>
      </c>
      <c r="K691" t="n">
        <v>0</v>
      </c>
      <c r="L691" t="n">
        <v>0</v>
      </c>
      <c r="M691" t="n">
        <v>0</v>
      </c>
      <c r="N691" t="n">
        <v>0</v>
      </c>
      <c r="O691" t="n">
        <v>0</v>
      </c>
      <c r="P691" t="n">
        <v>0</v>
      </c>
      <c r="Q691" t="n">
        <v>0</v>
      </c>
      <c r="R691" s="2" t="inlineStr"/>
    </row>
    <row r="692" ht="15" customHeight="1">
      <c r="A692" t="inlineStr">
        <is>
          <t>A 1201-2020</t>
        </is>
      </c>
      <c r="B692" s="1" t="n">
        <v>43840</v>
      </c>
      <c r="C692" s="1" t="n">
        <v>45688</v>
      </c>
      <c r="D692" t="inlineStr">
        <is>
          <t>JÄMTLANDS LÄN</t>
        </is>
      </c>
      <c r="E692" t="inlineStr">
        <is>
          <t>STRÖMSUND</t>
        </is>
      </c>
      <c r="G692" t="n">
        <v>39.5</v>
      </c>
      <c r="H692" t="n">
        <v>0</v>
      </c>
      <c r="I692" t="n">
        <v>0</v>
      </c>
      <c r="J692" t="n">
        <v>0</v>
      </c>
      <c r="K692" t="n">
        <v>0</v>
      </c>
      <c r="L692" t="n">
        <v>0</v>
      </c>
      <c r="M692" t="n">
        <v>0</v>
      </c>
      <c r="N692" t="n">
        <v>0</v>
      </c>
      <c r="O692" t="n">
        <v>0</v>
      </c>
      <c r="P692" t="n">
        <v>0</v>
      </c>
      <c r="Q692" t="n">
        <v>0</v>
      </c>
      <c r="R692" s="2" t="inlineStr"/>
    </row>
    <row r="693" ht="15" customHeight="1">
      <c r="A693" t="inlineStr">
        <is>
          <t>A 1238-2020</t>
        </is>
      </c>
      <c r="B693" s="1" t="n">
        <v>43840</v>
      </c>
      <c r="C693" s="1" t="n">
        <v>45688</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2250-2020</t>
        </is>
      </c>
      <c r="B694" s="1" t="n">
        <v>43846</v>
      </c>
      <c r="C694" s="1" t="n">
        <v>45688</v>
      </c>
      <c r="D694" t="inlineStr">
        <is>
          <t>JÄMTLANDS LÄN</t>
        </is>
      </c>
      <c r="E694" t="inlineStr">
        <is>
          <t>STRÖMSUND</t>
        </is>
      </c>
      <c r="G694" t="n">
        <v>0.1</v>
      </c>
      <c r="H694" t="n">
        <v>0</v>
      </c>
      <c r="I694" t="n">
        <v>0</v>
      </c>
      <c r="J694" t="n">
        <v>0</v>
      </c>
      <c r="K694" t="n">
        <v>0</v>
      </c>
      <c r="L694" t="n">
        <v>0</v>
      </c>
      <c r="M694" t="n">
        <v>0</v>
      </c>
      <c r="N694" t="n">
        <v>0</v>
      </c>
      <c r="O694" t="n">
        <v>0</v>
      </c>
      <c r="P694" t="n">
        <v>0</v>
      </c>
      <c r="Q694" t="n">
        <v>0</v>
      </c>
      <c r="R694" s="2" t="inlineStr"/>
    </row>
    <row r="695" ht="15" customHeight="1">
      <c r="A695" t="inlineStr">
        <is>
          <t>A 2184-2020</t>
        </is>
      </c>
      <c r="B695" s="1" t="n">
        <v>43846</v>
      </c>
      <c r="C695" s="1" t="n">
        <v>45688</v>
      </c>
      <c r="D695" t="inlineStr">
        <is>
          <t>JÄMTLANDS LÄN</t>
        </is>
      </c>
      <c r="E695" t="inlineStr">
        <is>
          <t>STRÖMSUND</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2705-2020</t>
        </is>
      </c>
      <c r="B696" s="1" t="n">
        <v>43850</v>
      </c>
      <c r="C696" s="1" t="n">
        <v>45688</v>
      </c>
      <c r="D696" t="inlineStr">
        <is>
          <t>JÄMTLANDS LÄN</t>
        </is>
      </c>
      <c r="E696" t="inlineStr">
        <is>
          <t>STRÖMSUND</t>
        </is>
      </c>
      <c r="G696" t="n">
        <v>11.2</v>
      </c>
      <c r="H696" t="n">
        <v>0</v>
      </c>
      <c r="I696" t="n">
        <v>0</v>
      </c>
      <c r="J696" t="n">
        <v>0</v>
      </c>
      <c r="K696" t="n">
        <v>0</v>
      </c>
      <c r="L696" t="n">
        <v>0</v>
      </c>
      <c r="M696" t="n">
        <v>0</v>
      </c>
      <c r="N696" t="n">
        <v>0</v>
      </c>
      <c r="O696" t="n">
        <v>0</v>
      </c>
      <c r="P696" t="n">
        <v>0</v>
      </c>
      <c r="Q696" t="n">
        <v>0</v>
      </c>
      <c r="R696" s="2" t="inlineStr"/>
    </row>
    <row r="697" ht="15" customHeight="1">
      <c r="A697" t="inlineStr">
        <is>
          <t>A 2911-2020</t>
        </is>
      </c>
      <c r="B697" s="1" t="n">
        <v>43850</v>
      </c>
      <c r="C697" s="1" t="n">
        <v>45688</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5127-2020</t>
        </is>
      </c>
      <c r="B698" s="1" t="n">
        <v>43850</v>
      </c>
      <c r="C698" s="1" t="n">
        <v>45688</v>
      </c>
      <c r="D698" t="inlineStr">
        <is>
          <t>JÄMTLANDS LÄN</t>
        </is>
      </c>
      <c r="E698" t="inlineStr">
        <is>
          <t>STRÖMSUND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5119-2020</t>
        </is>
      </c>
      <c r="B699" s="1" t="n">
        <v>43850</v>
      </c>
      <c r="C699" s="1" t="n">
        <v>45688</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2987-2020</t>
        </is>
      </c>
      <c r="B700" s="1" t="n">
        <v>43850</v>
      </c>
      <c r="C700" s="1" t="n">
        <v>45688</v>
      </c>
      <c r="D700" t="inlineStr">
        <is>
          <t>JÄMTLANDS LÄN</t>
        </is>
      </c>
      <c r="E700" t="inlineStr">
        <is>
          <t>STRÖMSUND</t>
        </is>
      </c>
      <c r="G700" t="n">
        <v>7.3</v>
      </c>
      <c r="H700" t="n">
        <v>0</v>
      </c>
      <c r="I700" t="n">
        <v>0</v>
      </c>
      <c r="J700" t="n">
        <v>0</v>
      </c>
      <c r="K700" t="n">
        <v>0</v>
      </c>
      <c r="L700" t="n">
        <v>0</v>
      </c>
      <c r="M700" t="n">
        <v>0</v>
      </c>
      <c r="N700" t="n">
        <v>0</v>
      </c>
      <c r="O700" t="n">
        <v>0</v>
      </c>
      <c r="P700" t="n">
        <v>0</v>
      </c>
      <c r="Q700" t="n">
        <v>0</v>
      </c>
      <c r="R700" s="2" t="inlineStr"/>
    </row>
    <row r="701" ht="15" customHeight="1">
      <c r="A701" t="inlineStr">
        <is>
          <t>A 5147-2020</t>
        </is>
      </c>
      <c r="B701" s="1" t="n">
        <v>43850</v>
      </c>
      <c r="C701" s="1" t="n">
        <v>45688</v>
      </c>
      <c r="D701" t="inlineStr">
        <is>
          <t>JÄMTLANDS LÄN</t>
        </is>
      </c>
      <c r="E701" t="inlineStr">
        <is>
          <t>STRÖMSUND</t>
        </is>
      </c>
      <c r="G701" t="n">
        <v>10.8</v>
      </c>
      <c r="H701" t="n">
        <v>0</v>
      </c>
      <c r="I701" t="n">
        <v>0</v>
      </c>
      <c r="J701" t="n">
        <v>0</v>
      </c>
      <c r="K701" t="n">
        <v>0</v>
      </c>
      <c r="L701" t="n">
        <v>0</v>
      </c>
      <c r="M701" t="n">
        <v>0</v>
      </c>
      <c r="N701" t="n">
        <v>0</v>
      </c>
      <c r="O701" t="n">
        <v>0</v>
      </c>
      <c r="P701" t="n">
        <v>0</v>
      </c>
      <c r="Q701" t="n">
        <v>0</v>
      </c>
      <c r="R701" s="2" t="inlineStr"/>
    </row>
    <row r="702" ht="15" customHeight="1">
      <c r="A702" t="inlineStr">
        <is>
          <t>A 4654-2020</t>
        </is>
      </c>
      <c r="B702" s="1" t="n">
        <v>43851</v>
      </c>
      <c r="C702" s="1" t="n">
        <v>45688</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4898-2020</t>
        </is>
      </c>
      <c r="B703" s="1" t="n">
        <v>43852</v>
      </c>
      <c r="C703" s="1" t="n">
        <v>45688</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3862-2020</t>
        </is>
      </c>
      <c r="B704" s="1" t="n">
        <v>43854</v>
      </c>
      <c r="C704" s="1" t="n">
        <v>45688</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3895-2020</t>
        </is>
      </c>
      <c r="B705" s="1" t="n">
        <v>43854</v>
      </c>
      <c r="C705" s="1" t="n">
        <v>45688</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3988-2020</t>
        </is>
      </c>
      <c r="B706" s="1" t="n">
        <v>43856</v>
      </c>
      <c r="C706" s="1" t="n">
        <v>45688</v>
      </c>
      <c r="D706" t="inlineStr">
        <is>
          <t>JÄMTLANDS LÄN</t>
        </is>
      </c>
      <c r="E706" t="inlineStr">
        <is>
          <t>STRÖMSUND</t>
        </is>
      </c>
      <c r="G706" t="n">
        <v>12.4</v>
      </c>
      <c r="H706" t="n">
        <v>0</v>
      </c>
      <c r="I706" t="n">
        <v>0</v>
      </c>
      <c r="J706" t="n">
        <v>0</v>
      </c>
      <c r="K706" t="n">
        <v>0</v>
      </c>
      <c r="L706" t="n">
        <v>0</v>
      </c>
      <c r="M706" t="n">
        <v>0</v>
      </c>
      <c r="N706" t="n">
        <v>0</v>
      </c>
      <c r="O706" t="n">
        <v>0</v>
      </c>
      <c r="P706" t="n">
        <v>0</v>
      </c>
      <c r="Q706" t="n">
        <v>0</v>
      </c>
      <c r="R706" s="2" t="inlineStr"/>
    </row>
    <row r="707" ht="15" customHeight="1">
      <c r="A707" t="inlineStr">
        <is>
          <t>A 4905-2020</t>
        </is>
      </c>
      <c r="B707" s="1" t="n">
        <v>43859</v>
      </c>
      <c r="C707" s="1" t="n">
        <v>45688</v>
      </c>
      <c r="D707" t="inlineStr">
        <is>
          <t>JÄMTLANDS LÄN</t>
        </is>
      </c>
      <c r="E707" t="inlineStr">
        <is>
          <t>STRÖMSUND</t>
        </is>
      </c>
      <c r="G707" t="n">
        <v>22.3</v>
      </c>
      <c r="H707" t="n">
        <v>0</v>
      </c>
      <c r="I707" t="n">
        <v>0</v>
      </c>
      <c r="J707" t="n">
        <v>0</v>
      </c>
      <c r="K707" t="n">
        <v>0</v>
      </c>
      <c r="L707" t="n">
        <v>0</v>
      </c>
      <c r="M707" t="n">
        <v>0</v>
      </c>
      <c r="N707" t="n">
        <v>0</v>
      </c>
      <c r="O707" t="n">
        <v>0</v>
      </c>
      <c r="P707" t="n">
        <v>0</v>
      </c>
      <c r="Q707" t="n">
        <v>0</v>
      </c>
      <c r="R707" s="2" t="inlineStr"/>
    </row>
    <row r="708" ht="15" customHeight="1">
      <c r="A708" t="inlineStr">
        <is>
          <t>A 5915-2020</t>
        </is>
      </c>
      <c r="B708" s="1" t="n">
        <v>43861</v>
      </c>
      <c r="C708" s="1" t="n">
        <v>45688</v>
      </c>
      <c r="D708" t="inlineStr">
        <is>
          <t>JÄMTLANDS LÄN</t>
        </is>
      </c>
      <c r="E708" t="inlineStr">
        <is>
          <t>STRÖMSUND</t>
        </is>
      </c>
      <c r="G708" t="n">
        <v>10.3</v>
      </c>
      <c r="H708" t="n">
        <v>0</v>
      </c>
      <c r="I708" t="n">
        <v>0</v>
      </c>
      <c r="J708" t="n">
        <v>0</v>
      </c>
      <c r="K708" t="n">
        <v>0</v>
      </c>
      <c r="L708" t="n">
        <v>0</v>
      </c>
      <c r="M708" t="n">
        <v>0</v>
      </c>
      <c r="N708" t="n">
        <v>0</v>
      </c>
      <c r="O708" t="n">
        <v>0</v>
      </c>
      <c r="P708" t="n">
        <v>0</v>
      </c>
      <c r="Q708" t="n">
        <v>0</v>
      </c>
      <c r="R708" s="2" t="inlineStr"/>
    </row>
    <row r="709" ht="15" customHeight="1">
      <c r="A709" t="inlineStr">
        <is>
          <t>A 6146-2020</t>
        </is>
      </c>
      <c r="B709" s="1" t="n">
        <v>43865</v>
      </c>
      <c r="C709" s="1" t="n">
        <v>45688</v>
      </c>
      <c r="D709" t="inlineStr">
        <is>
          <t>JÄMTLANDS LÄN</t>
        </is>
      </c>
      <c r="E709" t="inlineStr">
        <is>
          <t>STRÖMSUND</t>
        </is>
      </c>
      <c r="G709" t="n">
        <v>1.9</v>
      </c>
      <c r="H709" t="n">
        <v>0</v>
      </c>
      <c r="I709" t="n">
        <v>0</v>
      </c>
      <c r="J709" t="n">
        <v>0</v>
      </c>
      <c r="K709" t="n">
        <v>0</v>
      </c>
      <c r="L709" t="n">
        <v>0</v>
      </c>
      <c r="M709" t="n">
        <v>0</v>
      </c>
      <c r="N709" t="n">
        <v>0</v>
      </c>
      <c r="O709" t="n">
        <v>0</v>
      </c>
      <c r="P709" t="n">
        <v>0</v>
      </c>
      <c r="Q709" t="n">
        <v>0</v>
      </c>
      <c r="R709" s="2" t="inlineStr"/>
    </row>
    <row r="710" ht="15" customHeight="1">
      <c r="A710" t="inlineStr">
        <is>
          <t>A 7192-2020</t>
        </is>
      </c>
      <c r="B710" s="1" t="n">
        <v>43871</v>
      </c>
      <c r="C710" s="1" t="n">
        <v>45688</v>
      </c>
      <c r="D710" t="inlineStr">
        <is>
          <t>JÄMTLANDS LÄN</t>
        </is>
      </c>
      <c r="E710" t="inlineStr">
        <is>
          <t>STRÖMSUND</t>
        </is>
      </c>
      <c r="G710" t="n">
        <v>11.4</v>
      </c>
      <c r="H710" t="n">
        <v>0</v>
      </c>
      <c r="I710" t="n">
        <v>0</v>
      </c>
      <c r="J710" t="n">
        <v>0</v>
      </c>
      <c r="K710" t="n">
        <v>0</v>
      </c>
      <c r="L710" t="n">
        <v>0</v>
      </c>
      <c r="M710" t="n">
        <v>0</v>
      </c>
      <c r="N710" t="n">
        <v>0</v>
      </c>
      <c r="O710" t="n">
        <v>0</v>
      </c>
      <c r="P710" t="n">
        <v>0</v>
      </c>
      <c r="Q710" t="n">
        <v>0</v>
      </c>
      <c r="R710" s="2" t="inlineStr"/>
    </row>
    <row r="711" ht="15" customHeight="1">
      <c r="A711" t="inlineStr">
        <is>
          <t>A 7630-2020</t>
        </is>
      </c>
      <c r="B711" s="1" t="n">
        <v>43871</v>
      </c>
      <c r="C711" s="1" t="n">
        <v>45688</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7963-2020</t>
        </is>
      </c>
      <c r="B712" s="1" t="n">
        <v>43872</v>
      </c>
      <c r="C712" s="1" t="n">
        <v>45688</v>
      </c>
      <c r="D712" t="inlineStr">
        <is>
          <t>JÄMTLANDS LÄN</t>
        </is>
      </c>
      <c r="E712" t="inlineStr">
        <is>
          <t>STRÖMSUND</t>
        </is>
      </c>
      <c r="G712" t="n">
        <v>0.5</v>
      </c>
      <c r="H712" t="n">
        <v>0</v>
      </c>
      <c r="I712" t="n">
        <v>0</v>
      </c>
      <c r="J712" t="n">
        <v>0</v>
      </c>
      <c r="K712" t="n">
        <v>0</v>
      </c>
      <c r="L712" t="n">
        <v>0</v>
      </c>
      <c r="M712" t="n">
        <v>0</v>
      </c>
      <c r="N712" t="n">
        <v>0</v>
      </c>
      <c r="O712" t="n">
        <v>0</v>
      </c>
      <c r="P712" t="n">
        <v>0</v>
      </c>
      <c r="Q712" t="n">
        <v>0</v>
      </c>
      <c r="R712" s="2" t="inlineStr"/>
    </row>
    <row r="713" ht="15" customHeight="1">
      <c r="A713" t="inlineStr">
        <is>
          <t>A 7974-2020</t>
        </is>
      </c>
      <c r="B713" s="1" t="n">
        <v>43873</v>
      </c>
      <c r="C713" s="1" t="n">
        <v>45688</v>
      </c>
      <c r="D713" t="inlineStr">
        <is>
          <t>JÄMTLANDS LÄN</t>
        </is>
      </c>
      <c r="E713" t="inlineStr">
        <is>
          <t>STRÖMSUND</t>
        </is>
      </c>
      <c r="G713" t="n">
        <v>24.1</v>
      </c>
      <c r="H713" t="n">
        <v>0</v>
      </c>
      <c r="I713" t="n">
        <v>0</v>
      </c>
      <c r="J713" t="n">
        <v>0</v>
      </c>
      <c r="K713" t="n">
        <v>0</v>
      </c>
      <c r="L713" t="n">
        <v>0</v>
      </c>
      <c r="M713" t="n">
        <v>0</v>
      </c>
      <c r="N713" t="n">
        <v>0</v>
      </c>
      <c r="O713" t="n">
        <v>0</v>
      </c>
      <c r="P713" t="n">
        <v>0</v>
      </c>
      <c r="Q713" t="n">
        <v>0</v>
      </c>
      <c r="R713" s="2" t="inlineStr"/>
    </row>
    <row r="714" ht="15" customHeight="1">
      <c r="A714" t="inlineStr">
        <is>
          <t>A 8482-2020</t>
        </is>
      </c>
      <c r="B714" s="1" t="n">
        <v>43875</v>
      </c>
      <c r="C714" s="1" t="n">
        <v>45688</v>
      </c>
      <c r="D714" t="inlineStr">
        <is>
          <t>JÄMTLANDS LÄN</t>
        </is>
      </c>
      <c r="E714" t="inlineStr">
        <is>
          <t>STRÖMSUND</t>
        </is>
      </c>
      <c r="G714" t="n">
        <v>25.5</v>
      </c>
      <c r="H714" t="n">
        <v>0</v>
      </c>
      <c r="I714" t="n">
        <v>0</v>
      </c>
      <c r="J714" t="n">
        <v>0</v>
      </c>
      <c r="K714" t="n">
        <v>0</v>
      </c>
      <c r="L714" t="n">
        <v>0</v>
      </c>
      <c r="M714" t="n">
        <v>0</v>
      </c>
      <c r="N714" t="n">
        <v>0</v>
      </c>
      <c r="O714" t="n">
        <v>0</v>
      </c>
      <c r="P714" t="n">
        <v>0</v>
      </c>
      <c r="Q714" t="n">
        <v>0</v>
      </c>
      <c r="R714" s="2" t="inlineStr"/>
    </row>
    <row r="715" ht="15" customHeight="1">
      <c r="A715" t="inlineStr">
        <is>
          <t>A 8775-2020</t>
        </is>
      </c>
      <c r="B715" s="1" t="n">
        <v>43878</v>
      </c>
      <c r="C715" s="1" t="n">
        <v>45688</v>
      </c>
      <c r="D715" t="inlineStr">
        <is>
          <t>JÄMTLANDS LÄN</t>
        </is>
      </c>
      <c r="E715" t="inlineStr">
        <is>
          <t>STRÖMSUND</t>
        </is>
      </c>
      <c r="G715" t="n">
        <v>4.2</v>
      </c>
      <c r="H715" t="n">
        <v>0</v>
      </c>
      <c r="I715" t="n">
        <v>0</v>
      </c>
      <c r="J715" t="n">
        <v>0</v>
      </c>
      <c r="K715" t="n">
        <v>0</v>
      </c>
      <c r="L715" t="n">
        <v>0</v>
      </c>
      <c r="M715" t="n">
        <v>0</v>
      </c>
      <c r="N715" t="n">
        <v>0</v>
      </c>
      <c r="O715" t="n">
        <v>0</v>
      </c>
      <c r="P715" t="n">
        <v>0</v>
      </c>
      <c r="Q715" t="n">
        <v>0</v>
      </c>
      <c r="R715" s="2" t="inlineStr"/>
    </row>
    <row r="716" ht="15" customHeight="1">
      <c r="A716" t="inlineStr">
        <is>
          <t>A 12609-2020</t>
        </is>
      </c>
      <c r="B716" s="1" t="n">
        <v>43899</v>
      </c>
      <c r="C716" s="1" t="n">
        <v>45688</v>
      </c>
      <c r="D716" t="inlineStr">
        <is>
          <t>JÄMTLANDS LÄN</t>
        </is>
      </c>
      <c r="E716" t="inlineStr">
        <is>
          <t>STRÖMSUND</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13233-2020</t>
        </is>
      </c>
      <c r="B717" s="1" t="n">
        <v>43901</v>
      </c>
      <c r="C717" s="1" t="n">
        <v>45688</v>
      </c>
      <c r="D717" t="inlineStr">
        <is>
          <t>JÄMTLANDS LÄN</t>
        </is>
      </c>
      <c r="E717" t="inlineStr">
        <is>
          <t>STRÖMSUND</t>
        </is>
      </c>
      <c r="G717" t="n">
        <v>6.9</v>
      </c>
      <c r="H717" t="n">
        <v>0</v>
      </c>
      <c r="I717" t="n">
        <v>0</v>
      </c>
      <c r="J717" t="n">
        <v>0</v>
      </c>
      <c r="K717" t="n">
        <v>0</v>
      </c>
      <c r="L717" t="n">
        <v>0</v>
      </c>
      <c r="M717" t="n">
        <v>0</v>
      </c>
      <c r="N717" t="n">
        <v>0</v>
      </c>
      <c r="O717" t="n">
        <v>0</v>
      </c>
      <c r="P717" t="n">
        <v>0</v>
      </c>
      <c r="Q717" t="n">
        <v>0</v>
      </c>
      <c r="R717" s="2" t="inlineStr"/>
    </row>
    <row r="718" ht="15" customHeight="1">
      <c r="A718" t="inlineStr">
        <is>
          <t>A 13241-2020</t>
        </is>
      </c>
      <c r="B718" s="1" t="n">
        <v>43901</v>
      </c>
      <c r="C718" s="1" t="n">
        <v>45688</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14259-2020</t>
        </is>
      </c>
      <c r="B719" s="1" t="n">
        <v>43901</v>
      </c>
      <c r="C719" s="1" t="n">
        <v>45688</v>
      </c>
      <c r="D719" t="inlineStr">
        <is>
          <t>JÄMTLANDS LÄN</t>
        </is>
      </c>
      <c r="E719" t="inlineStr">
        <is>
          <t>STRÖMSUND</t>
        </is>
      </c>
      <c r="G719" t="n">
        <v>17.8</v>
      </c>
      <c r="H719" t="n">
        <v>0</v>
      </c>
      <c r="I719" t="n">
        <v>0</v>
      </c>
      <c r="J719" t="n">
        <v>0</v>
      </c>
      <c r="K719" t="n">
        <v>0</v>
      </c>
      <c r="L719" t="n">
        <v>0</v>
      </c>
      <c r="M719" t="n">
        <v>0</v>
      </c>
      <c r="N719" t="n">
        <v>0</v>
      </c>
      <c r="O719" t="n">
        <v>0</v>
      </c>
      <c r="P719" t="n">
        <v>0</v>
      </c>
      <c r="Q719" t="n">
        <v>0</v>
      </c>
      <c r="R719" s="2" t="inlineStr"/>
    </row>
    <row r="720" ht="15" customHeight="1">
      <c r="A720" t="inlineStr">
        <is>
          <t>A 14904-2020</t>
        </is>
      </c>
      <c r="B720" s="1" t="n">
        <v>43906</v>
      </c>
      <c r="C720" s="1" t="n">
        <v>45688</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16335-2020</t>
        </is>
      </c>
      <c r="B721" s="1" t="n">
        <v>43917</v>
      </c>
      <c r="C721" s="1" t="n">
        <v>45688</v>
      </c>
      <c r="D721" t="inlineStr">
        <is>
          <t>JÄMTLANDS LÄN</t>
        </is>
      </c>
      <c r="E721" t="inlineStr">
        <is>
          <t>STRÖMSUND</t>
        </is>
      </c>
      <c r="F721" t="inlineStr">
        <is>
          <t>Kyrkan</t>
        </is>
      </c>
      <c r="G721" t="n">
        <v>2.6</v>
      </c>
      <c r="H721" t="n">
        <v>0</v>
      </c>
      <c r="I721" t="n">
        <v>0</v>
      </c>
      <c r="J721" t="n">
        <v>0</v>
      </c>
      <c r="K721" t="n">
        <v>0</v>
      </c>
      <c r="L721" t="n">
        <v>0</v>
      </c>
      <c r="M721" t="n">
        <v>0</v>
      </c>
      <c r="N721" t="n">
        <v>0</v>
      </c>
      <c r="O721" t="n">
        <v>0</v>
      </c>
      <c r="P721" t="n">
        <v>0</v>
      </c>
      <c r="Q721" t="n">
        <v>0</v>
      </c>
      <c r="R721" s="2" t="inlineStr"/>
    </row>
    <row r="722" ht="15" customHeight="1">
      <c r="A722" t="inlineStr">
        <is>
          <t>A 17063-2020</t>
        </is>
      </c>
      <c r="B722" s="1" t="n">
        <v>43921</v>
      </c>
      <c r="C722" s="1" t="n">
        <v>45688</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18731-2020</t>
        </is>
      </c>
      <c r="B723" s="1" t="n">
        <v>43930</v>
      </c>
      <c r="C723" s="1" t="n">
        <v>45688</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18780-2020</t>
        </is>
      </c>
      <c r="B724" s="1" t="n">
        <v>43930</v>
      </c>
      <c r="C724" s="1" t="n">
        <v>45688</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19089-2020</t>
        </is>
      </c>
      <c r="B725" s="1" t="n">
        <v>43935</v>
      </c>
      <c r="C725" s="1" t="n">
        <v>45688</v>
      </c>
      <c r="D725" t="inlineStr">
        <is>
          <t>JÄMTLANDS LÄN</t>
        </is>
      </c>
      <c r="E725" t="inlineStr">
        <is>
          <t>STRÖMSUND</t>
        </is>
      </c>
      <c r="G725" t="n">
        <v>15</v>
      </c>
      <c r="H725" t="n">
        <v>0</v>
      </c>
      <c r="I725" t="n">
        <v>0</v>
      </c>
      <c r="J725" t="n">
        <v>0</v>
      </c>
      <c r="K725" t="n">
        <v>0</v>
      </c>
      <c r="L725" t="n">
        <v>0</v>
      </c>
      <c r="M725" t="n">
        <v>0</v>
      </c>
      <c r="N725" t="n">
        <v>0</v>
      </c>
      <c r="O725" t="n">
        <v>0</v>
      </c>
      <c r="P725" t="n">
        <v>0</v>
      </c>
      <c r="Q725" t="n">
        <v>0</v>
      </c>
      <c r="R725" s="2" t="inlineStr"/>
    </row>
    <row r="726" ht="15" customHeight="1">
      <c r="A726" t="inlineStr">
        <is>
          <t>A 19842-2020</t>
        </is>
      </c>
      <c r="B726" s="1" t="n">
        <v>43942</v>
      </c>
      <c r="C726" s="1" t="n">
        <v>45688</v>
      </c>
      <c r="D726" t="inlineStr">
        <is>
          <t>JÄMTLANDS LÄN</t>
        </is>
      </c>
      <c r="E726" t="inlineStr">
        <is>
          <t>STRÖMSUND</t>
        </is>
      </c>
      <c r="G726" t="n">
        <v>20.3</v>
      </c>
      <c r="H726" t="n">
        <v>0</v>
      </c>
      <c r="I726" t="n">
        <v>0</v>
      </c>
      <c r="J726" t="n">
        <v>0</v>
      </c>
      <c r="K726" t="n">
        <v>0</v>
      </c>
      <c r="L726" t="n">
        <v>0</v>
      </c>
      <c r="M726" t="n">
        <v>0</v>
      </c>
      <c r="N726" t="n">
        <v>0</v>
      </c>
      <c r="O726" t="n">
        <v>0</v>
      </c>
      <c r="P726" t="n">
        <v>0</v>
      </c>
      <c r="Q726" t="n">
        <v>0</v>
      </c>
      <c r="R726" s="2" t="inlineStr"/>
    </row>
    <row r="727" ht="15" customHeight="1">
      <c r="A727" t="inlineStr">
        <is>
          <t>A 20816-2020</t>
        </is>
      </c>
      <c r="B727" s="1" t="n">
        <v>43949</v>
      </c>
      <c r="C727" s="1" t="n">
        <v>45688</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20812-2020</t>
        </is>
      </c>
      <c r="B728" s="1" t="n">
        <v>43950</v>
      </c>
      <c r="C728" s="1" t="n">
        <v>45688</v>
      </c>
      <c r="D728" t="inlineStr">
        <is>
          <t>JÄMTLANDS LÄN</t>
        </is>
      </c>
      <c r="E728" t="inlineStr">
        <is>
          <t>STRÖMSUND</t>
        </is>
      </c>
      <c r="G728" t="n">
        <v>6.1</v>
      </c>
      <c r="H728" t="n">
        <v>0</v>
      </c>
      <c r="I728" t="n">
        <v>0</v>
      </c>
      <c r="J728" t="n">
        <v>0</v>
      </c>
      <c r="K728" t="n">
        <v>0</v>
      </c>
      <c r="L728" t="n">
        <v>0</v>
      </c>
      <c r="M728" t="n">
        <v>0</v>
      </c>
      <c r="N728" t="n">
        <v>0</v>
      </c>
      <c r="O728" t="n">
        <v>0</v>
      </c>
      <c r="P728" t="n">
        <v>0</v>
      </c>
      <c r="Q728" t="n">
        <v>0</v>
      </c>
      <c r="R728" s="2" t="inlineStr"/>
    </row>
    <row r="729" ht="15" customHeight="1">
      <c r="A729" t="inlineStr">
        <is>
          <t>A 21939-2020</t>
        </is>
      </c>
      <c r="B729" s="1" t="n">
        <v>43955</v>
      </c>
      <c r="C729" s="1" t="n">
        <v>45688</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21602-2020</t>
        </is>
      </c>
      <c r="B730" s="1" t="n">
        <v>43957</v>
      </c>
      <c r="C730" s="1" t="n">
        <v>45688</v>
      </c>
      <c r="D730" t="inlineStr">
        <is>
          <t>JÄMTLANDS LÄN</t>
        </is>
      </c>
      <c r="E730" t="inlineStr">
        <is>
          <t>STRÖMSUND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21773-2020</t>
        </is>
      </c>
      <c r="B731" s="1" t="n">
        <v>43957</v>
      </c>
      <c r="C731" s="1" t="n">
        <v>45688</v>
      </c>
      <c r="D731" t="inlineStr">
        <is>
          <t>JÄMTLANDS LÄN</t>
        </is>
      </c>
      <c r="E731" t="inlineStr">
        <is>
          <t>STRÖMSUND</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21971-2020</t>
        </is>
      </c>
      <c r="B732" s="1" t="n">
        <v>43958</v>
      </c>
      <c r="C732" s="1" t="n">
        <v>45688</v>
      </c>
      <c r="D732" t="inlineStr">
        <is>
          <t>JÄMTLANDS LÄN</t>
        </is>
      </c>
      <c r="E732" t="inlineStr">
        <is>
          <t>STRÖMSUND</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22092-2020</t>
        </is>
      </c>
      <c r="B733" s="1" t="n">
        <v>43959</v>
      </c>
      <c r="C733" s="1" t="n">
        <v>45688</v>
      </c>
      <c r="D733" t="inlineStr">
        <is>
          <t>JÄMTLANDS LÄN</t>
        </is>
      </c>
      <c r="E733" t="inlineStr">
        <is>
          <t>STRÖMSUND</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22699-2020</t>
        </is>
      </c>
      <c r="B734" s="1" t="n">
        <v>43963</v>
      </c>
      <c r="C734" s="1" t="n">
        <v>45688</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22905-2020</t>
        </is>
      </c>
      <c r="B735" s="1" t="n">
        <v>43964</v>
      </c>
      <c r="C735" s="1" t="n">
        <v>45688</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22906-2020</t>
        </is>
      </c>
      <c r="B736" s="1" t="n">
        <v>43964</v>
      </c>
      <c r="C736" s="1" t="n">
        <v>45688</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22912-2020</t>
        </is>
      </c>
      <c r="B737" s="1" t="n">
        <v>43964</v>
      </c>
      <c r="C737" s="1" t="n">
        <v>45688</v>
      </c>
      <c r="D737" t="inlineStr">
        <is>
          <t>JÄMTLANDS LÄN</t>
        </is>
      </c>
      <c r="E737" t="inlineStr">
        <is>
          <t>STRÖMSUND</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23412-2020</t>
        </is>
      </c>
      <c r="B738" s="1" t="n">
        <v>43969</v>
      </c>
      <c r="C738" s="1" t="n">
        <v>45688</v>
      </c>
      <c r="D738" t="inlineStr">
        <is>
          <t>JÄMTLANDS LÄN</t>
        </is>
      </c>
      <c r="E738" t="inlineStr">
        <is>
          <t>STRÖMSUND</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23647-2020</t>
        </is>
      </c>
      <c r="B739" s="1" t="n">
        <v>43969</v>
      </c>
      <c r="C739" s="1" t="n">
        <v>45688</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24054-2020</t>
        </is>
      </c>
      <c r="B740" s="1" t="n">
        <v>43971</v>
      </c>
      <c r="C740" s="1" t="n">
        <v>45688</v>
      </c>
      <c r="D740" t="inlineStr">
        <is>
          <t>JÄMTLANDS LÄN</t>
        </is>
      </c>
      <c r="E740" t="inlineStr">
        <is>
          <t>STRÖMSUND</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24064-2020</t>
        </is>
      </c>
      <c r="B741" s="1" t="n">
        <v>43971</v>
      </c>
      <c r="C741" s="1" t="n">
        <v>45688</v>
      </c>
      <c r="D741" t="inlineStr">
        <is>
          <t>JÄMTLANDS LÄN</t>
        </is>
      </c>
      <c r="E741" t="inlineStr">
        <is>
          <t>STRÖMSUND</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24335-2020</t>
        </is>
      </c>
      <c r="B742" s="1" t="n">
        <v>43971</v>
      </c>
      <c r="C742" s="1" t="n">
        <v>45688</v>
      </c>
      <c r="D742" t="inlineStr">
        <is>
          <t>JÄMTLANDS LÄN</t>
        </is>
      </c>
      <c r="E742" t="inlineStr">
        <is>
          <t>STRÖMSUND</t>
        </is>
      </c>
      <c r="G742" t="n">
        <v>14.3</v>
      </c>
      <c r="H742" t="n">
        <v>0</v>
      </c>
      <c r="I742" t="n">
        <v>0</v>
      </c>
      <c r="J742" t="n">
        <v>0</v>
      </c>
      <c r="K742" t="n">
        <v>0</v>
      </c>
      <c r="L742" t="n">
        <v>0</v>
      </c>
      <c r="M742" t="n">
        <v>0</v>
      </c>
      <c r="N742" t="n">
        <v>0</v>
      </c>
      <c r="O742" t="n">
        <v>0</v>
      </c>
      <c r="P742" t="n">
        <v>0</v>
      </c>
      <c r="Q742" t="n">
        <v>0</v>
      </c>
      <c r="R742" s="2" t="inlineStr"/>
    </row>
    <row r="743" ht="15" customHeight="1">
      <c r="A743" t="inlineStr">
        <is>
          <t>A 24117-2020</t>
        </is>
      </c>
      <c r="B743" s="1" t="n">
        <v>43973</v>
      </c>
      <c r="C743" s="1" t="n">
        <v>45688</v>
      </c>
      <c r="D743" t="inlineStr">
        <is>
          <t>JÄMTLANDS LÄN</t>
        </is>
      </c>
      <c r="E743" t="inlineStr">
        <is>
          <t>STRÖMSUND</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24414-2020</t>
        </is>
      </c>
      <c r="B744" s="1" t="n">
        <v>43976</v>
      </c>
      <c r="C744" s="1" t="n">
        <v>45688</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24379-2020</t>
        </is>
      </c>
      <c r="B745" s="1" t="n">
        <v>43976</v>
      </c>
      <c r="C745" s="1" t="n">
        <v>45688</v>
      </c>
      <c r="D745" t="inlineStr">
        <is>
          <t>JÄMTLANDS LÄN</t>
        </is>
      </c>
      <c r="E745" t="inlineStr">
        <is>
          <t>STRÖMSUND</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24415-2020</t>
        </is>
      </c>
      <c r="B746" s="1" t="n">
        <v>43976</v>
      </c>
      <c r="C746" s="1" t="n">
        <v>45688</v>
      </c>
      <c r="D746" t="inlineStr">
        <is>
          <t>JÄMTLANDS LÄN</t>
        </is>
      </c>
      <c r="E746" t="inlineStr">
        <is>
          <t>STRÖMSUND</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24384-2020</t>
        </is>
      </c>
      <c r="B747" s="1" t="n">
        <v>43976</v>
      </c>
      <c r="C747" s="1" t="n">
        <v>45688</v>
      </c>
      <c r="D747" t="inlineStr">
        <is>
          <t>JÄMTLANDS LÄN</t>
        </is>
      </c>
      <c r="E747" t="inlineStr">
        <is>
          <t>STRÖMSUND</t>
        </is>
      </c>
      <c r="G747" t="n">
        <v>1.1</v>
      </c>
      <c r="H747" t="n">
        <v>0</v>
      </c>
      <c r="I747" t="n">
        <v>0</v>
      </c>
      <c r="J747" t="n">
        <v>0</v>
      </c>
      <c r="K747" t="n">
        <v>0</v>
      </c>
      <c r="L747" t="n">
        <v>0</v>
      </c>
      <c r="M747" t="n">
        <v>0</v>
      </c>
      <c r="N747" t="n">
        <v>0</v>
      </c>
      <c r="O747" t="n">
        <v>0</v>
      </c>
      <c r="P747" t="n">
        <v>0</v>
      </c>
      <c r="Q747" t="n">
        <v>0</v>
      </c>
      <c r="R747" s="2" t="inlineStr"/>
    </row>
    <row r="748" ht="15" customHeight="1">
      <c r="A748" t="inlineStr">
        <is>
          <t>A 24413-2020</t>
        </is>
      </c>
      <c r="B748" s="1" t="n">
        <v>43976</v>
      </c>
      <c r="C748" s="1" t="n">
        <v>45688</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25109-2020</t>
        </is>
      </c>
      <c r="B749" s="1" t="n">
        <v>43979</v>
      </c>
      <c r="C749" s="1" t="n">
        <v>45688</v>
      </c>
      <c r="D749" t="inlineStr">
        <is>
          <t>JÄMTLANDS LÄN</t>
        </is>
      </c>
      <c r="E749" t="inlineStr">
        <is>
          <t>STRÖMSUND</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25107-2020</t>
        </is>
      </c>
      <c r="B750" s="1" t="n">
        <v>43979</v>
      </c>
      <c r="C750" s="1" t="n">
        <v>45688</v>
      </c>
      <c r="D750" t="inlineStr">
        <is>
          <t>JÄMTLANDS LÄN</t>
        </is>
      </c>
      <c r="E750" t="inlineStr">
        <is>
          <t>STRÖMSUND</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25396-2020</t>
        </is>
      </c>
      <c r="B751" s="1" t="n">
        <v>43980</v>
      </c>
      <c r="C751" s="1" t="n">
        <v>45688</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25375-2020</t>
        </is>
      </c>
      <c r="B752" s="1" t="n">
        <v>43980</v>
      </c>
      <c r="C752" s="1" t="n">
        <v>45688</v>
      </c>
      <c r="D752" t="inlineStr">
        <is>
          <t>JÄMTLANDS LÄN</t>
        </is>
      </c>
      <c r="E752" t="inlineStr">
        <is>
          <t>STRÖMSUND</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25390-2020</t>
        </is>
      </c>
      <c r="B753" s="1" t="n">
        <v>43980</v>
      </c>
      <c r="C753" s="1" t="n">
        <v>45688</v>
      </c>
      <c r="D753" t="inlineStr">
        <is>
          <t>JÄMTLANDS LÄN</t>
        </is>
      </c>
      <c r="E753" t="inlineStr">
        <is>
          <t>STRÖMSUND</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25388-2020</t>
        </is>
      </c>
      <c r="B754" s="1" t="n">
        <v>43980</v>
      </c>
      <c r="C754" s="1" t="n">
        <v>45688</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25398-2020</t>
        </is>
      </c>
      <c r="B755" s="1" t="n">
        <v>43980</v>
      </c>
      <c r="C755" s="1" t="n">
        <v>45688</v>
      </c>
      <c r="D755" t="inlineStr">
        <is>
          <t>JÄMTLANDS LÄN</t>
        </is>
      </c>
      <c r="E755" t="inlineStr">
        <is>
          <t>STRÖMSUND</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25381-2020</t>
        </is>
      </c>
      <c r="B756" s="1" t="n">
        <v>43980</v>
      </c>
      <c r="C756" s="1" t="n">
        <v>45688</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25392-2020</t>
        </is>
      </c>
      <c r="B757" s="1" t="n">
        <v>43980</v>
      </c>
      <c r="C757" s="1" t="n">
        <v>45688</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25680-2020</t>
        </is>
      </c>
      <c r="B758" s="1" t="n">
        <v>43983</v>
      </c>
      <c r="C758" s="1" t="n">
        <v>45688</v>
      </c>
      <c r="D758" t="inlineStr">
        <is>
          <t>JÄMTLANDS LÄN</t>
        </is>
      </c>
      <c r="E758" t="inlineStr">
        <is>
          <t>STRÖMSUND</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25892-2020</t>
        </is>
      </c>
      <c r="B759" s="1" t="n">
        <v>43984</v>
      </c>
      <c r="C759" s="1" t="n">
        <v>45688</v>
      </c>
      <c r="D759" t="inlineStr">
        <is>
          <t>JÄMTLANDS LÄN</t>
        </is>
      </c>
      <c r="E759" t="inlineStr">
        <is>
          <t>STRÖMSUND</t>
        </is>
      </c>
      <c r="G759" t="n">
        <v>3.5</v>
      </c>
      <c r="H759" t="n">
        <v>0</v>
      </c>
      <c r="I759" t="n">
        <v>0</v>
      </c>
      <c r="J759" t="n">
        <v>0</v>
      </c>
      <c r="K759" t="n">
        <v>0</v>
      </c>
      <c r="L759" t="n">
        <v>0</v>
      </c>
      <c r="M759" t="n">
        <v>0</v>
      </c>
      <c r="N759" t="n">
        <v>0</v>
      </c>
      <c r="O759" t="n">
        <v>0</v>
      </c>
      <c r="P759" t="n">
        <v>0</v>
      </c>
      <c r="Q759" t="n">
        <v>0</v>
      </c>
      <c r="R759" s="2" t="inlineStr"/>
    </row>
    <row r="760" ht="15" customHeight="1">
      <c r="A760" t="inlineStr">
        <is>
          <t>A 25913-2020</t>
        </is>
      </c>
      <c r="B760" s="1" t="n">
        <v>43984</v>
      </c>
      <c r="C760" s="1" t="n">
        <v>45688</v>
      </c>
      <c r="D760" t="inlineStr">
        <is>
          <t>JÄMTLANDS LÄN</t>
        </is>
      </c>
      <c r="E760" t="inlineStr">
        <is>
          <t>STRÖMSUND</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25997-2020</t>
        </is>
      </c>
      <c r="B761" s="1" t="n">
        <v>43985</v>
      </c>
      <c r="C761" s="1" t="n">
        <v>45688</v>
      </c>
      <c r="D761" t="inlineStr">
        <is>
          <t>JÄMTLANDS LÄN</t>
        </is>
      </c>
      <c r="E761" t="inlineStr">
        <is>
          <t>STRÖMSUND</t>
        </is>
      </c>
      <c r="G761" t="n">
        <v>2.4</v>
      </c>
      <c r="H761" t="n">
        <v>0</v>
      </c>
      <c r="I761" t="n">
        <v>0</v>
      </c>
      <c r="J761" t="n">
        <v>0</v>
      </c>
      <c r="K761" t="n">
        <v>0</v>
      </c>
      <c r="L761" t="n">
        <v>0</v>
      </c>
      <c r="M761" t="n">
        <v>0</v>
      </c>
      <c r="N761" t="n">
        <v>0</v>
      </c>
      <c r="O761" t="n">
        <v>0</v>
      </c>
      <c r="P761" t="n">
        <v>0</v>
      </c>
      <c r="Q761" t="n">
        <v>0</v>
      </c>
      <c r="R761" s="2" t="inlineStr"/>
    </row>
    <row r="762" ht="15" customHeight="1">
      <c r="A762" t="inlineStr">
        <is>
          <t>A 26190-2020</t>
        </is>
      </c>
      <c r="B762" s="1" t="n">
        <v>43985</v>
      </c>
      <c r="C762" s="1" t="n">
        <v>45688</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26669-2020</t>
        </is>
      </c>
      <c r="B763" s="1" t="n">
        <v>43989</v>
      </c>
      <c r="C763" s="1" t="n">
        <v>45688</v>
      </c>
      <c r="D763" t="inlineStr">
        <is>
          <t>JÄMTLANDS LÄN</t>
        </is>
      </c>
      <c r="E763" t="inlineStr">
        <is>
          <t>STRÖMSUND</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26670-2020</t>
        </is>
      </c>
      <c r="B764" s="1" t="n">
        <v>43989</v>
      </c>
      <c r="C764" s="1" t="n">
        <v>45688</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27415-2020</t>
        </is>
      </c>
      <c r="B765" s="1" t="n">
        <v>43992</v>
      </c>
      <c r="C765" s="1" t="n">
        <v>45688</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27709-2020</t>
        </is>
      </c>
      <c r="B766" s="1" t="n">
        <v>43994</v>
      </c>
      <c r="C766" s="1" t="n">
        <v>45688</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28196-2020</t>
        </is>
      </c>
      <c r="B767" s="1" t="n">
        <v>43997</v>
      </c>
      <c r="C767" s="1" t="n">
        <v>45688</v>
      </c>
      <c r="D767" t="inlineStr">
        <is>
          <t>JÄMTLANDS LÄN</t>
        </is>
      </c>
      <c r="E767" t="inlineStr">
        <is>
          <t>STRÖMSUND</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28765-2020</t>
        </is>
      </c>
      <c r="B768" s="1" t="n">
        <v>43999</v>
      </c>
      <c r="C768" s="1" t="n">
        <v>45688</v>
      </c>
      <c r="D768" t="inlineStr">
        <is>
          <t>JÄMTLANDS LÄN</t>
        </is>
      </c>
      <c r="E768" t="inlineStr">
        <is>
          <t>STRÖMSUND</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29046-2020</t>
        </is>
      </c>
      <c r="B769" s="1" t="n">
        <v>44000</v>
      </c>
      <c r="C769" s="1" t="n">
        <v>45688</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30804-2020</t>
        </is>
      </c>
      <c r="B770" s="1" t="n">
        <v>44010</v>
      </c>
      <c r="C770" s="1" t="n">
        <v>45688</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30981-2020</t>
        </is>
      </c>
      <c r="B771" s="1" t="n">
        <v>44011</v>
      </c>
      <c r="C771" s="1" t="n">
        <v>45688</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31077-2020</t>
        </is>
      </c>
      <c r="B772" s="1" t="n">
        <v>44011</v>
      </c>
      <c r="C772" s="1" t="n">
        <v>45688</v>
      </c>
      <c r="D772" t="inlineStr">
        <is>
          <t>JÄMTLANDS LÄN</t>
        </is>
      </c>
      <c r="E772" t="inlineStr">
        <is>
          <t>STRÖMSUND</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31337-2020</t>
        </is>
      </c>
      <c r="B773" s="1" t="n">
        <v>44012</v>
      </c>
      <c r="C773" s="1" t="n">
        <v>45688</v>
      </c>
      <c r="D773" t="inlineStr">
        <is>
          <t>JÄMTLANDS LÄN</t>
        </is>
      </c>
      <c r="E773" t="inlineStr">
        <is>
          <t>STRÖMSUND</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31465-2020</t>
        </is>
      </c>
      <c r="B774" s="1" t="n">
        <v>44013</v>
      </c>
      <c r="C774" s="1" t="n">
        <v>45688</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31663-2020</t>
        </is>
      </c>
      <c r="B775" s="1" t="n">
        <v>44013</v>
      </c>
      <c r="C775" s="1" t="n">
        <v>45688</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31634-2020</t>
        </is>
      </c>
      <c r="B776" s="1" t="n">
        <v>44013</v>
      </c>
      <c r="C776" s="1" t="n">
        <v>45688</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31658-2020</t>
        </is>
      </c>
      <c r="B777" s="1" t="n">
        <v>44013</v>
      </c>
      <c r="C777" s="1" t="n">
        <v>45688</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31990-2020</t>
        </is>
      </c>
      <c r="B778" s="1" t="n">
        <v>44014</v>
      </c>
      <c r="C778" s="1" t="n">
        <v>45688</v>
      </c>
      <c r="D778" t="inlineStr">
        <is>
          <t>JÄMTLANDS LÄN</t>
        </is>
      </c>
      <c r="E778" t="inlineStr">
        <is>
          <t>STRÖMSUND</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31991-2020</t>
        </is>
      </c>
      <c r="B779" s="1" t="n">
        <v>44014</v>
      </c>
      <c r="C779" s="1" t="n">
        <v>45688</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32315-2020</t>
        </is>
      </c>
      <c r="B780" s="1" t="n">
        <v>44015</v>
      </c>
      <c r="C780" s="1" t="n">
        <v>45688</v>
      </c>
      <c r="D780" t="inlineStr">
        <is>
          <t>JÄMTLANDS LÄN</t>
        </is>
      </c>
      <c r="E780" t="inlineStr">
        <is>
          <t>STRÖMSUND</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32307-2020</t>
        </is>
      </c>
      <c r="B781" s="1" t="n">
        <v>44015</v>
      </c>
      <c r="C781" s="1" t="n">
        <v>45688</v>
      </c>
      <c r="D781" t="inlineStr">
        <is>
          <t>JÄMTLANDS LÄN</t>
        </is>
      </c>
      <c r="E781" t="inlineStr">
        <is>
          <t>STRÖMSUND</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32316-2020</t>
        </is>
      </c>
      <c r="B782" s="1" t="n">
        <v>44015</v>
      </c>
      <c r="C782" s="1" t="n">
        <v>45688</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32326-2020</t>
        </is>
      </c>
      <c r="B783" s="1" t="n">
        <v>44015</v>
      </c>
      <c r="C783" s="1" t="n">
        <v>45688</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32199-2020</t>
        </is>
      </c>
      <c r="B784" s="1" t="n">
        <v>44015</v>
      </c>
      <c r="C784" s="1" t="n">
        <v>45688</v>
      </c>
      <c r="D784" t="inlineStr">
        <is>
          <t>JÄMTLANDS LÄN</t>
        </is>
      </c>
      <c r="E784" t="inlineStr">
        <is>
          <t>STRÖMSUND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32783-2020</t>
        </is>
      </c>
      <c r="B785" s="1" t="n">
        <v>44019</v>
      </c>
      <c r="C785" s="1" t="n">
        <v>45688</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33135-2020</t>
        </is>
      </c>
      <c r="B786" s="1" t="n">
        <v>44019</v>
      </c>
      <c r="C786" s="1" t="n">
        <v>45688</v>
      </c>
      <c r="D786" t="inlineStr">
        <is>
          <t>JÄMTLANDS LÄN</t>
        </is>
      </c>
      <c r="E786" t="inlineStr">
        <is>
          <t>STRÖMSUND</t>
        </is>
      </c>
      <c r="G786" t="n">
        <v>0.4</v>
      </c>
      <c r="H786" t="n">
        <v>0</v>
      </c>
      <c r="I786" t="n">
        <v>0</v>
      </c>
      <c r="J786" t="n">
        <v>0</v>
      </c>
      <c r="K786" t="n">
        <v>0</v>
      </c>
      <c r="L786" t="n">
        <v>0</v>
      </c>
      <c r="M786" t="n">
        <v>0</v>
      </c>
      <c r="N786" t="n">
        <v>0</v>
      </c>
      <c r="O786" t="n">
        <v>0</v>
      </c>
      <c r="P786" t="n">
        <v>0</v>
      </c>
      <c r="Q786" t="n">
        <v>0</v>
      </c>
      <c r="R786" s="2" t="inlineStr"/>
    </row>
    <row r="787" ht="15" customHeight="1">
      <c r="A787" t="inlineStr">
        <is>
          <t>A 32763-2020</t>
        </is>
      </c>
      <c r="B787" s="1" t="n">
        <v>44019</v>
      </c>
      <c r="C787" s="1" t="n">
        <v>45688</v>
      </c>
      <c r="D787" t="inlineStr">
        <is>
          <t>JÄMTLANDS LÄN</t>
        </is>
      </c>
      <c r="E787" t="inlineStr">
        <is>
          <t>STRÖMSUND</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33006-2020</t>
        </is>
      </c>
      <c r="B788" s="1" t="n">
        <v>44020</v>
      </c>
      <c r="C788" s="1" t="n">
        <v>45688</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33017-2020</t>
        </is>
      </c>
      <c r="B789" s="1" t="n">
        <v>44020</v>
      </c>
      <c r="C789" s="1" t="n">
        <v>45688</v>
      </c>
      <c r="D789" t="inlineStr">
        <is>
          <t>JÄMTLANDS LÄN</t>
        </is>
      </c>
      <c r="E789" t="inlineStr">
        <is>
          <t>STRÖMSUND</t>
        </is>
      </c>
      <c r="F789" t="inlineStr">
        <is>
          <t>Sveaskog</t>
        </is>
      </c>
      <c r="G789" t="n">
        <v>20.8</v>
      </c>
      <c r="H789" t="n">
        <v>0</v>
      </c>
      <c r="I789" t="n">
        <v>0</v>
      </c>
      <c r="J789" t="n">
        <v>0</v>
      </c>
      <c r="K789" t="n">
        <v>0</v>
      </c>
      <c r="L789" t="n">
        <v>0</v>
      </c>
      <c r="M789" t="n">
        <v>0</v>
      </c>
      <c r="N789" t="n">
        <v>0</v>
      </c>
      <c r="O789" t="n">
        <v>0</v>
      </c>
      <c r="P789" t="n">
        <v>0</v>
      </c>
      <c r="Q789" t="n">
        <v>0</v>
      </c>
      <c r="R789" s="2" t="inlineStr"/>
    </row>
    <row r="790" ht="15" customHeight="1">
      <c r="A790" t="inlineStr">
        <is>
          <t>A 33007-2020</t>
        </is>
      </c>
      <c r="B790" s="1" t="n">
        <v>44020</v>
      </c>
      <c r="C790" s="1" t="n">
        <v>45688</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33205-2020</t>
        </is>
      </c>
      <c r="B791" s="1" t="n">
        <v>44021</v>
      </c>
      <c r="C791" s="1" t="n">
        <v>45688</v>
      </c>
      <c r="D791" t="inlineStr">
        <is>
          <t>JÄMTLANDS LÄN</t>
        </is>
      </c>
      <c r="E791" t="inlineStr">
        <is>
          <t>STRÖMSUND</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33207-2020</t>
        </is>
      </c>
      <c r="B792" s="1" t="n">
        <v>44021</v>
      </c>
      <c r="C792" s="1" t="n">
        <v>45688</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33460-2020</t>
        </is>
      </c>
      <c r="B793" s="1" t="n">
        <v>44022</v>
      </c>
      <c r="C793" s="1" t="n">
        <v>45688</v>
      </c>
      <c r="D793" t="inlineStr">
        <is>
          <t>JÄMTLANDS LÄN</t>
        </is>
      </c>
      <c r="E793" t="inlineStr">
        <is>
          <t>STRÖMSUND</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33439-2020</t>
        </is>
      </c>
      <c r="B794" s="1" t="n">
        <v>44022</v>
      </c>
      <c r="C794" s="1" t="n">
        <v>45688</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33446-2020</t>
        </is>
      </c>
      <c r="B795" s="1" t="n">
        <v>44022</v>
      </c>
      <c r="C795" s="1" t="n">
        <v>45688</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33632-2020</t>
        </is>
      </c>
      <c r="B796" s="1" t="n">
        <v>44025</v>
      </c>
      <c r="C796" s="1" t="n">
        <v>45688</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33617-2020</t>
        </is>
      </c>
      <c r="B797" s="1" t="n">
        <v>44025</v>
      </c>
      <c r="C797" s="1" t="n">
        <v>45688</v>
      </c>
      <c r="D797" t="inlineStr">
        <is>
          <t>JÄMTLANDS LÄN</t>
        </is>
      </c>
      <c r="E797" t="inlineStr">
        <is>
          <t>STRÖMSUND</t>
        </is>
      </c>
      <c r="F797" t="inlineStr">
        <is>
          <t>SCA</t>
        </is>
      </c>
      <c r="G797" t="n">
        <v>135.3</v>
      </c>
      <c r="H797" t="n">
        <v>0</v>
      </c>
      <c r="I797" t="n">
        <v>0</v>
      </c>
      <c r="J797" t="n">
        <v>0</v>
      </c>
      <c r="K797" t="n">
        <v>0</v>
      </c>
      <c r="L797" t="n">
        <v>0</v>
      </c>
      <c r="M797" t="n">
        <v>0</v>
      </c>
      <c r="N797" t="n">
        <v>0</v>
      </c>
      <c r="O797" t="n">
        <v>0</v>
      </c>
      <c r="P797" t="n">
        <v>0</v>
      </c>
      <c r="Q797" t="n">
        <v>0</v>
      </c>
      <c r="R797" s="2" t="inlineStr"/>
    </row>
    <row r="798" ht="15" customHeight="1">
      <c r="A798" t="inlineStr">
        <is>
          <t>A 34079-2020</t>
        </is>
      </c>
      <c r="B798" s="1" t="n">
        <v>44028</v>
      </c>
      <c r="C798" s="1" t="n">
        <v>45688</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34084-2020</t>
        </is>
      </c>
      <c r="B799" s="1" t="n">
        <v>44028</v>
      </c>
      <c r="C799" s="1" t="n">
        <v>45688</v>
      </c>
      <c r="D799" t="inlineStr">
        <is>
          <t>JÄMTLANDS LÄN</t>
        </is>
      </c>
      <c r="E799" t="inlineStr">
        <is>
          <t>STRÖMSUND</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34080-2020</t>
        </is>
      </c>
      <c r="B800" s="1" t="n">
        <v>44028</v>
      </c>
      <c r="C800" s="1" t="n">
        <v>45688</v>
      </c>
      <c r="D800" t="inlineStr">
        <is>
          <t>JÄMTLANDS LÄN</t>
        </is>
      </c>
      <c r="E800" t="inlineStr">
        <is>
          <t>STRÖMSUND</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33959-2020</t>
        </is>
      </c>
      <c r="B801" s="1" t="n">
        <v>44028</v>
      </c>
      <c r="C801" s="1" t="n">
        <v>45688</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34082-2020</t>
        </is>
      </c>
      <c r="B802" s="1" t="n">
        <v>44028</v>
      </c>
      <c r="C802" s="1" t="n">
        <v>45688</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34086-2020</t>
        </is>
      </c>
      <c r="B803" s="1" t="n">
        <v>44028</v>
      </c>
      <c r="C803" s="1" t="n">
        <v>45688</v>
      </c>
      <c r="D803" t="inlineStr">
        <is>
          <t>JÄMTLANDS LÄN</t>
        </is>
      </c>
      <c r="E803" t="inlineStr">
        <is>
          <t>STRÖMSUND</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34078-2020</t>
        </is>
      </c>
      <c r="B804" s="1" t="n">
        <v>44028</v>
      </c>
      <c r="C804" s="1" t="n">
        <v>45688</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34083-2020</t>
        </is>
      </c>
      <c r="B805" s="1" t="n">
        <v>44028</v>
      </c>
      <c r="C805" s="1" t="n">
        <v>45688</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34162-2020</t>
        </is>
      </c>
      <c r="B806" s="1" t="n">
        <v>44029</v>
      </c>
      <c r="C806" s="1" t="n">
        <v>45688</v>
      </c>
      <c r="D806" t="inlineStr">
        <is>
          <t>JÄMTLANDS LÄN</t>
        </is>
      </c>
      <c r="E806" t="inlineStr">
        <is>
          <t>STRÖMSUND</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34280-2020</t>
        </is>
      </c>
      <c r="B807" s="1" t="n">
        <v>44029</v>
      </c>
      <c r="C807" s="1" t="n">
        <v>45688</v>
      </c>
      <c r="D807" t="inlineStr">
        <is>
          <t>JÄMTLANDS LÄN</t>
        </is>
      </c>
      <c r="E807" t="inlineStr">
        <is>
          <t>STRÖMSUND</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34292-2020</t>
        </is>
      </c>
      <c r="B808" s="1" t="n">
        <v>44029</v>
      </c>
      <c r="C808" s="1" t="n">
        <v>45688</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34289-2020</t>
        </is>
      </c>
      <c r="B809" s="1" t="n">
        <v>44029</v>
      </c>
      <c r="C809" s="1" t="n">
        <v>45688</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34658-2020</t>
        </is>
      </c>
      <c r="B810" s="1" t="n">
        <v>44034</v>
      </c>
      <c r="C810" s="1" t="n">
        <v>45688</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34796-2020</t>
        </is>
      </c>
      <c r="B811" s="1" t="n">
        <v>44035</v>
      </c>
      <c r="C811" s="1" t="n">
        <v>45688</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34855-2020</t>
        </is>
      </c>
      <c r="B812" s="1" t="n">
        <v>44036</v>
      </c>
      <c r="C812" s="1" t="n">
        <v>45688</v>
      </c>
      <c r="D812" t="inlineStr">
        <is>
          <t>JÄMTLANDS LÄN</t>
        </is>
      </c>
      <c r="E812" t="inlineStr">
        <is>
          <t>STRÖMSUND</t>
        </is>
      </c>
      <c r="G812" t="n">
        <v>20.2</v>
      </c>
      <c r="H812" t="n">
        <v>0</v>
      </c>
      <c r="I812" t="n">
        <v>0</v>
      </c>
      <c r="J812" t="n">
        <v>0</v>
      </c>
      <c r="K812" t="n">
        <v>0</v>
      </c>
      <c r="L812" t="n">
        <v>0</v>
      </c>
      <c r="M812" t="n">
        <v>0</v>
      </c>
      <c r="N812" t="n">
        <v>0</v>
      </c>
      <c r="O812" t="n">
        <v>0</v>
      </c>
      <c r="P812" t="n">
        <v>0</v>
      </c>
      <c r="Q812" t="n">
        <v>0</v>
      </c>
      <c r="R812" s="2" t="inlineStr"/>
    </row>
    <row r="813" ht="15" customHeight="1">
      <c r="A813" t="inlineStr">
        <is>
          <t>A 34952-2020</t>
        </is>
      </c>
      <c r="B813" s="1" t="n">
        <v>44038</v>
      </c>
      <c r="C813" s="1" t="n">
        <v>45688</v>
      </c>
      <c r="D813" t="inlineStr">
        <is>
          <t>JÄMTLANDS LÄN</t>
        </is>
      </c>
      <c r="E813" t="inlineStr">
        <is>
          <t>STRÖMSUND</t>
        </is>
      </c>
      <c r="G813" t="n">
        <v>26.1</v>
      </c>
      <c r="H813" t="n">
        <v>0</v>
      </c>
      <c r="I813" t="n">
        <v>0</v>
      </c>
      <c r="J813" t="n">
        <v>0</v>
      </c>
      <c r="K813" t="n">
        <v>0</v>
      </c>
      <c r="L813" t="n">
        <v>0</v>
      </c>
      <c r="M813" t="n">
        <v>0</v>
      </c>
      <c r="N813" t="n">
        <v>0</v>
      </c>
      <c r="O813" t="n">
        <v>0</v>
      </c>
      <c r="P813" t="n">
        <v>0</v>
      </c>
      <c r="Q813" t="n">
        <v>0</v>
      </c>
      <c r="R813" s="2" t="inlineStr"/>
    </row>
    <row r="814" ht="15" customHeight="1">
      <c r="A814" t="inlineStr">
        <is>
          <t>A 35393-2020</t>
        </is>
      </c>
      <c r="B814" s="1" t="n">
        <v>44042</v>
      </c>
      <c r="C814" s="1" t="n">
        <v>45688</v>
      </c>
      <c r="D814" t="inlineStr">
        <is>
          <t>JÄMTLANDS LÄN</t>
        </is>
      </c>
      <c r="E814" t="inlineStr">
        <is>
          <t>STRÖMSUND</t>
        </is>
      </c>
      <c r="G814" t="n">
        <v>0.8</v>
      </c>
      <c r="H814" t="n">
        <v>0</v>
      </c>
      <c r="I814" t="n">
        <v>0</v>
      </c>
      <c r="J814" t="n">
        <v>0</v>
      </c>
      <c r="K814" t="n">
        <v>0</v>
      </c>
      <c r="L814" t="n">
        <v>0</v>
      </c>
      <c r="M814" t="n">
        <v>0</v>
      </c>
      <c r="N814" t="n">
        <v>0</v>
      </c>
      <c r="O814" t="n">
        <v>0</v>
      </c>
      <c r="P814" t="n">
        <v>0</v>
      </c>
      <c r="Q814" t="n">
        <v>0</v>
      </c>
      <c r="R814" s="2" t="inlineStr"/>
    </row>
    <row r="815" ht="15" customHeight="1">
      <c r="A815" t="inlineStr">
        <is>
          <t>A 35605-2020</t>
        </is>
      </c>
      <c r="B815" s="1" t="n">
        <v>44043</v>
      </c>
      <c r="C815" s="1" t="n">
        <v>45688</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35658-2020</t>
        </is>
      </c>
      <c r="B816" s="1" t="n">
        <v>44046</v>
      </c>
      <c r="C816" s="1" t="n">
        <v>45688</v>
      </c>
      <c r="D816" t="inlineStr">
        <is>
          <t>JÄMTLANDS LÄN</t>
        </is>
      </c>
      <c r="E816" t="inlineStr">
        <is>
          <t>STRÖMSUND</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36504-2020</t>
        </is>
      </c>
      <c r="B817" s="1" t="n">
        <v>44050</v>
      </c>
      <c r="C817" s="1" t="n">
        <v>45688</v>
      </c>
      <c r="D817" t="inlineStr">
        <is>
          <t>JÄMTLANDS LÄN</t>
        </is>
      </c>
      <c r="E817" t="inlineStr">
        <is>
          <t>STRÖMSUND</t>
        </is>
      </c>
      <c r="F817" t="inlineStr">
        <is>
          <t>Holmen skog AB</t>
        </is>
      </c>
      <c r="G817" t="n">
        <v>3.2</v>
      </c>
      <c r="H817" t="n">
        <v>0</v>
      </c>
      <c r="I817" t="n">
        <v>0</v>
      </c>
      <c r="J817" t="n">
        <v>0</v>
      </c>
      <c r="K817" t="n">
        <v>0</v>
      </c>
      <c r="L817" t="n">
        <v>0</v>
      </c>
      <c r="M817" t="n">
        <v>0</v>
      </c>
      <c r="N817" t="n">
        <v>0</v>
      </c>
      <c r="O817" t="n">
        <v>0</v>
      </c>
      <c r="P817" t="n">
        <v>0</v>
      </c>
      <c r="Q817" t="n">
        <v>0</v>
      </c>
      <c r="R817" s="2" t="inlineStr"/>
    </row>
    <row r="818" ht="15" customHeight="1">
      <c r="A818" t="inlineStr">
        <is>
          <t>A 36574-2020</t>
        </is>
      </c>
      <c r="B818" s="1" t="n">
        <v>44050</v>
      </c>
      <c r="C818" s="1" t="n">
        <v>45688</v>
      </c>
      <c r="D818" t="inlineStr">
        <is>
          <t>JÄMTLANDS LÄN</t>
        </is>
      </c>
      <c r="E818" t="inlineStr">
        <is>
          <t>STRÖMSUND</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36787-2020</t>
        </is>
      </c>
      <c r="B819" s="1" t="n">
        <v>44053</v>
      </c>
      <c r="C819" s="1" t="n">
        <v>45688</v>
      </c>
      <c r="D819" t="inlineStr">
        <is>
          <t>JÄMTLANDS LÄN</t>
        </is>
      </c>
      <c r="E819" t="inlineStr">
        <is>
          <t>STRÖMSUND</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36963-2020</t>
        </is>
      </c>
      <c r="B820" s="1" t="n">
        <v>44053</v>
      </c>
      <c r="C820" s="1" t="n">
        <v>45688</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37308-2020</t>
        </is>
      </c>
      <c r="B821" s="1" t="n">
        <v>44055</v>
      </c>
      <c r="C821" s="1" t="n">
        <v>45688</v>
      </c>
      <c r="D821" t="inlineStr">
        <is>
          <t>JÄMTLANDS LÄN</t>
        </is>
      </c>
      <c r="E821" t="inlineStr">
        <is>
          <t>STRÖMSUND</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37501-2020</t>
        </is>
      </c>
      <c r="B822" s="1" t="n">
        <v>44055</v>
      </c>
      <c r="C822" s="1" t="n">
        <v>45688</v>
      </c>
      <c r="D822" t="inlineStr">
        <is>
          <t>JÄMTLANDS LÄN</t>
        </is>
      </c>
      <c r="E822" t="inlineStr">
        <is>
          <t>STRÖMSUND</t>
        </is>
      </c>
      <c r="G822" t="n">
        <v>1.1</v>
      </c>
      <c r="H822" t="n">
        <v>0</v>
      </c>
      <c r="I822" t="n">
        <v>0</v>
      </c>
      <c r="J822" t="n">
        <v>0</v>
      </c>
      <c r="K822" t="n">
        <v>0</v>
      </c>
      <c r="L822" t="n">
        <v>0</v>
      </c>
      <c r="M822" t="n">
        <v>0</v>
      </c>
      <c r="N822" t="n">
        <v>0</v>
      </c>
      <c r="O822" t="n">
        <v>0</v>
      </c>
      <c r="P822" t="n">
        <v>0</v>
      </c>
      <c r="Q822" t="n">
        <v>0</v>
      </c>
      <c r="R822" s="2" t="inlineStr"/>
    </row>
    <row r="823" ht="15" customHeight="1">
      <c r="A823" t="inlineStr">
        <is>
          <t>A 37878-2020</t>
        </is>
      </c>
      <c r="B823" s="1" t="n">
        <v>44057</v>
      </c>
      <c r="C823" s="1" t="n">
        <v>45688</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38019-2020</t>
        </is>
      </c>
      <c r="B824" s="1" t="n">
        <v>44057</v>
      </c>
      <c r="C824" s="1" t="n">
        <v>45688</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38029-2020</t>
        </is>
      </c>
      <c r="B825" s="1" t="n">
        <v>44057</v>
      </c>
      <c r="C825" s="1" t="n">
        <v>45688</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38070-2020</t>
        </is>
      </c>
      <c r="B826" s="1" t="n">
        <v>44057</v>
      </c>
      <c r="C826" s="1" t="n">
        <v>45688</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38071-2020</t>
        </is>
      </c>
      <c r="B827" s="1" t="n">
        <v>44057</v>
      </c>
      <c r="C827" s="1" t="n">
        <v>45688</v>
      </c>
      <c r="D827" t="inlineStr">
        <is>
          <t>JÄMTLANDS LÄN</t>
        </is>
      </c>
      <c r="E827" t="inlineStr">
        <is>
          <t>STRÖMSUND</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38266-2020</t>
        </is>
      </c>
      <c r="B828" s="1" t="n">
        <v>44060</v>
      </c>
      <c r="C828" s="1" t="n">
        <v>45688</v>
      </c>
      <c r="D828" t="inlineStr">
        <is>
          <t>JÄMTLANDS LÄN</t>
        </is>
      </c>
      <c r="E828" t="inlineStr">
        <is>
          <t>STRÖMSUND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38261-2020</t>
        </is>
      </c>
      <c r="B829" s="1" t="n">
        <v>44060</v>
      </c>
      <c r="C829" s="1" t="n">
        <v>45688</v>
      </c>
      <c r="D829" t="inlineStr">
        <is>
          <t>JÄMTLANDS LÄN</t>
        </is>
      </c>
      <c r="E829" t="inlineStr">
        <is>
          <t>STRÖMSUND</t>
        </is>
      </c>
      <c r="G829" t="n">
        <v>2.8</v>
      </c>
      <c r="H829" t="n">
        <v>0</v>
      </c>
      <c r="I829" t="n">
        <v>0</v>
      </c>
      <c r="J829" t="n">
        <v>0</v>
      </c>
      <c r="K829" t="n">
        <v>0</v>
      </c>
      <c r="L829" t="n">
        <v>0</v>
      </c>
      <c r="M829" t="n">
        <v>0</v>
      </c>
      <c r="N829" t="n">
        <v>0</v>
      </c>
      <c r="O829" t="n">
        <v>0</v>
      </c>
      <c r="P829" t="n">
        <v>0</v>
      </c>
      <c r="Q829" t="n">
        <v>0</v>
      </c>
      <c r="R829" s="2" t="inlineStr"/>
    </row>
    <row r="830" ht="15" customHeight="1">
      <c r="A830" t="inlineStr">
        <is>
          <t>A 38268-2020</t>
        </is>
      </c>
      <c r="B830" s="1" t="n">
        <v>44060</v>
      </c>
      <c r="C830" s="1" t="n">
        <v>45688</v>
      </c>
      <c r="D830" t="inlineStr">
        <is>
          <t>JÄMTLANDS LÄN</t>
        </is>
      </c>
      <c r="E830" t="inlineStr">
        <is>
          <t>STRÖMSUND</t>
        </is>
      </c>
      <c r="G830" t="n">
        <v>6.4</v>
      </c>
      <c r="H830" t="n">
        <v>0</v>
      </c>
      <c r="I830" t="n">
        <v>0</v>
      </c>
      <c r="J830" t="n">
        <v>0</v>
      </c>
      <c r="K830" t="n">
        <v>0</v>
      </c>
      <c r="L830" t="n">
        <v>0</v>
      </c>
      <c r="M830" t="n">
        <v>0</v>
      </c>
      <c r="N830" t="n">
        <v>0</v>
      </c>
      <c r="O830" t="n">
        <v>0</v>
      </c>
      <c r="P830" t="n">
        <v>0</v>
      </c>
      <c r="Q830" t="n">
        <v>0</v>
      </c>
      <c r="R830" s="2" t="inlineStr"/>
    </row>
    <row r="831" ht="15" customHeight="1">
      <c r="A831" t="inlineStr">
        <is>
          <t>A 38484-2020</t>
        </is>
      </c>
      <c r="B831" s="1" t="n">
        <v>44060</v>
      </c>
      <c r="C831" s="1" t="n">
        <v>45688</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38467-2020</t>
        </is>
      </c>
      <c r="B832" s="1" t="n">
        <v>44060</v>
      </c>
      <c r="C832" s="1" t="n">
        <v>45688</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38485-2020</t>
        </is>
      </c>
      <c r="B833" s="1" t="n">
        <v>44060</v>
      </c>
      <c r="C833" s="1" t="n">
        <v>45688</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38779-2020</t>
        </is>
      </c>
      <c r="B834" s="1" t="n">
        <v>44061</v>
      </c>
      <c r="C834" s="1" t="n">
        <v>45688</v>
      </c>
      <c r="D834" t="inlineStr">
        <is>
          <t>JÄMTLANDS LÄN</t>
        </is>
      </c>
      <c r="E834" t="inlineStr">
        <is>
          <t>STRÖMSUND</t>
        </is>
      </c>
      <c r="F834" t="inlineStr">
        <is>
          <t>SCA</t>
        </is>
      </c>
      <c r="G834" t="n">
        <v>34.2</v>
      </c>
      <c r="H834" t="n">
        <v>0</v>
      </c>
      <c r="I834" t="n">
        <v>0</v>
      </c>
      <c r="J834" t="n">
        <v>0</v>
      </c>
      <c r="K834" t="n">
        <v>0</v>
      </c>
      <c r="L834" t="n">
        <v>0</v>
      </c>
      <c r="M834" t="n">
        <v>0</v>
      </c>
      <c r="N834" t="n">
        <v>0</v>
      </c>
      <c r="O834" t="n">
        <v>0</v>
      </c>
      <c r="P834" t="n">
        <v>0</v>
      </c>
      <c r="Q834" t="n">
        <v>0</v>
      </c>
      <c r="R834" s="2" t="inlineStr"/>
    </row>
    <row r="835" ht="15" customHeight="1">
      <c r="A835" t="inlineStr">
        <is>
          <t>A 38781-2020</t>
        </is>
      </c>
      <c r="B835" s="1" t="n">
        <v>44061</v>
      </c>
      <c r="C835" s="1" t="n">
        <v>45688</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38780-2020</t>
        </is>
      </c>
      <c r="B836" s="1" t="n">
        <v>44061</v>
      </c>
      <c r="C836" s="1" t="n">
        <v>45688</v>
      </c>
      <c r="D836" t="inlineStr">
        <is>
          <t>JÄMTLANDS LÄN</t>
        </is>
      </c>
      <c r="E836" t="inlineStr">
        <is>
          <t>STRÖMSUND</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38782-2020</t>
        </is>
      </c>
      <c r="B837" s="1" t="n">
        <v>44061</v>
      </c>
      <c r="C837" s="1" t="n">
        <v>45688</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39396-2020</t>
        </is>
      </c>
      <c r="B838" s="1" t="n">
        <v>44064</v>
      </c>
      <c r="C838" s="1" t="n">
        <v>45688</v>
      </c>
      <c r="D838" t="inlineStr">
        <is>
          <t>JÄMTLANDS LÄN</t>
        </is>
      </c>
      <c r="E838" t="inlineStr">
        <is>
          <t>STRÖMSUND</t>
        </is>
      </c>
      <c r="F838" t="inlineStr">
        <is>
          <t>Holmen skog AB</t>
        </is>
      </c>
      <c r="G838" t="n">
        <v>7.2</v>
      </c>
      <c r="H838" t="n">
        <v>0</v>
      </c>
      <c r="I838" t="n">
        <v>0</v>
      </c>
      <c r="J838" t="n">
        <v>0</v>
      </c>
      <c r="K838" t="n">
        <v>0</v>
      </c>
      <c r="L838" t="n">
        <v>0</v>
      </c>
      <c r="M838" t="n">
        <v>0</v>
      </c>
      <c r="N838" t="n">
        <v>0</v>
      </c>
      <c r="O838" t="n">
        <v>0</v>
      </c>
      <c r="P838" t="n">
        <v>0</v>
      </c>
      <c r="Q838" t="n">
        <v>0</v>
      </c>
      <c r="R838" s="2" t="inlineStr"/>
    </row>
    <row r="839" ht="15" customHeight="1">
      <c r="A839" t="inlineStr">
        <is>
          <t>A 39390-2020</t>
        </is>
      </c>
      <c r="B839" s="1" t="n">
        <v>44064</v>
      </c>
      <c r="C839" s="1" t="n">
        <v>45688</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39397-2020</t>
        </is>
      </c>
      <c r="B840" s="1" t="n">
        <v>44064</v>
      </c>
      <c r="C840" s="1" t="n">
        <v>45688</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39648-2020</t>
        </is>
      </c>
      <c r="B841" s="1" t="n">
        <v>44065</v>
      </c>
      <c r="C841" s="1" t="n">
        <v>45688</v>
      </c>
      <c r="D841" t="inlineStr">
        <is>
          <t>JÄMTLANDS LÄN</t>
        </is>
      </c>
      <c r="E841" t="inlineStr">
        <is>
          <t>STRÖMSUND</t>
        </is>
      </c>
      <c r="G841" t="n">
        <v>1</v>
      </c>
      <c r="H841" t="n">
        <v>0</v>
      </c>
      <c r="I841" t="n">
        <v>0</v>
      </c>
      <c r="J841" t="n">
        <v>0</v>
      </c>
      <c r="K841" t="n">
        <v>0</v>
      </c>
      <c r="L841" t="n">
        <v>0</v>
      </c>
      <c r="M841" t="n">
        <v>0</v>
      </c>
      <c r="N841" t="n">
        <v>0</v>
      </c>
      <c r="O841" t="n">
        <v>0</v>
      </c>
      <c r="P841" t="n">
        <v>0</v>
      </c>
      <c r="Q841" t="n">
        <v>0</v>
      </c>
      <c r="R841" s="2" t="inlineStr"/>
    </row>
    <row r="842" ht="15" customHeight="1">
      <c r="A842" t="inlineStr">
        <is>
          <t>A 40080-2020</t>
        </is>
      </c>
      <c r="B842" s="1" t="n">
        <v>44067</v>
      </c>
      <c r="C842" s="1" t="n">
        <v>45688</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40519-2020</t>
        </is>
      </c>
      <c r="B843" s="1" t="n">
        <v>44069</v>
      </c>
      <c r="C843" s="1" t="n">
        <v>45688</v>
      </c>
      <c r="D843" t="inlineStr">
        <is>
          <t>JÄMTLANDS LÄN</t>
        </is>
      </c>
      <c r="E843" t="inlineStr">
        <is>
          <t>STRÖMSUND</t>
        </is>
      </c>
      <c r="G843" t="n">
        <v>11.7</v>
      </c>
      <c r="H843" t="n">
        <v>0</v>
      </c>
      <c r="I843" t="n">
        <v>0</v>
      </c>
      <c r="J843" t="n">
        <v>0</v>
      </c>
      <c r="K843" t="n">
        <v>0</v>
      </c>
      <c r="L843" t="n">
        <v>0</v>
      </c>
      <c r="M843" t="n">
        <v>0</v>
      </c>
      <c r="N843" t="n">
        <v>0</v>
      </c>
      <c r="O843" t="n">
        <v>0</v>
      </c>
      <c r="P843" t="n">
        <v>0</v>
      </c>
      <c r="Q843" t="n">
        <v>0</v>
      </c>
      <c r="R843" s="2" t="inlineStr"/>
    </row>
    <row r="844" ht="15" customHeight="1">
      <c r="A844" t="inlineStr">
        <is>
          <t>A 41368-2020</t>
        </is>
      </c>
      <c r="B844" s="1" t="n">
        <v>44071</v>
      </c>
      <c r="C844" s="1" t="n">
        <v>45688</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41451-2020</t>
        </is>
      </c>
      <c r="B845" s="1" t="n">
        <v>44073</v>
      </c>
      <c r="C845" s="1" t="n">
        <v>45688</v>
      </c>
      <c r="D845" t="inlineStr">
        <is>
          <t>JÄMTLANDS LÄN</t>
        </is>
      </c>
      <c r="E845" t="inlineStr">
        <is>
          <t>STRÖMSUND</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41450-2020</t>
        </is>
      </c>
      <c r="B846" s="1" t="n">
        <v>44073</v>
      </c>
      <c r="C846" s="1" t="n">
        <v>45688</v>
      </c>
      <c r="D846" t="inlineStr">
        <is>
          <t>JÄMTLANDS LÄN</t>
        </is>
      </c>
      <c r="E846" t="inlineStr">
        <is>
          <t>STRÖMSUND</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41454-2020</t>
        </is>
      </c>
      <c r="B847" s="1" t="n">
        <v>44073</v>
      </c>
      <c r="C847" s="1" t="n">
        <v>45688</v>
      </c>
      <c r="D847" t="inlineStr">
        <is>
          <t>JÄMTLANDS LÄN</t>
        </is>
      </c>
      <c r="E847" t="inlineStr">
        <is>
          <t>STRÖMSUND</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41892-2020</t>
        </is>
      </c>
      <c r="B848" s="1" t="n">
        <v>44074</v>
      </c>
      <c r="C848" s="1" t="n">
        <v>45688</v>
      </c>
      <c r="D848" t="inlineStr">
        <is>
          <t>JÄMTLANDS LÄN</t>
        </is>
      </c>
      <c r="E848" t="inlineStr">
        <is>
          <t>STRÖMSUND</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41490-2020</t>
        </is>
      </c>
      <c r="B849" s="1" t="n">
        <v>44074</v>
      </c>
      <c r="C849" s="1" t="n">
        <v>45688</v>
      </c>
      <c r="D849" t="inlineStr">
        <is>
          <t>JÄMTLANDS LÄN</t>
        </is>
      </c>
      <c r="E849" t="inlineStr">
        <is>
          <t>STRÖMSUND</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43447-2020</t>
        </is>
      </c>
      <c r="B850" s="1" t="n">
        <v>44081</v>
      </c>
      <c r="C850" s="1" t="n">
        <v>45688</v>
      </c>
      <c r="D850" t="inlineStr">
        <is>
          <t>JÄMTLANDS LÄN</t>
        </is>
      </c>
      <c r="E850" t="inlineStr">
        <is>
          <t>STRÖMSUND</t>
        </is>
      </c>
      <c r="F850" t="inlineStr">
        <is>
          <t>SCA</t>
        </is>
      </c>
      <c r="G850" t="n">
        <v>24.7</v>
      </c>
      <c r="H850" t="n">
        <v>0</v>
      </c>
      <c r="I850" t="n">
        <v>0</v>
      </c>
      <c r="J850" t="n">
        <v>0</v>
      </c>
      <c r="K850" t="n">
        <v>0</v>
      </c>
      <c r="L850" t="n">
        <v>0</v>
      </c>
      <c r="M850" t="n">
        <v>0</v>
      </c>
      <c r="N850" t="n">
        <v>0</v>
      </c>
      <c r="O850" t="n">
        <v>0</v>
      </c>
      <c r="P850" t="n">
        <v>0</v>
      </c>
      <c r="Q850" t="n">
        <v>0</v>
      </c>
      <c r="R850" s="2" t="inlineStr"/>
    </row>
    <row r="851" ht="15" customHeight="1">
      <c r="A851" t="inlineStr">
        <is>
          <t>A 43448-2020</t>
        </is>
      </c>
      <c r="B851" s="1" t="n">
        <v>44081</v>
      </c>
      <c r="C851" s="1" t="n">
        <v>45688</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44009-2020</t>
        </is>
      </c>
      <c r="B852" s="1" t="n">
        <v>44083</v>
      </c>
      <c r="C852" s="1" t="n">
        <v>45688</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44197-2020</t>
        </is>
      </c>
      <c r="B853" s="1" t="n">
        <v>44083</v>
      </c>
      <c r="C853" s="1" t="n">
        <v>45688</v>
      </c>
      <c r="D853" t="inlineStr">
        <is>
          <t>JÄMTLANDS LÄN</t>
        </is>
      </c>
      <c r="E853" t="inlineStr">
        <is>
          <t>STRÖMSUND</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44989-2020</t>
        </is>
      </c>
      <c r="B854" s="1" t="n">
        <v>44083</v>
      </c>
      <c r="C854" s="1" t="n">
        <v>45688</v>
      </c>
      <c r="D854" t="inlineStr">
        <is>
          <t>JÄMTLANDS LÄN</t>
        </is>
      </c>
      <c r="E854" t="inlineStr">
        <is>
          <t>STRÖMSUND</t>
        </is>
      </c>
      <c r="G854" t="n">
        <v>8</v>
      </c>
      <c r="H854" t="n">
        <v>0</v>
      </c>
      <c r="I854" t="n">
        <v>0</v>
      </c>
      <c r="J854" t="n">
        <v>0</v>
      </c>
      <c r="K854" t="n">
        <v>0</v>
      </c>
      <c r="L854" t="n">
        <v>0</v>
      </c>
      <c r="M854" t="n">
        <v>0</v>
      </c>
      <c r="N854" t="n">
        <v>0</v>
      </c>
      <c r="O854" t="n">
        <v>0</v>
      </c>
      <c r="P854" t="n">
        <v>0</v>
      </c>
      <c r="Q854" t="n">
        <v>0</v>
      </c>
      <c r="R854" s="2" t="inlineStr"/>
    </row>
    <row r="855" ht="15" customHeight="1">
      <c r="A855" t="inlineStr">
        <is>
          <t>A 44992-2020</t>
        </is>
      </c>
      <c r="B855" s="1" t="n">
        <v>44083</v>
      </c>
      <c r="C855" s="1" t="n">
        <v>45688</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46425-2020</t>
        </is>
      </c>
      <c r="B856" s="1" t="n">
        <v>44095</v>
      </c>
      <c r="C856" s="1" t="n">
        <v>45688</v>
      </c>
      <c r="D856" t="inlineStr">
        <is>
          <t>JÄMTLANDS LÄN</t>
        </is>
      </c>
      <c r="E856" t="inlineStr">
        <is>
          <t>STRÖMSUND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46540-2020</t>
        </is>
      </c>
      <c r="B857" s="1" t="n">
        <v>44095</v>
      </c>
      <c r="C857" s="1" t="n">
        <v>45688</v>
      </c>
      <c r="D857" t="inlineStr">
        <is>
          <t>JÄMTLANDS LÄN</t>
        </is>
      </c>
      <c r="E857" t="inlineStr">
        <is>
          <t>STRÖMSUND</t>
        </is>
      </c>
      <c r="F857" t="inlineStr">
        <is>
          <t>Holmen skog AB</t>
        </is>
      </c>
      <c r="G857" t="n">
        <v>10.8</v>
      </c>
      <c r="H857" t="n">
        <v>0</v>
      </c>
      <c r="I857" t="n">
        <v>0</v>
      </c>
      <c r="J857" t="n">
        <v>0</v>
      </c>
      <c r="K857" t="n">
        <v>0</v>
      </c>
      <c r="L857" t="n">
        <v>0</v>
      </c>
      <c r="M857" t="n">
        <v>0</v>
      </c>
      <c r="N857" t="n">
        <v>0</v>
      </c>
      <c r="O857" t="n">
        <v>0</v>
      </c>
      <c r="P857" t="n">
        <v>0</v>
      </c>
      <c r="Q857" t="n">
        <v>0</v>
      </c>
      <c r="R857" s="2" t="inlineStr"/>
    </row>
    <row r="858" ht="15" customHeight="1">
      <c r="A858" t="inlineStr">
        <is>
          <t>A 46426-2020</t>
        </is>
      </c>
      <c r="B858" s="1" t="n">
        <v>44095</v>
      </c>
      <c r="C858" s="1" t="n">
        <v>45688</v>
      </c>
      <c r="D858" t="inlineStr">
        <is>
          <t>JÄMTLANDS LÄN</t>
        </is>
      </c>
      <c r="E858" t="inlineStr">
        <is>
          <t>STRÖMSUND</t>
        </is>
      </c>
      <c r="F858" t="inlineStr">
        <is>
          <t>Sveaskog</t>
        </is>
      </c>
      <c r="G858" t="n">
        <v>7.9</v>
      </c>
      <c r="H858" t="n">
        <v>0</v>
      </c>
      <c r="I858" t="n">
        <v>0</v>
      </c>
      <c r="J858" t="n">
        <v>0</v>
      </c>
      <c r="K858" t="n">
        <v>0</v>
      </c>
      <c r="L858" t="n">
        <v>0</v>
      </c>
      <c r="M858" t="n">
        <v>0</v>
      </c>
      <c r="N858" t="n">
        <v>0</v>
      </c>
      <c r="O858" t="n">
        <v>0</v>
      </c>
      <c r="P858" t="n">
        <v>0</v>
      </c>
      <c r="Q858" t="n">
        <v>0</v>
      </c>
      <c r="R858" s="2" t="inlineStr"/>
    </row>
    <row r="859" ht="15" customHeight="1">
      <c r="A859" t="inlineStr">
        <is>
          <t>A 47126-2020</t>
        </is>
      </c>
      <c r="B859" s="1" t="n">
        <v>44096</v>
      </c>
      <c r="C859" s="1" t="n">
        <v>45688</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47504-2020</t>
        </is>
      </c>
      <c r="B860" s="1" t="n">
        <v>44098</v>
      </c>
      <c r="C860" s="1" t="n">
        <v>45688</v>
      </c>
      <c r="D860" t="inlineStr">
        <is>
          <t>JÄMTLANDS LÄN</t>
        </is>
      </c>
      <c r="E860" t="inlineStr">
        <is>
          <t>STRÖMSUND</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48227-2020</t>
        </is>
      </c>
      <c r="B861" s="1" t="n">
        <v>44102</v>
      </c>
      <c r="C861" s="1" t="n">
        <v>45688</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48224-2020</t>
        </is>
      </c>
      <c r="B862" s="1" t="n">
        <v>44102</v>
      </c>
      <c r="C862" s="1" t="n">
        <v>45688</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49772-2020</t>
        </is>
      </c>
      <c r="B863" s="1" t="n">
        <v>44103</v>
      </c>
      <c r="C863" s="1" t="n">
        <v>45688</v>
      </c>
      <c r="D863" t="inlineStr">
        <is>
          <t>JÄMTLANDS LÄN</t>
        </is>
      </c>
      <c r="E863" t="inlineStr">
        <is>
          <t>STRÖMSUND</t>
        </is>
      </c>
      <c r="G863" t="n">
        <v>7.6</v>
      </c>
      <c r="H863" t="n">
        <v>0</v>
      </c>
      <c r="I863" t="n">
        <v>0</v>
      </c>
      <c r="J863" t="n">
        <v>0</v>
      </c>
      <c r="K863" t="n">
        <v>0</v>
      </c>
      <c r="L863" t="n">
        <v>0</v>
      </c>
      <c r="M863" t="n">
        <v>0</v>
      </c>
      <c r="N863" t="n">
        <v>0</v>
      </c>
      <c r="O863" t="n">
        <v>0</v>
      </c>
      <c r="P863" t="n">
        <v>0</v>
      </c>
      <c r="Q863" t="n">
        <v>0</v>
      </c>
      <c r="R863" s="2" t="inlineStr"/>
    </row>
    <row r="864" ht="15" customHeight="1">
      <c r="A864" t="inlineStr">
        <is>
          <t>A 49156-2020</t>
        </is>
      </c>
      <c r="B864" s="1" t="n">
        <v>44104</v>
      </c>
      <c r="C864" s="1" t="n">
        <v>45688</v>
      </c>
      <c r="D864" t="inlineStr">
        <is>
          <t>JÄMTLANDS LÄN</t>
        </is>
      </c>
      <c r="E864" t="inlineStr">
        <is>
          <t>STRÖMSUND</t>
        </is>
      </c>
      <c r="F864" t="inlineStr">
        <is>
          <t>SCA</t>
        </is>
      </c>
      <c r="G864" t="n">
        <v>7</v>
      </c>
      <c r="H864" t="n">
        <v>0</v>
      </c>
      <c r="I864" t="n">
        <v>0</v>
      </c>
      <c r="J864" t="n">
        <v>0</v>
      </c>
      <c r="K864" t="n">
        <v>0</v>
      </c>
      <c r="L864" t="n">
        <v>0</v>
      </c>
      <c r="M864" t="n">
        <v>0</v>
      </c>
      <c r="N864" t="n">
        <v>0</v>
      </c>
      <c r="O864" t="n">
        <v>0</v>
      </c>
      <c r="P864" t="n">
        <v>0</v>
      </c>
      <c r="Q864" t="n">
        <v>0</v>
      </c>
      <c r="R864" s="2" t="inlineStr"/>
    </row>
    <row r="865" ht="15" customHeight="1">
      <c r="A865" t="inlineStr">
        <is>
          <t>A 49161-2020</t>
        </is>
      </c>
      <c r="B865" s="1" t="n">
        <v>44104</v>
      </c>
      <c r="C865" s="1" t="n">
        <v>45688</v>
      </c>
      <c r="D865" t="inlineStr">
        <is>
          <t>JÄMTLANDS LÄN</t>
        </is>
      </c>
      <c r="E865" t="inlineStr">
        <is>
          <t>STRÖMSUND</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49152-2020</t>
        </is>
      </c>
      <c r="B866" s="1" t="n">
        <v>44104</v>
      </c>
      <c r="C866" s="1" t="n">
        <v>45688</v>
      </c>
      <c r="D866" t="inlineStr">
        <is>
          <t>JÄMTLANDS LÄN</t>
        </is>
      </c>
      <c r="E866" t="inlineStr">
        <is>
          <t>STRÖMSUND</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49167-2020</t>
        </is>
      </c>
      <c r="B867" s="1" t="n">
        <v>44104</v>
      </c>
      <c r="C867" s="1" t="n">
        <v>45688</v>
      </c>
      <c r="D867" t="inlineStr">
        <is>
          <t>JÄMTLANDS LÄN</t>
        </is>
      </c>
      <c r="E867" t="inlineStr">
        <is>
          <t>STRÖMSUND</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49511-2020</t>
        </is>
      </c>
      <c r="B868" s="1" t="n">
        <v>44105</v>
      </c>
      <c r="C868" s="1" t="n">
        <v>45688</v>
      </c>
      <c r="D868" t="inlineStr">
        <is>
          <t>JÄMTLANDS LÄN</t>
        </is>
      </c>
      <c r="E868" t="inlineStr">
        <is>
          <t>STRÖMSUND</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49510-2020</t>
        </is>
      </c>
      <c r="B869" s="1" t="n">
        <v>44105</v>
      </c>
      <c r="C869" s="1" t="n">
        <v>45688</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49997-2020</t>
        </is>
      </c>
      <c r="B870" s="1" t="n">
        <v>44109</v>
      </c>
      <c r="C870" s="1" t="n">
        <v>45688</v>
      </c>
      <c r="D870" t="inlineStr">
        <is>
          <t>JÄMTLANDS LÄN</t>
        </is>
      </c>
      <c r="E870" t="inlineStr">
        <is>
          <t>STRÖMSUND</t>
        </is>
      </c>
      <c r="G870" t="n">
        <v>1.2</v>
      </c>
      <c r="H870" t="n">
        <v>0</v>
      </c>
      <c r="I870" t="n">
        <v>0</v>
      </c>
      <c r="J870" t="n">
        <v>0</v>
      </c>
      <c r="K870" t="n">
        <v>0</v>
      </c>
      <c r="L870" t="n">
        <v>0</v>
      </c>
      <c r="M870" t="n">
        <v>0</v>
      </c>
      <c r="N870" t="n">
        <v>0</v>
      </c>
      <c r="O870" t="n">
        <v>0</v>
      </c>
      <c r="P870" t="n">
        <v>0</v>
      </c>
      <c r="Q870" t="n">
        <v>0</v>
      </c>
      <c r="R870" s="2" t="inlineStr"/>
    </row>
    <row r="871" ht="15" customHeight="1">
      <c r="A871" t="inlineStr">
        <is>
          <t>A 50645-2020</t>
        </is>
      </c>
      <c r="B871" s="1" t="n">
        <v>44110</v>
      </c>
      <c r="C871" s="1" t="n">
        <v>45688</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51042-2020</t>
        </is>
      </c>
      <c r="B872" s="1" t="n">
        <v>44112</v>
      </c>
      <c r="C872" s="1" t="n">
        <v>45688</v>
      </c>
      <c r="D872" t="inlineStr">
        <is>
          <t>JÄMTLANDS LÄN</t>
        </is>
      </c>
      <c r="E872" t="inlineStr">
        <is>
          <t>STRÖMSUND</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51670-2020</t>
        </is>
      </c>
      <c r="B873" s="1" t="n">
        <v>44113</v>
      </c>
      <c r="C873" s="1" t="n">
        <v>45688</v>
      </c>
      <c r="D873" t="inlineStr">
        <is>
          <t>JÄMTLANDS LÄN</t>
        </is>
      </c>
      <c r="E873" t="inlineStr">
        <is>
          <t>STRÖMSUND</t>
        </is>
      </c>
      <c r="G873" t="n">
        <v>2.9</v>
      </c>
      <c r="H873" t="n">
        <v>0</v>
      </c>
      <c r="I873" t="n">
        <v>0</v>
      </c>
      <c r="J873" t="n">
        <v>0</v>
      </c>
      <c r="K873" t="n">
        <v>0</v>
      </c>
      <c r="L873" t="n">
        <v>0</v>
      </c>
      <c r="M873" t="n">
        <v>0</v>
      </c>
      <c r="N873" t="n">
        <v>0</v>
      </c>
      <c r="O873" t="n">
        <v>0</v>
      </c>
      <c r="P873" t="n">
        <v>0</v>
      </c>
      <c r="Q873" t="n">
        <v>0</v>
      </c>
      <c r="R873" s="2" t="inlineStr"/>
    </row>
    <row r="874" ht="15" customHeight="1">
      <c r="A874" t="inlineStr">
        <is>
          <t>A 51689-2020</t>
        </is>
      </c>
      <c r="B874" s="1" t="n">
        <v>44113</v>
      </c>
      <c r="C874" s="1" t="n">
        <v>45688</v>
      </c>
      <c r="D874" t="inlineStr">
        <is>
          <t>JÄMTLANDS LÄN</t>
        </is>
      </c>
      <c r="E874" t="inlineStr">
        <is>
          <t>STRÖMSUND</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52030-2020</t>
        </is>
      </c>
      <c r="B875" s="1" t="n">
        <v>44116</v>
      </c>
      <c r="C875" s="1" t="n">
        <v>45688</v>
      </c>
      <c r="D875" t="inlineStr">
        <is>
          <t>JÄMTLANDS LÄN</t>
        </is>
      </c>
      <c r="E875" t="inlineStr">
        <is>
          <t>STRÖMSUND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52622-2020</t>
        </is>
      </c>
      <c r="B876" s="1" t="n">
        <v>44118</v>
      </c>
      <c r="C876" s="1" t="n">
        <v>45688</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53293-2020</t>
        </is>
      </c>
      <c r="B877" s="1" t="n">
        <v>44123</v>
      </c>
      <c r="C877" s="1" t="n">
        <v>45688</v>
      </c>
      <c r="D877" t="inlineStr">
        <is>
          <t>JÄMTLANDS LÄN</t>
        </is>
      </c>
      <c r="E877" t="inlineStr">
        <is>
          <t>STRÖMSUND</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55342-2020</t>
        </is>
      </c>
      <c r="B878" s="1" t="n">
        <v>44130</v>
      </c>
      <c r="C878" s="1" t="n">
        <v>45688</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55708-2020</t>
        </is>
      </c>
      <c r="B879" s="1" t="n">
        <v>44131</v>
      </c>
      <c r="C879" s="1" t="n">
        <v>45688</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56251-2020</t>
        </is>
      </c>
      <c r="B880" s="1" t="n">
        <v>44134</v>
      </c>
      <c r="C880" s="1" t="n">
        <v>45688</v>
      </c>
      <c r="D880" t="inlineStr">
        <is>
          <t>JÄMTLANDS LÄN</t>
        </is>
      </c>
      <c r="E880" t="inlineStr">
        <is>
          <t>STRÖMSUND</t>
        </is>
      </c>
      <c r="F880" t="inlineStr">
        <is>
          <t>Holmen skog AB</t>
        </is>
      </c>
      <c r="G880" t="n">
        <v>7.3</v>
      </c>
      <c r="H880" t="n">
        <v>0</v>
      </c>
      <c r="I880" t="n">
        <v>0</v>
      </c>
      <c r="J880" t="n">
        <v>0</v>
      </c>
      <c r="K880" t="n">
        <v>0</v>
      </c>
      <c r="L880" t="n">
        <v>0</v>
      </c>
      <c r="M880" t="n">
        <v>0</v>
      </c>
      <c r="N880" t="n">
        <v>0</v>
      </c>
      <c r="O880" t="n">
        <v>0</v>
      </c>
      <c r="P880" t="n">
        <v>0</v>
      </c>
      <c r="Q880" t="n">
        <v>0</v>
      </c>
      <c r="R880" s="2" t="inlineStr"/>
    </row>
    <row r="881" ht="15" customHeight="1">
      <c r="A881" t="inlineStr">
        <is>
          <t>A 56290-2020</t>
        </is>
      </c>
      <c r="B881" s="1" t="n">
        <v>44134</v>
      </c>
      <c r="C881" s="1" t="n">
        <v>45688</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56493-2020</t>
        </is>
      </c>
      <c r="B882" s="1" t="n">
        <v>44137</v>
      </c>
      <c r="C882" s="1" t="n">
        <v>45688</v>
      </c>
      <c r="D882" t="inlineStr">
        <is>
          <t>JÄMTLANDS LÄN</t>
        </is>
      </c>
      <c r="E882" t="inlineStr">
        <is>
          <t>STRÖMSUND</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56966-2020</t>
        </is>
      </c>
      <c r="B883" s="1" t="n">
        <v>44137</v>
      </c>
      <c r="C883" s="1" t="n">
        <v>45688</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57336-2020</t>
        </is>
      </c>
      <c r="B884" s="1" t="n">
        <v>44139</v>
      </c>
      <c r="C884" s="1" t="n">
        <v>45688</v>
      </c>
      <c r="D884" t="inlineStr">
        <is>
          <t>JÄMTLANDS LÄN</t>
        </is>
      </c>
      <c r="E884" t="inlineStr">
        <is>
          <t>STRÖMSUND</t>
        </is>
      </c>
      <c r="G884" t="n">
        <v>2</v>
      </c>
      <c r="H884" t="n">
        <v>0</v>
      </c>
      <c r="I884" t="n">
        <v>0</v>
      </c>
      <c r="J884" t="n">
        <v>0</v>
      </c>
      <c r="K884" t="n">
        <v>0</v>
      </c>
      <c r="L884" t="n">
        <v>0</v>
      </c>
      <c r="M884" t="n">
        <v>0</v>
      </c>
      <c r="N884" t="n">
        <v>0</v>
      </c>
      <c r="O884" t="n">
        <v>0</v>
      </c>
      <c r="P884" t="n">
        <v>0</v>
      </c>
      <c r="Q884" t="n">
        <v>0</v>
      </c>
      <c r="R884" s="2" t="inlineStr"/>
    </row>
    <row r="885" ht="15" customHeight="1">
      <c r="A885" t="inlineStr">
        <is>
          <t>A 57511-2020</t>
        </is>
      </c>
      <c r="B885" s="1" t="n">
        <v>44140</v>
      </c>
      <c r="C885" s="1" t="n">
        <v>45688</v>
      </c>
      <c r="D885" t="inlineStr">
        <is>
          <t>JÄMTLANDS LÄN</t>
        </is>
      </c>
      <c r="E885" t="inlineStr">
        <is>
          <t>STRÖMSUND</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57550-2020</t>
        </is>
      </c>
      <c r="B886" s="1" t="n">
        <v>44140</v>
      </c>
      <c r="C886" s="1" t="n">
        <v>45688</v>
      </c>
      <c r="D886" t="inlineStr">
        <is>
          <t>JÄMTLANDS LÄN</t>
        </is>
      </c>
      <c r="E886" t="inlineStr">
        <is>
          <t>STRÖMSUND</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57423-2020</t>
        </is>
      </c>
      <c r="B887" s="1" t="n">
        <v>44140</v>
      </c>
      <c r="C887" s="1" t="n">
        <v>45688</v>
      </c>
      <c r="D887" t="inlineStr">
        <is>
          <t>JÄMTLANDS LÄN</t>
        </is>
      </c>
      <c r="E887" t="inlineStr">
        <is>
          <t>STRÖMSUND</t>
        </is>
      </c>
      <c r="F887" t="inlineStr">
        <is>
          <t>Holmen skog AB</t>
        </is>
      </c>
      <c r="G887" t="n">
        <v>2.6</v>
      </c>
      <c r="H887" t="n">
        <v>0</v>
      </c>
      <c r="I887" t="n">
        <v>0</v>
      </c>
      <c r="J887" t="n">
        <v>0</v>
      </c>
      <c r="K887" t="n">
        <v>0</v>
      </c>
      <c r="L887" t="n">
        <v>0</v>
      </c>
      <c r="M887" t="n">
        <v>0</v>
      </c>
      <c r="N887" t="n">
        <v>0</v>
      </c>
      <c r="O887" t="n">
        <v>0</v>
      </c>
      <c r="P887" t="n">
        <v>0</v>
      </c>
      <c r="Q887" t="n">
        <v>0</v>
      </c>
      <c r="R887" s="2" t="inlineStr"/>
    </row>
    <row r="888" ht="15" customHeight="1">
      <c r="A888" t="inlineStr">
        <is>
          <t>A 57808-2020</t>
        </is>
      </c>
      <c r="B888" s="1" t="n">
        <v>44141</v>
      </c>
      <c r="C888" s="1" t="n">
        <v>45688</v>
      </c>
      <c r="D888" t="inlineStr">
        <is>
          <t>JÄMTLANDS LÄN</t>
        </is>
      </c>
      <c r="E888" t="inlineStr">
        <is>
          <t>STRÖMSUND</t>
        </is>
      </c>
      <c r="G888" t="n">
        <v>6.8</v>
      </c>
      <c r="H888" t="n">
        <v>0</v>
      </c>
      <c r="I888" t="n">
        <v>0</v>
      </c>
      <c r="J888" t="n">
        <v>0</v>
      </c>
      <c r="K888" t="n">
        <v>0</v>
      </c>
      <c r="L888" t="n">
        <v>0</v>
      </c>
      <c r="M888" t="n">
        <v>0</v>
      </c>
      <c r="N888" t="n">
        <v>0</v>
      </c>
      <c r="O888" t="n">
        <v>0</v>
      </c>
      <c r="P888" t="n">
        <v>0</v>
      </c>
      <c r="Q888" t="n">
        <v>0</v>
      </c>
      <c r="R888" s="2" t="inlineStr"/>
    </row>
    <row r="889" ht="15" customHeight="1">
      <c r="A889" t="inlineStr">
        <is>
          <t>A 58219-2020</t>
        </is>
      </c>
      <c r="B889" s="1" t="n">
        <v>44144</v>
      </c>
      <c r="C889" s="1" t="n">
        <v>45688</v>
      </c>
      <c r="D889" t="inlineStr">
        <is>
          <t>JÄMTLANDS LÄN</t>
        </is>
      </c>
      <c r="E889" t="inlineStr">
        <is>
          <t>STRÖMSUND</t>
        </is>
      </c>
      <c r="F889" t="inlineStr">
        <is>
          <t>Holmen skog AB</t>
        </is>
      </c>
      <c r="G889" t="n">
        <v>4.9</v>
      </c>
      <c r="H889" t="n">
        <v>0</v>
      </c>
      <c r="I889" t="n">
        <v>0</v>
      </c>
      <c r="J889" t="n">
        <v>0</v>
      </c>
      <c r="K889" t="n">
        <v>0</v>
      </c>
      <c r="L889" t="n">
        <v>0</v>
      </c>
      <c r="M889" t="n">
        <v>0</v>
      </c>
      <c r="N889" t="n">
        <v>0</v>
      </c>
      <c r="O889" t="n">
        <v>0</v>
      </c>
      <c r="P889" t="n">
        <v>0</v>
      </c>
      <c r="Q889" t="n">
        <v>0</v>
      </c>
      <c r="R889" s="2" t="inlineStr"/>
    </row>
    <row r="890" ht="15" customHeight="1">
      <c r="A890" t="inlineStr">
        <is>
          <t>A 59012-2020</t>
        </is>
      </c>
      <c r="B890" s="1" t="n">
        <v>44146</v>
      </c>
      <c r="C890" s="1" t="n">
        <v>45688</v>
      </c>
      <c r="D890" t="inlineStr">
        <is>
          <t>JÄMTLANDS LÄN</t>
        </is>
      </c>
      <c r="E890" t="inlineStr">
        <is>
          <t>STRÖMSUND</t>
        </is>
      </c>
      <c r="F890" t="inlineStr">
        <is>
          <t>SCA</t>
        </is>
      </c>
      <c r="G890" t="n">
        <v>15.5</v>
      </c>
      <c r="H890" t="n">
        <v>0</v>
      </c>
      <c r="I890" t="n">
        <v>0</v>
      </c>
      <c r="J890" t="n">
        <v>0</v>
      </c>
      <c r="K890" t="n">
        <v>0</v>
      </c>
      <c r="L890" t="n">
        <v>0</v>
      </c>
      <c r="M890" t="n">
        <v>0</v>
      </c>
      <c r="N890" t="n">
        <v>0</v>
      </c>
      <c r="O890" t="n">
        <v>0</v>
      </c>
      <c r="P890" t="n">
        <v>0</v>
      </c>
      <c r="Q890" t="n">
        <v>0</v>
      </c>
      <c r="R890" s="2" t="inlineStr"/>
    </row>
    <row r="891" ht="15" customHeight="1">
      <c r="A891" t="inlineStr">
        <is>
          <t>A 59330-2020</t>
        </is>
      </c>
      <c r="B891" s="1" t="n">
        <v>44147</v>
      </c>
      <c r="C891" s="1" t="n">
        <v>45688</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60256-2020</t>
        </is>
      </c>
      <c r="B892" s="1" t="n">
        <v>44151</v>
      </c>
      <c r="C892" s="1" t="n">
        <v>45688</v>
      </c>
      <c r="D892" t="inlineStr">
        <is>
          <t>JÄMTLANDS LÄN</t>
        </is>
      </c>
      <c r="E892" t="inlineStr">
        <is>
          <t>STRÖMSUND</t>
        </is>
      </c>
      <c r="G892" t="n">
        <v>0.3</v>
      </c>
      <c r="H892" t="n">
        <v>0</v>
      </c>
      <c r="I892" t="n">
        <v>0</v>
      </c>
      <c r="J892" t="n">
        <v>0</v>
      </c>
      <c r="K892" t="n">
        <v>0</v>
      </c>
      <c r="L892" t="n">
        <v>0</v>
      </c>
      <c r="M892" t="n">
        <v>0</v>
      </c>
      <c r="N892" t="n">
        <v>0</v>
      </c>
      <c r="O892" t="n">
        <v>0</v>
      </c>
      <c r="P892" t="n">
        <v>0</v>
      </c>
      <c r="Q892" t="n">
        <v>0</v>
      </c>
      <c r="R892" s="2" t="inlineStr"/>
    </row>
    <row r="893" ht="15" customHeight="1">
      <c r="A893" t="inlineStr">
        <is>
          <t>A 60061-2020</t>
        </is>
      </c>
      <c r="B893" s="1" t="n">
        <v>44151</v>
      </c>
      <c r="C893" s="1" t="n">
        <v>45688</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60395-2020</t>
        </is>
      </c>
      <c r="B894" s="1" t="n">
        <v>44152</v>
      </c>
      <c r="C894" s="1" t="n">
        <v>45688</v>
      </c>
      <c r="D894" t="inlineStr">
        <is>
          <t>JÄMTLANDS LÄN</t>
        </is>
      </c>
      <c r="E894" t="inlineStr">
        <is>
          <t>STRÖMSUND</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60703-2020</t>
        </is>
      </c>
      <c r="B895" s="1" t="n">
        <v>44153</v>
      </c>
      <c r="C895" s="1" t="n">
        <v>45688</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61149-2020</t>
        </is>
      </c>
      <c r="B896" s="1" t="n">
        <v>44154</v>
      </c>
      <c r="C896" s="1" t="n">
        <v>45688</v>
      </c>
      <c r="D896" t="inlineStr">
        <is>
          <t>JÄMTLANDS LÄN</t>
        </is>
      </c>
      <c r="E896" t="inlineStr">
        <is>
          <t>STRÖMSUND</t>
        </is>
      </c>
      <c r="G896" t="n">
        <v>0.5</v>
      </c>
      <c r="H896" t="n">
        <v>0</v>
      </c>
      <c r="I896" t="n">
        <v>0</v>
      </c>
      <c r="J896" t="n">
        <v>0</v>
      </c>
      <c r="K896" t="n">
        <v>0</v>
      </c>
      <c r="L896" t="n">
        <v>0</v>
      </c>
      <c r="M896" t="n">
        <v>0</v>
      </c>
      <c r="N896" t="n">
        <v>0</v>
      </c>
      <c r="O896" t="n">
        <v>0</v>
      </c>
      <c r="P896" t="n">
        <v>0</v>
      </c>
      <c r="Q896" t="n">
        <v>0</v>
      </c>
      <c r="R896" s="2" t="inlineStr"/>
    </row>
    <row r="897" ht="15" customHeight="1">
      <c r="A897" t="inlineStr">
        <is>
          <t>A 61586-2020</t>
        </is>
      </c>
      <c r="B897" s="1" t="n">
        <v>44158</v>
      </c>
      <c r="C897" s="1" t="n">
        <v>45688</v>
      </c>
      <c r="D897" t="inlineStr">
        <is>
          <t>JÄMTLANDS LÄN</t>
        </is>
      </c>
      <c r="E897" t="inlineStr">
        <is>
          <t>STRÖMSUND</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61662-2020</t>
        </is>
      </c>
      <c r="B898" s="1" t="n">
        <v>44158</v>
      </c>
      <c r="C898" s="1" t="n">
        <v>45688</v>
      </c>
      <c r="D898" t="inlineStr">
        <is>
          <t>JÄMTLANDS LÄN</t>
        </is>
      </c>
      <c r="E898" t="inlineStr">
        <is>
          <t>STRÖMSUND</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61811-2020</t>
        </is>
      </c>
      <c r="B899" s="1" t="n">
        <v>44158</v>
      </c>
      <c r="C899" s="1" t="n">
        <v>45688</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61807-2020</t>
        </is>
      </c>
      <c r="B900" s="1" t="n">
        <v>44158</v>
      </c>
      <c r="C900" s="1" t="n">
        <v>45688</v>
      </c>
      <c r="D900" t="inlineStr">
        <is>
          <t>JÄMTLANDS LÄN</t>
        </is>
      </c>
      <c r="E900" t="inlineStr">
        <is>
          <t>STRÖMSUND</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62503-2020</t>
        </is>
      </c>
      <c r="B901" s="1" t="n">
        <v>44160</v>
      </c>
      <c r="C901" s="1" t="n">
        <v>45688</v>
      </c>
      <c r="D901" t="inlineStr">
        <is>
          <t>JÄMTLANDS LÄN</t>
        </is>
      </c>
      <c r="E901" t="inlineStr">
        <is>
          <t>STRÖMSUND</t>
        </is>
      </c>
      <c r="G901" t="n">
        <v>7.9</v>
      </c>
      <c r="H901" t="n">
        <v>0</v>
      </c>
      <c r="I901" t="n">
        <v>0</v>
      </c>
      <c r="J901" t="n">
        <v>0</v>
      </c>
      <c r="K901" t="n">
        <v>0</v>
      </c>
      <c r="L901" t="n">
        <v>0</v>
      </c>
      <c r="M901" t="n">
        <v>0</v>
      </c>
      <c r="N901" t="n">
        <v>0</v>
      </c>
      <c r="O901" t="n">
        <v>0</v>
      </c>
      <c r="P901" t="n">
        <v>0</v>
      </c>
      <c r="Q901" t="n">
        <v>0</v>
      </c>
      <c r="R901" s="2" t="inlineStr"/>
    </row>
    <row r="902" ht="15" customHeight="1">
      <c r="A902" t="inlineStr">
        <is>
          <t>A 63692-2020</t>
        </is>
      </c>
      <c r="B902" s="1" t="n">
        <v>44161</v>
      </c>
      <c r="C902" s="1" t="n">
        <v>45688</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63699-2020</t>
        </is>
      </c>
      <c r="B903" s="1" t="n">
        <v>44161</v>
      </c>
      <c r="C903" s="1" t="n">
        <v>45688</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63678-2020</t>
        </is>
      </c>
      <c r="B904" s="1" t="n">
        <v>44162</v>
      </c>
      <c r="C904" s="1" t="n">
        <v>45688</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63567-2020</t>
        </is>
      </c>
      <c r="B905" s="1" t="n">
        <v>44165</v>
      </c>
      <c r="C905" s="1" t="n">
        <v>45688</v>
      </c>
      <c r="D905" t="inlineStr">
        <is>
          <t>JÄMTLANDS LÄN</t>
        </is>
      </c>
      <c r="E905" t="inlineStr">
        <is>
          <t>STRÖMSUND</t>
        </is>
      </c>
      <c r="G905" t="n">
        <v>14.4</v>
      </c>
      <c r="H905" t="n">
        <v>0</v>
      </c>
      <c r="I905" t="n">
        <v>0</v>
      </c>
      <c r="J905" t="n">
        <v>0</v>
      </c>
      <c r="K905" t="n">
        <v>0</v>
      </c>
      <c r="L905" t="n">
        <v>0</v>
      </c>
      <c r="M905" t="n">
        <v>0</v>
      </c>
      <c r="N905" t="n">
        <v>0</v>
      </c>
      <c r="O905" t="n">
        <v>0</v>
      </c>
      <c r="P905" t="n">
        <v>0</v>
      </c>
      <c r="Q905" t="n">
        <v>0</v>
      </c>
      <c r="R905" s="2" t="inlineStr"/>
    </row>
    <row r="906" ht="15" customHeight="1">
      <c r="A906" t="inlineStr">
        <is>
          <t>A 64124-2020</t>
        </is>
      </c>
      <c r="B906" s="1" t="n">
        <v>44165</v>
      </c>
      <c r="C906" s="1" t="n">
        <v>45688</v>
      </c>
      <c r="D906" t="inlineStr">
        <is>
          <t>JÄMTLANDS LÄN</t>
        </is>
      </c>
      <c r="E906" t="inlineStr">
        <is>
          <t>STRÖMSUND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65115-2020</t>
        </is>
      </c>
      <c r="B907" s="1" t="n">
        <v>44165</v>
      </c>
      <c r="C907" s="1" t="n">
        <v>45688</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65078-2020</t>
        </is>
      </c>
      <c r="B908" s="1" t="n">
        <v>44165</v>
      </c>
      <c r="C908" s="1" t="n">
        <v>45688</v>
      </c>
      <c r="D908" t="inlineStr">
        <is>
          <t>JÄMTLANDS LÄN</t>
        </is>
      </c>
      <c r="E908" t="inlineStr">
        <is>
          <t>STRÖMSUND</t>
        </is>
      </c>
      <c r="G908" t="n">
        <v>3.4</v>
      </c>
      <c r="H908" t="n">
        <v>0</v>
      </c>
      <c r="I908" t="n">
        <v>0</v>
      </c>
      <c r="J908" t="n">
        <v>0</v>
      </c>
      <c r="K908" t="n">
        <v>0</v>
      </c>
      <c r="L908" t="n">
        <v>0</v>
      </c>
      <c r="M908" t="n">
        <v>0</v>
      </c>
      <c r="N908" t="n">
        <v>0</v>
      </c>
      <c r="O908" t="n">
        <v>0</v>
      </c>
      <c r="P908" t="n">
        <v>0</v>
      </c>
      <c r="Q908" t="n">
        <v>0</v>
      </c>
      <c r="R908" s="2" t="inlineStr"/>
    </row>
    <row r="909" ht="15" customHeight="1">
      <c r="A909" t="inlineStr">
        <is>
          <t>A 65076-2020</t>
        </is>
      </c>
      <c r="B909" s="1" t="n">
        <v>44165</v>
      </c>
      <c r="C909" s="1" t="n">
        <v>45688</v>
      </c>
      <c r="D909" t="inlineStr">
        <is>
          <t>JÄMTLANDS LÄN</t>
        </is>
      </c>
      <c r="E909" t="inlineStr">
        <is>
          <t>STRÖMSUND</t>
        </is>
      </c>
      <c r="G909" t="n">
        <v>20.3</v>
      </c>
      <c r="H909" t="n">
        <v>0</v>
      </c>
      <c r="I909" t="n">
        <v>0</v>
      </c>
      <c r="J909" t="n">
        <v>0</v>
      </c>
      <c r="K909" t="n">
        <v>0</v>
      </c>
      <c r="L909" t="n">
        <v>0</v>
      </c>
      <c r="M909" t="n">
        <v>0</v>
      </c>
      <c r="N909" t="n">
        <v>0</v>
      </c>
      <c r="O909" t="n">
        <v>0</v>
      </c>
      <c r="P909" t="n">
        <v>0</v>
      </c>
      <c r="Q909" t="n">
        <v>0</v>
      </c>
      <c r="R909" s="2" t="inlineStr"/>
    </row>
    <row r="910" ht="15" customHeight="1">
      <c r="A910" t="inlineStr">
        <is>
          <t>A 65110-2020</t>
        </is>
      </c>
      <c r="B910" s="1" t="n">
        <v>44165</v>
      </c>
      <c r="C910" s="1" t="n">
        <v>45688</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63755-2020</t>
        </is>
      </c>
      <c r="B911" s="1" t="n">
        <v>44166</v>
      </c>
      <c r="C911" s="1" t="n">
        <v>45688</v>
      </c>
      <c r="D911" t="inlineStr">
        <is>
          <t>JÄMTLANDS LÄN</t>
        </is>
      </c>
      <c r="E911" t="inlineStr">
        <is>
          <t>STRÖMSUND</t>
        </is>
      </c>
      <c r="G911" t="n">
        <v>0.7</v>
      </c>
      <c r="H911" t="n">
        <v>0</v>
      </c>
      <c r="I911" t="n">
        <v>0</v>
      </c>
      <c r="J911" t="n">
        <v>0</v>
      </c>
      <c r="K911" t="n">
        <v>0</v>
      </c>
      <c r="L911" t="n">
        <v>0</v>
      </c>
      <c r="M911" t="n">
        <v>0</v>
      </c>
      <c r="N911" t="n">
        <v>0</v>
      </c>
      <c r="O911" t="n">
        <v>0</v>
      </c>
      <c r="P911" t="n">
        <v>0</v>
      </c>
      <c r="Q911" t="n">
        <v>0</v>
      </c>
      <c r="R911" s="2" t="inlineStr"/>
    </row>
    <row r="912" ht="15" customHeight="1">
      <c r="A912" t="inlineStr">
        <is>
          <t>A 64186-2020</t>
        </is>
      </c>
      <c r="B912" s="1" t="n">
        <v>44167</v>
      </c>
      <c r="C912" s="1" t="n">
        <v>45688</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64608-2020</t>
        </is>
      </c>
      <c r="B913" s="1" t="n">
        <v>44169</v>
      </c>
      <c r="C913" s="1" t="n">
        <v>45688</v>
      </c>
      <c r="D913" t="inlineStr">
        <is>
          <t>JÄMTLANDS LÄN</t>
        </is>
      </c>
      <c r="E913" t="inlineStr">
        <is>
          <t>STRÖMSUND</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64825-2020</t>
        </is>
      </c>
      <c r="B914" s="1" t="n">
        <v>44169</v>
      </c>
      <c r="C914" s="1" t="n">
        <v>45688</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64828-2020</t>
        </is>
      </c>
      <c r="B915" s="1" t="n">
        <v>44169</v>
      </c>
      <c r="C915" s="1" t="n">
        <v>45688</v>
      </c>
      <c r="D915" t="inlineStr">
        <is>
          <t>JÄMTLANDS LÄN</t>
        </is>
      </c>
      <c r="E915" t="inlineStr">
        <is>
          <t>STRÖMSUND</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65530-2020</t>
        </is>
      </c>
      <c r="B916" s="1" t="n">
        <v>44173</v>
      </c>
      <c r="C916" s="1" t="n">
        <v>45688</v>
      </c>
      <c r="D916" t="inlineStr">
        <is>
          <t>JÄMTLANDS LÄN</t>
        </is>
      </c>
      <c r="E916" t="inlineStr">
        <is>
          <t>STRÖMSUND</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65618-2020</t>
        </is>
      </c>
      <c r="B917" s="1" t="n">
        <v>44173</v>
      </c>
      <c r="C917" s="1" t="n">
        <v>45688</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65797-2020</t>
        </is>
      </c>
      <c r="B918" s="1" t="n">
        <v>44174</v>
      </c>
      <c r="C918" s="1" t="n">
        <v>45688</v>
      </c>
      <c r="D918" t="inlineStr">
        <is>
          <t>JÄMTLANDS LÄN</t>
        </is>
      </c>
      <c r="E918" t="inlineStr">
        <is>
          <t>STRÖMSUND</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65762-2020</t>
        </is>
      </c>
      <c r="B919" s="1" t="n">
        <v>44174</v>
      </c>
      <c r="C919" s="1" t="n">
        <v>45688</v>
      </c>
      <c r="D919" t="inlineStr">
        <is>
          <t>JÄMTLANDS LÄN</t>
        </is>
      </c>
      <c r="E919" t="inlineStr">
        <is>
          <t>STRÖMSUND</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65768-2020</t>
        </is>
      </c>
      <c r="B920" s="1" t="n">
        <v>44174</v>
      </c>
      <c r="C920" s="1" t="n">
        <v>45688</v>
      </c>
      <c r="D920" t="inlineStr">
        <is>
          <t>JÄMTLANDS LÄN</t>
        </is>
      </c>
      <c r="E920" t="inlineStr">
        <is>
          <t>STRÖMSUND</t>
        </is>
      </c>
      <c r="F920" t="inlineStr">
        <is>
          <t>Holmen skog AB</t>
        </is>
      </c>
      <c r="G920" t="n">
        <v>21.7</v>
      </c>
      <c r="H920" t="n">
        <v>0</v>
      </c>
      <c r="I920" t="n">
        <v>0</v>
      </c>
      <c r="J920" t="n">
        <v>0</v>
      </c>
      <c r="K920" t="n">
        <v>0</v>
      </c>
      <c r="L920" t="n">
        <v>0</v>
      </c>
      <c r="M920" t="n">
        <v>0</v>
      </c>
      <c r="N920" t="n">
        <v>0</v>
      </c>
      <c r="O920" t="n">
        <v>0</v>
      </c>
      <c r="P920" t="n">
        <v>0</v>
      </c>
      <c r="Q920" t="n">
        <v>0</v>
      </c>
      <c r="R920" s="2" t="inlineStr"/>
    </row>
    <row r="921" ht="15" customHeight="1">
      <c r="A921" t="inlineStr">
        <is>
          <t>A 66130-2020</t>
        </is>
      </c>
      <c r="B921" s="1" t="n">
        <v>44175</v>
      </c>
      <c r="C921" s="1" t="n">
        <v>45688</v>
      </c>
      <c r="D921" t="inlineStr">
        <is>
          <t>JÄMTLANDS LÄN</t>
        </is>
      </c>
      <c r="E921" t="inlineStr">
        <is>
          <t>STRÖMSUND</t>
        </is>
      </c>
      <c r="F921" t="inlineStr">
        <is>
          <t>Holmen skog AB</t>
        </is>
      </c>
      <c r="G921" t="n">
        <v>20.1</v>
      </c>
      <c r="H921" t="n">
        <v>0</v>
      </c>
      <c r="I921" t="n">
        <v>0</v>
      </c>
      <c r="J921" t="n">
        <v>0</v>
      </c>
      <c r="K921" t="n">
        <v>0</v>
      </c>
      <c r="L921" t="n">
        <v>0</v>
      </c>
      <c r="M921" t="n">
        <v>0</v>
      </c>
      <c r="N921" t="n">
        <v>0</v>
      </c>
      <c r="O921" t="n">
        <v>0</v>
      </c>
      <c r="P921" t="n">
        <v>0</v>
      </c>
      <c r="Q921" t="n">
        <v>0</v>
      </c>
      <c r="R921" s="2" t="inlineStr"/>
    </row>
    <row r="922" ht="15" customHeight="1">
      <c r="A922" t="inlineStr">
        <is>
          <t>A 65997-2020</t>
        </is>
      </c>
      <c r="B922" s="1" t="n">
        <v>44175</v>
      </c>
      <c r="C922" s="1" t="n">
        <v>45688</v>
      </c>
      <c r="D922" t="inlineStr">
        <is>
          <t>JÄMTLANDS LÄN</t>
        </is>
      </c>
      <c r="E922" t="inlineStr">
        <is>
          <t>STRÖMSUND</t>
        </is>
      </c>
      <c r="F922" t="inlineStr">
        <is>
          <t>Kyrkan</t>
        </is>
      </c>
      <c r="G922" t="n">
        <v>3.7</v>
      </c>
      <c r="H922" t="n">
        <v>0</v>
      </c>
      <c r="I922" t="n">
        <v>0</v>
      </c>
      <c r="J922" t="n">
        <v>0</v>
      </c>
      <c r="K922" t="n">
        <v>0</v>
      </c>
      <c r="L922" t="n">
        <v>0</v>
      </c>
      <c r="M922" t="n">
        <v>0</v>
      </c>
      <c r="N922" t="n">
        <v>0</v>
      </c>
      <c r="O922" t="n">
        <v>0</v>
      </c>
      <c r="P922" t="n">
        <v>0</v>
      </c>
      <c r="Q922" t="n">
        <v>0</v>
      </c>
      <c r="R922" s="2" t="inlineStr"/>
    </row>
    <row r="923" ht="15" customHeight="1">
      <c r="A923" t="inlineStr">
        <is>
          <t>A 66982-2020</t>
        </is>
      </c>
      <c r="B923" s="1" t="n">
        <v>44176</v>
      </c>
      <c r="C923" s="1" t="n">
        <v>45688</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66983-2020</t>
        </is>
      </c>
      <c r="B924" s="1" t="n">
        <v>44176</v>
      </c>
      <c r="C924" s="1" t="n">
        <v>45688</v>
      </c>
      <c r="D924" t="inlineStr">
        <is>
          <t>JÄMTLANDS LÄN</t>
        </is>
      </c>
      <c r="E924" t="inlineStr">
        <is>
          <t>STRÖMSUND</t>
        </is>
      </c>
      <c r="G924" t="n">
        <v>4.8</v>
      </c>
      <c r="H924" t="n">
        <v>0</v>
      </c>
      <c r="I924" t="n">
        <v>0</v>
      </c>
      <c r="J924" t="n">
        <v>0</v>
      </c>
      <c r="K924" t="n">
        <v>0</v>
      </c>
      <c r="L924" t="n">
        <v>0</v>
      </c>
      <c r="M924" t="n">
        <v>0</v>
      </c>
      <c r="N924" t="n">
        <v>0</v>
      </c>
      <c r="O924" t="n">
        <v>0</v>
      </c>
      <c r="P924" t="n">
        <v>0</v>
      </c>
      <c r="Q924" t="n">
        <v>0</v>
      </c>
      <c r="R924" s="2" t="inlineStr"/>
    </row>
    <row r="925" ht="15" customHeight="1">
      <c r="A925" t="inlineStr">
        <is>
          <t>A 66770-2020</t>
        </is>
      </c>
      <c r="B925" s="1" t="n">
        <v>44179</v>
      </c>
      <c r="C925" s="1" t="n">
        <v>45688</v>
      </c>
      <c r="D925" t="inlineStr">
        <is>
          <t>JÄMTLANDS LÄN</t>
        </is>
      </c>
      <c r="E925" t="inlineStr">
        <is>
          <t>STRÖMSUND</t>
        </is>
      </c>
      <c r="F925" t="inlineStr">
        <is>
          <t>Holmen skog AB</t>
        </is>
      </c>
      <c r="G925" t="n">
        <v>17.9</v>
      </c>
      <c r="H925" t="n">
        <v>0</v>
      </c>
      <c r="I925" t="n">
        <v>0</v>
      </c>
      <c r="J925" t="n">
        <v>0</v>
      </c>
      <c r="K925" t="n">
        <v>0</v>
      </c>
      <c r="L925" t="n">
        <v>0</v>
      </c>
      <c r="M925" t="n">
        <v>0</v>
      </c>
      <c r="N925" t="n">
        <v>0</v>
      </c>
      <c r="O925" t="n">
        <v>0</v>
      </c>
      <c r="P925" t="n">
        <v>0</v>
      </c>
      <c r="Q925" t="n">
        <v>0</v>
      </c>
      <c r="R925" s="2" t="inlineStr"/>
    </row>
    <row r="926" ht="15" customHeight="1">
      <c r="A926" t="inlineStr">
        <is>
          <t>A 66653-2020</t>
        </is>
      </c>
      <c r="B926" s="1" t="n">
        <v>44179</v>
      </c>
      <c r="C926" s="1" t="n">
        <v>45688</v>
      </c>
      <c r="D926" t="inlineStr">
        <is>
          <t>JÄMTLANDS LÄN</t>
        </is>
      </c>
      <c r="E926" t="inlineStr">
        <is>
          <t>STRÖMSUND</t>
        </is>
      </c>
      <c r="F926" t="inlineStr">
        <is>
          <t>SCA</t>
        </is>
      </c>
      <c r="G926" t="n">
        <v>27.7</v>
      </c>
      <c r="H926" t="n">
        <v>0</v>
      </c>
      <c r="I926" t="n">
        <v>0</v>
      </c>
      <c r="J926" t="n">
        <v>0</v>
      </c>
      <c r="K926" t="n">
        <v>0</v>
      </c>
      <c r="L926" t="n">
        <v>0</v>
      </c>
      <c r="M926" t="n">
        <v>0</v>
      </c>
      <c r="N926" t="n">
        <v>0</v>
      </c>
      <c r="O926" t="n">
        <v>0</v>
      </c>
      <c r="P926" t="n">
        <v>0</v>
      </c>
      <c r="Q926" t="n">
        <v>0</v>
      </c>
      <c r="R926" s="2" t="inlineStr"/>
    </row>
    <row r="927" ht="15" customHeight="1">
      <c r="A927" t="inlineStr">
        <is>
          <t>A 66702-2020</t>
        </is>
      </c>
      <c r="B927" s="1" t="n">
        <v>44179</v>
      </c>
      <c r="C927" s="1" t="n">
        <v>45688</v>
      </c>
      <c r="D927" t="inlineStr">
        <is>
          <t>JÄMTLANDS LÄN</t>
        </is>
      </c>
      <c r="E927" t="inlineStr">
        <is>
          <t>STRÖMSUND</t>
        </is>
      </c>
      <c r="F927" t="inlineStr">
        <is>
          <t>SCA</t>
        </is>
      </c>
      <c r="G927" t="n">
        <v>23.5</v>
      </c>
      <c r="H927" t="n">
        <v>0</v>
      </c>
      <c r="I927" t="n">
        <v>0</v>
      </c>
      <c r="J927" t="n">
        <v>0</v>
      </c>
      <c r="K927" t="n">
        <v>0</v>
      </c>
      <c r="L927" t="n">
        <v>0</v>
      </c>
      <c r="M927" t="n">
        <v>0</v>
      </c>
      <c r="N927" t="n">
        <v>0</v>
      </c>
      <c r="O927" t="n">
        <v>0</v>
      </c>
      <c r="P927" t="n">
        <v>0</v>
      </c>
      <c r="Q927" t="n">
        <v>0</v>
      </c>
      <c r="R927" s="2" t="inlineStr"/>
    </row>
    <row r="928" ht="15" customHeight="1">
      <c r="A928" t="inlineStr">
        <is>
          <t>A 66739-2020</t>
        </is>
      </c>
      <c r="B928" s="1" t="n">
        <v>44179</v>
      </c>
      <c r="C928" s="1" t="n">
        <v>45688</v>
      </c>
      <c r="D928" t="inlineStr">
        <is>
          <t>JÄMTLANDS LÄN</t>
        </is>
      </c>
      <c r="E928" t="inlineStr">
        <is>
          <t>STRÖMSUND</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67620-2020</t>
        </is>
      </c>
      <c r="B929" s="1" t="n">
        <v>44181</v>
      </c>
      <c r="C929" s="1" t="n">
        <v>45688</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67621-2020</t>
        </is>
      </c>
      <c r="B930" s="1" t="n">
        <v>44181</v>
      </c>
      <c r="C930" s="1" t="n">
        <v>45688</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67618-2020</t>
        </is>
      </c>
      <c r="B931" s="1" t="n">
        <v>44181</v>
      </c>
      <c r="C931" s="1" t="n">
        <v>45688</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68006-2020</t>
        </is>
      </c>
      <c r="B932" s="1" t="n">
        <v>44182</v>
      </c>
      <c r="C932" s="1" t="n">
        <v>45688</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68522-2020</t>
        </is>
      </c>
      <c r="B933" s="1" t="n">
        <v>44186</v>
      </c>
      <c r="C933" s="1" t="n">
        <v>45688</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68568-2020</t>
        </is>
      </c>
      <c r="B934" s="1" t="n">
        <v>44186</v>
      </c>
      <c r="C934" s="1" t="n">
        <v>45688</v>
      </c>
      <c r="D934" t="inlineStr">
        <is>
          <t>JÄMTLANDS LÄN</t>
        </is>
      </c>
      <c r="E934" t="inlineStr">
        <is>
          <t>STRÖMSUND</t>
        </is>
      </c>
      <c r="F934" t="inlineStr">
        <is>
          <t>Holmen skog AB</t>
        </is>
      </c>
      <c r="G934" t="n">
        <v>39.3</v>
      </c>
      <c r="H934" t="n">
        <v>0</v>
      </c>
      <c r="I934" t="n">
        <v>0</v>
      </c>
      <c r="J934" t="n">
        <v>0</v>
      </c>
      <c r="K934" t="n">
        <v>0</v>
      </c>
      <c r="L934" t="n">
        <v>0</v>
      </c>
      <c r="M934" t="n">
        <v>0</v>
      </c>
      <c r="N934" t="n">
        <v>0</v>
      </c>
      <c r="O934" t="n">
        <v>0</v>
      </c>
      <c r="P934" t="n">
        <v>0</v>
      </c>
      <c r="Q934" t="n">
        <v>0</v>
      </c>
      <c r="R934" s="2" t="inlineStr"/>
    </row>
    <row r="935" ht="15" customHeight="1">
      <c r="A935" t="inlineStr">
        <is>
          <t>A 68783-2020</t>
        </is>
      </c>
      <c r="B935" s="1" t="n">
        <v>44186</v>
      </c>
      <c r="C935" s="1" t="n">
        <v>45688</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68653-2020</t>
        </is>
      </c>
      <c r="B936" s="1" t="n">
        <v>44186</v>
      </c>
      <c r="C936" s="1" t="n">
        <v>45688</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69282-2020</t>
        </is>
      </c>
      <c r="B937" s="1" t="n">
        <v>44188</v>
      </c>
      <c r="C937" s="1" t="n">
        <v>45688</v>
      </c>
      <c r="D937" t="inlineStr">
        <is>
          <t>JÄMTLANDS LÄN</t>
        </is>
      </c>
      <c r="E937" t="inlineStr">
        <is>
          <t>STRÖMSUND</t>
        </is>
      </c>
      <c r="G937" t="n">
        <v>13.8</v>
      </c>
      <c r="H937" t="n">
        <v>0</v>
      </c>
      <c r="I937" t="n">
        <v>0</v>
      </c>
      <c r="J937" t="n">
        <v>0</v>
      </c>
      <c r="K937" t="n">
        <v>0</v>
      </c>
      <c r="L937" t="n">
        <v>0</v>
      </c>
      <c r="M937" t="n">
        <v>0</v>
      </c>
      <c r="N937" t="n">
        <v>0</v>
      </c>
      <c r="O937" t="n">
        <v>0</v>
      </c>
      <c r="P937" t="n">
        <v>0</v>
      </c>
      <c r="Q937" t="n">
        <v>0</v>
      </c>
      <c r="R937" s="2" t="inlineStr"/>
    </row>
    <row r="938" ht="15" customHeight="1">
      <c r="A938" t="inlineStr">
        <is>
          <t>A 69346-2020</t>
        </is>
      </c>
      <c r="B938" s="1" t="n">
        <v>44193</v>
      </c>
      <c r="C938" s="1" t="n">
        <v>45688</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69508-2020</t>
        </is>
      </c>
      <c r="B939" s="1" t="n">
        <v>44193</v>
      </c>
      <c r="C939" s="1" t="n">
        <v>45688</v>
      </c>
      <c r="D939" t="inlineStr">
        <is>
          <t>JÄMTLANDS LÄN</t>
        </is>
      </c>
      <c r="E939" t="inlineStr">
        <is>
          <t>STRÖMSUND</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69506-2020</t>
        </is>
      </c>
      <c r="B940" s="1" t="n">
        <v>44193</v>
      </c>
      <c r="C940" s="1" t="n">
        <v>45688</v>
      </c>
      <c r="D940" t="inlineStr">
        <is>
          <t>JÄMTLANDS LÄN</t>
        </is>
      </c>
      <c r="E940" t="inlineStr">
        <is>
          <t>STRÖMSUND</t>
        </is>
      </c>
      <c r="F940" t="inlineStr">
        <is>
          <t>Övriga statliga verk och myndigheter</t>
        </is>
      </c>
      <c r="G940" t="n">
        <v>14.1</v>
      </c>
      <c r="H940" t="n">
        <v>0</v>
      </c>
      <c r="I940" t="n">
        <v>0</v>
      </c>
      <c r="J940" t="n">
        <v>0</v>
      </c>
      <c r="K940" t="n">
        <v>0</v>
      </c>
      <c r="L940" t="n">
        <v>0</v>
      </c>
      <c r="M940" t="n">
        <v>0</v>
      </c>
      <c r="N940" t="n">
        <v>0</v>
      </c>
      <c r="O940" t="n">
        <v>0</v>
      </c>
      <c r="P940" t="n">
        <v>0</v>
      </c>
      <c r="Q940" t="n">
        <v>0</v>
      </c>
      <c r="R940" s="2" t="inlineStr"/>
    </row>
    <row r="941" ht="15" customHeight="1">
      <c r="A941" t="inlineStr">
        <is>
          <t>A 108-2021</t>
        </is>
      </c>
      <c r="B941" s="1" t="n">
        <v>44195</v>
      </c>
      <c r="C941" s="1" t="n">
        <v>45688</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135-2021</t>
        </is>
      </c>
      <c r="B942" s="1" t="n">
        <v>44196</v>
      </c>
      <c r="C942" s="1" t="n">
        <v>45688</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142-2021</t>
        </is>
      </c>
      <c r="B943" s="1" t="n">
        <v>44196</v>
      </c>
      <c r="C943" s="1" t="n">
        <v>45688</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138-2021</t>
        </is>
      </c>
      <c r="B944" s="1" t="n">
        <v>44196</v>
      </c>
      <c r="C944" s="1" t="n">
        <v>45688</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326-2021</t>
        </is>
      </c>
      <c r="B945" s="1" t="n">
        <v>44201</v>
      </c>
      <c r="C945" s="1" t="n">
        <v>45688</v>
      </c>
      <c r="D945" t="inlineStr">
        <is>
          <t>JÄMTLANDS LÄN</t>
        </is>
      </c>
      <c r="E945" t="inlineStr">
        <is>
          <t>STRÖMSUND</t>
        </is>
      </c>
      <c r="F945" t="inlineStr">
        <is>
          <t>SCA</t>
        </is>
      </c>
      <c r="G945" t="n">
        <v>88.09999999999999</v>
      </c>
      <c r="H945" t="n">
        <v>0</v>
      </c>
      <c r="I945" t="n">
        <v>0</v>
      </c>
      <c r="J945" t="n">
        <v>0</v>
      </c>
      <c r="K945" t="n">
        <v>0</v>
      </c>
      <c r="L945" t="n">
        <v>0</v>
      </c>
      <c r="M945" t="n">
        <v>0</v>
      </c>
      <c r="N945" t="n">
        <v>0</v>
      </c>
      <c r="O945" t="n">
        <v>0</v>
      </c>
      <c r="P945" t="n">
        <v>0</v>
      </c>
      <c r="Q945" t="n">
        <v>0</v>
      </c>
      <c r="R945" s="2" t="inlineStr"/>
    </row>
    <row r="946" ht="15" customHeight="1">
      <c r="A946" t="inlineStr">
        <is>
          <t>A 363-2021</t>
        </is>
      </c>
      <c r="B946" s="1" t="n">
        <v>44201</v>
      </c>
      <c r="C946" s="1" t="n">
        <v>45688</v>
      </c>
      <c r="D946" t="inlineStr">
        <is>
          <t>JÄMTLANDS LÄN</t>
        </is>
      </c>
      <c r="E946" t="inlineStr">
        <is>
          <t>STRÖMSUND</t>
        </is>
      </c>
      <c r="F946" t="inlineStr">
        <is>
          <t>SCA</t>
        </is>
      </c>
      <c r="G946" t="n">
        <v>52.4</v>
      </c>
      <c r="H946" t="n">
        <v>0</v>
      </c>
      <c r="I946" t="n">
        <v>0</v>
      </c>
      <c r="J946" t="n">
        <v>0</v>
      </c>
      <c r="K946" t="n">
        <v>0</v>
      </c>
      <c r="L946" t="n">
        <v>0</v>
      </c>
      <c r="M946" t="n">
        <v>0</v>
      </c>
      <c r="N946" t="n">
        <v>0</v>
      </c>
      <c r="O946" t="n">
        <v>0</v>
      </c>
      <c r="P946" t="n">
        <v>0</v>
      </c>
      <c r="Q946" t="n">
        <v>0</v>
      </c>
      <c r="R946" s="2" t="inlineStr"/>
    </row>
    <row r="947" ht="15" customHeight="1">
      <c r="A947" t="inlineStr">
        <is>
          <t>A 457-2021</t>
        </is>
      </c>
      <c r="B947" s="1" t="n">
        <v>44202</v>
      </c>
      <c r="C947" s="1" t="n">
        <v>45688</v>
      </c>
      <c r="D947" t="inlineStr">
        <is>
          <t>JÄMTLANDS LÄN</t>
        </is>
      </c>
      <c r="E947" t="inlineStr">
        <is>
          <t>STRÖMSUND</t>
        </is>
      </c>
      <c r="G947" t="n">
        <v>2.3</v>
      </c>
      <c r="H947" t="n">
        <v>0</v>
      </c>
      <c r="I947" t="n">
        <v>0</v>
      </c>
      <c r="J947" t="n">
        <v>0</v>
      </c>
      <c r="K947" t="n">
        <v>0</v>
      </c>
      <c r="L947" t="n">
        <v>0</v>
      </c>
      <c r="M947" t="n">
        <v>0</v>
      </c>
      <c r="N947" t="n">
        <v>0</v>
      </c>
      <c r="O947" t="n">
        <v>0</v>
      </c>
      <c r="P947" t="n">
        <v>0</v>
      </c>
      <c r="Q947" t="n">
        <v>0</v>
      </c>
      <c r="R947" s="2" t="inlineStr"/>
    </row>
    <row r="948" ht="15" customHeight="1">
      <c r="A948" t="inlineStr">
        <is>
          <t>A 582-2021</t>
        </is>
      </c>
      <c r="B948" s="1" t="n">
        <v>44203</v>
      </c>
      <c r="C948" s="1" t="n">
        <v>45688</v>
      </c>
      <c r="D948" t="inlineStr">
        <is>
          <t>JÄMTLANDS LÄN</t>
        </is>
      </c>
      <c r="E948" t="inlineStr">
        <is>
          <t>STRÖMSUND</t>
        </is>
      </c>
      <c r="F948" t="inlineStr">
        <is>
          <t>SCA</t>
        </is>
      </c>
      <c r="G948" t="n">
        <v>54.9</v>
      </c>
      <c r="H948" t="n">
        <v>0</v>
      </c>
      <c r="I948" t="n">
        <v>0</v>
      </c>
      <c r="J948" t="n">
        <v>0</v>
      </c>
      <c r="K948" t="n">
        <v>0</v>
      </c>
      <c r="L948" t="n">
        <v>0</v>
      </c>
      <c r="M948" t="n">
        <v>0</v>
      </c>
      <c r="N948" t="n">
        <v>0</v>
      </c>
      <c r="O948" t="n">
        <v>0</v>
      </c>
      <c r="P948" t="n">
        <v>0</v>
      </c>
      <c r="Q948" t="n">
        <v>0</v>
      </c>
      <c r="R948" s="2" t="inlineStr"/>
    </row>
    <row r="949" ht="15" customHeight="1">
      <c r="A949" t="inlineStr">
        <is>
          <t>A 647-2021</t>
        </is>
      </c>
      <c r="B949" s="1" t="n">
        <v>44203</v>
      </c>
      <c r="C949" s="1" t="n">
        <v>45688</v>
      </c>
      <c r="D949" t="inlineStr">
        <is>
          <t>JÄMTLANDS LÄN</t>
        </is>
      </c>
      <c r="E949" t="inlineStr">
        <is>
          <t>STRÖMSUND</t>
        </is>
      </c>
      <c r="F949" t="inlineStr">
        <is>
          <t>SCA</t>
        </is>
      </c>
      <c r="G949" t="n">
        <v>151.3</v>
      </c>
      <c r="H949" t="n">
        <v>0</v>
      </c>
      <c r="I949" t="n">
        <v>0</v>
      </c>
      <c r="J949" t="n">
        <v>0</v>
      </c>
      <c r="K949" t="n">
        <v>0</v>
      </c>
      <c r="L949" t="n">
        <v>0</v>
      </c>
      <c r="M949" t="n">
        <v>0</v>
      </c>
      <c r="N949" t="n">
        <v>0</v>
      </c>
      <c r="O949" t="n">
        <v>0</v>
      </c>
      <c r="P949" t="n">
        <v>0</v>
      </c>
      <c r="Q949" t="n">
        <v>0</v>
      </c>
      <c r="R949" s="2" t="inlineStr"/>
    </row>
    <row r="950" ht="15" customHeight="1">
      <c r="A950" t="inlineStr">
        <is>
          <t>A 742-2021</t>
        </is>
      </c>
      <c r="B950" s="1" t="n">
        <v>44204</v>
      </c>
      <c r="C950" s="1" t="n">
        <v>45688</v>
      </c>
      <c r="D950" t="inlineStr">
        <is>
          <t>JÄMTLANDS LÄN</t>
        </is>
      </c>
      <c r="E950" t="inlineStr">
        <is>
          <t>STRÖMSUND</t>
        </is>
      </c>
      <c r="F950" t="inlineStr">
        <is>
          <t>SCA</t>
        </is>
      </c>
      <c r="G950" t="n">
        <v>22.8</v>
      </c>
      <c r="H950" t="n">
        <v>0</v>
      </c>
      <c r="I950" t="n">
        <v>0</v>
      </c>
      <c r="J950" t="n">
        <v>0</v>
      </c>
      <c r="K950" t="n">
        <v>0</v>
      </c>
      <c r="L950" t="n">
        <v>0</v>
      </c>
      <c r="M950" t="n">
        <v>0</v>
      </c>
      <c r="N950" t="n">
        <v>0</v>
      </c>
      <c r="O950" t="n">
        <v>0</v>
      </c>
      <c r="P950" t="n">
        <v>0</v>
      </c>
      <c r="Q950" t="n">
        <v>0</v>
      </c>
      <c r="R950" s="2" t="inlineStr"/>
    </row>
    <row r="951" ht="15" customHeight="1">
      <c r="A951" t="inlineStr">
        <is>
          <t>A 1305-2021</t>
        </is>
      </c>
      <c r="B951" s="1" t="n">
        <v>44207</v>
      </c>
      <c r="C951" s="1" t="n">
        <v>45688</v>
      </c>
      <c r="D951" t="inlineStr">
        <is>
          <t>JÄMTLANDS LÄN</t>
        </is>
      </c>
      <c r="E951" t="inlineStr">
        <is>
          <t>STRÖMSUND</t>
        </is>
      </c>
      <c r="G951" t="n">
        <v>0.8</v>
      </c>
      <c r="H951" t="n">
        <v>0</v>
      </c>
      <c r="I951" t="n">
        <v>0</v>
      </c>
      <c r="J951" t="n">
        <v>0</v>
      </c>
      <c r="K951" t="n">
        <v>0</v>
      </c>
      <c r="L951" t="n">
        <v>0</v>
      </c>
      <c r="M951" t="n">
        <v>0</v>
      </c>
      <c r="N951" t="n">
        <v>0</v>
      </c>
      <c r="O951" t="n">
        <v>0</v>
      </c>
      <c r="P951" t="n">
        <v>0</v>
      </c>
      <c r="Q951" t="n">
        <v>0</v>
      </c>
      <c r="R951" s="2" t="inlineStr"/>
    </row>
    <row r="952" ht="15" customHeight="1">
      <c r="A952" t="inlineStr">
        <is>
          <t>A 2159-2021</t>
        </is>
      </c>
      <c r="B952" s="1" t="n">
        <v>44211</v>
      </c>
      <c r="C952" s="1" t="n">
        <v>45688</v>
      </c>
      <c r="D952" t="inlineStr">
        <is>
          <t>JÄMTLANDS LÄN</t>
        </is>
      </c>
      <c r="E952" t="inlineStr">
        <is>
          <t>STRÖMSUND</t>
        </is>
      </c>
      <c r="G952" t="n">
        <v>0.6</v>
      </c>
      <c r="H952" t="n">
        <v>0</v>
      </c>
      <c r="I952" t="n">
        <v>0</v>
      </c>
      <c r="J952" t="n">
        <v>0</v>
      </c>
      <c r="K952" t="n">
        <v>0</v>
      </c>
      <c r="L952" t="n">
        <v>0</v>
      </c>
      <c r="M952" t="n">
        <v>0</v>
      </c>
      <c r="N952" t="n">
        <v>0</v>
      </c>
      <c r="O952" t="n">
        <v>0</v>
      </c>
      <c r="P952" t="n">
        <v>0</v>
      </c>
      <c r="Q952" t="n">
        <v>0</v>
      </c>
      <c r="R952" s="2" t="inlineStr"/>
    </row>
    <row r="953" ht="15" customHeight="1">
      <c r="A953" t="inlineStr">
        <is>
          <t>A 2432-2021</t>
        </is>
      </c>
      <c r="B953" s="1" t="n">
        <v>44211</v>
      </c>
      <c r="C953" s="1" t="n">
        <v>45688</v>
      </c>
      <c r="D953" t="inlineStr">
        <is>
          <t>JÄMTLANDS LÄN</t>
        </is>
      </c>
      <c r="E953" t="inlineStr">
        <is>
          <t>STRÖMSUND</t>
        </is>
      </c>
      <c r="G953" t="n">
        <v>1.5</v>
      </c>
      <c r="H953" t="n">
        <v>0</v>
      </c>
      <c r="I953" t="n">
        <v>0</v>
      </c>
      <c r="J953" t="n">
        <v>0</v>
      </c>
      <c r="K953" t="n">
        <v>0</v>
      </c>
      <c r="L953" t="n">
        <v>0</v>
      </c>
      <c r="M953" t="n">
        <v>0</v>
      </c>
      <c r="N953" t="n">
        <v>0</v>
      </c>
      <c r="O953" t="n">
        <v>0</v>
      </c>
      <c r="P953" t="n">
        <v>0</v>
      </c>
      <c r="Q953" t="n">
        <v>0</v>
      </c>
      <c r="R953" s="2" t="inlineStr"/>
    </row>
    <row r="954" ht="15" customHeight="1">
      <c r="A954" t="inlineStr">
        <is>
          <t>A 2549-2021</t>
        </is>
      </c>
      <c r="B954" s="1" t="n">
        <v>44214</v>
      </c>
      <c r="C954" s="1" t="n">
        <v>45688</v>
      </c>
      <c r="D954" t="inlineStr">
        <is>
          <t>JÄMTLANDS LÄN</t>
        </is>
      </c>
      <c r="E954" t="inlineStr">
        <is>
          <t>STRÖMSUND</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2660-2021</t>
        </is>
      </c>
      <c r="B955" s="1" t="n">
        <v>44215</v>
      </c>
      <c r="C955" s="1" t="n">
        <v>45688</v>
      </c>
      <c r="D955" t="inlineStr">
        <is>
          <t>JÄMTLANDS LÄN</t>
        </is>
      </c>
      <c r="E955" t="inlineStr">
        <is>
          <t>STRÖMSUND</t>
        </is>
      </c>
      <c r="G955" t="n">
        <v>11.2</v>
      </c>
      <c r="H955" t="n">
        <v>0</v>
      </c>
      <c r="I955" t="n">
        <v>0</v>
      </c>
      <c r="J955" t="n">
        <v>0</v>
      </c>
      <c r="K955" t="n">
        <v>0</v>
      </c>
      <c r="L955" t="n">
        <v>0</v>
      </c>
      <c r="M955" t="n">
        <v>0</v>
      </c>
      <c r="N955" t="n">
        <v>0</v>
      </c>
      <c r="O955" t="n">
        <v>0</v>
      </c>
      <c r="P955" t="n">
        <v>0</v>
      </c>
      <c r="Q955" t="n">
        <v>0</v>
      </c>
      <c r="R955" s="2" t="inlineStr"/>
    </row>
    <row r="956" ht="15" customHeight="1">
      <c r="A956" t="inlineStr">
        <is>
          <t>A 3186-2021</t>
        </is>
      </c>
      <c r="B956" s="1" t="n">
        <v>44217</v>
      </c>
      <c r="C956" s="1" t="n">
        <v>45688</v>
      </c>
      <c r="D956" t="inlineStr">
        <is>
          <t>JÄMTLANDS LÄN</t>
        </is>
      </c>
      <c r="E956" t="inlineStr">
        <is>
          <t>STRÖMSUND</t>
        </is>
      </c>
      <c r="G956" t="n">
        <v>13.7</v>
      </c>
      <c r="H956" t="n">
        <v>0</v>
      </c>
      <c r="I956" t="n">
        <v>0</v>
      </c>
      <c r="J956" t="n">
        <v>0</v>
      </c>
      <c r="K956" t="n">
        <v>0</v>
      </c>
      <c r="L956" t="n">
        <v>0</v>
      </c>
      <c r="M956" t="n">
        <v>0</v>
      </c>
      <c r="N956" t="n">
        <v>0</v>
      </c>
      <c r="O956" t="n">
        <v>0</v>
      </c>
      <c r="P956" t="n">
        <v>0</v>
      </c>
      <c r="Q956" t="n">
        <v>0</v>
      </c>
      <c r="R956" s="2" t="inlineStr"/>
    </row>
    <row r="957" ht="15" customHeight="1">
      <c r="A957" t="inlineStr">
        <is>
          <t>A 4004-2021</t>
        </is>
      </c>
      <c r="B957" s="1" t="n">
        <v>44222</v>
      </c>
      <c r="C957" s="1" t="n">
        <v>45688</v>
      </c>
      <c r="D957" t="inlineStr">
        <is>
          <t>JÄMTLANDS LÄN</t>
        </is>
      </c>
      <c r="E957" t="inlineStr">
        <is>
          <t>STRÖMSUND</t>
        </is>
      </c>
      <c r="F957" t="inlineStr">
        <is>
          <t>Kyrkan</t>
        </is>
      </c>
      <c r="G957" t="n">
        <v>5.9</v>
      </c>
      <c r="H957" t="n">
        <v>0</v>
      </c>
      <c r="I957" t="n">
        <v>0</v>
      </c>
      <c r="J957" t="n">
        <v>0</v>
      </c>
      <c r="K957" t="n">
        <v>0</v>
      </c>
      <c r="L957" t="n">
        <v>0</v>
      </c>
      <c r="M957" t="n">
        <v>0</v>
      </c>
      <c r="N957" t="n">
        <v>0</v>
      </c>
      <c r="O957" t="n">
        <v>0</v>
      </c>
      <c r="P957" t="n">
        <v>0</v>
      </c>
      <c r="Q957" t="n">
        <v>0</v>
      </c>
      <c r="R957" s="2" t="inlineStr"/>
    </row>
    <row r="958" ht="15" customHeight="1">
      <c r="A958" t="inlineStr">
        <is>
          <t>A 4135-2021</t>
        </is>
      </c>
      <c r="B958" s="1" t="n">
        <v>44223</v>
      </c>
      <c r="C958" s="1" t="n">
        <v>45688</v>
      </c>
      <c r="D958" t="inlineStr">
        <is>
          <t>JÄMTLANDS LÄN</t>
        </is>
      </c>
      <c r="E958" t="inlineStr">
        <is>
          <t>STRÖMSUND</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4662-2021</t>
        </is>
      </c>
      <c r="B959" s="1" t="n">
        <v>44224</v>
      </c>
      <c r="C959" s="1" t="n">
        <v>45688</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4661-2021</t>
        </is>
      </c>
      <c r="B960" s="1" t="n">
        <v>44224</v>
      </c>
      <c r="C960" s="1" t="n">
        <v>45688</v>
      </c>
      <c r="D960" t="inlineStr">
        <is>
          <t>JÄMTLANDS LÄN</t>
        </is>
      </c>
      <c r="E960" t="inlineStr">
        <is>
          <t>STRÖMSUND</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5034-2021</t>
        </is>
      </c>
      <c r="B961" s="1" t="n">
        <v>44228</v>
      </c>
      <c r="C961" s="1" t="n">
        <v>45688</v>
      </c>
      <c r="D961" t="inlineStr">
        <is>
          <t>JÄMTLANDS LÄN</t>
        </is>
      </c>
      <c r="E961" t="inlineStr">
        <is>
          <t>STRÖMSUND</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5384-2021</t>
        </is>
      </c>
      <c r="B962" s="1" t="n">
        <v>44228</v>
      </c>
      <c r="C962" s="1" t="n">
        <v>45688</v>
      </c>
      <c r="D962" t="inlineStr">
        <is>
          <t>JÄMTLANDS LÄN</t>
        </is>
      </c>
      <c r="E962" t="inlineStr">
        <is>
          <t>STRÖMSUND</t>
        </is>
      </c>
      <c r="G962" t="n">
        <v>18.3</v>
      </c>
      <c r="H962" t="n">
        <v>0</v>
      </c>
      <c r="I962" t="n">
        <v>0</v>
      </c>
      <c r="J962" t="n">
        <v>0</v>
      </c>
      <c r="K962" t="n">
        <v>0</v>
      </c>
      <c r="L962" t="n">
        <v>0</v>
      </c>
      <c r="M962" t="n">
        <v>0</v>
      </c>
      <c r="N962" t="n">
        <v>0</v>
      </c>
      <c r="O962" t="n">
        <v>0</v>
      </c>
      <c r="P962" t="n">
        <v>0</v>
      </c>
      <c r="Q962" t="n">
        <v>0</v>
      </c>
      <c r="R962" s="2" t="inlineStr"/>
    </row>
    <row r="963" ht="15" customHeight="1">
      <c r="A963" t="inlineStr">
        <is>
          <t>A 5464-2021</t>
        </is>
      </c>
      <c r="B963" s="1" t="n">
        <v>44229</v>
      </c>
      <c r="C963" s="1" t="n">
        <v>45688</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5470-2021</t>
        </is>
      </c>
      <c r="B964" s="1" t="n">
        <v>44229</v>
      </c>
      <c r="C964" s="1" t="n">
        <v>45688</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5795-2021</t>
        </is>
      </c>
      <c r="B965" s="1" t="n">
        <v>44230</v>
      </c>
      <c r="C965" s="1" t="n">
        <v>45688</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5794-2021</t>
        </is>
      </c>
      <c r="B966" s="1" t="n">
        <v>44230</v>
      </c>
      <c r="C966" s="1" t="n">
        <v>45688</v>
      </c>
      <c r="D966" t="inlineStr">
        <is>
          <t>JÄMTLANDS LÄN</t>
        </is>
      </c>
      <c r="E966" t="inlineStr">
        <is>
          <t>STRÖMSUND</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6386-2021</t>
        </is>
      </c>
      <c r="B967" s="1" t="n">
        <v>44232</v>
      </c>
      <c r="C967" s="1" t="n">
        <v>45688</v>
      </c>
      <c r="D967" t="inlineStr">
        <is>
          <t>JÄMTLANDS LÄN</t>
        </is>
      </c>
      <c r="E967" t="inlineStr">
        <is>
          <t>STRÖMSUND</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6394-2021</t>
        </is>
      </c>
      <c r="B968" s="1" t="n">
        <v>44232</v>
      </c>
      <c r="C968" s="1" t="n">
        <v>45688</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6371-2021</t>
        </is>
      </c>
      <c r="B969" s="1" t="n">
        <v>44232</v>
      </c>
      <c r="C969" s="1" t="n">
        <v>45688</v>
      </c>
      <c r="D969" t="inlineStr">
        <is>
          <t>JÄMTLANDS LÄN</t>
        </is>
      </c>
      <c r="E969" t="inlineStr">
        <is>
          <t>STRÖMSUND</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7268-2021</t>
        </is>
      </c>
      <c r="B970" s="1" t="n">
        <v>44238</v>
      </c>
      <c r="C970" s="1" t="n">
        <v>45688</v>
      </c>
      <c r="D970" t="inlineStr">
        <is>
          <t>JÄMTLANDS LÄN</t>
        </is>
      </c>
      <c r="E970" t="inlineStr">
        <is>
          <t>STRÖMSUND</t>
        </is>
      </c>
      <c r="G970" t="n">
        <v>5.2</v>
      </c>
      <c r="H970" t="n">
        <v>0</v>
      </c>
      <c r="I970" t="n">
        <v>0</v>
      </c>
      <c r="J970" t="n">
        <v>0</v>
      </c>
      <c r="K970" t="n">
        <v>0</v>
      </c>
      <c r="L970" t="n">
        <v>0</v>
      </c>
      <c r="M970" t="n">
        <v>0</v>
      </c>
      <c r="N970" t="n">
        <v>0</v>
      </c>
      <c r="O970" t="n">
        <v>0</v>
      </c>
      <c r="P970" t="n">
        <v>0</v>
      </c>
      <c r="Q970" t="n">
        <v>0</v>
      </c>
      <c r="R970" s="2" t="inlineStr"/>
    </row>
    <row r="971" ht="15" customHeight="1">
      <c r="A971" t="inlineStr">
        <is>
          <t>A 7697-2021</t>
        </is>
      </c>
      <c r="B971" s="1" t="n">
        <v>44239</v>
      </c>
      <c r="C971" s="1" t="n">
        <v>45688</v>
      </c>
      <c r="D971" t="inlineStr">
        <is>
          <t>JÄMTLANDS LÄN</t>
        </is>
      </c>
      <c r="E971" t="inlineStr">
        <is>
          <t>STRÖMSUND</t>
        </is>
      </c>
      <c r="G971" t="n">
        <v>2.7</v>
      </c>
      <c r="H971" t="n">
        <v>0</v>
      </c>
      <c r="I971" t="n">
        <v>0</v>
      </c>
      <c r="J971" t="n">
        <v>0</v>
      </c>
      <c r="K971" t="n">
        <v>0</v>
      </c>
      <c r="L971" t="n">
        <v>0</v>
      </c>
      <c r="M971" t="n">
        <v>0</v>
      </c>
      <c r="N971" t="n">
        <v>0</v>
      </c>
      <c r="O971" t="n">
        <v>0</v>
      </c>
      <c r="P971" t="n">
        <v>0</v>
      </c>
      <c r="Q971" t="n">
        <v>0</v>
      </c>
      <c r="R971" s="2" t="inlineStr"/>
    </row>
    <row r="972" ht="15" customHeight="1">
      <c r="A972" t="inlineStr">
        <is>
          <t>A 8016-2021</t>
        </is>
      </c>
      <c r="B972" s="1" t="n">
        <v>44243</v>
      </c>
      <c r="C972" s="1" t="n">
        <v>45688</v>
      </c>
      <c r="D972" t="inlineStr">
        <is>
          <t>JÄMTLANDS LÄN</t>
        </is>
      </c>
      <c r="E972" t="inlineStr">
        <is>
          <t>STRÖMSUND</t>
        </is>
      </c>
      <c r="G972" t="n">
        <v>2.8</v>
      </c>
      <c r="H972" t="n">
        <v>0</v>
      </c>
      <c r="I972" t="n">
        <v>0</v>
      </c>
      <c r="J972" t="n">
        <v>0</v>
      </c>
      <c r="K972" t="n">
        <v>0</v>
      </c>
      <c r="L972" t="n">
        <v>0</v>
      </c>
      <c r="M972" t="n">
        <v>0</v>
      </c>
      <c r="N972" t="n">
        <v>0</v>
      </c>
      <c r="O972" t="n">
        <v>0</v>
      </c>
      <c r="P972" t="n">
        <v>0</v>
      </c>
      <c r="Q972" t="n">
        <v>0</v>
      </c>
      <c r="R972" s="2" t="inlineStr"/>
    </row>
    <row r="973" ht="15" customHeight="1">
      <c r="A973" t="inlineStr">
        <is>
          <t>A 8020-2021</t>
        </is>
      </c>
      <c r="B973" s="1" t="n">
        <v>44243</v>
      </c>
      <c r="C973" s="1" t="n">
        <v>45688</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8364-2021</t>
        </is>
      </c>
      <c r="B974" s="1" t="n">
        <v>44244</v>
      </c>
      <c r="C974" s="1" t="n">
        <v>45688</v>
      </c>
      <c r="D974" t="inlineStr">
        <is>
          <t>JÄMTLANDS LÄN</t>
        </is>
      </c>
      <c r="E974" t="inlineStr">
        <is>
          <t>STRÖMSUND</t>
        </is>
      </c>
      <c r="G974" t="n">
        <v>1</v>
      </c>
      <c r="H974" t="n">
        <v>0</v>
      </c>
      <c r="I974" t="n">
        <v>0</v>
      </c>
      <c r="J974" t="n">
        <v>0</v>
      </c>
      <c r="K974" t="n">
        <v>0</v>
      </c>
      <c r="L974" t="n">
        <v>0</v>
      </c>
      <c r="M974" t="n">
        <v>0</v>
      </c>
      <c r="N974" t="n">
        <v>0</v>
      </c>
      <c r="O974" t="n">
        <v>0</v>
      </c>
      <c r="P974" t="n">
        <v>0</v>
      </c>
      <c r="Q974" t="n">
        <v>0</v>
      </c>
      <c r="R974" s="2" t="inlineStr"/>
    </row>
    <row r="975" ht="15" customHeight="1">
      <c r="A975" t="inlineStr">
        <is>
          <t>A 8979-2021</t>
        </is>
      </c>
      <c r="B975" s="1" t="n">
        <v>44246</v>
      </c>
      <c r="C975" s="1" t="n">
        <v>45688</v>
      </c>
      <c r="D975" t="inlineStr">
        <is>
          <t>JÄMTLANDS LÄN</t>
        </is>
      </c>
      <c r="E975" t="inlineStr">
        <is>
          <t>STRÖMSUND</t>
        </is>
      </c>
      <c r="G975" t="n">
        <v>40.4</v>
      </c>
      <c r="H975" t="n">
        <v>0</v>
      </c>
      <c r="I975" t="n">
        <v>0</v>
      </c>
      <c r="J975" t="n">
        <v>0</v>
      </c>
      <c r="K975" t="n">
        <v>0</v>
      </c>
      <c r="L975" t="n">
        <v>0</v>
      </c>
      <c r="M975" t="n">
        <v>0</v>
      </c>
      <c r="N975" t="n">
        <v>0</v>
      </c>
      <c r="O975" t="n">
        <v>0</v>
      </c>
      <c r="P975" t="n">
        <v>0</v>
      </c>
      <c r="Q975" t="n">
        <v>0</v>
      </c>
      <c r="R975" s="2" t="inlineStr"/>
    </row>
    <row r="976" ht="15" customHeight="1">
      <c r="A976" t="inlineStr">
        <is>
          <t>A 10528-2021</t>
        </is>
      </c>
      <c r="B976" s="1" t="n">
        <v>44257</v>
      </c>
      <c r="C976" s="1" t="n">
        <v>45688</v>
      </c>
      <c r="D976" t="inlineStr">
        <is>
          <t>JÄMTLANDS LÄN</t>
        </is>
      </c>
      <c r="E976" t="inlineStr">
        <is>
          <t>STRÖMSUND</t>
        </is>
      </c>
      <c r="G976" t="n">
        <v>12.8</v>
      </c>
      <c r="H976" t="n">
        <v>0</v>
      </c>
      <c r="I976" t="n">
        <v>0</v>
      </c>
      <c r="J976" t="n">
        <v>0</v>
      </c>
      <c r="K976" t="n">
        <v>0</v>
      </c>
      <c r="L976" t="n">
        <v>0</v>
      </c>
      <c r="M976" t="n">
        <v>0</v>
      </c>
      <c r="N976" t="n">
        <v>0</v>
      </c>
      <c r="O976" t="n">
        <v>0</v>
      </c>
      <c r="P976" t="n">
        <v>0</v>
      </c>
      <c r="Q976" t="n">
        <v>0</v>
      </c>
      <c r="R976" s="2" t="inlineStr"/>
    </row>
    <row r="977" ht="15" customHeight="1">
      <c r="A977" t="inlineStr">
        <is>
          <t>A 11034-2021</t>
        </is>
      </c>
      <c r="B977" s="1" t="n">
        <v>44260</v>
      </c>
      <c r="C977" s="1" t="n">
        <v>45688</v>
      </c>
      <c r="D977" t="inlineStr">
        <is>
          <t>JÄMTLANDS LÄN</t>
        </is>
      </c>
      <c r="E977" t="inlineStr">
        <is>
          <t>STRÖMSUND</t>
        </is>
      </c>
      <c r="G977" t="n">
        <v>8.5</v>
      </c>
      <c r="H977" t="n">
        <v>0</v>
      </c>
      <c r="I977" t="n">
        <v>0</v>
      </c>
      <c r="J977" t="n">
        <v>0</v>
      </c>
      <c r="K977" t="n">
        <v>0</v>
      </c>
      <c r="L977" t="n">
        <v>0</v>
      </c>
      <c r="M977" t="n">
        <v>0</v>
      </c>
      <c r="N977" t="n">
        <v>0</v>
      </c>
      <c r="O977" t="n">
        <v>0</v>
      </c>
      <c r="P977" t="n">
        <v>0</v>
      </c>
      <c r="Q977" t="n">
        <v>0</v>
      </c>
      <c r="R977" s="2" t="inlineStr"/>
    </row>
    <row r="978" ht="15" customHeight="1">
      <c r="A978" t="inlineStr">
        <is>
          <t>A 11508-2021</t>
        </is>
      </c>
      <c r="B978" s="1" t="n">
        <v>44264</v>
      </c>
      <c r="C978" s="1" t="n">
        <v>45688</v>
      </c>
      <c r="D978" t="inlineStr">
        <is>
          <t>JÄMTLANDS LÄN</t>
        </is>
      </c>
      <c r="E978" t="inlineStr">
        <is>
          <t>STRÖMSUND</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12250-2021</t>
        </is>
      </c>
      <c r="B979" s="1" t="n">
        <v>44266</v>
      </c>
      <c r="C979" s="1" t="n">
        <v>45688</v>
      </c>
      <c r="D979" t="inlineStr">
        <is>
          <t>JÄMTLANDS LÄN</t>
        </is>
      </c>
      <c r="E979" t="inlineStr">
        <is>
          <t>STRÖMSUND</t>
        </is>
      </c>
      <c r="G979" t="n">
        <v>5</v>
      </c>
      <c r="H979" t="n">
        <v>0</v>
      </c>
      <c r="I979" t="n">
        <v>0</v>
      </c>
      <c r="J979" t="n">
        <v>0</v>
      </c>
      <c r="K979" t="n">
        <v>0</v>
      </c>
      <c r="L979" t="n">
        <v>0</v>
      </c>
      <c r="M979" t="n">
        <v>0</v>
      </c>
      <c r="N979" t="n">
        <v>0</v>
      </c>
      <c r="O979" t="n">
        <v>0</v>
      </c>
      <c r="P979" t="n">
        <v>0</v>
      </c>
      <c r="Q979" t="n">
        <v>0</v>
      </c>
      <c r="R979" s="2" t="inlineStr"/>
    </row>
    <row r="980" ht="15" customHeight="1">
      <c r="A980" t="inlineStr">
        <is>
          <t>A 12186-2021</t>
        </is>
      </c>
      <c r="B980" s="1" t="n">
        <v>44266</v>
      </c>
      <c r="C980" s="1" t="n">
        <v>45688</v>
      </c>
      <c r="D980" t="inlineStr">
        <is>
          <t>JÄMTLANDS LÄN</t>
        </is>
      </c>
      <c r="E980" t="inlineStr">
        <is>
          <t>STRÖMSUND</t>
        </is>
      </c>
      <c r="G980" t="n">
        <v>3</v>
      </c>
      <c r="H980" t="n">
        <v>0</v>
      </c>
      <c r="I980" t="n">
        <v>0</v>
      </c>
      <c r="J980" t="n">
        <v>0</v>
      </c>
      <c r="K980" t="n">
        <v>0</v>
      </c>
      <c r="L980" t="n">
        <v>0</v>
      </c>
      <c r="M980" t="n">
        <v>0</v>
      </c>
      <c r="N980" t="n">
        <v>0</v>
      </c>
      <c r="O980" t="n">
        <v>0</v>
      </c>
      <c r="P980" t="n">
        <v>0</v>
      </c>
      <c r="Q980" t="n">
        <v>0</v>
      </c>
      <c r="R980" s="2" t="inlineStr"/>
    </row>
    <row r="981" ht="15" customHeight="1">
      <c r="A981" t="inlineStr">
        <is>
          <t>A 12428-2021</t>
        </is>
      </c>
      <c r="B981" s="1" t="n">
        <v>44267</v>
      </c>
      <c r="C981" s="1" t="n">
        <v>45688</v>
      </c>
      <c r="D981" t="inlineStr">
        <is>
          <t>JÄMTLANDS LÄN</t>
        </is>
      </c>
      <c r="E981" t="inlineStr">
        <is>
          <t>STRÖMSUND</t>
        </is>
      </c>
      <c r="G981" t="n">
        <v>19.6</v>
      </c>
      <c r="H981" t="n">
        <v>0</v>
      </c>
      <c r="I981" t="n">
        <v>0</v>
      </c>
      <c r="J981" t="n">
        <v>0</v>
      </c>
      <c r="K981" t="n">
        <v>0</v>
      </c>
      <c r="L981" t="n">
        <v>0</v>
      </c>
      <c r="M981" t="n">
        <v>0</v>
      </c>
      <c r="N981" t="n">
        <v>0</v>
      </c>
      <c r="O981" t="n">
        <v>0</v>
      </c>
      <c r="P981" t="n">
        <v>0</v>
      </c>
      <c r="Q981" t="n">
        <v>0</v>
      </c>
      <c r="R981" s="2" t="inlineStr"/>
    </row>
    <row r="982" ht="15" customHeight="1">
      <c r="A982" t="inlineStr">
        <is>
          <t>A 12840-2021</t>
        </is>
      </c>
      <c r="B982" s="1" t="n">
        <v>44270</v>
      </c>
      <c r="C982" s="1" t="n">
        <v>45688</v>
      </c>
      <c r="D982" t="inlineStr">
        <is>
          <t>JÄMTLANDS LÄN</t>
        </is>
      </c>
      <c r="E982" t="inlineStr">
        <is>
          <t>STRÖMSUND</t>
        </is>
      </c>
      <c r="G982" t="n">
        <v>15.5</v>
      </c>
      <c r="H982" t="n">
        <v>0</v>
      </c>
      <c r="I982" t="n">
        <v>0</v>
      </c>
      <c r="J982" t="n">
        <v>0</v>
      </c>
      <c r="K982" t="n">
        <v>0</v>
      </c>
      <c r="L982" t="n">
        <v>0</v>
      </c>
      <c r="M982" t="n">
        <v>0</v>
      </c>
      <c r="N982" t="n">
        <v>0</v>
      </c>
      <c r="O982" t="n">
        <v>0</v>
      </c>
      <c r="P982" t="n">
        <v>0</v>
      </c>
      <c r="Q982" t="n">
        <v>0</v>
      </c>
      <c r="R982" s="2" t="inlineStr"/>
    </row>
    <row r="983" ht="15" customHeight="1">
      <c r="A983" t="inlineStr">
        <is>
          <t>A 13041-2021</t>
        </is>
      </c>
      <c r="B983" s="1" t="n">
        <v>44271</v>
      </c>
      <c r="C983" s="1" t="n">
        <v>45688</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13563-2021</t>
        </is>
      </c>
      <c r="B984" s="1" t="n">
        <v>44273</v>
      </c>
      <c r="C984" s="1" t="n">
        <v>45688</v>
      </c>
      <c r="D984" t="inlineStr">
        <is>
          <t>JÄMTLANDS LÄN</t>
        </is>
      </c>
      <c r="E984" t="inlineStr">
        <is>
          <t>STRÖMSUND</t>
        </is>
      </c>
      <c r="G984" t="n">
        <v>27.1</v>
      </c>
      <c r="H984" t="n">
        <v>0</v>
      </c>
      <c r="I984" t="n">
        <v>0</v>
      </c>
      <c r="J984" t="n">
        <v>0</v>
      </c>
      <c r="K984" t="n">
        <v>0</v>
      </c>
      <c r="L984" t="n">
        <v>0</v>
      </c>
      <c r="M984" t="n">
        <v>0</v>
      </c>
      <c r="N984" t="n">
        <v>0</v>
      </c>
      <c r="O984" t="n">
        <v>0</v>
      </c>
      <c r="P984" t="n">
        <v>0</v>
      </c>
      <c r="Q984" t="n">
        <v>0</v>
      </c>
      <c r="R984" s="2" t="inlineStr"/>
    </row>
    <row r="985" ht="15" customHeight="1">
      <c r="A985" t="inlineStr">
        <is>
          <t>A 14067-2021</t>
        </is>
      </c>
      <c r="B985" s="1" t="n">
        <v>44277</v>
      </c>
      <c r="C985" s="1" t="n">
        <v>45688</v>
      </c>
      <c r="D985" t="inlineStr">
        <is>
          <t>JÄMTLANDS LÄN</t>
        </is>
      </c>
      <c r="E985" t="inlineStr">
        <is>
          <t>STRÖMSUND</t>
        </is>
      </c>
      <c r="G985" t="n">
        <v>27.7</v>
      </c>
      <c r="H985" t="n">
        <v>0</v>
      </c>
      <c r="I985" t="n">
        <v>0</v>
      </c>
      <c r="J985" t="n">
        <v>0</v>
      </c>
      <c r="K985" t="n">
        <v>0</v>
      </c>
      <c r="L985" t="n">
        <v>0</v>
      </c>
      <c r="M985" t="n">
        <v>0</v>
      </c>
      <c r="N985" t="n">
        <v>0</v>
      </c>
      <c r="O985" t="n">
        <v>0</v>
      </c>
      <c r="P985" t="n">
        <v>0</v>
      </c>
      <c r="Q985" t="n">
        <v>0</v>
      </c>
      <c r="R985" s="2" t="inlineStr"/>
    </row>
    <row r="986" ht="15" customHeight="1">
      <c r="A986" t="inlineStr">
        <is>
          <t>A 14147-2021</t>
        </is>
      </c>
      <c r="B986" s="1" t="n">
        <v>44278</v>
      </c>
      <c r="C986" s="1" t="n">
        <v>45688</v>
      </c>
      <c r="D986" t="inlineStr">
        <is>
          <t>JÄMTLANDS LÄN</t>
        </is>
      </c>
      <c r="E986" t="inlineStr">
        <is>
          <t>STRÖMSUND</t>
        </is>
      </c>
      <c r="G986" t="n">
        <v>3.9</v>
      </c>
      <c r="H986" t="n">
        <v>0</v>
      </c>
      <c r="I986" t="n">
        <v>0</v>
      </c>
      <c r="J986" t="n">
        <v>0</v>
      </c>
      <c r="K986" t="n">
        <v>0</v>
      </c>
      <c r="L986" t="n">
        <v>0</v>
      </c>
      <c r="M986" t="n">
        <v>0</v>
      </c>
      <c r="N986" t="n">
        <v>0</v>
      </c>
      <c r="O986" t="n">
        <v>0</v>
      </c>
      <c r="P986" t="n">
        <v>0</v>
      </c>
      <c r="Q986" t="n">
        <v>0</v>
      </c>
      <c r="R986" s="2" t="inlineStr"/>
    </row>
    <row r="987" ht="15" customHeight="1">
      <c r="A987" t="inlineStr">
        <is>
          <t>A 15118-2021</t>
        </is>
      </c>
      <c r="B987" s="1" t="n">
        <v>44282</v>
      </c>
      <c r="C987" s="1" t="n">
        <v>45688</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15355-2021</t>
        </is>
      </c>
      <c r="B988" s="1" t="n">
        <v>44284</v>
      </c>
      <c r="C988" s="1" t="n">
        <v>45688</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15360-2021</t>
        </is>
      </c>
      <c r="B989" s="1" t="n">
        <v>44284</v>
      </c>
      <c r="C989" s="1" t="n">
        <v>45688</v>
      </c>
      <c r="D989" t="inlineStr">
        <is>
          <t>JÄMTLANDS LÄN</t>
        </is>
      </c>
      <c r="E989" t="inlineStr">
        <is>
          <t>STRÖMSUND</t>
        </is>
      </c>
      <c r="G989" t="n">
        <v>1.2</v>
      </c>
      <c r="H989" t="n">
        <v>0</v>
      </c>
      <c r="I989" t="n">
        <v>0</v>
      </c>
      <c r="J989" t="n">
        <v>0</v>
      </c>
      <c r="K989" t="n">
        <v>0</v>
      </c>
      <c r="L989" t="n">
        <v>0</v>
      </c>
      <c r="M989" t="n">
        <v>0</v>
      </c>
      <c r="N989" t="n">
        <v>0</v>
      </c>
      <c r="O989" t="n">
        <v>0</v>
      </c>
      <c r="P989" t="n">
        <v>0</v>
      </c>
      <c r="Q989" t="n">
        <v>0</v>
      </c>
      <c r="R989" s="2" t="inlineStr"/>
    </row>
    <row r="990" ht="15" customHeight="1">
      <c r="A990" t="inlineStr">
        <is>
          <t>A 15371-2021</t>
        </is>
      </c>
      <c r="B990" s="1" t="n">
        <v>44284</v>
      </c>
      <c r="C990" s="1" t="n">
        <v>45688</v>
      </c>
      <c r="D990" t="inlineStr">
        <is>
          <t>JÄMTLANDS LÄN</t>
        </is>
      </c>
      <c r="E990" t="inlineStr">
        <is>
          <t>STRÖMSUND</t>
        </is>
      </c>
      <c r="G990" t="n">
        <v>10.7</v>
      </c>
      <c r="H990" t="n">
        <v>0</v>
      </c>
      <c r="I990" t="n">
        <v>0</v>
      </c>
      <c r="J990" t="n">
        <v>0</v>
      </c>
      <c r="K990" t="n">
        <v>0</v>
      </c>
      <c r="L990" t="n">
        <v>0</v>
      </c>
      <c r="M990" t="n">
        <v>0</v>
      </c>
      <c r="N990" t="n">
        <v>0</v>
      </c>
      <c r="O990" t="n">
        <v>0</v>
      </c>
      <c r="P990" t="n">
        <v>0</v>
      </c>
      <c r="Q990" t="n">
        <v>0</v>
      </c>
      <c r="R990" s="2" t="inlineStr"/>
    </row>
    <row r="991" ht="15" customHeight="1">
      <c r="A991" t="inlineStr">
        <is>
          <t>A 15650-2021</t>
        </is>
      </c>
      <c r="B991" s="1" t="n">
        <v>44285</v>
      </c>
      <c r="C991" s="1" t="n">
        <v>45688</v>
      </c>
      <c r="D991" t="inlineStr">
        <is>
          <t>JÄMTLANDS LÄN</t>
        </is>
      </c>
      <c r="E991" t="inlineStr">
        <is>
          <t>STRÖMSUND</t>
        </is>
      </c>
      <c r="F991" t="inlineStr">
        <is>
          <t>SCA</t>
        </is>
      </c>
      <c r="G991" t="n">
        <v>9.6</v>
      </c>
      <c r="H991" t="n">
        <v>0</v>
      </c>
      <c r="I991" t="n">
        <v>0</v>
      </c>
      <c r="J991" t="n">
        <v>0</v>
      </c>
      <c r="K991" t="n">
        <v>0</v>
      </c>
      <c r="L991" t="n">
        <v>0</v>
      </c>
      <c r="M991" t="n">
        <v>0</v>
      </c>
      <c r="N991" t="n">
        <v>0</v>
      </c>
      <c r="O991" t="n">
        <v>0</v>
      </c>
      <c r="P991" t="n">
        <v>0</v>
      </c>
      <c r="Q991" t="n">
        <v>0</v>
      </c>
      <c r="R991" s="2" t="inlineStr"/>
    </row>
    <row r="992" ht="15" customHeight="1">
      <c r="A992" t="inlineStr">
        <is>
          <t>A 16128-2021</t>
        </is>
      </c>
      <c r="B992" s="1" t="n">
        <v>44291</v>
      </c>
      <c r="C992" s="1" t="n">
        <v>45688</v>
      </c>
      <c r="D992" t="inlineStr">
        <is>
          <t>JÄMTLANDS LÄN</t>
        </is>
      </c>
      <c r="E992" t="inlineStr">
        <is>
          <t>STRÖMSUND</t>
        </is>
      </c>
      <c r="G992" t="n">
        <v>1.7</v>
      </c>
      <c r="H992" t="n">
        <v>0</v>
      </c>
      <c r="I992" t="n">
        <v>0</v>
      </c>
      <c r="J992" t="n">
        <v>0</v>
      </c>
      <c r="K992" t="n">
        <v>0</v>
      </c>
      <c r="L992" t="n">
        <v>0</v>
      </c>
      <c r="M992" t="n">
        <v>0</v>
      </c>
      <c r="N992" t="n">
        <v>0</v>
      </c>
      <c r="O992" t="n">
        <v>0</v>
      </c>
      <c r="P992" t="n">
        <v>0</v>
      </c>
      <c r="Q992" t="n">
        <v>0</v>
      </c>
      <c r="R992" s="2" t="inlineStr"/>
    </row>
    <row r="993" ht="15" customHeight="1">
      <c r="A993" t="inlineStr">
        <is>
          <t>A 16774-2021</t>
        </is>
      </c>
      <c r="B993" s="1" t="n">
        <v>44294</v>
      </c>
      <c r="C993" s="1" t="n">
        <v>45688</v>
      </c>
      <c r="D993" t="inlineStr">
        <is>
          <t>JÄMTLANDS LÄN</t>
        </is>
      </c>
      <c r="E993" t="inlineStr">
        <is>
          <t>STRÖMSUND</t>
        </is>
      </c>
      <c r="G993" t="n">
        <v>10.5</v>
      </c>
      <c r="H993" t="n">
        <v>0</v>
      </c>
      <c r="I993" t="n">
        <v>0</v>
      </c>
      <c r="J993" t="n">
        <v>0</v>
      </c>
      <c r="K993" t="n">
        <v>0</v>
      </c>
      <c r="L993" t="n">
        <v>0</v>
      </c>
      <c r="M993" t="n">
        <v>0</v>
      </c>
      <c r="N993" t="n">
        <v>0</v>
      </c>
      <c r="O993" t="n">
        <v>0</v>
      </c>
      <c r="P993" t="n">
        <v>0</v>
      </c>
      <c r="Q993" t="n">
        <v>0</v>
      </c>
      <c r="R993" s="2" t="inlineStr"/>
    </row>
    <row r="994" ht="15" customHeight="1">
      <c r="A994" t="inlineStr">
        <is>
          <t>A 17368-2021</t>
        </is>
      </c>
      <c r="B994" s="1" t="n">
        <v>44299</v>
      </c>
      <c r="C994" s="1" t="n">
        <v>45688</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17373-2021</t>
        </is>
      </c>
      <c r="B995" s="1" t="n">
        <v>44299</v>
      </c>
      <c r="C995" s="1" t="n">
        <v>45688</v>
      </c>
      <c r="D995" t="inlineStr">
        <is>
          <t>JÄMTLANDS LÄN</t>
        </is>
      </c>
      <c r="E995" t="inlineStr">
        <is>
          <t>STRÖMSUND</t>
        </is>
      </c>
      <c r="G995" t="n">
        <v>2.2</v>
      </c>
      <c r="H995" t="n">
        <v>0</v>
      </c>
      <c r="I995" t="n">
        <v>0</v>
      </c>
      <c r="J995" t="n">
        <v>0</v>
      </c>
      <c r="K995" t="n">
        <v>0</v>
      </c>
      <c r="L995" t="n">
        <v>0</v>
      </c>
      <c r="M995" t="n">
        <v>0</v>
      </c>
      <c r="N995" t="n">
        <v>0</v>
      </c>
      <c r="O995" t="n">
        <v>0</v>
      </c>
      <c r="P995" t="n">
        <v>0</v>
      </c>
      <c r="Q995" t="n">
        <v>0</v>
      </c>
      <c r="R995" s="2" t="inlineStr"/>
    </row>
    <row r="996" ht="15" customHeight="1">
      <c r="A996" t="inlineStr">
        <is>
          <t>A 17808-2021</t>
        </is>
      </c>
      <c r="B996" s="1" t="n">
        <v>44300</v>
      </c>
      <c r="C996" s="1" t="n">
        <v>45688</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17857-2021</t>
        </is>
      </c>
      <c r="B997" s="1" t="n">
        <v>44300</v>
      </c>
      <c r="C997" s="1" t="n">
        <v>45688</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17933-2021</t>
        </is>
      </c>
      <c r="B998" s="1" t="n">
        <v>44301</v>
      </c>
      <c r="C998" s="1" t="n">
        <v>45688</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18220-2021</t>
        </is>
      </c>
      <c r="B999" s="1" t="n">
        <v>44302</v>
      </c>
      <c r="C999" s="1" t="n">
        <v>45688</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45688</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20413-2021</t>
        </is>
      </c>
      <c r="B1001" s="1" t="n">
        <v>44312</v>
      </c>
      <c r="C1001" s="1" t="n">
        <v>45688</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19726-2021</t>
        </is>
      </c>
      <c r="B1002" s="1" t="n">
        <v>44312</v>
      </c>
      <c r="C1002" s="1" t="n">
        <v>45688</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19556-2021</t>
        </is>
      </c>
      <c r="B1003" s="1" t="n">
        <v>44312</v>
      </c>
      <c r="C1003" s="1" t="n">
        <v>45688</v>
      </c>
      <c r="D1003" t="inlineStr">
        <is>
          <t>JÄMTLANDS LÄN</t>
        </is>
      </c>
      <c r="E1003" t="inlineStr">
        <is>
          <t>STRÖMSUND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19572-2021</t>
        </is>
      </c>
      <c r="B1004" s="1" t="n">
        <v>44312</v>
      </c>
      <c r="C1004" s="1" t="n">
        <v>45688</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19567-2021</t>
        </is>
      </c>
      <c r="B1005" s="1" t="n">
        <v>44312</v>
      </c>
      <c r="C1005" s="1" t="n">
        <v>45688</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20295-2021</t>
        </is>
      </c>
      <c r="B1006" s="1" t="n">
        <v>44314</v>
      </c>
      <c r="C1006" s="1" t="n">
        <v>45688</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21095-2021</t>
        </is>
      </c>
      <c r="B1007" s="1" t="n">
        <v>44319</v>
      </c>
      <c r="C1007" s="1" t="n">
        <v>45688</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21103-2021</t>
        </is>
      </c>
      <c r="B1008" s="1" t="n">
        <v>44320</v>
      </c>
      <c r="C1008" s="1" t="n">
        <v>45688</v>
      </c>
      <c r="D1008" t="inlineStr">
        <is>
          <t>JÄMTLANDS LÄN</t>
        </is>
      </c>
      <c r="E1008" t="inlineStr">
        <is>
          <t>STRÖMSUND</t>
        </is>
      </c>
      <c r="F1008" t="inlineStr">
        <is>
          <t>SCA</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21097-2021</t>
        </is>
      </c>
      <c r="B1009" s="1" t="n">
        <v>44319</v>
      </c>
      <c r="C1009" s="1" t="n">
        <v>45688</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21093-2021</t>
        </is>
      </c>
      <c r="B1010" s="1" t="n">
        <v>44319</v>
      </c>
      <c r="C1010" s="1" t="n">
        <v>45688</v>
      </c>
      <c r="D1010" t="inlineStr">
        <is>
          <t>JÄMTLANDS LÄN</t>
        </is>
      </c>
      <c r="E1010" t="inlineStr">
        <is>
          <t>STRÖMSUND</t>
        </is>
      </c>
      <c r="F1010" t="inlineStr">
        <is>
          <t>SCA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22318-2021</t>
        </is>
      </c>
      <c r="B1011" s="1" t="n">
        <v>44321</v>
      </c>
      <c r="C1011" s="1" t="n">
        <v>45688</v>
      </c>
      <c r="D1011" t="inlineStr">
        <is>
          <t>JÄMTLANDS LÄN</t>
        </is>
      </c>
      <c r="E1011" t="inlineStr">
        <is>
          <t>STRÖMSUND</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22527-2021</t>
        </is>
      </c>
      <c r="B1012" s="1" t="n">
        <v>44326</v>
      </c>
      <c r="C1012" s="1" t="n">
        <v>45688</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22632-2021</t>
        </is>
      </c>
      <c r="B1013" s="1" t="n">
        <v>44327</v>
      </c>
      <c r="C1013" s="1" t="n">
        <v>45688</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22783-2021</t>
        </is>
      </c>
      <c r="B1014" s="1" t="n">
        <v>44327</v>
      </c>
      <c r="C1014" s="1" t="n">
        <v>45688</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23103-2021</t>
        </is>
      </c>
      <c r="B1015" s="1" t="n">
        <v>44330</v>
      </c>
      <c r="C1015" s="1" t="n">
        <v>45688</v>
      </c>
      <c r="D1015" t="inlineStr">
        <is>
          <t>JÄMTLANDS LÄN</t>
        </is>
      </c>
      <c r="E1015" t="inlineStr">
        <is>
          <t>STRÖMSUND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23486-2021</t>
        </is>
      </c>
      <c r="B1016" s="1" t="n">
        <v>44333</v>
      </c>
      <c r="C1016" s="1" t="n">
        <v>45688</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23498-2021</t>
        </is>
      </c>
      <c r="B1017" s="1" t="n">
        <v>44334</v>
      </c>
      <c r="C1017" s="1" t="n">
        <v>45688</v>
      </c>
      <c r="D1017" t="inlineStr">
        <is>
          <t>JÄMTLANDS LÄN</t>
        </is>
      </c>
      <c r="E1017" t="inlineStr">
        <is>
          <t>STRÖMSUND</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23484-2021</t>
        </is>
      </c>
      <c r="B1018" s="1" t="n">
        <v>44334</v>
      </c>
      <c r="C1018" s="1" t="n">
        <v>45688</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23501-2021</t>
        </is>
      </c>
      <c r="B1019" s="1" t="n">
        <v>44333</v>
      </c>
      <c r="C1019" s="1" t="n">
        <v>45688</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24197-2021</t>
        </is>
      </c>
      <c r="B1020" s="1" t="n">
        <v>44336</v>
      </c>
      <c r="C1020" s="1" t="n">
        <v>45688</v>
      </c>
      <c r="D1020" t="inlineStr">
        <is>
          <t>JÄMTLANDS LÄN</t>
        </is>
      </c>
      <c r="E1020" t="inlineStr">
        <is>
          <t>STRÖMSUND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24744-2021</t>
        </is>
      </c>
      <c r="B1021" s="1" t="n">
        <v>44340</v>
      </c>
      <c r="C1021" s="1" t="n">
        <v>45688</v>
      </c>
      <c r="D1021" t="inlineStr">
        <is>
          <t>JÄMTLANDS LÄN</t>
        </is>
      </c>
      <c r="E1021" t="inlineStr">
        <is>
          <t>STRÖMSUND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25510-2021</t>
        </is>
      </c>
      <c r="B1022" s="1" t="n">
        <v>44343</v>
      </c>
      <c r="C1022" s="1" t="n">
        <v>45688</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25888-2021</t>
        </is>
      </c>
      <c r="B1023" s="1" t="n">
        <v>44344</v>
      </c>
      <c r="C1023" s="1" t="n">
        <v>45688</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25963-2021</t>
        </is>
      </c>
      <c r="B1024" s="1" t="n">
        <v>44344</v>
      </c>
      <c r="C1024" s="1" t="n">
        <v>45688</v>
      </c>
      <c r="D1024" t="inlineStr">
        <is>
          <t>JÄMTLANDS LÄN</t>
        </is>
      </c>
      <c r="E1024" t="inlineStr">
        <is>
          <t>STRÖMSUND</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25960-2021</t>
        </is>
      </c>
      <c r="B1025" s="1" t="n">
        <v>44344</v>
      </c>
      <c r="C1025" s="1" t="n">
        <v>45688</v>
      </c>
      <c r="D1025" t="inlineStr">
        <is>
          <t>JÄMTLANDS LÄN</t>
        </is>
      </c>
      <c r="E1025" t="inlineStr">
        <is>
          <t>STRÖMSUND</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26101-2021</t>
        </is>
      </c>
      <c r="B1026" s="1" t="n">
        <v>44344</v>
      </c>
      <c r="C1026" s="1" t="n">
        <v>45688</v>
      </c>
      <c r="D1026" t="inlineStr">
        <is>
          <t>JÄMTLANDS LÄN</t>
        </is>
      </c>
      <c r="E1026" t="inlineStr">
        <is>
          <t>STRÖMSUND</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26104-2021</t>
        </is>
      </c>
      <c r="B1027" s="1" t="n">
        <v>44344</v>
      </c>
      <c r="C1027" s="1" t="n">
        <v>45688</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26127-2021</t>
        </is>
      </c>
      <c r="B1028" s="1" t="n">
        <v>44346</v>
      </c>
      <c r="C1028" s="1" t="n">
        <v>45688</v>
      </c>
      <c r="D1028" t="inlineStr">
        <is>
          <t>JÄMTLANDS LÄN</t>
        </is>
      </c>
      <c r="E1028" t="inlineStr">
        <is>
          <t>STRÖMSUND</t>
        </is>
      </c>
      <c r="F1028" t="inlineStr">
        <is>
          <t>SCA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26131-2021</t>
        </is>
      </c>
      <c r="B1029" s="1" t="n">
        <v>44346</v>
      </c>
      <c r="C1029" s="1" t="n">
        <v>45688</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26142-2021</t>
        </is>
      </c>
      <c r="B1030" s="1" t="n">
        <v>44346</v>
      </c>
      <c r="C1030" s="1" t="n">
        <v>45688</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26660-2021</t>
        </is>
      </c>
      <c r="B1031" s="1" t="n">
        <v>44349</v>
      </c>
      <c r="C1031" s="1" t="n">
        <v>45688</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26961-2021</t>
        </is>
      </c>
      <c r="B1032" s="1" t="n">
        <v>44350</v>
      </c>
      <c r="C1032" s="1" t="n">
        <v>45688</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27148-2021</t>
        </is>
      </c>
      <c r="B1033" s="1" t="n">
        <v>44350</v>
      </c>
      <c r="C1033" s="1" t="n">
        <v>45688</v>
      </c>
      <c r="D1033" t="inlineStr">
        <is>
          <t>JÄMTLANDS LÄN</t>
        </is>
      </c>
      <c r="E1033" t="inlineStr">
        <is>
          <t>STRÖMSUND</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27160-2021</t>
        </is>
      </c>
      <c r="B1034" s="1" t="n">
        <v>44350</v>
      </c>
      <c r="C1034" s="1" t="n">
        <v>45688</v>
      </c>
      <c r="D1034" t="inlineStr">
        <is>
          <t>JÄMTLANDS LÄN</t>
        </is>
      </c>
      <c r="E1034" t="inlineStr">
        <is>
          <t>STRÖMSUND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27231-2021</t>
        </is>
      </c>
      <c r="B1035" s="1" t="n">
        <v>44350</v>
      </c>
      <c r="C1035" s="1" t="n">
        <v>45688</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27233-2021</t>
        </is>
      </c>
      <c r="B1036" s="1" t="n">
        <v>44350</v>
      </c>
      <c r="C1036" s="1" t="n">
        <v>45688</v>
      </c>
      <c r="D1036" t="inlineStr">
        <is>
          <t>JÄMTLANDS LÄN</t>
        </is>
      </c>
      <c r="E1036" t="inlineStr">
        <is>
          <t>STRÖMSUND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27232-2021</t>
        </is>
      </c>
      <c r="B1037" s="1" t="n">
        <v>44350</v>
      </c>
      <c r="C1037" s="1" t="n">
        <v>45688</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27559-2021</t>
        </is>
      </c>
      <c r="B1038" s="1" t="n">
        <v>44352</v>
      </c>
      <c r="C1038" s="1" t="n">
        <v>45688</v>
      </c>
      <c r="D1038" t="inlineStr">
        <is>
          <t>JÄMTLANDS LÄN</t>
        </is>
      </c>
      <c r="E1038" t="inlineStr">
        <is>
          <t>STRÖMSUND</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27979-2021</t>
        </is>
      </c>
      <c r="B1039" s="1" t="n">
        <v>44354</v>
      </c>
      <c r="C1039" s="1" t="n">
        <v>45688</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27978-2021</t>
        </is>
      </c>
      <c r="B1040" s="1" t="n">
        <v>44354</v>
      </c>
      <c r="C1040" s="1" t="n">
        <v>45688</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27980-2021</t>
        </is>
      </c>
      <c r="B1041" s="1" t="n">
        <v>44354</v>
      </c>
      <c r="C1041" s="1" t="n">
        <v>45688</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29552-2021</t>
        </is>
      </c>
      <c r="B1042" s="1" t="n">
        <v>44361</v>
      </c>
      <c r="C1042" s="1" t="n">
        <v>45688</v>
      </c>
      <c r="D1042" t="inlineStr">
        <is>
          <t>JÄMTLANDS LÄN</t>
        </is>
      </c>
      <c r="E1042" t="inlineStr">
        <is>
          <t>STRÖMSUND</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29628-2021</t>
        </is>
      </c>
      <c r="B1043" s="1" t="n">
        <v>44361</v>
      </c>
      <c r="C1043" s="1" t="n">
        <v>45688</v>
      </c>
      <c r="D1043" t="inlineStr">
        <is>
          <t>JÄMTLANDS LÄN</t>
        </is>
      </c>
      <c r="E1043" t="inlineStr">
        <is>
          <t>STRÖMSUND</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29594-2021</t>
        </is>
      </c>
      <c r="B1044" s="1" t="n">
        <v>44361</v>
      </c>
      <c r="C1044" s="1" t="n">
        <v>45688</v>
      </c>
      <c r="D1044" t="inlineStr">
        <is>
          <t>JÄMTLANDS LÄN</t>
        </is>
      </c>
      <c r="E1044" t="inlineStr">
        <is>
          <t>STRÖMSUND</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29601-2021</t>
        </is>
      </c>
      <c r="B1045" s="1" t="n">
        <v>44362</v>
      </c>
      <c r="C1045" s="1" t="n">
        <v>45688</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29625-2021</t>
        </is>
      </c>
      <c r="B1046" s="1" t="n">
        <v>44362</v>
      </c>
      <c r="C1046" s="1" t="n">
        <v>45688</v>
      </c>
      <c r="D1046" t="inlineStr">
        <is>
          <t>JÄMTLANDS LÄN</t>
        </is>
      </c>
      <c r="E1046" t="inlineStr">
        <is>
          <t>STRÖMSUND</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29624-2021</t>
        </is>
      </c>
      <c r="B1047" s="1" t="n">
        <v>44362</v>
      </c>
      <c r="C1047" s="1" t="n">
        <v>45688</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29637-2021</t>
        </is>
      </c>
      <c r="B1048" s="1" t="n">
        <v>44362</v>
      </c>
      <c r="C1048" s="1" t="n">
        <v>45688</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29841-2021</t>
        </is>
      </c>
      <c r="B1049" s="1" t="n">
        <v>44362</v>
      </c>
      <c r="C1049" s="1" t="n">
        <v>45688</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29903-2021</t>
        </is>
      </c>
      <c r="B1050" s="1" t="n">
        <v>44363</v>
      </c>
      <c r="C1050" s="1" t="n">
        <v>45688</v>
      </c>
      <c r="D1050" t="inlineStr">
        <is>
          <t>JÄMTLANDS LÄN</t>
        </is>
      </c>
      <c r="E1050" t="inlineStr">
        <is>
          <t>STRÖMSUND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29916-2021</t>
        </is>
      </c>
      <c r="B1051" s="1" t="n">
        <v>44363</v>
      </c>
      <c r="C1051" s="1" t="n">
        <v>45688</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29905-2021</t>
        </is>
      </c>
      <c r="B1052" s="1" t="n">
        <v>44363</v>
      </c>
      <c r="C1052" s="1" t="n">
        <v>45688</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30580-2021</t>
        </is>
      </c>
      <c r="B1053" s="1" t="n">
        <v>44365</v>
      </c>
      <c r="C1053" s="1" t="n">
        <v>45688</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30985-2021</t>
        </is>
      </c>
      <c r="B1054" s="1" t="n">
        <v>44366</v>
      </c>
      <c r="C1054" s="1" t="n">
        <v>45688</v>
      </c>
      <c r="D1054" t="inlineStr">
        <is>
          <t>JÄMTLANDS LÄN</t>
        </is>
      </c>
      <c r="E1054" t="inlineStr">
        <is>
          <t>STRÖMSUND</t>
        </is>
      </c>
      <c r="F1054" t="inlineStr">
        <is>
          <t>SCA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31077-2021</t>
        </is>
      </c>
      <c r="B1055" s="1" t="n">
        <v>44365</v>
      </c>
      <c r="C1055" s="1" t="n">
        <v>45688</v>
      </c>
      <c r="D1055" t="inlineStr">
        <is>
          <t>JÄMTLANDS LÄN</t>
        </is>
      </c>
      <c r="E1055" t="inlineStr">
        <is>
          <t>STRÖMSUND</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31089-2021</t>
        </is>
      </c>
      <c r="B1056" s="1" t="n">
        <v>44368</v>
      </c>
      <c r="C1056" s="1" t="n">
        <v>45688</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33787-2021</t>
        </is>
      </c>
      <c r="B1057" s="1" t="n">
        <v>44368</v>
      </c>
      <c r="C1057" s="1" t="n">
        <v>45688</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31739-2021</t>
        </is>
      </c>
      <c r="B1058" s="1" t="n">
        <v>44369</v>
      </c>
      <c r="C1058" s="1" t="n">
        <v>45688</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31740-2021</t>
        </is>
      </c>
      <c r="B1059" s="1" t="n">
        <v>44370</v>
      </c>
      <c r="C1059" s="1" t="n">
        <v>45688</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32359-2021</t>
        </is>
      </c>
      <c r="B1060" s="1" t="n">
        <v>44371</v>
      </c>
      <c r="C1060" s="1" t="n">
        <v>45688</v>
      </c>
      <c r="D1060" t="inlineStr">
        <is>
          <t>JÄMTLANDS LÄN</t>
        </is>
      </c>
      <c r="E1060" t="inlineStr">
        <is>
          <t>STRÖMSUND</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32259-2021</t>
        </is>
      </c>
      <c r="B1061" s="1" t="n">
        <v>44371</v>
      </c>
      <c r="C1061" s="1" t="n">
        <v>45688</v>
      </c>
      <c r="D1061" t="inlineStr">
        <is>
          <t>JÄMTLANDS LÄN</t>
        </is>
      </c>
      <c r="E1061" t="inlineStr">
        <is>
          <t>STRÖMSUND</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32460-2021</t>
        </is>
      </c>
      <c r="B1062" s="1" t="n">
        <v>44371</v>
      </c>
      <c r="C1062" s="1" t="n">
        <v>45688</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32465-2021</t>
        </is>
      </c>
      <c r="B1063" s="1" t="n">
        <v>44371</v>
      </c>
      <c r="C1063" s="1" t="n">
        <v>45688</v>
      </c>
      <c r="D1063" t="inlineStr">
        <is>
          <t>JÄMTLANDS LÄN</t>
        </is>
      </c>
      <c r="E1063" t="inlineStr">
        <is>
          <t>STRÖMSUND</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32536-2021</t>
        </is>
      </c>
      <c r="B1064" s="1" t="n">
        <v>44374</v>
      </c>
      <c r="C1064" s="1" t="n">
        <v>45688</v>
      </c>
      <c r="D1064" t="inlineStr">
        <is>
          <t>JÄMTLANDS LÄN</t>
        </is>
      </c>
      <c r="E1064" t="inlineStr">
        <is>
          <t>STRÖMSUND</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32531-2021</t>
        </is>
      </c>
      <c r="B1065" s="1" t="n">
        <v>44375</v>
      </c>
      <c r="C1065" s="1" t="n">
        <v>45688</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32539-2021</t>
        </is>
      </c>
      <c r="B1066" s="1" t="n">
        <v>44375</v>
      </c>
      <c r="C1066" s="1" t="n">
        <v>45688</v>
      </c>
      <c r="D1066" t="inlineStr">
        <is>
          <t>JÄMTLANDS LÄN</t>
        </is>
      </c>
      <c r="E1066" t="inlineStr">
        <is>
          <t>STRÖMSUND</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32533-2021</t>
        </is>
      </c>
      <c r="B1067" s="1" t="n">
        <v>44375</v>
      </c>
      <c r="C1067" s="1" t="n">
        <v>45688</v>
      </c>
      <c r="D1067" t="inlineStr">
        <is>
          <t>JÄMTLANDS LÄN</t>
        </is>
      </c>
      <c r="E1067" t="inlineStr">
        <is>
          <t>STRÖMSUND</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32538-2021</t>
        </is>
      </c>
      <c r="B1068" s="1" t="n">
        <v>44374</v>
      </c>
      <c r="C1068" s="1" t="n">
        <v>45688</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33104-2021</t>
        </is>
      </c>
      <c r="B1069" s="1" t="n">
        <v>44376</v>
      </c>
      <c r="C1069" s="1" t="n">
        <v>45688</v>
      </c>
      <c r="D1069" t="inlineStr">
        <is>
          <t>JÄMTLANDS LÄN</t>
        </is>
      </c>
      <c r="E1069" t="inlineStr">
        <is>
          <t>STRÖMSUND</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33223-2021</t>
        </is>
      </c>
      <c r="B1070" s="1" t="n">
        <v>44377</v>
      </c>
      <c r="C1070" s="1" t="n">
        <v>45688</v>
      </c>
      <c r="D1070" t="inlineStr">
        <is>
          <t>JÄMTLANDS LÄN</t>
        </is>
      </c>
      <c r="E1070" t="inlineStr">
        <is>
          <t>STRÖMSUND</t>
        </is>
      </c>
      <c r="F1070" t="inlineStr">
        <is>
          <t>SCA</t>
        </is>
      </c>
      <c r="G1070" t="n">
        <v>17.8</v>
      </c>
      <c r="H1070" t="n">
        <v>0</v>
      </c>
      <c r="I1070" t="n">
        <v>0</v>
      </c>
      <c r="J1070" t="n">
        <v>0</v>
      </c>
      <c r="K1070" t="n">
        <v>0</v>
      </c>
      <c r="L1070" t="n">
        <v>0</v>
      </c>
      <c r="M1070" t="n">
        <v>0</v>
      </c>
      <c r="N1070" t="n">
        <v>0</v>
      </c>
      <c r="O1070" t="n">
        <v>0</v>
      </c>
      <c r="P1070" t="n">
        <v>0</v>
      </c>
      <c r="Q1070" t="n">
        <v>0</v>
      </c>
      <c r="R1070" s="2" t="inlineStr"/>
    </row>
    <row r="1071" ht="15" customHeight="1">
      <c r="A1071" t="inlineStr">
        <is>
          <t>A 33225-2021</t>
        </is>
      </c>
      <c r="B1071" s="1" t="n">
        <v>44376</v>
      </c>
      <c r="C1071" s="1" t="n">
        <v>45688</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33216-2021</t>
        </is>
      </c>
      <c r="B1072" s="1" t="n">
        <v>44376</v>
      </c>
      <c r="C1072" s="1" t="n">
        <v>45688</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33549-2021</t>
        </is>
      </c>
      <c r="B1073" s="1" t="n">
        <v>44377</v>
      </c>
      <c r="C1073" s="1" t="n">
        <v>45688</v>
      </c>
      <c r="D1073" t="inlineStr">
        <is>
          <t>JÄMTLANDS LÄN</t>
        </is>
      </c>
      <c r="E1073" t="inlineStr">
        <is>
          <t>STRÖMSUND</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33562-2021</t>
        </is>
      </c>
      <c r="B1074" s="1" t="n">
        <v>44377</v>
      </c>
      <c r="C1074" s="1" t="n">
        <v>45688</v>
      </c>
      <c r="D1074" t="inlineStr">
        <is>
          <t>JÄMTLANDS LÄN</t>
        </is>
      </c>
      <c r="E1074" t="inlineStr">
        <is>
          <t>STRÖMSUND</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33554-2021</t>
        </is>
      </c>
      <c r="B1075" s="1" t="n">
        <v>44377</v>
      </c>
      <c r="C1075" s="1" t="n">
        <v>45688</v>
      </c>
      <c r="D1075" t="inlineStr">
        <is>
          <t>JÄMTLANDS LÄN</t>
        </is>
      </c>
      <c r="E1075" t="inlineStr">
        <is>
          <t>STRÖMSUND</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35061-2021</t>
        </is>
      </c>
      <c r="B1076" s="1" t="n">
        <v>44383</v>
      </c>
      <c r="C1076" s="1" t="n">
        <v>45688</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35044-2021</t>
        </is>
      </c>
      <c r="B1077" s="1" t="n">
        <v>44384</v>
      </c>
      <c r="C1077" s="1" t="n">
        <v>45688</v>
      </c>
      <c r="D1077" t="inlineStr">
        <is>
          <t>JÄMTLANDS LÄN</t>
        </is>
      </c>
      <c r="E1077" t="inlineStr">
        <is>
          <t>STRÖMSUND</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35064-2021</t>
        </is>
      </c>
      <c r="B1078" s="1" t="n">
        <v>44383</v>
      </c>
      <c r="C1078" s="1" t="n">
        <v>45688</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35342-2021</t>
        </is>
      </c>
      <c r="B1079" s="1" t="n">
        <v>44385</v>
      </c>
      <c r="C1079" s="1" t="n">
        <v>45688</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35352-2021</t>
        </is>
      </c>
      <c r="B1080" s="1" t="n">
        <v>44384</v>
      </c>
      <c r="C1080" s="1" t="n">
        <v>45688</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35565-2021</t>
        </is>
      </c>
      <c r="B1081" s="1" t="n">
        <v>44386</v>
      </c>
      <c r="C1081" s="1" t="n">
        <v>45688</v>
      </c>
      <c r="D1081" t="inlineStr">
        <is>
          <t>JÄMTLANDS LÄN</t>
        </is>
      </c>
      <c r="E1081" t="inlineStr">
        <is>
          <t>STRÖMSUND</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35522-2021</t>
        </is>
      </c>
      <c r="B1082" s="1" t="n">
        <v>44385</v>
      </c>
      <c r="C1082" s="1" t="n">
        <v>45688</v>
      </c>
      <c r="D1082" t="inlineStr">
        <is>
          <t>JÄMTLANDS LÄN</t>
        </is>
      </c>
      <c r="E1082" t="inlineStr">
        <is>
          <t>STRÖMSUND</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35916-2021</t>
        </is>
      </c>
      <c r="B1083" s="1" t="n">
        <v>44388</v>
      </c>
      <c r="C1083" s="1" t="n">
        <v>45688</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35915-2021</t>
        </is>
      </c>
      <c r="B1084" s="1" t="n">
        <v>44388</v>
      </c>
      <c r="C1084" s="1" t="n">
        <v>45688</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35914-2021</t>
        </is>
      </c>
      <c r="B1085" s="1" t="n">
        <v>44388</v>
      </c>
      <c r="C1085" s="1" t="n">
        <v>45688</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35918-2021</t>
        </is>
      </c>
      <c r="B1086" s="1" t="n">
        <v>44388</v>
      </c>
      <c r="C1086" s="1" t="n">
        <v>45688</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36176-2021</t>
        </is>
      </c>
      <c r="B1087" s="1" t="n">
        <v>44389</v>
      </c>
      <c r="C1087" s="1" t="n">
        <v>45688</v>
      </c>
      <c r="D1087" t="inlineStr">
        <is>
          <t>JÄMTLANDS LÄN</t>
        </is>
      </c>
      <c r="E1087" t="inlineStr">
        <is>
          <t>STRÖMSUND</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36453-2021</t>
        </is>
      </c>
      <c r="B1088" s="1" t="n">
        <v>44391</v>
      </c>
      <c r="C1088" s="1" t="n">
        <v>45688</v>
      </c>
      <c r="D1088" t="inlineStr">
        <is>
          <t>JÄMTLANDS LÄN</t>
        </is>
      </c>
      <c r="E1088" t="inlineStr">
        <is>
          <t>STRÖMSUND</t>
        </is>
      </c>
      <c r="F1088" t="inlineStr">
        <is>
          <t>SCA</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36706-2021</t>
        </is>
      </c>
      <c r="B1089" s="1" t="n">
        <v>44392</v>
      </c>
      <c r="C1089" s="1" t="n">
        <v>45688</v>
      </c>
      <c r="D1089" t="inlineStr">
        <is>
          <t>JÄMTLANDS LÄN</t>
        </is>
      </c>
      <c r="E1089" t="inlineStr">
        <is>
          <t>STRÖMSUND</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37047-2021</t>
        </is>
      </c>
      <c r="B1090" s="1" t="n">
        <v>44393</v>
      </c>
      <c r="C1090" s="1" t="n">
        <v>45688</v>
      </c>
      <c r="D1090" t="inlineStr">
        <is>
          <t>JÄMTLANDS LÄN</t>
        </is>
      </c>
      <c r="E1090" t="inlineStr">
        <is>
          <t>STRÖMSUND</t>
        </is>
      </c>
      <c r="F1090" t="inlineStr">
        <is>
          <t>SCA</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37229-2021</t>
        </is>
      </c>
      <c r="B1091" s="1" t="n">
        <v>44397</v>
      </c>
      <c r="C1091" s="1" t="n">
        <v>45688</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37373-2021</t>
        </is>
      </c>
      <c r="B1092" s="1" t="n">
        <v>44398</v>
      </c>
      <c r="C1092" s="1" t="n">
        <v>45688</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37370-2021</t>
        </is>
      </c>
      <c r="B1093" s="1" t="n">
        <v>44397</v>
      </c>
      <c r="C1093" s="1" t="n">
        <v>45688</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37371-2021</t>
        </is>
      </c>
      <c r="B1094" s="1" t="n">
        <v>44398</v>
      </c>
      <c r="C1094" s="1" t="n">
        <v>45688</v>
      </c>
      <c r="D1094" t="inlineStr">
        <is>
          <t>JÄMTLANDS LÄN</t>
        </is>
      </c>
      <c r="E1094" t="inlineStr">
        <is>
          <t>STRÖMSUND</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38219-2021</t>
        </is>
      </c>
      <c r="B1095" s="1" t="n">
        <v>44405</v>
      </c>
      <c r="C1095" s="1" t="n">
        <v>45688</v>
      </c>
      <c r="D1095" t="inlineStr">
        <is>
          <t>JÄMTLANDS LÄN</t>
        </is>
      </c>
      <c r="E1095" t="inlineStr">
        <is>
          <t>STRÖMSUND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38583-2021</t>
        </is>
      </c>
      <c r="B1096" s="1" t="n">
        <v>44408</v>
      </c>
      <c r="C1096" s="1" t="n">
        <v>45688</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38578-2021</t>
        </is>
      </c>
      <c r="B1097" s="1" t="n">
        <v>44407</v>
      </c>
      <c r="C1097" s="1" t="n">
        <v>45688</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38587-2021</t>
        </is>
      </c>
      <c r="B1098" s="1" t="n">
        <v>44408</v>
      </c>
      <c r="C1098" s="1" t="n">
        <v>45688</v>
      </c>
      <c r="D1098" t="inlineStr">
        <is>
          <t>JÄMTLANDS LÄN</t>
        </is>
      </c>
      <c r="E1098" t="inlineStr">
        <is>
          <t>STRÖMSUND</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38586-2021</t>
        </is>
      </c>
      <c r="B1099" s="1" t="n">
        <v>44407</v>
      </c>
      <c r="C1099" s="1" t="n">
        <v>45688</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c r="U1099">
        <f>HYPERLINK("https://klasma.github.io/Logging_2313/knärot/A 38586-2021 karta knärot.png", "A 38586-2021")</f>
        <v/>
      </c>
      <c r="V1099">
        <f>HYPERLINK("https://klasma.github.io/Logging_2313/klagomål/A 38586-2021 FSC-klagomål.docx", "A 38586-2021")</f>
        <v/>
      </c>
      <c r="W1099">
        <f>HYPERLINK("https://klasma.github.io/Logging_2313/klagomålsmail/A 38586-2021 FSC-klagomål mail.docx", "A 38586-2021")</f>
        <v/>
      </c>
      <c r="X1099">
        <f>HYPERLINK("https://klasma.github.io/Logging_2313/tillsyn/A 38586-2021 tillsynsbegäran.docx", "A 38586-2021")</f>
        <v/>
      </c>
      <c r="Y1099">
        <f>HYPERLINK("https://klasma.github.io/Logging_2313/tillsynsmail/A 38586-2021 tillsynsbegäran mail.docx", "A 38586-2021")</f>
        <v/>
      </c>
    </row>
    <row r="1100" ht="15" customHeight="1">
      <c r="A1100" t="inlineStr">
        <is>
          <t>A 38629-2021</t>
        </is>
      </c>
      <c r="B1100" s="1" t="n">
        <v>44410</v>
      </c>
      <c r="C1100" s="1" t="n">
        <v>45688</v>
      </c>
      <c r="D1100" t="inlineStr">
        <is>
          <t>JÄMTLANDS LÄN</t>
        </is>
      </c>
      <c r="E1100" t="inlineStr">
        <is>
          <t>STRÖMSUND</t>
        </is>
      </c>
      <c r="F1100" t="inlineStr">
        <is>
          <t>SCA</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38763-2021</t>
        </is>
      </c>
      <c r="B1101" s="1" t="n">
        <v>44410</v>
      </c>
      <c r="C1101" s="1" t="n">
        <v>45688</v>
      </c>
      <c r="D1101" t="inlineStr">
        <is>
          <t>JÄMTLANDS LÄN</t>
        </is>
      </c>
      <c r="E1101" t="inlineStr">
        <is>
          <t>STRÖMSUND</t>
        </is>
      </c>
      <c r="F1101" t="inlineStr">
        <is>
          <t>Kyrkan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38786-2021</t>
        </is>
      </c>
      <c r="B1102" s="1" t="n">
        <v>44410</v>
      </c>
      <c r="C1102" s="1" t="n">
        <v>45688</v>
      </c>
      <c r="D1102" t="inlineStr">
        <is>
          <t>JÄMTLANDS LÄN</t>
        </is>
      </c>
      <c r="E1102" t="inlineStr">
        <is>
          <t>STRÖMSUND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39331-2021</t>
        </is>
      </c>
      <c r="B1103" s="1" t="n">
        <v>44414</v>
      </c>
      <c r="C1103" s="1" t="n">
        <v>45688</v>
      </c>
      <c r="D1103" t="inlineStr">
        <is>
          <t>JÄMTLANDS LÄN</t>
        </is>
      </c>
      <c r="E1103" t="inlineStr">
        <is>
          <t>STRÖMSUND</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39332-2021</t>
        </is>
      </c>
      <c r="B1104" s="1" t="n">
        <v>44413</v>
      </c>
      <c r="C1104" s="1" t="n">
        <v>45688</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39511-2021</t>
        </is>
      </c>
      <c r="B1105" s="1" t="n">
        <v>44414</v>
      </c>
      <c r="C1105" s="1" t="n">
        <v>45688</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39510-2021</t>
        </is>
      </c>
      <c r="B1106" s="1" t="n">
        <v>44414</v>
      </c>
      <c r="C1106" s="1" t="n">
        <v>45688</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39945-2021</t>
        </is>
      </c>
      <c r="B1107" s="1" t="n">
        <v>44417</v>
      </c>
      <c r="C1107" s="1" t="n">
        <v>45688</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39944-2021</t>
        </is>
      </c>
      <c r="B1108" s="1" t="n">
        <v>44417</v>
      </c>
      <c r="C1108" s="1" t="n">
        <v>45688</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40354-2021</t>
        </is>
      </c>
      <c r="B1109" s="1" t="n">
        <v>44419</v>
      </c>
      <c r="C1109" s="1" t="n">
        <v>45688</v>
      </c>
      <c r="D1109" t="inlineStr">
        <is>
          <t>JÄMTLANDS LÄN</t>
        </is>
      </c>
      <c r="E1109" t="inlineStr">
        <is>
          <t>STRÖMSUND</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40657-2021</t>
        </is>
      </c>
      <c r="B1110" s="1" t="n">
        <v>44420</v>
      </c>
      <c r="C1110" s="1" t="n">
        <v>45688</v>
      </c>
      <c r="D1110" t="inlineStr">
        <is>
          <t>JÄMTLANDS LÄN</t>
        </is>
      </c>
      <c r="E1110" t="inlineStr">
        <is>
          <t>STRÖMSUND</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40827-2021</t>
        </is>
      </c>
      <c r="B1111" s="1" t="n">
        <v>44421</v>
      </c>
      <c r="C1111" s="1" t="n">
        <v>45688</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40857-2021</t>
        </is>
      </c>
      <c r="B1112" s="1" t="n">
        <v>44421</v>
      </c>
      <c r="C1112" s="1" t="n">
        <v>45688</v>
      </c>
      <c r="D1112" t="inlineStr">
        <is>
          <t>JÄMTLANDS LÄN</t>
        </is>
      </c>
      <c r="E1112" t="inlineStr">
        <is>
          <t>STRÖMSUND</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40806-2021</t>
        </is>
      </c>
      <c r="B1113" s="1" t="n">
        <v>44421</v>
      </c>
      <c r="C1113" s="1" t="n">
        <v>45688</v>
      </c>
      <c r="D1113" t="inlineStr">
        <is>
          <t>JÄMTLANDS LÄN</t>
        </is>
      </c>
      <c r="E1113" t="inlineStr">
        <is>
          <t>STRÖMSUND</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41059-2021</t>
        </is>
      </c>
      <c r="B1114" s="1" t="n">
        <v>44422</v>
      </c>
      <c r="C1114" s="1" t="n">
        <v>45688</v>
      </c>
      <c r="D1114" t="inlineStr">
        <is>
          <t>JÄMTLANDS LÄN</t>
        </is>
      </c>
      <c r="E1114" t="inlineStr">
        <is>
          <t>STRÖMSUND</t>
        </is>
      </c>
      <c r="F1114" t="inlineStr">
        <is>
          <t>SCA</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41491-2021</t>
        </is>
      </c>
      <c r="B1115" s="1" t="n">
        <v>44424</v>
      </c>
      <c r="C1115" s="1" t="n">
        <v>45688</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44425</v>
      </c>
      <c r="C1116" s="1" t="n">
        <v>45688</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41639-2021</t>
        </is>
      </c>
      <c r="B1117" s="1" t="n">
        <v>44425</v>
      </c>
      <c r="C1117" s="1" t="n">
        <v>45688</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42247-2021</t>
        </is>
      </c>
      <c r="B1118" s="1" t="n">
        <v>44426</v>
      </c>
      <c r="C1118" s="1" t="n">
        <v>45688</v>
      </c>
      <c r="D1118" t="inlineStr">
        <is>
          <t>JÄMTLANDS LÄN</t>
        </is>
      </c>
      <c r="E1118" t="inlineStr">
        <is>
          <t>STRÖMSUND</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42549-2021</t>
        </is>
      </c>
      <c r="B1119" s="1" t="n">
        <v>44427</v>
      </c>
      <c r="C1119" s="1" t="n">
        <v>45688</v>
      </c>
      <c r="D1119" t="inlineStr">
        <is>
          <t>JÄMTLANDS LÄN</t>
        </is>
      </c>
      <c r="E1119" t="inlineStr">
        <is>
          <t>STRÖMSUND</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42545-2021</t>
        </is>
      </c>
      <c r="B1120" s="1" t="n">
        <v>44428</v>
      </c>
      <c r="C1120" s="1" t="n">
        <v>45688</v>
      </c>
      <c r="D1120" t="inlineStr">
        <is>
          <t>JÄMTLANDS LÄN</t>
        </is>
      </c>
      <c r="E1120" t="inlineStr">
        <is>
          <t>STRÖMSUND</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42551-2021</t>
        </is>
      </c>
      <c r="B1121" s="1" t="n">
        <v>44427</v>
      </c>
      <c r="C1121" s="1" t="n">
        <v>45688</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42794-2021</t>
        </is>
      </c>
      <c r="B1122" s="1" t="n">
        <v>44429</v>
      </c>
      <c r="C1122" s="1" t="n">
        <v>45688</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43072-2021</t>
        </is>
      </c>
      <c r="B1123" s="1" t="n">
        <v>44431</v>
      </c>
      <c r="C1123" s="1" t="n">
        <v>45688</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43839-2021</t>
        </is>
      </c>
      <c r="B1124" s="1" t="n">
        <v>44434</v>
      </c>
      <c r="C1124" s="1" t="n">
        <v>45688</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43754-2021</t>
        </is>
      </c>
      <c r="B1125" s="1" t="n">
        <v>44433</v>
      </c>
      <c r="C1125" s="1" t="n">
        <v>45688</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43752-2021</t>
        </is>
      </c>
      <c r="B1126" s="1" t="n">
        <v>44433</v>
      </c>
      <c r="C1126" s="1" t="n">
        <v>45688</v>
      </c>
      <c r="D1126" t="inlineStr">
        <is>
          <t>JÄMTLANDS LÄN</t>
        </is>
      </c>
      <c r="E1126" t="inlineStr">
        <is>
          <t>STRÖMSUND</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43842-2021</t>
        </is>
      </c>
      <c r="B1127" s="1" t="n">
        <v>44433</v>
      </c>
      <c r="C1127" s="1" t="n">
        <v>45688</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43846-2021</t>
        </is>
      </c>
      <c r="B1128" s="1" t="n">
        <v>44434</v>
      </c>
      <c r="C1128" s="1" t="n">
        <v>45688</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43844-2021</t>
        </is>
      </c>
      <c r="B1129" s="1" t="n">
        <v>44433</v>
      </c>
      <c r="C1129" s="1" t="n">
        <v>45688</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44025-2021</t>
        </is>
      </c>
      <c r="B1130" s="1" t="n">
        <v>44434</v>
      </c>
      <c r="C1130" s="1" t="n">
        <v>45688</v>
      </c>
      <c r="D1130" t="inlineStr">
        <is>
          <t>JÄMTLANDS LÄN</t>
        </is>
      </c>
      <c r="E1130" t="inlineStr">
        <is>
          <t>STRÖMSUND</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44104-2021</t>
        </is>
      </c>
      <c r="B1131" s="1" t="n">
        <v>44434</v>
      </c>
      <c r="C1131" s="1" t="n">
        <v>45688</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44229-2021</t>
        </is>
      </c>
      <c r="B1132" s="1" t="n">
        <v>44434</v>
      </c>
      <c r="C1132" s="1" t="n">
        <v>45688</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44410-2021</t>
        </is>
      </c>
      <c r="B1133" s="1" t="n">
        <v>44435</v>
      </c>
      <c r="C1133" s="1" t="n">
        <v>45688</v>
      </c>
      <c r="D1133" t="inlineStr">
        <is>
          <t>JÄMTLANDS LÄN</t>
        </is>
      </c>
      <c r="E1133" t="inlineStr">
        <is>
          <t>STRÖMSUND</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44436-2021</t>
        </is>
      </c>
      <c r="B1134" s="1" t="n">
        <v>44435</v>
      </c>
      <c r="C1134" s="1" t="n">
        <v>45688</v>
      </c>
      <c r="D1134" t="inlineStr">
        <is>
          <t>JÄMTLANDS LÄN</t>
        </is>
      </c>
      <c r="E1134" t="inlineStr">
        <is>
          <t>STRÖMSUND</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44602-2021</t>
        </is>
      </c>
      <c r="B1135" s="1" t="n">
        <v>44436</v>
      </c>
      <c r="C1135" s="1" t="n">
        <v>45688</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44600-2021</t>
        </is>
      </c>
      <c r="B1136" s="1" t="n">
        <v>44436</v>
      </c>
      <c r="C1136" s="1" t="n">
        <v>45688</v>
      </c>
      <c r="D1136" t="inlineStr">
        <is>
          <t>JÄMTLANDS LÄN</t>
        </is>
      </c>
      <c r="E1136" t="inlineStr">
        <is>
          <t>STRÖMSUND</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44605-2021</t>
        </is>
      </c>
      <c r="B1137" s="1" t="n">
        <v>44436</v>
      </c>
      <c r="C1137" s="1" t="n">
        <v>45688</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44606-2021</t>
        </is>
      </c>
      <c r="B1138" s="1" t="n">
        <v>44436</v>
      </c>
      <c r="C1138" s="1" t="n">
        <v>45688</v>
      </c>
      <c r="D1138" t="inlineStr">
        <is>
          <t>JÄMTLANDS LÄN</t>
        </is>
      </c>
      <c r="E1138" t="inlineStr">
        <is>
          <t>STRÖMSUND</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45011-2021</t>
        </is>
      </c>
      <c r="B1139" s="1" t="n">
        <v>44439</v>
      </c>
      <c r="C1139" s="1" t="n">
        <v>45688</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45230-2021</t>
        </is>
      </c>
      <c r="B1140" s="1" t="n">
        <v>44439</v>
      </c>
      <c r="C1140" s="1" t="n">
        <v>45688</v>
      </c>
      <c r="D1140" t="inlineStr">
        <is>
          <t>JÄMTLANDS LÄN</t>
        </is>
      </c>
      <c r="E1140" t="inlineStr">
        <is>
          <t>STRÖMSUND</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45351-2021</t>
        </is>
      </c>
      <c r="B1141" s="1" t="n">
        <v>44440</v>
      </c>
      <c r="C1141" s="1" t="n">
        <v>45688</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45333-2021</t>
        </is>
      </c>
      <c r="B1142" s="1" t="n">
        <v>44439</v>
      </c>
      <c r="C1142" s="1" t="n">
        <v>45688</v>
      </c>
      <c r="D1142" t="inlineStr">
        <is>
          <t>JÄMTLANDS LÄN</t>
        </is>
      </c>
      <c r="E1142" t="inlineStr">
        <is>
          <t>STRÖMSUND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45340-2021</t>
        </is>
      </c>
      <c r="B1143" s="1" t="n">
        <v>44440</v>
      </c>
      <c r="C1143" s="1" t="n">
        <v>45688</v>
      </c>
      <c r="D1143" t="inlineStr">
        <is>
          <t>JÄMTLANDS LÄN</t>
        </is>
      </c>
      <c r="E1143" t="inlineStr">
        <is>
          <t>STRÖMSUND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45622-2021</t>
        </is>
      </c>
      <c r="B1144" s="1" t="n">
        <v>44441</v>
      </c>
      <c r="C1144" s="1" t="n">
        <v>45688</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45640-2021</t>
        </is>
      </c>
      <c r="B1145" s="1" t="n">
        <v>44440</v>
      </c>
      <c r="C1145" s="1" t="n">
        <v>45688</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45628-2021</t>
        </is>
      </c>
      <c r="B1146" s="1" t="n">
        <v>44441</v>
      </c>
      <c r="C1146" s="1" t="n">
        <v>45688</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45635-2021</t>
        </is>
      </c>
      <c r="B1147" s="1" t="n">
        <v>44440</v>
      </c>
      <c r="C1147" s="1" t="n">
        <v>45688</v>
      </c>
      <c r="D1147" t="inlineStr">
        <is>
          <t>JÄMTLANDS LÄN</t>
        </is>
      </c>
      <c r="E1147" t="inlineStr">
        <is>
          <t>STRÖMSUND</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45641-2021</t>
        </is>
      </c>
      <c r="B1148" s="1" t="n">
        <v>44440</v>
      </c>
      <c r="C1148" s="1" t="n">
        <v>45688</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45630-2021</t>
        </is>
      </c>
      <c r="B1149" s="1" t="n">
        <v>44440</v>
      </c>
      <c r="C1149" s="1" t="n">
        <v>45688</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45638-2021</t>
        </is>
      </c>
      <c r="B1150" s="1" t="n">
        <v>44440</v>
      </c>
      <c r="C1150" s="1" t="n">
        <v>45688</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45627-2021</t>
        </is>
      </c>
      <c r="B1151" s="1" t="n">
        <v>44441</v>
      </c>
      <c r="C1151" s="1" t="n">
        <v>45688</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45626-2021</t>
        </is>
      </c>
      <c r="B1152" s="1" t="n">
        <v>44441</v>
      </c>
      <c r="C1152" s="1" t="n">
        <v>45688</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45639-2021</t>
        </is>
      </c>
      <c r="B1153" s="1" t="n">
        <v>44440</v>
      </c>
      <c r="C1153" s="1" t="n">
        <v>45688</v>
      </c>
      <c r="D1153" t="inlineStr">
        <is>
          <t>JÄMTLANDS LÄN</t>
        </is>
      </c>
      <c r="E1153" t="inlineStr">
        <is>
          <t>STRÖMSUND</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46969-2021</t>
        </is>
      </c>
      <c r="B1154" s="1" t="n">
        <v>44446</v>
      </c>
      <c r="C1154" s="1" t="n">
        <v>45688</v>
      </c>
      <c r="D1154" t="inlineStr">
        <is>
          <t>JÄMTLANDS LÄN</t>
        </is>
      </c>
      <c r="E1154" t="inlineStr">
        <is>
          <t>STRÖMSUND</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47261-2021</t>
        </is>
      </c>
      <c r="B1155" s="1" t="n">
        <v>44447</v>
      </c>
      <c r="C1155" s="1" t="n">
        <v>45688</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47607-2021</t>
        </is>
      </c>
      <c r="B1156" s="1" t="n">
        <v>44447</v>
      </c>
      <c r="C1156" s="1" t="n">
        <v>45688</v>
      </c>
      <c r="D1156" t="inlineStr">
        <is>
          <t>JÄMTLANDS LÄN</t>
        </is>
      </c>
      <c r="E1156" t="inlineStr">
        <is>
          <t>STRÖMSUND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47847-2021</t>
        </is>
      </c>
      <c r="B1157" s="1" t="n">
        <v>44448</v>
      </c>
      <c r="C1157" s="1" t="n">
        <v>45688</v>
      </c>
      <c r="D1157" t="inlineStr">
        <is>
          <t>JÄMTLANDS LÄN</t>
        </is>
      </c>
      <c r="E1157" t="inlineStr">
        <is>
          <t>STRÖMSUND</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47938-2021</t>
        </is>
      </c>
      <c r="B1158" s="1" t="n">
        <v>44449</v>
      </c>
      <c r="C1158" s="1" t="n">
        <v>45688</v>
      </c>
      <c r="D1158" t="inlineStr">
        <is>
          <t>JÄMTLANDS LÄN</t>
        </is>
      </c>
      <c r="E1158" t="inlineStr">
        <is>
          <t>STRÖMSUND</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47936-2021</t>
        </is>
      </c>
      <c r="B1159" s="1" t="n">
        <v>44448</v>
      </c>
      <c r="C1159" s="1" t="n">
        <v>45688</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47941-2021</t>
        </is>
      </c>
      <c r="B1160" s="1" t="n">
        <v>44449</v>
      </c>
      <c r="C1160" s="1" t="n">
        <v>45688</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47943-2021</t>
        </is>
      </c>
      <c r="B1161" s="1" t="n">
        <v>44448</v>
      </c>
      <c r="C1161" s="1" t="n">
        <v>45688</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47934-2021</t>
        </is>
      </c>
      <c r="B1162" s="1" t="n">
        <v>44448</v>
      </c>
      <c r="C1162" s="1" t="n">
        <v>45688</v>
      </c>
      <c r="D1162" t="inlineStr">
        <is>
          <t>JÄMTLANDS LÄN</t>
        </is>
      </c>
      <c r="E1162" t="inlineStr">
        <is>
          <t>STRÖMSUND</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47940-2021</t>
        </is>
      </c>
      <c r="B1163" s="1" t="n">
        <v>44449</v>
      </c>
      <c r="C1163" s="1" t="n">
        <v>45688</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48508-2021</t>
        </is>
      </c>
      <c r="B1164" s="1" t="n">
        <v>44451</v>
      </c>
      <c r="C1164" s="1" t="n">
        <v>45688</v>
      </c>
      <c r="D1164" t="inlineStr">
        <is>
          <t>JÄMTLANDS LÄN</t>
        </is>
      </c>
      <c r="E1164" t="inlineStr">
        <is>
          <t>STRÖMSUND</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48863-2021</t>
        </is>
      </c>
      <c r="B1165" s="1" t="n">
        <v>44453</v>
      </c>
      <c r="C1165" s="1" t="n">
        <v>45688</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49166-2021</t>
        </is>
      </c>
      <c r="B1166" s="1" t="n">
        <v>44454</v>
      </c>
      <c r="C1166" s="1" t="n">
        <v>45688</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HYPERLINK("https://klasma.github.io/Logging_2313/knärot/A 49166-2021 karta knärot.png", "A 49166-2021")</f>
        <v/>
      </c>
      <c r="V1166">
        <f>HYPERLINK("https://klasma.github.io/Logging_2313/klagomål/A 49166-2021 FSC-klagomål.docx", "A 49166-2021")</f>
        <v/>
      </c>
      <c r="W1166">
        <f>HYPERLINK("https://klasma.github.io/Logging_2313/klagomålsmail/A 49166-2021 FSC-klagomål mail.docx", "A 49166-2021")</f>
        <v/>
      </c>
      <c r="X1166">
        <f>HYPERLINK("https://klasma.github.io/Logging_2313/tillsyn/A 49166-2021 tillsynsbegäran.docx", "A 49166-2021")</f>
        <v/>
      </c>
      <c r="Y1166">
        <f>HYPERLINK("https://klasma.github.io/Logging_2313/tillsynsmail/A 49166-2021 tillsynsbegäran mail.docx", "A 49166-2021")</f>
        <v/>
      </c>
    </row>
    <row r="1167" ht="15" customHeight="1">
      <c r="A1167" t="inlineStr">
        <is>
          <t>A 49204-2021</t>
        </is>
      </c>
      <c r="B1167" s="1" t="n">
        <v>44454</v>
      </c>
      <c r="C1167" s="1" t="n">
        <v>45688</v>
      </c>
      <c r="D1167" t="inlineStr">
        <is>
          <t>JÄMTLANDS LÄN</t>
        </is>
      </c>
      <c r="E1167" t="inlineStr">
        <is>
          <t>STRÖMSUND</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49210-2021</t>
        </is>
      </c>
      <c r="B1168" s="1" t="n">
        <v>44454</v>
      </c>
      <c r="C1168" s="1" t="n">
        <v>45688</v>
      </c>
      <c r="D1168" t="inlineStr">
        <is>
          <t>JÄMTLANDS LÄN</t>
        </is>
      </c>
      <c r="E1168" t="inlineStr">
        <is>
          <t>STRÖMSUND</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49208-2021</t>
        </is>
      </c>
      <c r="B1169" s="1" t="n">
        <v>44454</v>
      </c>
      <c r="C1169" s="1" t="n">
        <v>45688</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49212-2021</t>
        </is>
      </c>
      <c r="B1170" s="1" t="n">
        <v>44454</v>
      </c>
      <c r="C1170" s="1" t="n">
        <v>45688</v>
      </c>
      <c r="D1170" t="inlineStr">
        <is>
          <t>JÄMTLANDS LÄN</t>
        </is>
      </c>
      <c r="E1170" t="inlineStr">
        <is>
          <t>STRÖMSUND</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49206-2021</t>
        </is>
      </c>
      <c r="B1171" s="1" t="n">
        <v>44454</v>
      </c>
      <c r="C1171" s="1" t="n">
        <v>45688</v>
      </c>
      <c r="D1171" t="inlineStr">
        <is>
          <t>JÄMTLANDS LÄN</t>
        </is>
      </c>
      <c r="E1171" t="inlineStr">
        <is>
          <t>STRÖMSUND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49620-2021</t>
        </is>
      </c>
      <c r="B1172" s="1" t="n">
        <v>44455</v>
      </c>
      <c r="C1172" s="1" t="n">
        <v>45688</v>
      </c>
      <c r="D1172" t="inlineStr">
        <is>
          <t>JÄMTLANDS LÄN</t>
        </is>
      </c>
      <c r="E1172" t="inlineStr">
        <is>
          <t>STRÖMSUND</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49929-2021</t>
        </is>
      </c>
      <c r="B1173" s="1" t="n">
        <v>44456</v>
      </c>
      <c r="C1173" s="1" t="n">
        <v>45688</v>
      </c>
      <c r="D1173" t="inlineStr">
        <is>
          <t>JÄMTLANDS LÄN</t>
        </is>
      </c>
      <c r="E1173" t="inlineStr">
        <is>
          <t>STRÖMSUND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50020-2021</t>
        </is>
      </c>
      <c r="B1174" s="1" t="n">
        <v>44456</v>
      </c>
      <c r="C1174" s="1" t="n">
        <v>45688</v>
      </c>
      <c r="D1174" t="inlineStr">
        <is>
          <t>JÄMTLANDS LÄN</t>
        </is>
      </c>
      <c r="E1174" t="inlineStr">
        <is>
          <t>STRÖMSUND</t>
        </is>
      </c>
      <c r="F1174" t="inlineStr">
        <is>
          <t>Sveaskog</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50025-2021</t>
        </is>
      </c>
      <c r="B1175" s="1" t="n">
        <v>44456</v>
      </c>
      <c r="C1175" s="1" t="n">
        <v>45688</v>
      </c>
      <c r="D1175" t="inlineStr">
        <is>
          <t>JÄMTLANDS LÄN</t>
        </is>
      </c>
      <c r="E1175" t="inlineStr">
        <is>
          <t>STRÖMSUND</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50034-2021</t>
        </is>
      </c>
      <c r="B1176" s="1" t="n">
        <v>44456</v>
      </c>
      <c r="C1176" s="1" t="n">
        <v>45688</v>
      </c>
      <c r="D1176" t="inlineStr">
        <is>
          <t>JÄMTLANDS LÄN</t>
        </is>
      </c>
      <c r="E1176" t="inlineStr">
        <is>
          <t>STRÖMSUND</t>
        </is>
      </c>
      <c r="F1176" t="inlineStr">
        <is>
          <t>Sveaskog</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50029-2021</t>
        </is>
      </c>
      <c r="B1177" s="1" t="n">
        <v>44456</v>
      </c>
      <c r="C1177" s="1" t="n">
        <v>45688</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50037-2021</t>
        </is>
      </c>
      <c r="B1178" s="1" t="n">
        <v>44456</v>
      </c>
      <c r="C1178" s="1" t="n">
        <v>45688</v>
      </c>
      <c r="D1178" t="inlineStr">
        <is>
          <t>JÄMTLANDS LÄN</t>
        </is>
      </c>
      <c r="E1178" t="inlineStr">
        <is>
          <t>STRÖMSUND</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50022-2021</t>
        </is>
      </c>
      <c r="B1179" s="1" t="n">
        <v>44456</v>
      </c>
      <c r="C1179" s="1" t="n">
        <v>45688</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50028-2021</t>
        </is>
      </c>
      <c r="B1180" s="1" t="n">
        <v>44456</v>
      </c>
      <c r="C1180" s="1" t="n">
        <v>45688</v>
      </c>
      <c r="D1180" t="inlineStr">
        <is>
          <t>JÄMTLANDS LÄN</t>
        </is>
      </c>
      <c r="E1180" t="inlineStr">
        <is>
          <t>STRÖMSUND</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50176-2021</t>
        </is>
      </c>
      <c r="B1181" s="1" t="n">
        <v>44457</v>
      </c>
      <c r="C1181" s="1" t="n">
        <v>45688</v>
      </c>
      <c r="D1181" t="inlineStr">
        <is>
          <t>JÄMTLANDS LÄN</t>
        </is>
      </c>
      <c r="E1181" t="inlineStr">
        <is>
          <t>STRÖMSUND</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50179-2021</t>
        </is>
      </c>
      <c r="B1182" s="1" t="n">
        <v>44456</v>
      </c>
      <c r="C1182" s="1" t="n">
        <v>45688</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50180-2021</t>
        </is>
      </c>
      <c r="B1183" s="1" t="n">
        <v>44456</v>
      </c>
      <c r="C1183" s="1" t="n">
        <v>45688</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50023-2021</t>
        </is>
      </c>
      <c r="B1184" s="1" t="n">
        <v>44456</v>
      </c>
      <c r="C1184" s="1" t="n">
        <v>45688</v>
      </c>
      <c r="D1184" t="inlineStr">
        <is>
          <t>JÄMTLANDS LÄN</t>
        </is>
      </c>
      <c r="E1184" t="inlineStr">
        <is>
          <t>STRÖMSUND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50890-2021</t>
        </is>
      </c>
      <c r="B1185" s="1" t="n">
        <v>44460</v>
      </c>
      <c r="C1185" s="1" t="n">
        <v>45688</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51446-2021</t>
        </is>
      </c>
      <c r="B1186" s="1" t="n">
        <v>44461</v>
      </c>
      <c r="C1186" s="1" t="n">
        <v>45688</v>
      </c>
      <c r="D1186" t="inlineStr">
        <is>
          <t>JÄMTLANDS LÄN</t>
        </is>
      </c>
      <c r="E1186" t="inlineStr">
        <is>
          <t>STRÖMSUND</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51954-2021</t>
        </is>
      </c>
      <c r="B1187" s="1" t="n">
        <v>44463</v>
      </c>
      <c r="C1187" s="1" t="n">
        <v>45688</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51953-2021</t>
        </is>
      </c>
      <c r="B1188" s="1" t="n">
        <v>44463</v>
      </c>
      <c r="C1188" s="1" t="n">
        <v>45688</v>
      </c>
      <c r="D1188" t="inlineStr">
        <is>
          <t>JÄMTLANDS LÄN</t>
        </is>
      </c>
      <c r="E1188" t="inlineStr">
        <is>
          <t>STRÖMSUND</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52327-2021</t>
        </is>
      </c>
      <c r="B1189" s="1" t="n">
        <v>44463</v>
      </c>
      <c r="C1189" s="1" t="n">
        <v>45688</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52397-2021</t>
        </is>
      </c>
      <c r="B1190" s="1" t="n">
        <v>44463</v>
      </c>
      <c r="C1190" s="1" t="n">
        <v>45688</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52332-2021</t>
        </is>
      </c>
      <c r="B1191" s="1" t="n">
        <v>44463</v>
      </c>
      <c r="C1191" s="1" t="n">
        <v>45688</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52399-2021</t>
        </is>
      </c>
      <c r="B1192" s="1" t="n">
        <v>44466</v>
      </c>
      <c r="C1192" s="1" t="n">
        <v>45688</v>
      </c>
      <c r="D1192" t="inlineStr">
        <is>
          <t>JÄMTLANDS LÄN</t>
        </is>
      </c>
      <c r="E1192" t="inlineStr">
        <is>
          <t>STRÖMSUND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52718-2021</t>
        </is>
      </c>
      <c r="B1193" s="1" t="n">
        <v>44467</v>
      </c>
      <c r="C1193" s="1" t="n">
        <v>45688</v>
      </c>
      <c r="D1193" t="inlineStr">
        <is>
          <t>JÄMTLANDS LÄN</t>
        </is>
      </c>
      <c r="E1193" t="inlineStr">
        <is>
          <t>STRÖMSUND</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52707-2021</t>
        </is>
      </c>
      <c r="B1194" s="1" t="n">
        <v>44467</v>
      </c>
      <c r="C1194" s="1" t="n">
        <v>45688</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52969-2021</t>
        </is>
      </c>
      <c r="B1195" s="1" t="n">
        <v>44466</v>
      </c>
      <c r="C1195" s="1" t="n">
        <v>45688</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53420-2021</t>
        </is>
      </c>
      <c r="B1196" s="1" t="n">
        <v>44468</v>
      </c>
      <c r="C1196" s="1" t="n">
        <v>45688</v>
      </c>
      <c r="D1196" t="inlineStr">
        <is>
          <t>JÄMTLANDS LÄN</t>
        </is>
      </c>
      <c r="E1196" t="inlineStr">
        <is>
          <t>STRÖMSUND</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53518-2021</t>
        </is>
      </c>
      <c r="B1197" s="1" t="n">
        <v>44468</v>
      </c>
      <c r="C1197" s="1" t="n">
        <v>45688</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53513-2021</t>
        </is>
      </c>
      <c r="B1198" s="1" t="n">
        <v>44468</v>
      </c>
      <c r="C1198" s="1" t="n">
        <v>45688</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54050-2021</t>
        </is>
      </c>
      <c r="B1199" s="1" t="n">
        <v>44470</v>
      </c>
      <c r="C1199" s="1" t="n">
        <v>45688</v>
      </c>
      <c r="D1199" t="inlineStr">
        <is>
          <t>JÄMTLANDS LÄN</t>
        </is>
      </c>
      <c r="E1199" t="inlineStr">
        <is>
          <t>STRÖMSUND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54117-2021</t>
        </is>
      </c>
      <c r="B1200" s="1" t="n">
        <v>44470</v>
      </c>
      <c r="C1200" s="1" t="n">
        <v>45688</v>
      </c>
      <c r="D1200" t="inlineStr">
        <is>
          <t>JÄMTLANDS LÄN</t>
        </is>
      </c>
      <c r="E1200" t="inlineStr">
        <is>
          <t>STRÖMSUND</t>
        </is>
      </c>
      <c r="F1200" t="inlineStr">
        <is>
          <t>Holmen skog AB</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55608-2021</t>
        </is>
      </c>
      <c r="B1201" s="1" t="n">
        <v>44475</v>
      </c>
      <c r="C1201" s="1" t="n">
        <v>45688</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55918-2021</t>
        </is>
      </c>
      <c r="B1202" s="1" t="n">
        <v>44476</v>
      </c>
      <c r="C1202" s="1" t="n">
        <v>45688</v>
      </c>
      <c r="D1202" t="inlineStr">
        <is>
          <t>JÄMTLANDS LÄN</t>
        </is>
      </c>
      <c r="E1202" t="inlineStr">
        <is>
          <t>STRÖMSUND</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55920-2021</t>
        </is>
      </c>
      <c r="B1203" s="1" t="n">
        <v>44476</v>
      </c>
      <c r="C1203" s="1" t="n">
        <v>45688</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55927-2021</t>
        </is>
      </c>
      <c r="B1204" s="1" t="n">
        <v>44476</v>
      </c>
      <c r="C1204" s="1" t="n">
        <v>45688</v>
      </c>
      <c r="D1204" t="inlineStr">
        <is>
          <t>JÄMTLANDS LÄN</t>
        </is>
      </c>
      <c r="E1204" t="inlineStr">
        <is>
          <t>STRÖMSUND</t>
        </is>
      </c>
      <c r="F1204" t="inlineStr">
        <is>
          <t>SCA</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55919-2021</t>
        </is>
      </c>
      <c r="B1205" s="1" t="n">
        <v>44477</v>
      </c>
      <c r="C1205" s="1" t="n">
        <v>45688</v>
      </c>
      <c r="D1205" t="inlineStr">
        <is>
          <t>JÄMTLANDS LÄN</t>
        </is>
      </c>
      <c r="E1205" t="inlineStr">
        <is>
          <t>STRÖMSUND</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55939-2021</t>
        </is>
      </c>
      <c r="B1206" s="1" t="n">
        <v>44476</v>
      </c>
      <c r="C1206" s="1" t="n">
        <v>45688</v>
      </c>
      <c r="D1206" t="inlineStr">
        <is>
          <t>JÄMTLANDS LÄN</t>
        </is>
      </c>
      <c r="E1206" t="inlineStr">
        <is>
          <t>STRÖMSUND</t>
        </is>
      </c>
      <c r="F1206" t="inlineStr">
        <is>
          <t>SCA</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56213-2021</t>
        </is>
      </c>
      <c r="B1207" s="1" t="n">
        <v>44478</v>
      </c>
      <c r="C1207" s="1" t="n">
        <v>45688</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56208-2021</t>
        </is>
      </c>
      <c r="B1208" s="1" t="n">
        <v>44477</v>
      </c>
      <c r="C1208" s="1" t="n">
        <v>45688</v>
      </c>
      <c r="D1208" t="inlineStr">
        <is>
          <t>JÄMTLANDS LÄN</t>
        </is>
      </c>
      <c r="E1208" t="inlineStr">
        <is>
          <t>STRÖMSUND</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56655-2021</t>
        </is>
      </c>
      <c r="B1209" s="1" t="n">
        <v>44480</v>
      </c>
      <c r="C1209" s="1" t="n">
        <v>45688</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56654-2021</t>
        </is>
      </c>
      <c r="B1210" s="1" t="n">
        <v>44480</v>
      </c>
      <c r="C1210" s="1" t="n">
        <v>45688</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57433-2021</t>
        </is>
      </c>
      <c r="B1211" s="1" t="n">
        <v>44483</v>
      </c>
      <c r="C1211" s="1" t="n">
        <v>45688</v>
      </c>
      <c r="D1211" t="inlineStr">
        <is>
          <t>JÄMTLANDS LÄN</t>
        </is>
      </c>
      <c r="E1211" t="inlineStr">
        <is>
          <t>STRÖMSUND</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57547-2021</t>
        </is>
      </c>
      <c r="B1212" s="1" t="n">
        <v>44484</v>
      </c>
      <c r="C1212" s="1" t="n">
        <v>45688</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57560-2021</t>
        </is>
      </c>
      <c r="B1213" s="1" t="n">
        <v>44483</v>
      </c>
      <c r="C1213" s="1" t="n">
        <v>45688</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58260-2021</t>
        </is>
      </c>
      <c r="B1214" s="1" t="n">
        <v>44487</v>
      </c>
      <c r="C1214" s="1" t="n">
        <v>45688</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58022-2021</t>
        </is>
      </c>
      <c r="B1215" s="1" t="n">
        <v>44487</v>
      </c>
      <c r="C1215" s="1" t="n">
        <v>45688</v>
      </c>
      <c r="D1215" t="inlineStr">
        <is>
          <t>JÄMTLANDS LÄN</t>
        </is>
      </c>
      <c r="E1215" t="inlineStr">
        <is>
          <t>STRÖMSUND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59126-2021</t>
        </is>
      </c>
      <c r="B1216" s="1" t="n">
        <v>44487</v>
      </c>
      <c r="C1216" s="1" t="n">
        <v>45688</v>
      </c>
      <c r="D1216" t="inlineStr">
        <is>
          <t>JÄMTLANDS LÄN</t>
        </is>
      </c>
      <c r="E1216" t="inlineStr">
        <is>
          <t>STRÖMSUND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58972-2021</t>
        </is>
      </c>
      <c r="B1217" s="1" t="n">
        <v>44490</v>
      </c>
      <c r="C1217" s="1" t="n">
        <v>45688</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58973-2021</t>
        </is>
      </c>
      <c r="B1218" s="1" t="n">
        <v>44489</v>
      </c>
      <c r="C1218" s="1" t="n">
        <v>45688</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58971-2021</t>
        </is>
      </c>
      <c r="B1219" s="1" t="n">
        <v>44490</v>
      </c>
      <c r="C1219" s="1" t="n">
        <v>45688</v>
      </c>
      <c r="D1219" t="inlineStr">
        <is>
          <t>JÄMTLANDS LÄN</t>
        </is>
      </c>
      <c r="E1219" t="inlineStr">
        <is>
          <t>STRÖMSUND</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59139-2021</t>
        </is>
      </c>
      <c r="B1220" s="1" t="n">
        <v>44490</v>
      </c>
      <c r="C1220" s="1" t="n">
        <v>45688</v>
      </c>
      <c r="D1220" t="inlineStr">
        <is>
          <t>JÄMTLANDS LÄN</t>
        </is>
      </c>
      <c r="E1220" t="inlineStr">
        <is>
          <t>STRÖMSUND</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59313-2021</t>
        </is>
      </c>
      <c r="B1221" s="1" t="n">
        <v>44491</v>
      </c>
      <c r="C1221" s="1" t="n">
        <v>45688</v>
      </c>
      <c r="D1221" t="inlineStr">
        <is>
          <t>JÄMTLANDS LÄN</t>
        </is>
      </c>
      <c r="E1221" t="inlineStr">
        <is>
          <t>STRÖMSUND</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59969-2021</t>
        </is>
      </c>
      <c r="B1222" s="1" t="n">
        <v>44495</v>
      </c>
      <c r="C1222" s="1" t="n">
        <v>45688</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60011-2021</t>
        </is>
      </c>
      <c r="B1223" s="1" t="n">
        <v>44495</v>
      </c>
      <c r="C1223" s="1" t="n">
        <v>45688</v>
      </c>
      <c r="D1223" t="inlineStr">
        <is>
          <t>JÄMTLANDS LÄN</t>
        </is>
      </c>
      <c r="E1223" t="inlineStr">
        <is>
          <t>STRÖMSUND</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60319-2021</t>
        </is>
      </c>
      <c r="B1224" s="1" t="n">
        <v>44495</v>
      </c>
      <c r="C1224" s="1" t="n">
        <v>45688</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60939-2021</t>
        </is>
      </c>
      <c r="B1225" s="1" t="n">
        <v>44496</v>
      </c>
      <c r="C1225" s="1" t="n">
        <v>45688</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60775-2021</t>
        </is>
      </c>
      <c r="B1226" s="1" t="n">
        <v>44496</v>
      </c>
      <c r="C1226" s="1" t="n">
        <v>45688</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60789-2021</t>
        </is>
      </c>
      <c r="B1227" s="1" t="n">
        <v>44496</v>
      </c>
      <c r="C1227" s="1" t="n">
        <v>45688</v>
      </c>
      <c r="D1227" t="inlineStr">
        <is>
          <t>JÄMTLANDS LÄN</t>
        </is>
      </c>
      <c r="E1227" t="inlineStr">
        <is>
          <t>STRÖMSUND</t>
        </is>
      </c>
      <c r="F1227" t="inlineStr">
        <is>
          <t>SCA</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v>
      </c>
      <c r="C1228" s="1" t="n">
        <v>45688</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61612-2021</t>
        </is>
      </c>
      <c r="B1229" s="1" t="n">
        <v>44498</v>
      </c>
      <c r="C1229" s="1" t="n">
        <v>45688</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61439-2021</t>
        </is>
      </c>
      <c r="B1230" s="1" t="n">
        <v>44500</v>
      </c>
      <c r="C1230" s="1" t="n">
        <v>45688</v>
      </c>
      <c r="D1230" t="inlineStr">
        <is>
          <t>JÄMTLANDS LÄN</t>
        </is>
      </c>
      <c r="E1230" t="inlineStr">
        <is>
          <t>STRÖMSUND</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61449-2021</t>
        </is>
      </c>
      <c r="B1231" s="1" t="n">
        <v>44500</v>
      </c>
      <c r="C1231" s="1" t="n">
        <v>45688</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61420-2021</t>
        </is>
      </c>
      <c r="B1232" s="1" t="n">
        <v>44500</v>
      </c>
      <c r="C1232" s="1" t="n">
        <v>45688</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61434-2021</t>
        </is>
      </c>
      <c r="B1233" s="1" t="n">
        <v>44500</v>
      </c>
      <c r="C1233" s="1" t="n">
        <v>45688</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61455-2021</t>
        </is>
      </c>
      <c r="B1234" s="1" t="n">
        <v>44500</v>
      </c>
      <c r="C1234" s="1" t="n">
        <v>45688</v>
      </c>
      <c r="D1234" t="inlineStr">
        <is>
          <t>JÄMTLANDS LÄN</t>
        </is>
      </c>
      <c r="E1234" t="inlineStr">
        <is>
          <t>STRÖMSUND</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61422-2021</t>
        </is>
      </c>
      <c r="B1235" s="1" t="n">
        <v>44500</v>
      </c>
      <c r="C1235" s="1" t="n">
        <v>45688</v>
      </c>
      <c r="D1235" t="inlineStr">
        <is>
          <t>JÄMTLANDS LÄN</t>
        </is>
      </c>
      <c r="E1235" t="inlineStr">
        <is>
          <t>STRÖMSUND</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61419-2021</t>
        </is>
      </c>
      <c r="B1236" s="1" t="n">
        <v>44500</v>
      </c>
      <c r="C1236" s="1" t="n">
        <v>45688</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61433-2021</t>
        </is>
      </c>
      <c r="B1237" s="1" t="n">
        <v>44500</v>
      </c>
      <c r="C1237" s="1" t="n">
        <v>45688</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61450-2021</t>
        </is>
      </c>
      <c r="B1238" s="1" t="n">
        <v>44500</v>
      </c>
      <c r="C1238" s="1" t="n">
        <v>45688</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61731-2021</t>
        </is>
      </c>
      <c r="B1239" s="1" t="n">
        <v>44501</v>
      </c>
      <c r="C1239" s="1" t="n">
        <v>45688</v>
      </c>
      <c r="D1239" t="inlineStr">
        <is>
          <t>JÄMTLANDS LÄN</t>
        </is>
      </c>
      <c r="E1239" t="inlineStr">
        <is>
          <t>STRÖMSUND</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62203-2021</t>
        </is>
      </c>
      <c r="B1240" s="1" t="n">
        <v>44502</v>
      </c>
      <c r="C1240" s="1" t="n">
        <v>45688</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62194-2021</t>
        </is>
      </c>
      <c r="B1241" s="1" t="n">
        <v>44502</v>
      </c>
      <c r="C1241" s="1" t="n">
        <v>45688</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62234-2021</t>
        </is>
      </c>
      <c r="B1242" s="1" t="n">
        <v>44503</v>
      </c>
      <c r="C1242" s="1" t="n">
        <v>45688</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62431-2021</t>
        </is>
      </c>
      <c r="B1243" s="1" t="n">
        <v>44503</v>
      </c>
      <c r="C1243" s="1" t="n">
        <v>45688</v>
      </c>
      <c r="D1243" t="inlineStr">
        <is>
          <t>JÄMTLANDS LÄN</t>
        </is>
      </c>
      <c r="E1243" t="inlineStr">
        <is>
          <t>STRÖMSUND</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62667-2021</t>
        </is>
      </c>
      <c r="B1244" s="1" t="n">
        <v>44503</v>
      </c>
      <c r="C1244" s="1" t="n">
        <v>45688</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62666-2021</t>
        </is>
      </c>
      <c r="B1245" s="1" t="n">
        <v>44503</v>
      </c>
      <c r="C1245" s="1" t="n">
        <v>45688</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62669-2021</t>
        </is>
      </c>
      <c r="B1246" s="1" t="n">
        <v>44503</v>
      </c>
      <c r="C1246" s="1" t="n">
        <v>45688</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62668-2021</t>
        </is>
      </c>
      <c r="B1247" s="1" t="n">
        <v>44503</v>
      </c>
      <c r="C1247" s="1" t="n">
        <v>45688</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64744-2021</t>
        </is>
      </c>
      <c r="B1248" s="1" t="n">
        <v>44503</v>
      </c>
      <c r="C1248" s="1" t="n">
        <v>45688</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64760-2021</t>
        </is>
      </c>
      <c r="B1249" s="1" t="n">
        <v>44503</v>
      </c>
      <c r="C1249" s="1" t="n">
        <v>45688</v>
      </c>
      <c r="D1249" t="inlineStr">
        <is>
          <t>JÄMTLANDS LÄN</t>
        </is>
      </c>
      <c r="E1249" t="inlineStr">
        <is>
          <t>STRÖMSUND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63070-2021</t>
        </is>
      </c>
      <c r="B1250" s="1" t="n">
        <v>44505</v>
      </c>
      <c r="C1250" s="1" t="n">
        <v>45688</v>
      </c>
      <c r="D1250" t="inlineStr">
        <is>
          <t>JÄMTLANDS LÄN</t>
        </is>
      </c>
      <c r="E1250" t="inlineStr">
        <is>
          <t>STRÖMSUND</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63498-2021</t>
        </is>
      </c>
      <c r="B1251" s="1" t="n">
        <v>44508</v>
      </c>
      <c r="C1251" s="1" t="n">
        <v>45688</v>
      </c>
      <c r="D1251" t="inlineStr">
        <is>
          <t>JÄMTLANDS LÄN</t>
        </is>
      </c>
      <c r="E1251" t="inlineStr">
        <is>
          <t>STRÖMSUND</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63875-2021</t>
        </is>
      </c>
      <c r="B1252" s="1" t="n">
        <v>44509</v>
      </c>
      <c r="C1252" s="1" t="n">
        <v>45688</v>
      </c>
      <c r="D1252" t="inlineStr">
        <is>
          <t>JÄMTLANDS LÄN</t>
        </is>
      </c>
      <c r="E1252" t="inlineStr">
        <is>
          <t>STRÖMSUND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64000-2021</t>
        </is>
      </c>
      <c r="B1253" s="1" t="n">
        <v>44510</v>
      </c>
      <c r="C1253" s="1" t="n">
        <v>45688</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63999-2021</t>
        </is>
      </c>
      <c r="B1254" s="1" t="n">
        <v>44510</v>
      </c>
      <c r="C1254" s="1" t="n">
        <v>45688</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63988-2021</t>
        </is>
      </c>
      <c r="B1255" s="1" t="n">
        <v>44509</v>
      </c>
      <c r="C1255" s="1" t="n">
        <v>45688</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64001-2021</t>
        </is>
      </c>
      <c r="B1256" s="1" t="n">
        <v>44509</v>
      </c>
      <c r="C1256" s="1" t="n">
        <v>45688</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64200-2021</t>
        </is>
      </c>
      <c r="B1257" s="1" t="n">
        <v>44510</v>
      </c>
      <c r="C1257" s="1" t="n">
        <v>45688</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64186-2021</t>
        </is>
      </c>
      <c r="B1258" s="1" t="n">
        <v>44510</v>
      </c>
      <c r="C1258" s="1" t="n">
        <v>45688</v>
      </c>
      <c r="D1258" t="inlineStr">
        <is>
          <t>JÄMTLANDS LÄN</t>
        </is>
      </c>
      <c r="E1258" t="inlineStr">
        <is>
          <t>STRÖMSUND</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64291-2021</t>
        </is>
      </c>
      <c r="B1259" s="1" t="n">
        <v>44510</v>
      </c>
      <c r="C1259" s="1" t="n">
        <v>45688</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64310-2021</t>
        </is>
      </c>
      <c r="B1260" s="1" t="n">
        <v>44510</v>
      </c>
      <c r="C1260" s="1" t="n">
        <v>45688</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64309-2021</t>
        </is>
      </c>
      <c r="B1261" s="1" t="n">
        <v>44510</v>
      </c>
      <c r="C1261" s="1" t="n">
        <v>45688</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64505-2021</t>
        </is>
      </c>
      <c r="B1262" s="1" t="n">
        <v>44511</v>
      </c>
      <c r="C1262" s="1" t="n">
        <v>45688</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64655-2021</t>
        </is>
      </c>
      <c r="B1263" s="1" t="n">
        <v>44511</v>
      </c>
      <c r="C1263" s="1" t="n">
        <v>45688</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64656-2021</t>
        </is>
      </c>
      <c r="B1264" s="1" t="n">
        <v>44511</v>
      </c>
      <c r="C1264" s="1" t="n">
        <v>45688</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64660-2021</t>
        </is>
      </c>
      <c r="B1265" s="1" t="n">
        <v>44511</v>
      </c>
      <c r="C1265" s="1" t="n">
        <v>45688</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64657-2021</t>
        </is>
      </c>
      <c r="B1266" s="1" t="n">
        <v>44511</v>
      </c>
      <c r="C1266" s="1" t="n">
        <v>45688</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64723-2021</t>
        </is>
      </c>
      <c r="B1267" s="1" t="n">
        <v>44512</v>
      </c>
      <c r="C1267" s="1" t="n">
        <v>45688</v>
      </c>
      <c r="D1267" t="inlineStr">
        <is>
          <t>JÄMTLANDS LÄN</t>
        </is>
      </c>
      <c r="E1267" t="inlineStr">
        <is>
          <t>STRÖMSUND</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64913-2021</t>
        </is>
      </c>
      <c r="B1268" s="1" t="n">
        <v>44512</v>
      </c>
      <c r="C1268" s="1" t="n">
        <v>45688</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64955-2021</t>
        </is>
      </c>
      <c r="B1269" s="1" t="n">
        <v>44512</v>
      </c>
      <c r="C1269" s="1" t="n">
        <v>45688</v>
      </c>
      <c r="D1269" t="inlineStr">
        <is>
          <t>JÄMTLANDS LÄN</t>
        </is>
      </c>
      <c r="E1269" t="inlineStr">
        <is>
          <t>STRÖMSUND</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65412-2021</t>
        </is>
      </c>
      <c r="B1270" s="1" t="n">
        <v>44515</v>
      </c>
      <c r="C1270" s="1" t="n">
        <v>45688</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65430-2021</t>
        </is>
      </c>
      <c r="B1271" s="1" t="n">
        <v>44515</v>
      </c>
      <c r="C1271" s="1" t="n">
        <v>45688</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65442-2021</t>
        </is>
      </c>
      <c r="B1272" s="1" t="n">
        <v>44515</v>
      </c>
      <c r="C1272" s="1" t="n">
        <v>45688</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65776-2021</t>
        </is>
      </c>
      <c r="B1273" s="1" t="n">
        <v>44516</v>
      </c>
      <c r="C1273" s="1" t="n">
        <v>45688</v>
      </c>
      <c r="D1273" t="inlineStr">
        <is>
          <t>JÄMTLANDS LÄN</t>
        </is>
      </c>
      <c r="E1273" t="inlineStr">
        <is>
          <t>STRÖMSUND</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65787-2021</t>
        </is>
      </c>
      <c r="B1274" s="1" t="n">
        <v>44516</v>
      </c>
      <c r="C1274" s="1" t="n">
        <v>45688</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66088-2021</t>
        </is>
      </c>
      <c r="B1275" s="1" t="n">
        <v>44517</v>
      </c>
      <c r="C1275" s="1" t="n">
        <v>45688</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66166-2021</t>
        </is>
      </c>
      <c r="B1276" s="1" t="n">
        <v>44517</v>
      </c>
      <c r="C1276" s="1" t="n">
        <v>45688</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66475-2021</t>
        </is>
      </c>
      <c r="B1277" s="1" t="n">
        <v>44518</v>
      </c>
      <c r="C1277" s="1" t="n">
        <v>45688</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66485-2021</t>
        </is>
      </c>
      <c r="B1278" s="1" t="n">
        <v>44518</v>
      </c>
      <c r="C1278" s="1" t="n">
        <v>45688</v>
      </c>
      <c r="D1278" t="inlineStr">
        <is>
          <t>JÄMTLANDS LÄN</t>
        </is>
      </c>
      <c r="E1278" t="inlineStr">
        <is>
          <t>STRÖMSUND</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66488-2021</t>
        </is>
      </c>
      <c r="B1279" s="1" t="n">
        <v>44518</v>
      </c>
      <c r="C1279" s="1" t="n">
        <v>45688</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66486-2021</t>
        </is>
      </c>
      <c r="B1280" s="1" t="n">
        <v>44518</v>
      </c>
      <c r="C1280" s="1" t="n">
        <v>45688</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66487-2021</t>
        </is>
      </c>
      <c r="B1281" s="1" t="n">
        <v>44518</v>
      </c>
      <c r="C1281" s="1" t="n">
        <v>45688</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66784-2021</t>
        </is>
      </c>
      <c r="B1282" s="1" t="n">
        <v>44519</v>
      </c>
      <c r="C1282" s="1" t="n">
        <v>45688</v>
      </c>
      <c r="D1282" t="inlineStr">
        <is>
          <t>JÄMTLANDS LÄN</t>
        </is>
      </c>
      <c r="E1282" t="inlineStr">
        <is>
          <t>STRÖMSUND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66742-2021</t>
        </is>
      </c>
      <c r="B1283" s="1" t="n">
        <v>44520</v>
      </c>
      <c r="C1283" s="1" t="n">
        <v>45688</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67096-2021</t>
        </is>
      </c>
      <c r="B1284" s="1" t="n">
        <v>44522</v>
      </c>
      <c r="C1284" s="1" t="n">
        <v>45688</v>
      </c>
      <c r="D1284" t="inlineStr">
        <is>
          <t>JÄMTLANDS LÄN</t>
        </is>
      </c>
      <c r="E1284" t="inlineStr">
        <is>
          <t>STRÖMSUND</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67099-2021</t>
        </is>
      </c>
      <c r="B1285" s="1" t="n">
        <v>44522</v>
      </c>
      <c r="C1285" s="1" t="n">
        <v>45688</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67097-2021</t>
        </is>
      </c>
      <c r="B1286" s="1" t="n">
        <v>44522</v>
      </c>
      <c r="C1286" s="1" t="n">
        <v>45688</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67114-2021</t>
        </is>
      </c>
      <c r="B1287" s="1" t="n">
        <v>44523</v>
      </c>
      <c r="C1287" s="1" t="n">
        <v>45688</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67696-2021</t>
        </is>
      </c>
      <c r="B1288" s="1" t="n">
        <v>44524</v>
      </c>
      <c r="C1288" s="1" t="n">
        <v>45688</v>
      </c>
      <c r="D1288" t="inlineStr">
        <is>
          <t>JÄMTLANDS LÄN</t>
        </is>
      </c>
      <c r="E1288" t="inlineStr">
        <is>
          <t>STRÖMSUND</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67903-2021</t>
        </is>
      </c>
      <c r="B1289" s="1" t="n">
        <v>44525</v>
      </c>
      <c r="C1289" s="1" t="n">
        <v>45688</v>
      </c>
      <c r="D1289" t="inlineStr">
        <is>
          <t>JÄMTLANDS LÄN</t>
        </is>
      </c>
      <c r="E1289" t="inlineStr">
        <is>
          <t>STRÖMSUND</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67906-2021</t>
        </is>
      </c>
      <c r="B1290" s="1" t="n">
        <v>44525</v>
      </c>
      <c r="C1290" s="1" t="n">
        <v>45688</v>
      </c>
      <c r="D1290" t="inlineStr">
        <is>
          <t>JÄMTLANDS LÄN</t>
        </is>
      </c>
      <c r="E1290" t="inlineStr">
        <is>
          <t>STRÖMSUND</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68646-2021</t>
        </is>
      </c>
      <c r="B1291" s="1" t="n">
        <v>44529</v>
      </c>
      <c r="C1291" s="1" t="n">
        <v>45688</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68675-2021</t>
        </is>
      </c>
      <c r="B1292" s="1" t="n">
        <v>44529</v>
      </c>
      <c r="C1292" s="1" t="n">
        <v>45688</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68424-2021</t>
        </is>
      </c>
      <c r="B1293" s="1" t="n">
        <v>44529</v>
      </c>
      <c r="C1293" s="1" t="n">
        <v>45688</v>
      </c>
      <c r="D1293" t="inlineStr">
        <is>
          <t>JÄMTLANDS LÄN</t>
        </is>
      </c>
      <c r="E1293" t="inlineStr">
        <is>
          <t>STRÖMSUND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68442-2021</t>
        </is>
      </c>
      <c r="B1294" s="1" t="n">
        <v>44529</v>
      </c>
      <c r="C1294" s="1" t="n">
        <v>45688</v>
      </c>
      <c r="D1294" t="inlineStr">
        <is>
          <t>JÄMTLANDS LÄN</t>
        </is>
      </c>
      <c r="E1294" t="inlineStr">
        <is>
          <t>STRÖMSUND</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68776-2021</t>
        </is>
      </c>
      <c r="B1295" s="1" t="n">
        <v>44529</v>
      </c>
      <c r="C1295" s="1" t="n">
        <v>45688</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68777-2021</t>
        </is>
      </c>
      <c r="B1296" s="1" t="n">
        <v>44529</v>
      </c>
      <c r="C1296" s="1" t="n">
        <v>45688</v>
      </c>
      <c r="D1296" t="inlineStr">
        <is>
          <t>JÄMTLANDS LÄN</t>
        </is>
      </c>
      <c r="E1296" t="inlineStr">
        <is>
          <t>STRÖMSUND</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69139-2021</t>
        </is>
      </c>
      <c r="B1297" s="1" t="n">
        <v>44530</v>
      </c>
      <c r="C1297" s="1" t="n">
        <v>45688</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69132-2021</t>
        </is>
      </c>
      <c r="B1298" s="1" t="n">
        <v>44530</v>
      </c>
      <c r="C1298" s="1" t="n">
        <v>45688</v>
      </c>
      <c r="D1298" t="inlineStr">
        <is>
          <t>JÄMTLANDS LÄN</t>
        </is>
      </c>
      <c r="E1298" t="inlineStr">
        <is>
          <t>STRÖMSUND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69144-2021</t>
        </is>
      </c>
      <c r="B1299" s="1" t="n">
        <v>44530</v>
      </c>
      <c r="C1299" s="1" t="n">
        <v>45688</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69143-2021</t>
        </is>
      </c>
      <c r="B1300" s="1" t="n">
        <v>44530</v>
      </c>
      <c r="C1300" s="1" t="n">
        <v>45688</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70079-2021</t>
        </is>
      </c>
      <c r="B1301" s="1" t="n">
        <v>44533</v>
      </c>
      <c r="C1301" s="1" t="n">
        <v>45688</v>
      </c>
      <c r="D1301" t="inlineStr">
        <is>
          <t>JÄMTLANDS LÄN</t>
        </is>
      </c>
      <c r="E1301" t="inlineStr">
        <is>
          <t>STRÖMSUND</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70530-2021</t>
        </is>
      </c>
      <c r="B1302" s="1" t="n">
        <v>44536</v>
      </c>
      <c r="C1302" s="1" t="n">
        <v>45688</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70531-2021</t>
        </is>
      </c>
      <c r="B1303" s="1" t="n">
        <v>44536</v>
      </c>
      <c r="C1303" s="1" t="n">
        <v>45688</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70511-2021</t>
        </is>
      </c>
      <c r="B1304" s="1" t="n">
        <v>44536</v>
      </c>
      <c r="C1304" s="1" t="n">
        <v>45688</v>
      </c>
      <c r="D1304" t="inlineStr">
        <is>
          <t>JÄMTLANDS LÄN</t>
        </is>
      </c>
      <c r="E1304" t="inlineStr">
        <is>
          <t>STRÖMSUND</t>
        </is>
      </c>
      <c r="F1304" t="inlineStr">
        <is>
          <t>SCA</t>
        </is>
      </c>
      <c r="G1304" t="n">
        <v>401.6</v>
      </c>
      <c r="H1304" t="n">
        <v>0</v>
      </c>
      <c r="I1304" t="n">
        <v>0</v>
      </c>
      <c r="J1304" t="n">
        <v>0</v>
      </c>
      <c r="K1304" t="n">
        <v>0</v>
      </c>
      <c r="L1304" t="n">
        <v>0</v>
      </c>
      <c r="M1304" t="n">
        <v>0</v>
      </c>
      <c r="N1304" t="n">
        <v>0</v>
      </c>
      <c r="O1304" t="n">
        <v>0</v>
      </c>
      <c r="P1304" t="n">
        <v>0</v>
      </c>
      <c r="Q1304" t="n">
        <v>0</v>
      </c>
      <c r="R1304" s="2" t="inlineStr"/>
    </row>
    <row r="1305" ht="15" customHeight="1">
      <c r="A1305" t="inlineStr">
        <is>
          <t>A 70529-2021</t>
        </is>
      </c>
      <c r="B1305" s="1" t="n">
        <v>44536</v>
      </c>
      <c r="C1305" s="1" t="n">
        <v>45688</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71352-2021</t>
        </is>
      </c>
      <c r="B1306" s="1" t="n">
        <v>44539</v>
      </c>
      <c r="C1306" s="1" t="n">
        <v>45688</v>
      </c>
      <c r="D1306" t="inlineStr">
        <is>
          <t>JÄMTLANDS LÄN</t>
        </is>
      </c>
      <c r="E1306" t="inlineStr">
        <is>
          <t>STRÖMSUND</t>
        </is>
      </c>
      <c r="G1306" t="n">
        <v>0.2</v>
      </c>
      <c r="H1306" t="n">
        <v>0</v>
      </c>
      <c r="I1306" t="n">
        <v>0</v>
      </c>
      <c r="J1306" t="n">
        <v>0</v>
      </c>
      <c r="K1306" t="n">
        <v>0</v>
      </c>
      <c r="L1306" t="n">
        <v>0</v>
      </c>
      <c r="M1306" t="n">
        <v>0</v>
      </c>
      <c r="N1306" t="n">
        <v>0</v>
      </c>
      <c r="O1306" t="n">
        <v>0</v>
      </c>
      <c r="P1306" t="n">
        <v>0</v>
      </c>
      <c r="Q1306" t="n">
        <v>0</v>
      </c>
      <c r="R1306" s="2" t="inlineStr"/>
      <c r="U1306">
        <f>HYPERLINK("https://klasma.github.io/Logging_2313/knärot/A 71352-2021 karta knärot.png", "A 71352-2021")</f>
        <v/>
      </c>
      <c r="V1306">
        <f>HYPERLINK("https://klasma.github.io/Logging_2313/klagomål/A 71352-2021 FSC-klagomål.docx", "A 71352-2021")</f>
        <v/>
      </c>
      <c r="W1306">
        <f>HYPERLINK("https://klasma.github.io/Logging_2313/klagomålsmail/A 71352-2021 FSC-klagomål mail.docx", "A 71352-2021")</f>
        <v/>
      </c>
      <c r="X1306">
        <f>HYPERLINK("https://klasma.github.io/Logging_2313/tillsyn/A 71352-2021 tillsynsbegäran.docx", "A 71352-2021")</f>
        <v/>
      </c>
      <c r="Y1306">
        <f>HYPERLINK("https://klasma.github.io/Logging_2313/tillsynsmail/A 71352-2021 tillsynsbegäran mail.docx", "A 71352-2021")</f>
        <v/>
      </c>
    </row>
    <row r="1307" ht="15" customHeight="1">
      <c r="A1307" t="inlineStr">
        <is>
          <t>A 71353-2021</t>
        </is>
      </c>
      <c r="B1307" s="1" t="n">
        <v>44539</v>
      </c>
      <c r="C1307" s="1" t="n">
        <v>45688</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71376-2021</t>
        </is>
      </c>
      <c r="B1308" s="1" t="n">
        <v>44539</v>
      </c>
      <c r="C1308" s="1" t="n">
        <v>45688</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71377-2021</t>
        </is>
      </c>
      <c r="B1309" s="1" t="n">
        <v>44539</v>
      </c>
      <c r="C1309" s="1" t="n">
        <v>45688</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71912-2021</t>
        </is>
      </c>
      <c r="B1310" s="1" t="n">
        <v>44543</v>
      </c>
      <c r="C1310" s="1" t="n">
        <v>45688</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71911-2021</t>
        </is>
      </c>
      <c r="B1311" s="1" t="n">
        <v>44543</v>
      </c>
      <c r="C1311" s="1" t="n">
        <v>45688</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72629-2021</t>
        </is>
      </c>
      <c r="B1312" s="1" t="n">
        <v>44545</v>
      </c>
      <c r="C1312" s="1" t="n">
        <v>45688</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72497-2021</t>
        </is>
      </c>
      <c r="B1313" s="1" t="n">
        <v>44545</v>
      </c>
      <c r="C1313" s="1" t="n">
        <v>45688</v>
      </c>
      <c r="D1313" t="inlineStr">
        <is>
          <t>JÄMTLANDS LÄN</t>
        </is>
      </c>
      <c r="E1313" t="inlineStr">
        <is>
          <t>STRÖMSUND</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72543-2021</t>
        </is>
      </c>
      <c r="B1314" s="1" t="n">
        <v>44546</v>
      </c>
      <c r="C1314" s="1" t="n">
        <v>45688</v>
      </c>
      <c r="D1314" t="inlineStr">
        <is>
          <t>JÄMTLANDS LÄN</t>
        </is>
      </c>
      <c r="E1314" t="inlineStr">
        <is>
          <t>STRÖMSUND</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72749-2021</t>
        </is>
      </c>
      <c r="B1315" s="1" t="n">
        <v>44546</v>
      </c>
      <c r="C1315" s="1" t="n">
        <v>45688</v>
      </c>
      <c r="D1315" t="inlineStr">
        <is>
          <t>JÄMTLANDS LÄN</t>
        </is>
      </c>
      <c r="E1315" t="inlineStr">
        <is>
          <t>STRÖMSUND</t>
        </is>
      </c>
      <c r="G1315" t="n">
        <v>35.6</v>
      </c>
      <c r="H1315" t="n">
        <v>0</v>
      </c>
      <c r="I1315" t="n">
        <v>0</v>
      </c>
      <c r="J1315" t="n">
        <v>0</v>
      </c>
      <c r="K1315" t="n">
        <v>0</v>
      </c>
      <c r="L1315" t="n">
        <v>0</v>
      </c>
      <c r="M1315" t="n">
        <v>0</v>
      </c>
      <c r="N1315" t="n">
        <v>0</v>
      </c>
      <c r="O1315" t="n">
        <v>0</v>
      </c>
      <c r="P1315" t="n">
        <v>0</v>
      </c>
      <c r="Q1315" t="n">
        <v>0</v>
      </c>
      <c r="R1315" s="2" t="inlineStr"/>
    </row>
    <row r="1316" ht="15" customHeight="1">
      <c r="A1316" t="inlineStr">
        <is>
          <t>A 72753-2021</t>
        </is>
      </c>
      <c r="B1316" s="1" t="n">
        <v>44546</v>
      </c>
      <c r="C1316" s="1" t="n">
        <v>45688</v>
      </c>
      <c r="D1316" t="inlineStr">
        <is>
          <t>JÄMTLANDS LÄN</t>
        </is>
      </c>
      <c r="E1316" t="inlineStr">
        <is>
          <t>STRÖMSUND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72827-2021</t>
        </is>
      </c>
      <c r="B1317" s="1" t="n">
        <v>44547</v>
      </c>
      <c r="C1317" s="1" t="n">
        <v>45688</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72957-2021</t>
        </is>
      </c>
      <c r="B1318" s="1" t="n">
        <v>44547</v>
      </c>
      <c r="C1318" s="1" t="n">
        <v>45688</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72956-2021</t>
        </is>
      </c>
      <c r="B1319" s="1" t="n">
        <v>44547</v>
      </c>
      <c r="C1319" s="1" t="n">
        <v>45688</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73288-2021</t>
        </is>
      </c>
      <c r="B1320" s="1" t="n">
        <v>44550</v>
      </c>
      <c r="C1320" s="1" t="n">
        <v>45688</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73291-2021</t>
        </is>
      </c>
      <c r="B1321" s="1" t="n">
        <v>44550</v>
      </c>
      <c r="C1321" s="1" t="n">
        <v>45688</v>
      </c>
      <c r="D1321" t="inlineStr">
        <is>
          <t>JÄMTLANDS LÄN</t>
        </is>
      </c>
      <c r="E1321" t="inlineStr">
        <is>
          <t>STRÖMSUND</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73289-2021</t>
        </is>
      </c>
      <c r="B1322" s="1" t="n">
        <v>44550</v>
      </c>
      <c r="C1322" s="1" t="n">
        <v>45688</v>
      </c>
      <c r="D1322" t="inlineStr">
        <is>
          <t>JÄMTLANDS LÄN</t>
        </is>
      </c>
      <c r="E1322" t="inlineStr">
        <is>
          <t>STRÖMSUND</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364-2022</t>
        </is>
      </c>
      <c r="B1323" s="1" t="n">
        <v>44565</v>
      </c>
      <c r="C1323" s="1" t="n">
        <v>45688</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585-2022</t>
        </is>
      </c>
      <c r="B1324" s="1" t="n">
        <v>44566</v>
      </c>
      <c r="C1324" s="1" t="n">
        <v>45688</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583-2022</t>
        </is>
      </c>
      <c r="B1325" s="1" t="n">
        <v>44566</v>
      </c>
      <c r="C1325" s="1" t="n">
        <v>45688</v>
      </c>
      <c r="D1325" t="inlineStr">
        <is>
          <t>JÄMTLANDS LÄN</t>
        </is>
      </c>
      <c r="E1325" t="inlineStr">
        <is>
          <t>STRÖMSUND</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829-2022</t>
        </is>
      </c>
      <c r="B1326" s="1" t="n">
        <v>44568</v>
      </c>
      <c r="C1326" s="1" t="n">
        <v>45688</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1083-2022</t>
        </is>
      </c>
      <c r="B1327" s="1" t="n">
        <v>44571</v>
      </c>
      <c r="C1327" s="1" t="n">
        <v>45688</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1107-2022</t>
        </is>
      </c>
      <c r="B1328" s="1" t="n">
        <v>44571</v>
      </c>
      <c r="C1328" s="1" t="n">
        <v>45688</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1339-2022</t>
        </is>
      </c>
      <c r="B1329" s="1" t="n">
        <v>44572</v>
      </c>
      <c r="C1329" s="1" t="n">
        <v>45688</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2485-2022</t>
        </is>
      </c>
      <c r="B1330" s="1" t="n">
        <v>44579</v>
      </c>
      <c r="C1330" s="1" t="n">
        <v>45688</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2760-2022</t>
        </is>
      </c>
      <c r="B1331" s="1" t="n">
        <v>44580</v>
      </c>
      <c r="C1331" s="1" t="n">
        <v>45688</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2759-2022</t>
        </is>
      </c>
      <c r="B1332" s="1" t="n">
        <v>44580</v>
      </c>
      <c r="C1332" s="1" t="n">
        <v>45688</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3114-2022</t>
        </is>
      </c>
      <c r="B1333" s="1" t="n">
        <v>44582</v>
      </c>
      <c r="C1333" s="1" t="n">
        <v>45688</v>
      </c>
      <c r="D1333" t="inlineStr">
        <is>
          <t>JÄMTLANDS LÄN</t>
        </is>
      </c>
      <c r="E1333" t="inlineStr">
        <is>
          <t>STRÖMSUND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3165-2022</t>
        </is>
      </c>
      <c r="B1334" s="1" t="n">
        <v>44582</v>
      </c>
      <c r="C1334" s="1" t="n">
        <v>45688</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3230-2022</t>
        </is>
      </c>
      <c r="B1335" s="1" t="n">
        <v>44582</v>
      </c>
      <c r="C1335" s="1" t="n">
        <v>45688</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3269-2022</t>
        </is>
      </c>
      <c r="B1336" s="1" t="n">
        <v>44583</v>
      </c>
      <c r="C1336" s="1" t="n">
        <v>45688</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3538-2022</t>
        </is>
      </c>
      <c r="B1337" s="1" t="n">
        <v>44585</v>
      </c>
      <c r="C1337" s="1" t="n">
        <v>45688</v>
      </c>
      <c r="D1337" t="inlineStr">
        <is>
          <t>JÄMTLANDS LÄN</t>
        </is>
      </c>
      <c r="E1337" t="inlineStr">
        <is>
          <t>STRÖMSUND</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3539-2022</t>
        </is>
      </c>
      <c r="B1338" s="1" t="n">
        <v>44585</v>
      </c>
      <c r="C1338" s="1" t="n">
        <v>45688</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3719-2022</t>
        </is>
      </c>
      <c r="B1339" s="1" t="n">
        <v>44586</v>
      </c>
      <c r="C1339" s="1" t="n">
        <v>45688</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3721-2022</t>
        </is>
      </c>
      <c r="B1340" s="1" t="n">
        <v>44586</v>
      </c>
      <c r="C1340" s="1" t="n">
        <v>45688</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3875-2022</t>
        </is>
      </c>
      <c r="B1341" s="1" t="n">
        <v>44587</v>
      </c>
      <c r="C1341" s="1" t="n">
        <v>45688</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4024-2022</t>
        </is>
      </c>
      <c r="B1342" s="1" t="n">
        <v>44587</v>
      </c>
      <c r="C1342" s="1" t="n">
        <v>45688</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4460-2022</t>
        </is>
      </c>
      <c r="B1343" s="1" t="n">
        <v>44589</v>
      </c>
      <c r="C1343" s="1" t="n">
        <v>45688</v>
      </c>
      <c r="D1343" t="inlineStr">
        <is>
          <t>JÄMTLANDS LÄN</t>
        </is>
      </c>
      <c r="E1343" t="inlineStr">
        <is>
          <t>STRÖMSUND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4455-2022</t>
        </is>
      </c>
      <c r="B1344" s="1" t="n">
        <v>44589</v>
      </c>
      <c r="C1344" s="1" t="n">
        <v>45688</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4464-2022</t>
        </is>
      </c>
      <c r="B1345" s="1" t="n">
        <v>44589</v>
      </c>
      <c r="C1345" s="1" t="n">
        <v>45688</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4602-2022</t>
        </is>
      </c>
      <c r="B1346" s="1" t="n">
        <v>44589</v>
      </c>
      <c r="C1346" s="1" t="n">
        <v>45688</v>
      </c>
      <c r="D1346" t="inlineStr">
        <is>
          <t>JÄMTLANDS LÄN</t>
        </is>
      </c>
      <c r="E1346" t="inlineStr">
        <is>
          <t>STRÖMSUND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4858-2022</t>
        </is>
      </c>
      <c r="B1347" s="1" t="n">
        <v>44592</v>
      </c>
      <c r="C1347" s="1" t="n">
        <v>45688</v>
      </c>
      <c r="D1347" t="inlineStr">
        <is>
          <t>JÄMTLANDS LÄN</t>
        </is>
      </c>
      <c r="E1347" t="inlineStr">
        <is>
          <t>STRÖMSUND</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4931-2022</t>
        </is>
      </c>
      <c r="B1348" s="1" t="n">
        <v>44593</v>
      </c>
      <c r="C1348" s="1" t="n">
        <v>45688</v>
      </c>
      <c r="D1348" t="inlineStr">
        <is>
          <t>JÄMTLANDS LÄN</t>
        </is>
      </c>
      <c r="E1348" t="inlineStr">
        <is>
          <t>STRÖMSUND</t>
        </is>
      </c>
      <c r="G1348" t="n">
        <v>41.9</v>
      </c>
      <c r="H1348" t="n">
        <v>0</v>
      </c>
      <c r="I1348" t="n">
        <v>0</v>
      </c>
      <c r="J1348" t="n">
        <v>0</v>
      </c>
      <c r="K1348" t="n">
        <v>0</v>
      </c>
      <c r="L1348" t="n">
        <v>0</v>
      </c>
      <c r="M1348" t="n">
        <v>0</v>
      </c>
      <c r="N1348" t="n">
        <v>0</v>
      </c>
      <c r="O1348" t="n">
        <v>0</v>
      </c>
      <c r="P1348" t="n">
        <v>0</v>
      </c>
      <c r="Q1348" t="n">
        <v>0</v>
      </c>
      <c r="R1348" s="2" t="inlineStr"/>
    </row>
    <row r="1349" ht="15" customHeight="1">
      <c r="A1349" t="inlineStr">
        <is>
          <t>A 5117-2022</t>
        </is>
      </c>
      <c r="B1349" s="1" t="n">
        <v>44593</v>
      </c>
      <c r="C1349" s="1" t="n">
        <v>45688</v>
      </c>
      <c r="D1349" t="inlineStr">
        <is>
          <t>JÄMTLANDS LÄN</t>
        </is>
      </c>
      <c r="E1349" t="inlineStr">
        <is>
          <t>STRÖMSUND</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5116-2022</t>
        </is>
      </c>
      <c r="B1350" s="1" t="n">
        <v>44593</v>
      </c>
      <c r="C1350" s="1" t="n">
        <v>45688</v>
      </c>
      <c r="D1350" t="inlineStr">
        <is>
          <t>JÄMTLANDS LÄN</t>
        </is>
      </c>
      <c r="E1350" t="inlineStr">
        <is>
          <t>STRÖMSUND</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5416-2022</t>
        </is>
      </c>
      <c r="B1351" s="1" t="n">
        <v>44595</v>
      </c>
      <c r="C1351" s="1" t="n">
        <v>45688</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5642-2022</t>
        </is>
      </c>
      <c r="B1352" s="1" t="n">
        <v>44595</v>
      </c>
      <c r="C1352" s="1" t="n">
        <v>45688</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6055-2022</t>
        </is>
      </c>
      <c r="B1353" s="1" t="n">
        <v>44599</v>
      </c>
      <c r="C1353" s="1" t="n">
        <v>45688</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6150-2022</t>
        </is>
      </c>
      <c r="B1354" s="1" t="n">
        <v>44599</v>
      </c>
      <c r="C1354" s="1" t="n">
        <v>45688</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6202-2022</t>
        </is>
      </c>
      <c r="B1355" s="1" t="n">
        <v>44600</v>
      </c>
      <c r="C1355" s="1" t="n">
        <v>45688</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7023-2022</t>
        </is>
      </c>
      <c r="B1356" s="1" t="n">
        <v>44603</v>
      </c>
      <c r="C1356" s="1" t="n">
        <v>45688</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7157-2022</t>
        </is>
      </c>
      <c r="B1357" s="1" t="n">
        <v>44604</v>
      </c>
      <c r="C1357" s="1" t="n">
        <v>45688</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7260-2022</t>
        </is>
      </c>
      <c r="B1358" s="1" t="n">
        <v>44606</v>
      </c>
      <c r="C1358" s="1" t="n">
        <v>45688</v>
      </c>
      <c r="D1358" t="inlineStr">
        <is>
          <t>JÄMTLANDS LÄN</t>
        </is>
      </c>
      <c r="E1358" t="inlineStr">
        <is>
          <t>STRÖMSUND</t>
        </is>
      </c>
      <c r="F1358" t="inlineStr">
        <is>
          <t>SCA</t>
        </is>
      </c>
      <c r="G1358" t="n">
        <v>76.40000000000001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8066-2022</t>
        </is>
      </c>
      <c r="B1359" s="1" t="n">
        <v>44609</v>
      </c>
      <c r="C1359" s="1" t="n">
        <v>45688</v>
      </c>
      <c r="D1359" t="inlineStr">
        <is>
          <t>JÄMTLANDS LÄN</t>
        </is>
      </c>
      <c r="E1359" t="inlineStr">
        <is>
          <t>STRÖMSUND</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8239-2022</t>
        </is>
      </c>
      <c r="B1360" s="1" t="n">
        <v>44609</v>
      </c>
      <c r="C1360" s="1" t="n">
        <v>45688</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8421-2022</t>
        </is>
      </c>
      <c r="B1361" s="1" t="n">
        <v>44610</v>
      </c>
      <c r="C1361" s="1" t="n">
        <v>45688</v>
      </c>
      <c r="D1361" t="inlineStr">
        <is>
          <t>JÄMTLANDS LÄN</t>
        </is>
      </c>
      <c r="E1361" t="inlineStr">
        <is>
          <t>STRÖMSUND</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9370-2022</t>
        </is>
      </c>
      <c r="B1362" s="1" t="n">
        <v>44616</v>
      </c>
      <c r="C1362" s="1" t="n">
        <v>45688</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9379-2022</t>
        </is>
      </c>
      <c r="B1363" s="1" t="n">
        <v>44616</v>
      </c>
      <c r="C1363" s="1" t="n">
        <v>45688</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9934-2022</t>
        </is>
      </c>
      <c r="B1364" s="1" t="n">
        <v>44620</v>
      </c>
      <c r="C1364" s="1" t="n">
        <v>45688</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9957-2022</t>
        </is>
      </c>
      <c r="B1365" s="1" t="n">
        <v>44620</v>
      </c>
      <c r="C1365" s="1" t="n">
        <v>45688</v>
      </c>
      <c r="D1365" t="inlineStr">
        <is>
          <t>JÄMTLANDS LÄN</t>
        </is>
      </c>
      <c r="E1365" t="inlineStr">
        <is>
          <t>STRÖMSUND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10077-2022</t>
        </is>
      </c>
      <c r="B1366" s="1" t="n">
        <v>44621</v>
      </c>
      <c r="C1366" s="1" t="n">
        <v>45688</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10144-2022</t>
        </is>
      </c>
      <c r="B1367" s="1" t="n">
        <v>44621</v>
      </c>
      <c r="C1367" s="1" t="n">
        <v>45688</v>
      </c>
      <c r="D1367" t="inlineStr">
        <is>
          <t>JÄMTLANDS LÄN</t>
        </is>
      </c>
      <c r="E1367" t="inlineStr">
        <is>
          <t>STRÖMSUND</t>
        </is>
      </c>
      <c r="F1367" t="inlineStr">
        <is>
          <t>SCA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10136-2022</t>
        </is>
      </c>
      <c r="B1368" s="1" t="n">
        <v>44621</v>
      </c>
      <c r="C1368" s="1" t="n">
        <v>45688</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10249-2022</t>
        </is>
      </c>
      <c r="B1369" s="1" t="n">
        <v>44622</v>
      </c>
      <c r="C1369" s="1" t="n">
        <v>45688</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10322-2022</t>
        </is>
      </c>
      <c r="B1370" s="1" t="n">
        <v>44622</v>
      </c>
      <c r="C1370" s="1" t="n">
        <v>45688</v>
      </c>
      <c r="D1370" t="inlineStr">
        <is>
          <t>JÄMTLANDS LÄN</t>
        </is>
      </c>
      <c r="E1370" t="inlineStr">
        <is>
          <t>STRÖMSUND</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10323-2022</t>
        </is>
      </c>
      <c r="B1371" s="1" t="n">
        <v>44622</v>
      </c>
      <c r="C1371" s="1" t="n">
        <v>45688</v>
      </c>
      <c r="D1371" t="inlineStr">
        <is>
          <t>JÄMTLANDS LÄN</t>
        </is>
      </c>
      <c r="E1371" t="inlineStr">
        <is>
          <t>STRÖMSUND</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10319-2022</t>
        </is>
      </c>
      <c r="B1372" s="1" t="n">
        <v>44622</v>
      </c>
      <c r="C1372" s="1" t="n">
        <v>45688</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10527-2022</t>
        </is>
      </c>
      <c r="B1373" s="1" t="n">
        <v>44623</v>
      </c>
      <c r="C1373" s="1" t="n">
        <v>45688</v>
      </c>
      <c r="D1373" t="inlineStr">
        <is>
          <t>JÄMTLANDS LÄN</t>
        </is>
      </c>
      <c r="E1373" t="inlineStr">
        <is>
          <t>STRÖMSUND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10647-2022</t>
        </is>
      </c>
      <c r="B1374" s="1" t="n">
        <v>44624</v>
      </c>
      <c r="C1374" s="1" t="n">
        <v>45688</v>
      </c>
      <c r="D1374" t="inlineStr">
        <is>
          <t>JÄMTLANDS LÄN</t>
        </is>
      </c>
      <c r="E1374" t="inlineStr">
        <is>
          <t>STRÖMSUND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10656-2022</t>
        </is>
      </c>
      <c r="B1375" s="1" t="n">
        <v>44624</v>
      </c>
      <c r="C1375" s="1" t="n">
        <v>45688</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10698-2022</t>
        </is>
      </c>
      <c r="B1376" s="1" t="n">
        <v>44624</v>
      </c>
      <c r="C1376" s="1" t="n">
        <v>45688</v>
      </c>
      <c r="D1376" t="inlineStr">
        <is>
          <t>JÄMTLANDS LÄN</t>
        </is>
      </c>
      <c r="E1376" t="inlineStr">
        <is>
          <t>STRÖMSUND</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10904-2022</t>
        </is>
      </c>
      <c r="B1377" s="1" t="n">
        <v>44627</v>
      </c>
      <c r="C1377" s="1" t="n">
        <v>45688</v>
      </c>
      <c r="D1377" t="inlineStr">
        <is>
          <t>JÄMTLANDS LÄN</t>
        </is>
      </c>
      <c r="E1377" t="inlineStr">
        <is>
          <t>STRÖMSUND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11158-2022</t>
        </is>
      </c>
      <c r="B1378" s="1" t="n">
        <v>44629</v>
      </c>
      <c r="C1378" s="1" t="n">
        <v>45688</v>
      </c>
      <c r="D1378" t="inlineStr">
        <is>
          <t>JÄMTLANDS LÄN</t>
        </is>
      </c>
      <c r="E1378" t="inlineStr">
        <is>
          <t>STRÖMSUND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11578-2022</t>
        </is>
      </c>
      <c r="B1379" s="1" t="n">
        <v>44631</v>
      </c>
      <c r="C1379" s="1" t="n">
        <v>45688</v>
      </c>
      <c r="D1379" t="inlineStr">
        <is>
          <t>JÄMTLANDS LÄN</t>
        </is>
      </c>
      <c r="E1379" t="inlineStr">
        <is>
          <t>STRÖMSUND</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11856-2022</t>
        </is>
      </c>
      <c r="B1380" s="1" t="n">
        <v>44635</v>
      </c>
      <c r="C1380" s="1" t="n">
        <v>45688</v>
      </c>
      <c r="D1380" t="inlineStr">
        <is>
          <t>JÄMTLANDS LÄN</t>
        </is>
      </c>
      <c r="E1380" t="inlineStr">
        <is>
          <t>STRÖMSUND</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12018-2022</t>
        </is>
      </c>
      <c r="B1381" s="1" t="n">
        <v>44635</v>
      </c>
      <c r="C1381" s="1" t="n">
        <v>45688</v>
      </c>
      <c r="D1381" t="inlineStr">
        <is>
          <t>JÄMTLANDS LÄN</t>
        </is>
      </c>
      <c r="E1381" t="inlineStr">
        <is>
          <t>STRÖMSUND</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12198-2022</t>
        </is>
      </c>
      <c r="B1382" s="1" t="n">
        <v>44636</v>
      </c>
      <c r="C1382" s="1" t="n">
        <v>45688</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12405-2022</t>
        </is>
      </c>
      <c r="B1383" s="1" t="n">
        <v>44637</v>
      </c>
      <c r="C1383" s="1" t="n">
        <v>45688</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12404-2022</t>
        </is>
      </c>
      <c r="B1384" s="1" t="n">
        <v>44637</v>
      </c>
      <c r="C1384" s="1" t="n">
        <v>45688</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12762-2022</t>
        </is>
      </c>
      <c r="B1385" s="1" t="n">
        <v>44641</v>
      </c>
      <c r="C1385" s="1" t="n">
        <v>45688</v>
      </c>
      <c r="D1385" t="inlineStr">
        <is>
          <t>JÄMTLANDS LÄN</t>
        </is>
      </c>
      <c r="E1385" t="inlineStr">
        <is>
          <t>STRÖMSUND</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12822-2022</t>
        </is>
      </c>
      <c r="B1386" s="1" t="n">
        <v>44642</v>
      </c>
      <c r="C1386" s="1" t="n">
        <v>45688</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13098-2022</t>
        </is>
      </c>
      <c r="B1387" s="1" t="n">
        <v>44643</v>
      </c>
      <c r="C1387" s="1" t="n">
        <v>45688</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13099-2022</t>
        </is>
      </c>
      <c r="B1388" s="1" t="n">
        <v>44643</v>
      </c>
      <c r="C1388" s="1" t="n">
        <v>45688</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13513-2022</t>
        </is>
      </c>
      <c r="B1389" s="1" t="n">
        <v>44648</v>
      </c>
      <c r="C1389" s="1" t="n">
        <v>45688</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45688</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14283-2022</t>
        </is>
      </c>
      <c r="B1391" s="1" t="n">
        <v>44651</v>
      </c>
      <c r="C1391" s="1" t="n">
        <v>45688</v>
      </c>
      <c r="D1391" t="inlineStr">
        <is>
          <t>JÄMTLANDS LÄN</t>
        </is>
      </c>
      <c r="E1391" t="inlineStr">
        <is>
          <t>STRÖMSUND</t>
        </is>
      </c>
      <c r="F1391" t="inlineStr">
        <is>
          <t>SCA</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14288-2022</t>
        </is>
      </c>
      <c r="B1392" s="1" t="n">
        <v>44651</v>
      </c>
      <c r="C1392" s="1" t="n">
        <v>45688</v>
      </c>
      <c r="D1392" t="inlineStr">
        <is>
          <t>JÄMTLANDS LÄN</t>
        </is>
      </c>
      <c r="E1392" t="inlineStr">
        <is>
          <t>STRÖMSUND</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14292-2022</t>
        </is>
      </c>
      <c r="B1393" s="1" t="n">
        <v>44651</v>
      </c>
      <c r="C1393" s="1" t="n">
        <v>45688</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14294-2022</t>
        </is>
      </c>
      <c r="B1394" s="1" t="n">
        <v>44652</v>
      </c>
      <c r="C1394" s="1" t="n">
        <v>45688</v>
      </c>
      <c r="D1394" t="inlineStr">
        <is>
          <t>JÄMTLANDS LÄN</t>
        </is>
      </c>
      <c r="E1394" t="inlineStr">
        <is>
          <t>STRÖMSUND</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14281-2022</t>
        </is>
      </c>
      <c r="B1395" s="1" t="n">
        <v>44651</v>
      </c>
      <c r="C1395" s="1" t="n">
        <v>45688</v>
      </c>
      <c r="D1395" t="inlineStr">
        <is>
          <t>JÄMTLANDS LÄN</t>
        </is>
      </c>
      <c r="E1395" t="inlineStr">
        <is>
          <t>STRÖMSUND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14289-2022</t>
        </is>
      </c>
      <c r="B1396" s="1" t="n">
        <v>44651</v>
      </c>
      <c r="C1396" s="1" t="n">
        <v>45688</v>
      </c>
      <c r="D1396" t="inlineStr">
        <is>
          <t>JÄMTLANDS LÄN</t>
        </is>
      </c>
      <c r="E1396" t="inlineStr">
        <is>
          <t>STRÖMSUND</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14441-2022</t>
        </is>
      </c>
      <c r="B1397" s="1" t="n">
        <v>44652</v>
      </c>
      <c r="C1397" s="1" t="n">
        <v>45688</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14443-2022</t>
        </is>
      </c>
      <c r="B1398" s="1" t="n">
        <v>44653</v>
      </c>
      <c r="C1398" s="1" t="n">
        <v>45688</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14445-2022</t>
        </is>
      </c>
      <c r="B1399" s="1" t="n">
        <v>44653</v>
      </c>
      <c r="C1399" s="1" t="n">
        <v>45688</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14442-2022</t>
        </is>
      </c>
      <c r="B1400" s="1" t="n">
        <v>44653</v>
      </c>
      <c r="C1400" s="1" t="n">
        <v>45688</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v>
      </c>
      <c r="C1401" s="1" t="n">
        <v>45688</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14550-2022</t>
        </is>
      </c>
      <c r="B1402" s="1" t="n">
        <v>44655</v>
      </c>
      <c r="C1402" s="1" t="n">
        <v>45688</v>
      </c>
      <c r="D1402" t="inlineStr">
        <is>
          <t>JÄMTLANDS LÄN</t>
        </is>
      </c>
      <c r="E1402" t="inlineStr">
        <is>
          <t>STRÖMSUND</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14557-2022</t>
        </is>
      </c>
      <c r="B1403" s="1" t="n">
        <v>44655</v>
      </c>
      <c r="C1403" s="1" t="n">
        <v>45688</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14703-2022</t>
        </is>
      </c>
      <c r="B1404" s="1" t="n">
        <v>44655</v>
      </c>
      <c r="C1404" s="1" t="n">
        <v>45688</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14894-2022</t>
        </is>
      </c>
      <c r="B1405" s="1" t="n">
        <v>44657</v>
      </c>
      <c r="C1405" s="1" t="n">
        <v>45688</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15238-2022</t>
        </is>
      </c>
      <c r="B1406" s="1" t="n">
        <v>44659</v>
      </c>
      <c r="C1406" s="1" t="n">
        <v>45688</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15141-2022</t>
        </is>
      </c>
      <c r="B1407" s="1" t="n">
        <v>44658</v>
      </c>
      <c r="C1407" s="1" t="n">
        <v>45688</v>
      </c>
      <c r="D1407" t="inlineStr">
        <is>
          <t>JÄMTLANDS LÄN</t>
        </is>
      </c>
      <c r="E1407" t="inlineStr">
        <is>
          <t>STRÖMSUND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15239-2022</t>
        </is>
      </c>
      <c r="B1408" s="1" t="n">
        <v>44659</v>
      </c>
      <c r="C1408" s="1" t="n">
        <v>45688</v>
      </c>
      <c r="D1408" t="inlineStr">
        <is>
          <t>JÄMTLANDS LÄN</t>
        </is>
      </c>
      <c r="E1408" t="inlineStr">
        <is>
          <t>STRÖMSUND</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15259-2022</t>
        </is>
      </c>
      <c r="B1409" s="1" t="n">
        <v>44659</v>
      </c>
      <c r="C1409" s="1" t="n">
        <v>45688</v>
      </c>
      <c r="D1409" t="inlineStr">
        <is>
          <t>JÄMTLANDS LÄN</t>
        </is>
      </c>
      <c r="E1409" t="inlineStr">
        <is>
          <t>STRÖMSUND</t>
        </is>
      </c>
      <c r="G1409" t="n">
        <v>52.4</v>
      </c>
      <c r="H1409" t="n">
        <v>0</v>
      </c>
      <c r="I1409" t="n">
        <v>0</v>
      </c>
      <c r="J1409" t="n">
        <v>0</v>
      </c>
      <c r="K1409" t="n">
        <v>0</v>
      </c>
      <c r="L1409" t="n">
        <v>0</v>
      </c>
      <c r="M1409" t="n">
        <v>0</v>
      </c>
      <c r="N1409" t="n">
        <v>0</v>
      </c>
      <c r="O1409" t="n">
        <v>0</v>
      </c>
      <c r="P1409" t="n">
        <v>0</v>
      </c>
      <c r="Q1409" t="n">
        <v>0</v>
      </c>
      <c r="R1409" s="2" t="inlineStr"/>
    </row>
    <row r="1410" ht="15" customHeight="1">
      <c r="A1410" t="inlineStr">
        <is>
          <t>A 15546-2022</t>
        </is>
      </c>
      <c r="B1410" s="1" t="n">
        <v>44662</v>
      </c>
      <c r="C1410" s="1" t="n">
        <v>45688</v>
      </c>
      <c r="D1410" t="inlineStr">
        <is>
          <t>JÄMTLANDS LÄN</t>
        </is>
      </c>
      <c r="E1410" t="inlineStr">
        <is>
          <t>STRÖMSUND</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15522-2022</t>
        </is>
      </c>
      <c r="B1411" s="1" t="n">
        <v>44662</v>
      </c>
      <c r="C1411" s="1" t="n">
        <v>45688</v>
      </c>
      <c r="D1411" t="inlineStr">
        <is>
          <t>JÄMTLANDS LÄN</t>
        </is>
      </c>
      <c r="E1411" t="inlineStr">
        <is>
          <t>STRÖMSUND</t>
        </is>
      </c>
      <c r="G1411" t="n">
        <v>41.8</v>
      </c>
      <c r="H1411" t="n">
        <v>0</v>
      </c>
      <c r="I1411" t="n">
        <v>0</v>
      </c>
      <c r="J1411" t="n">
        <v>0</v>
      </c>
      <c r="K1411" t="n">
        <v>0</v>
      </c>
      <c r="L1411" t="n">
        <v>0</v>
      </c>
      <c r="M1411" t="n">
        <v>0</v>
      </c>
      <c r="N1411" t="n">
        <v>0</v>
      </c>
      <c r="O1411" t="n">
        <v>0</v>
      </c>
      <c r="P1411" t="n">
        <v>0</v>
      </c>
      <c r="Q1411" t="n">
        <v>0</v>
      </c>
      <c r="R1411" s="2" t="inlineStr"/>
    </row>
    <row r="1412" ht="15" customHeight="1">
      <c r="A1412" t="inlineStr">
        <is>
          <t>A 15407-2022</t>
        </is>
      </c>
      <c r="B1412" s="1" t="n">
        <v>44662</v>
      </c>
      <c r="C1412" s="1" t="n">
        <v>45688</v>
      </c>
      <c r="D1412" t="inlineStr">
        <is>
          <t>JÄMTLANDS LÄN</t>
        </is>
      </c>
      <c r="E1412" t="inlineStr">
        <is>
          <t>STRÖMSUND</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15668-2022</t>
        </is>
      </c>
      <c r="B1413" s="1" t="n">
        <v>44663</v>
      </c>
      <c r="C1413" s="1" t="n">
        <v>45688</v>
      </c>
      <c r="D1413" t="inlineStr">
        <is>
          <t>JÄMTLANDS LÄN</t>
        </is>
      </c>
      <c r="E1413" t="inlineStr">
        <is>
          <t>STRÖMSUND</t>
        </is>
      </c>
      <c r="F1413" t="inlineStr">
        <is>
          <t>SCA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15865-2022</t>
        </is>
      </c>
      <c r="B1414" s="1" t="n">
        <v>44664</v>
      </c>
      <c r="C1414" s="1" t="n">
        <v>45688</v>
      </c>
      <c r="D1414" t="inlineStr">
        <is>
          <t>JÄMTLANDS LÄN</t>
        </is>
      </c>
      <c r="E1414" t="inlineStr">
        <is>
          <t>STRÖMSUND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15971-2022</t>
        </is>
      </c>
      <c r="B1415" s="1" t="n">
        <v>44664</v>
      </c>
      <c r="C1415" s="1" t="n">
        <v>45688</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16311-2022</t>
        </is>
      </c>
      <c r="B1416" s="1" t="n">
        <v>44670</v>
      </c>
      <c r="C1416" s="1" t="n">
        <v>45688</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16317-2022</t>
        </is>
      </c>
      <c r="B1417" s="1" t="n">
        <v>44670</v>
      </c>
      <c r="C1417" s="1" t="n">
        <v>45688</v>
      </c>
      <c r="D1417" t="inlineStr">
        <is>
          <t>JÄMTLANDS LÄN</t>
        </is>
      </c>
      <c r="E1417" t="inlineStr">
        <is>
          <t>STRÖMSUND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16359-2022</t>
        </is>
      </c>
      <c r="B1418" s="1" t="n">
        <v>44671</v>
      </c>
      <c r="C1418" s="1" t="n">
        <v>45688</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16358-2022</t>
        </is>
      </c>
      <c r="B1419" s="1" t="n">
        <v>44671</v>
      </c>
      <c r="C1419" s="1" t="n">
        <v>45688</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16518-2022</t>
        </is>
      </c>
      <c r="B1420" s="1" t="n">
        <v>44672</v>
      </c>
      <c r="C1420" s="1" t="n">
        <v>45688</v>
      </c>
      <c r="D1420" t="inlineStr">
        <is>
          <t>JÄMTLANDS LÄN</t>
        </is>
      </c>
      <c r="E1420" t="inlineStr">
        <is>
          <t>STRÖMSUND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16516-2022</t>
        </is>
      </c>
      <c r="B1421" s="1" t="n">
        <v>44672</v>
      </c>
      <c r="C1421" s="1" t="n">
        <v>45688</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16848-2022</t>
        </is>
      </c>
      <c r="B1422" s="1" t="n">
        <v>44674</v>
      </c>
      <c r="C1422" s="1" t="n">
        <v>45688</v>
      </c>
      <c r="D1422" t="inlineStr">
        <is>
          <t>JÄMTLANDS LÄN</t>
        </is>
      </c>
      <c r="E1422" t="inlineStr">
        <is>
          <t>STRÖMSUND</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21844-2022</t>
        </is>
      </c>
      <c r="B1423" s="1" t="n">
        <v>44678</v>
      </c>
      <c r="C1423" s="1" t="n">
        <v>45688</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17753-2022</t>
        </is>
      </c>
      <c r="B1424" s="1" t="n">
        <v>44681</v>
      </c>
      <c r="C1424" s="1" t="n">
        <v>45688</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17754-2022</t>
        </is>
      </c>
      <c r="B1425" s="1" t="n">
        <v>44680</v>
      </c>
      <c r="C1425" s="1" t="n">
        <v>45688</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17752-2022</t>
        </is>
      </c>
      <c r="B1426" s="1" t="n">
        <v>44680</v>
      </c>
      <c r="C1426" s="1" t="n">
        <v>45688</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18205-2022</t>
        </is>
      </c>
      <c r="B1427" s="1" t="n">
        <v>44684</v>
      </c>
      <c r="C1427" s="1" t="n">
        <v>45688</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18553-2022</t>
        </is>
      </c>
      <c r="B1428" s="1" t="n">
        <v>44687</v>
      </c>
      <c r="C1428" s="1" t="n">
        <v>45688</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18573-2022</t>
        </is>
      </c>
      <c r="B1429" s="1" t="n">
        <v>44687</v>
      </c>
      <c r="C1429" s="1" t="n">
        <v>45688</v>
      </c>
      <c r="D1429" t="inlineStr">
        <is>
          <t>JÄMTLANDS LÄN</t>
        </is>
      </c>
      <c r="E1429" t="inlineStr">
        <is>
          <t>STRÖMSUND</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18572-2022</t>
        </is>
      </c>
      <c r="B1430" s="1" t="n">
        <v>44686</v>
      </c>
      <c r="C1430" s="1" t="n">
        <v>45688</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18750-2022</t>
        </is>
      </c>
      <c r="B1431" s="1" t="n">
        <v>44688</v>
      </c>
      <c r="C1431" s="1" t="n">
        <v>45688</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18749-2022</t>
        </is>
      </c>
      <c r="B1432" s="1" t="n">
        <v>44688</v>
      </c>
      <c r="C1432" s="1" t="n">
        <v>45688</v>
      </c>
      <c r="D1432" t="inlineStr">
        <is>
          <t>JÄMTLANDS LÄN</t>
        </is>
      </c>
      <c r="E1432" t="inlineStr">
        <is>
          <t>STRÖMSUND</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18751-2022</t>
        </is>
      </c>
      <c r="B1433" s="1" t="n">
        <v>44688</v>
      </c>
      <c r="C1433" s="1" t="n">
        <v>45688</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18994-2022</t>
        </is>
      </c>
      <c r="B1434" s="1" t="n">
        <v>44691</v>
      </c>
      <c r="C1434" s="1" t="n">
        <v>45688</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19209-2022</t>
        </is>
      </c>
      <c r="B1435" s="1" t="n">
        <v>44691</v>
      </c>
      <c r="C1435" s="1" t="n">
        <v>45688</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19602-2022</t>
        </is>
      </c>
      <c r="B1436" s="1" t="n">
        <v>44694</v>
      </c>
      <c r="C1436" s="1" t="n">
        <v>45688</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20058-2022</t>
        </is>
      </c>
      <c r="B1437" s="1" t="n">
        <v>44698</v>
      </c>
      <c r="C1437" s="1" t="n">
        <v>45688</v>
      </c>
      <c r="D1437" t="inlineStr">
        <is>
          <t>JÄMTLANDS LÄN</t>
        </is>
      </c>
      <c r="E1437" t="inlineStr">
        <is>
          <t>STRÖMSUND</t>
        </is>
      </c>
      <c r="G1437" t="n">
        <v>29.5</v>
      </c>
      <c r="H1437" t="n">
        <v>0</v>
      </c>
      <c r="I1437" t="n">
        <v>0</v>
      </c>
      <c r="J1437" t="n">
        <v>0</v>
      </c>
      <c r="K1437" t="n">
        <v>0</v>
      </c>
      <c r="L1437" t="n">
        <v>0</v>
      </c>
      <c r="M1437" t="n">
        <v>0</v>
      </c>
      <c r="N1437" t="n">
        <v>0</v>
      </c>
      <c r="O1437" t="n">
        <v>0</v>
      </c>
      <c r="P1437" t="n">
        <v>0</v>
      </c>
      <c r="Q1437" t="n">
        <v>0</v>
      </c>
      <c r="R1437" s="2" t="inlineStr"/>
    </row>
    <row r="1438" ht="15" customHeight="1">
      <c r="A1438" t="inlineStr">
        <is>
          <t>A 20072-2022</t>
        </is>
      </c>
      <c r="B1438" s="1" t="n">
        <v>44697</v>
      </c>
      <c r="C1438" s="1" t="n">
        <v>45688</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20073-2022</t>
        </is>
      </c>
      <c r="B1439" s="1" t="n">
        <v>44697</v>
      </c>
      <c r="C1439" s="1" t="n">
        <v>45688</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20071-2022</t>
        </is>
      </c>
      <c r="B1440" s="1" t="n">
        <v>44698</v>
      </c>
      <c r="C1440" s="1" t="n">
        <v>45688</v>
      </c>
      <c r="D1440" t="inlineStr">
        <is>
          <t>JÄMTLANDS LÄN</t>
        </is>
      </c>
      <c r="E1440" t="inlineStr">
        <is>
          <t>STRÖMSUND</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19964-2022</t>
        </is>
      </c>
      <c r="B1441" s="1" t="n">
        <v>44697</v>
      </c>
      <c r="C1441" s="1" t="n">
        <v>45688</v>
      </c>
      <c r="D1441" t="inlineStr">
        <is>
          <t>JÄMTLANDS LÄN</t>
        </is>
      </c>
      <c r="E1441" t="inlineStr">
        <is>
          <t>STRÖMSUND</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20266-2022</t>
        </is>
      </c>
      <c r="B1442" s="1" t="n">
        <v>44698</v>
      </c>
      <c r="C1442" s="1" t="n">
        <v>45688</v>
      </c>
      <c r="D1442" t="inlineStr">
        <is>
          <t>JÄMTLANDS LÄN</t>
        </is>
      </c>
      <c r="E1442" t="inlineStr">
        <is>
          <t>STRÖMSUND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20334-2022</t>
        </is>
      </c>
      <c r="B1443" s="1" t="n">
        <v>44699</v>
      </c>
      <c r="C1443" s="1" t="n">
        <v>45688</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20339-2022</t>
        </is>
      </c>
      <c r="B1444" s="1" t="n">
        <v>44699</v>
      </c>
      <c r="C1444" s="1" t="n">
        <v>45688</v>
      </c>
      <c r="D1444" t="inlineStr">
        <is>
          <t>JÄMTLANDS LÄN</t>
        </is>
      </c>
      <c r="E1444" t="inlineStr">
        <is>
          <t>STRÖMSUND</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20432-2022</t>
        </is>
      </c>
      <c r="B1445" s="1" t="n">
        <v>44699</v>
      </c>
      <c r="C1445" s="1" t="n">
        <v>45688</v>
      </c>
      <c r="D1445" t="inlineStr">
        <is>
          <t>JÄMTLANDS LÄN</t>
        </is>
      </c>
      <c r="E1445" t="inlineStr">
        <is>
          <t>STRÖMSUND</t>
        </is>
      </c>
      <c r="F1445" t="inlineStr">
        <is>
          <t>SCA</t>
        </is>
      </c>
      <c r="G1445" t="n">
        <v>99.59999999999999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20331-2022</t>
        </is>
      </c>
      <c r="B1446" s="1" t="n">
        <v>44699</v>
      </c>
      <c r="C1446" s="1" t="n">
        <v>45688</v>
      </c>
      <c r="D1446" t="inlineStr">
        <is>
          <t>JÄMTLANDS LÄN</t>
        </is>
      </c>
      <c r="E1446" t="inlineStr">
        <is>
          <t>STRÖMSUND</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20707-2022</t>
        </is>
      </c>
      <c r="B1447" s="1" t="n">
        <v>44701</v>
      </c>
      <c r="C1447" s="1" t="n">
        <v>45688</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20706-2022</t>
        </is>
      </c>
      <c r="B1448" s="1" t="n">
        <v>44701</v>
      </c>
      <c r="C1448" s="1" t="n">
        <v>45688</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20708-2022</t>
        </is>
      </c>
      <c r="B1449" s="1" t="n">
        <v>44700</v>
      </c>
      <c r="C1449" s="1" t="n">
        <v>45688</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20865-2022</t>
        </is>
      </c>
      <c r="B1450" s="1" t="n">
        <v>44701</v>
      </c>
      <c r="C1450" s="1" t="n">
        <v>45688</v>
      </c>
      <c r="D1450" t="inlineStr">
        <is>
          <t>JÄMTLANDS LÄN</t>
        </is>
      </c>
      <c r="E1450" t="inlineStr">
        <is>
          <t>STRÖMSUND</t>
        </is>
      </c>
      <c r="F1450" t="inlineStr">
        <is>
          <t>Holmen skog AB</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20965-2022</t>
        </is>
      </c>
      <c r="B1451" s="1" t="n">
        <v>44701</v>
      </c>
      <c r="C1451" s="1" t="n">
        <v>45688</v>
      </c>
      <c r="D1451" t="inlineStr">
        <is>
          <t>JÄMTLANDS LÄN</t>
        </is>
      </c>
      <c r="E1451" t="inlineStr">
        <is>
          <t>STRÖMSUND</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20966-2022</t>
        </is>
      </c>
      <c r="B1452" s="1" t="n">
        <v>44702</v>
      </c>
      <c r="C1452" s="1" t="n">
        <v>45688</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21192-2022</t>
        </is>
      </c>
      <c r="B1453" s="1" t="n">
        <v>44705</v>
      </c>
      <c r="C1453" s="1" t="n">
        <v>45688</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21399-2022</t>
        </is>
      </c>
      <c r="B1454" s="1" t="n">
        <v>44706</v>
      </c>
      <c r="C1454" s="1" t="n">
        <v>45688</v>
      </c>
      <c r="D1454" t="inlineStr">
        <is>
          <t>JÄMTLANDS LÄN</t>
        </is>
      </c>
      <c r="E1454" t="inlineStr">
        <is>
          <t>STRÖMSUND</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21410-2022</t>
        </is>
      </c>
      <c r="B1455" s="1" t="n">
        <v>44706</v>
      </c>
      <c r="C1455" s="1" t="n">
        <v>45688</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21646-2022</t>
        </is>
      </c>
      <c r="B1456" s="1" t="n">
        <v>44707</v>
      </c>
      <c r="C1456" s="1" t="n">
        <v>45688</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21647-2022</t>
        </is>
      </c>
      <c r="B1457" s="1" t="n">
        <v>44707</v>
      </c>
      <c r="C1457" s="1" t="n">
        <v>45688</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21650-2022</t>
        </is>
      </c>
      <c r="B1458" s="1" t="n">
        <v>44706</v>
      </c>
      <c r="C1458" s="1" t="n">
        <v>45688</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21649-2022</t>
        </is>
      </c>
      <c r="B1459" s="1" t="n">
        <v>44707</v>
      </c>
      <c r="C1459" s="1" t="n">
        <v>45688</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21702-2022</t>
        </is>
      </c>
      <c r="B1460" s="1" t="n">
        <v>44708</v>
      </c>
      <c r="C1460" s="1" t="n">
        <v>45688</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21700-2022</t>
        </is>
      </c>
      <c r="B1461" s="1" t="n">
        <v>44708</v>
      </c>
      <c r="C1461" s="1" t="n">
        <v>45688</v>
      </c>
      <c r="D1461" t="inlineStr">
        <is>
          <t>JÄMTLANDS LÄN</t>
        </is>
      </c>
      <c r="E1461" t="inlineStr">
        <is>
          <t>STRÖMSUND</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21701-2022</t>
        </is>
      </c>
      <c r="B1462" s="1" t="n">
        <v>44708</v>
      </c>
      <c r="C1462" s="1" t="n">
        <v>45688</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21771-2022</t>
        </is>
      </c>
      <c r="B1463" s="1" t="n">
        <v>44708</v>
      </c>
      <c r="C1463" s="1" t="n">
        <v>45688</v>
      </c>
      <c r="D1463" t="inlineStr">
        <is>
          <t>JÄMTLANDS LÄN</t>
        </is>
      </c>
      <c r="E1463" t="inlineStr">
        <is>
          <t>STRÖMSUND</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21812-2022</t>
        </is>
      </c>
      <c r="B1464" s="1" t="n">
        <v>44708</v>
      </c>
      <c r="C1464" s="1" t="n">
        <v>45688</v>
      </c>
      <c r="D1464" t="inlineStr">
        <is>
          <t>JÄMTLANDS LÄN</t>
        </is>
      </c>
      <c r="E1464" t="inlineStr">
        <is>
          <t>STRÖMSUND</t>
        </is>
      </c>
      <c r="F1464" t="inlineStr">
        <is>
          <t>SCA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22026-2022</t>
        </is>
      </c>
      <c r="B1465" s="1" t="n">
        <v>44711</v>
      </c>
      <c r="C1465" s="1" t="n">
        <v>45688</v>
      </c>
      <c r="D1465" t="inlineStr">
        <is>
          <t>JÄMTLANDS LÄN</t>
        </is>
      </c>
      <c r="E1465" t="inlineStr">
        <is>
          <t>STRÖMSUND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44712</v>
      </c>
      <c r="C1466" s="1" t="n">
        <v>45688</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22338-2022</t>
        </is>
      </c>
      <c r="B1467" s="1" t="n">
        <v>44712</v>
      </c>
      <c r="C1467" s="1" t="n">
        <v>45688</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22337-2022</t>
        </is>
      </c>
      <c r="B1468" s="1" t="n">
        <v>44713</v>
      </c>
      <c r="C1468" s="1" t="n">
        <v>45688</v>
      </c>
      <c r="D1468" t="inlineStr">
        <is>
          <t>JÄMTLANDS LÄN</t>
        </is>
      </c>
      <c r="E1468" t="inlineStr">
        <is>
          <t>STRÖMSUND</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22560-2022</t>
        </is>
      </c>
      <c r="B1469" s="1" t="n">
        <v>44714</v>
      </c>
      <c r="C1469" s="1" t="n">
        <v>45688</v>
      </c>
      <c r="D1469" t="inlineStr">
        <is>
          <t>JÄMTLANDS LÄN</t>
        </is>
      </c>
      <c r="E1469" t="inlineStr">
        <is>
          <t>STRÖMSUND</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22564-2022</t>
        </is>
      </c>
      <c r="B1470" s="1" t="n">
        <v>44713</v>
      </c>
      <c r="C1470" s="1" t="n">
        <v>45688</v>
      </c>
      <c r="D1470" t="inlineStr">
        <is>
          <t>JÄMTLANDS LÄN</t>
        </is>
      </c>
      <c r="E1470" t="inlineStr">
        <is>
          <t>STRÖMSUND</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22558-2022</t>
        </is>
      </c>
      <c r="B1471" s="1" t="n">
        <v>44713</v>
      </c>
      <c r="C1471" s="1" t="n">
        <v>45688</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22561-2022</t>
        </is>
      </c>
      <c r="B1472" s="1" t="n">
        <v>44714</v>
      </c>
      <c r="C1472" s="1" t="n">
        <v>45688</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22559-2022</t>
        </is>
      </c>
      <c r="B1473" s="1" t="n">
        <v>44714</v>
      </c>
      <c r="C1473" s="1" t="n">
        <v>45688</v>
      </c>
      <c r="D1473" t="inlineStr">
        <is>
          <t>JÄMTLANDS LÄN</t>
        </is>
      </c>
      <c r="E1473" t="inlineStr">
        <is>
          <t>STRÖMSUND</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22568-2022</t>
        </is>
      </c>
      <c r="B1474" s="1" t="n">
        <v>44714</v>
      </c>
      <c r="C1474" s="1" t="n">
        <v>45688</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22659-2022</t>
        </is>
      </c>
      <c r="B1475" s="1" t="n">
        <v>44714</v>
      </c>
      <c r="C1475" s="1" t="n">
        <v>45688</v>
      </c>
      <c r="D1475" t="inlineStr">
        <is>
          <t>JÄMTLANDS LÄN</t>
        </is>
      </c>
      <c r="E1475" t="inlineStr">
        <is>
          <t>STRÖMSUND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22616-2022</t>
        </is>
      </c>
      <c r="B1476" s="1" t="n">
        <v>44714</v>
      </c>
      <c r="C1476" s="1" t="n">
        <v>45688</v>
      </c>
      <c r="D1476" t="inlineStr">
        <is>
          <t>JÄMTLANDS LÄN</t>
        </is>
      </c>
      <c r="E1476" t="inlineStr">
        <is>
          <t>STRÖMSUND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22966-2022</t>
        </is>
      </c>
      <c r="B1477" s="1" t="n">
        <v>44716</v>
      </c>
      <c r="C1477" s="1" t="n">
        <v>45688</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22814-2022</t>
        </is>
      </c>
      <c r="B1478" s="1" t="n">
        <v>44715</v>
      </c>
      <c r="C1478" s="1" t="n">
        <v>45688</v>
      </c>
      <c r="D1478" t="inlineStr">
        <is>
          <t>JÄMTLANDS LÄN</t>
        </is>
      </c>
      <c r="E1478" t="inlineStr">
        <is>
          <t>STRÖMSUND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22960-2022</t>
        </is>
      </c>
      <c r="B1479" s="1" t="n">
        <v>44716</v>
      </c>
      <c r="C1479" s="1" t="n">
        <v>45688</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22961-2022</t>
        </is>
      </c>
      <c r="B1480" s="1" t="n">
        <v>44715</v>
      </c>
      <c r="C1480" s="1" t="n">
        <v>45688</v>
      </c>
      <c r="D1480" t="inlineStr">
        <is>
          <t>JÄMTLANDS LÄN</t>
        </is>
      </c>
      <c r="E1480" t="inlineStr">
        <is>
          <t>STRÖMSUND</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23128-2022</t>
        </is>
      </c>
      <c r="B1481" s="1" t="n">
        <v>44719</v>
      </c>
      <c r="C1481" s="1" t="n">
        <v>45688</v>
      </c>
      <c r="D1481" t="inlineStr">
        <is>
          <t>JÄMTLANDS LÄN</t>
        </is>
      </c>
      <c r="E1481" t="inlineStr">
        <is>
          <t>STRÖMSUND</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23209-2022</t>
        </is>
      </c>
      <c r="B1482" s="1" t="n">
        <v>44719</v>
      </c>
      <c r="C1482" s="1" t="n">
        <v>45688</v>
      </c>
      <c r="D1482" t="inlineStr">
        <is>
          <t>JÄMTLANDS LÄN</t>
        </is>
      </c>
      <c r="E1482" t="inlineStr">
        <is>
          <t>STRÖMSUND</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23217-2022</t>
        </is>
      </c>
      <c r="B1483" s="1" t="n">
        <v>44720</v>
      </c>
      <c r="C1483" s="1" t="n">
        <v>45688</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23208-2022</t>
        </is>
      </c>
      <c r="B1484" s="1" t="n">
        <v>44719</v>
      </c>
      <c r="C1484" s="1" t="n">
        <v>45688</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23214-2022</t>
        </is>
      </c>
      <c r="B1485" s="1" t="n">
        <v>44720</v>
      </c>
      <c r="C1485" s="1" t="n">
        <v>45688</v>
      </c>
      <c r="D1485" t="inlineStr">
        <is>
          <t>JÄMTLANDS LÄN</t>
        </is>
      </c>
      <c r="E1485" t="inlineStr">
        <is>
          <t>STRÖMSUND</t>
        </is>
      </c>
      <c r="F1485" t="inlineStr">
        <is>
          <t>SCA</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23206-2022</t>
        </is>
      </c>
      <c r="B1486" s="1" t="n">
        <v>44719</v>
      </c>
      <c r="C1486" s="1" t="n">
        <v>45688</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23453-2022</t>
        </is>
      </c>
      <c r="B1487" s="1" t="n">
        <v>44721</v>
      </c>
      <c r="C1487" s="1" t="n">
        <v>45688</v>
      </c>
      <c r="D1487" t="inlineStr">
        <is>
          <t>JÄMTLANDS LÄN</t>
        </is>
      </c>
      <c r="E1487" t="inlineStr">
        <is>
          <t>STRÖMSUND</t>
        </is>
      </c>
      <c r="F1487" t="inlineStr">
        <is>
          <t>SCA</t>
        </is>
      </c>
      <c r="G1487" t="n">
        <v>48.2</v>
      </c>
      <c r="H1487" t="n">
        <v>0</v>
      </c>
      <c r="I1487" t="n">
        <v>0</v>
      </c>
      <c r="J1487" t="n">
        <v>0</v>
      </c>
      <c r="K1487" t="n">
        <v>0</v>
      </c>
      <c r="L1487" t="n">
        <v>0</v>
      </c>
      <c r="M1487" t="n">
        <v>0</v>
      </c>
      <c r="N1487" t="n">
        <v>0</v>
      </c>
      <c r="O1487" t="n">
        <v>0</v>
      </c>
      <c r="P1487" t="n">
        <v>0</v>
      </c>
      <c r="Q1487" t="n">
        <v>0</v>
      </c>
      <c r="R1487" s="2" t="inlineStr"/>
    </row>
    <row r="1488" ht="15" customHeight="1">
      <c r="A1488" t="inlineStr">
        <is>
          <t>A 23675-2022</t>
        </is>
      </c>
      <c r="B1488" s="1" t="n">
        <v>44722</v>
      </c>
      <c r="C1488" s="1" t="n">
        <v>45688</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24006-2022</t>
        </is>
      </c>
      <c r="B1489" s="1" t="n">
        <v>44723</v>
      </c>
      <c r="C1489" s="1" t="n">
        <v>45688</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24020-2022</t>
        </is>
      </c>
      <c r="B1490" s="1" t="n">
        <v>44723</v>
      </c>
      <c r="C1490" s="1" t="n">
        <v>45688</v>
      </c>
      <c r="D1490" t="inlineStr">
        <is>
          <t>JÄMTLANDS LÄN</t>
        </is>
      </c>
      <c r="E1490" t="inlineStr">
        <is>
          <t>STRÖMSUND</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24021-2022</t>
        </is>
      </c>
      <c r="B1491" s="1" t="n">
        <v>44723</v>
      </c>
      <c r="C1491" s="1" t="n">
        <v>45688</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24023-2022</t>
        </is>
      </c>
      <c r="B1492" s="1" t="n">
        <v>44723</v>
      </c>
      <c r="C1492" s="1" t="n">
        <v>45688</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24303-2022</t>
        </is>
      </c>
      <c r="B1493" s="1" t="n">
        <v>44726</v>
      </c>
      <c r="C1493" s="1" t="n">
        <v>45688</v>
      </c>
      <c r="D1493" t="inlineStr">
        <is>
          <t>JÄMTLANDS LÄN</t>
        </is>
      </c>
      <c r="E1493" t="inlineStr">
        <is>
          <t>STRÖMSUND</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24302-2022</t>
        </is>
      </c>
      <c r="B1494" s="1" t="n">
        <v>44726</v>
      </c>
      <c r="C1494" s="1" t="n">
        <v>45688</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24319-2022</t>
        </is>
      </c>
      <c r="B1495" s="1" t="n">
        <v>44726</v>
      </c>
      <c r="C1495" s="1" t="n">
        <v>45688</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24487-2022</t>
        </is>
      </c>
      <c r="B1496" s="1" t="n">
        <v>44726</v>
      </c>
      <c r="C1496" s="1" t="n">
        <v>45688</v>
      </c>
      <c r="D1496" t="inlineStr">
        <is>
          <t>JÄMTLANDS LÄN</t>
        </is>
      </c>
      <c r="E1496" t="inlineStr">
        <is>
          <t>STRÖMSUND</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24488-2022</t>
        </is>
      </c>
      <c r="B1497" s="1" t="n">
        <v>44726</v>
      </c>
      <c r="C1497" s="1" t="n">
        <v>45688</v>
      </c>
      <c r="D1497" t="inlineStr">
        <is>
          <t>JÄMTLANDS LÄN</t>
        </is>
      </c>
      <c r="E1497" t="inlineStr">
        <is>
          <t>STRÖMSUND</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24509-2022</t>
        </is>
      </c>
      <c r="B1498" s="1" t="n">
        <v>44726</v>
      </c>
      <c r="C1498" s="1" t="n">
        <v>45688</v>
      </c>
      <c r="D1498" t="inlineStr">
        <is>
          <t>JÄMTLANDS LÄN</t>
        </is>
      </c>
      <c r="E1498" t="inlineStr">
        <is>
          <t>STRÖMSUND</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24508-2022</t>
        </is>
      </c>
      <c r="B1499" s="1" t="n">
        <v>44726</v>
      </c>
      <c r="C1499" s="1" t="n">
        <v>45688</v>
      </c>
      <c r="D1499" t="inlineStr">
        <is>
          <t>JÄMTLANDS LÄN</t>
        </is>
      </c>
      <c r="E1499" t="inlineStr">
        <is>
          <t>STRÖMSUND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24728-2022</t>
        </is>
      </c>
      <c r="B1500" s="1" t="n">
        <v>44727</v>
      </c>
      <c r="C1500" s="1" t="n">
        <v>45688</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24918-2022</t>
        </is>
      </c>
      <c r="B1501" s="1" t="n">
        <v>44728</v>
      </c>
      <c r="C1501" s="1" t="n">
        <v>45688</v>
      </c>
      <c r="D1501" t="inlineStr">
        <is>
          <t>JÄMTLANDS LÄN</t>
        </is>
      </c>
      <c r="E1501" t="inlineStr">
        <is>
          <t>STRÖMSUND</t>
        </is>
      </c>
      <c r="F1501" t="inlineStr">
        <is>
          <t>Kyrkan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24912-2022</t>
        </is>
      </c>
      <c r="B1502" s="1" t="n">
        <v>44728</v>
      </c>
      <c r="C1502" s="1" t="n">
        <v>45688</v>
      </c>
      <c r="D1502" t="inlineStr">
        <is>
          <t>JÄMTLANDS LÄN</t>
        </is>
      </c>
      <c r="E1502" t="inlineStr">
        <is>
          <t>STRÖMSUND</t>
        </is>
      </c>
      <c r="F1502" t="inlineStr">
        <is>
          <t>Kyrkan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24965-2022</t>
        </is>
      </c>
      <c r="B1503" s="1" t="n">
        <v>44728</v>
      </c>
      <c r="C1503" s="1" t="n">
        <v>45688</v>
      </c>
      <c r="D1503" t="inlineStr">
        <is>
          <t>JÄMTLANDS LÄN</t>
        </is>
      </c>
      <c r="E1503" t="inlineStr">
        <is>
          <t>STRÖMSUND</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25018-2022</t>
        </is>
      </c>
      <c r="B1504" s="1" t="n">
        <v>44728</v>
      </c>
      <c r="C1504" s="1" t="n">
        <v>45688</v>
      </c>
      <c r="D1504" t="inlineStr">
        <is>
          <t>JÄMTLANDS LÄN</t>
        </is>
      </c>
      <c r="E1504" t="inlineStr">
        <is>
          <t>STRÖMSUND</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25016-2022</t>
        </is>
      </c>
      <c r="B1505" s="1" t="n">
        <v>44729</v>
      </c>
      <c r="C1505" s="1" t="n">
        <v>45688</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25085-2022</t>
        </is>
      </c>
      <c r="B1506" s="1" t="n">
        <v>44729</v>
      </c>
      <c r="C1506" s="1" t="n">
        <v>45688</v>
      </c>
      <c r="D1506" t="inlineStr">
        <is>
          <t>JÄMTLANDS LÄN</t>
        </is>
      </c>
      <c r="E1506" t="inlineStr">
        <is>
          <t>STRÖMSUND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25662-2022</t>
        </is>
      </c>
      <c r="B1507" s="1" t="n">
        <v>44732</v>
      </c>
      <c r="C1507" s="1" t="n">
        <v>45688</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25847-2022</t>
        </is>
      </c>
      <c r="B1508" s="1" t="n">
        <v>44733</v>
      </c>
      <c r="C1508" s="1" t="n">
        <v>45688</v>
      </c>
      <c r="D1508" t="inlineStr">
        <is>
          <t>JÄMTLANDS LÄN</t>
        </is>
      </c>
      <c r="E1508" t="inlineStr">
        <is>
          <t>STRÖMSUND</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25843-2022</t>
        </is>
      </c>
      <c r="B1509" s="1" t="n">
        <v>44733</v>
      </c>
      <c r="C1509" s="1" t="n">
        <v>45688</v>
      </c>
      <c r="D1509" t="inlineStr">
        <is>
          <t>JÄMTLANDS LÄN</t>
        </is>
      </c>
      <c r="E1509" t="inlineStr">
        <is>
          <t>STRÖMSUND</t>
        </is>
      </c>
      <c r="F1509" t="inlineStr">
        <is>
          <t>Kyrkan</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26117-2022</t>
        </is>
      </c>
      <c r="B1510" s="1" t="n">
        <v>44735</v>
      </c>
      <c r="C1510" s="1" t="n">
        <v>45688</v>
      </c>
      <c r="D1510" t="inlineStr">
        <is>
          <t>JÄMTLANDS LÄN</t>
        </is>
      </c>
      <c r="E1510" t="inlineStr">
        <is>
          <t>STRÖMSUND</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26116-2022</t>
        </is>
      </c>
      <c r="B1511" s="1" t="n">
        <v>44734</v>
      </c>
      <c r="C1511" s="1" t="n">
        <v>45688</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26130-2022</t>
        </is>
      </c>
      <c r="B1512" s="1" t="n">
        <v>44735</v>
      </c>
      <c r="C1512" s="1" t="n">
        <v>45688</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26133-2022</t>
        </is>
      </c>
      <c r="B1513" s="1" t="n">
        <v>44735</v>
      </c>
      <c r="C1513" s="1" t="n">
        <v>45688</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26126-2022</t>
        </is>
      </c>
      <c r="B1514" s="1" t="n">
        <v>44735</v>
      </c>
      <c r="C1514" s="1" t="n">
        <v>45688</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26132-2022</t>
        </is>
      </c>
      <c r="B1515" s="1" t="n">
        <v>44734</v>
      </c>
      <c r="C1515" s="1" t="n">
        <v>45688</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26421-2022</t>
        </is>
      </c>
      <c r="B1516" s="1" t="n">
        <v>44736</v>
      </c>
      <c r="C1516" s="1" t="n">
        <v>45688</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44740</v>
      </c>
      <c r="C1517" s="1" t="n">
        <v>45688</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26943-2022</t>
        </is>
      </c>
      <c r="B1518" s="1" t="n">
        <v>44740</v>
      </c>
      <c r="C1518" s="1" t="n">
        <v>45688</v>
      </c>
      <c r="D1518" t="inlineStr">
        <is>
          <t>JÄMTLANDS LÄN</t>
        </is>
      </c>
      <c r="E1518" t="inlineStr">
        <is>
          <t>STRÖMSUND</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27035-2022</t>
        </is>
      </c>
      <c r="B1519" s="1" t="n">
        <v>44741</v>
      </c>
      <c r="C1519" s="1" t="n">
        <v>45688</v>
      </c>
      <c r="D1519" t="inlineStr">
        <is>
          <t>JÄMTLANDS LÄN</t>
        </is>
      </c>
      <c r="E1519" t="inlineStr">
        <is>
          <t>STRÖMSUND</t>
        </is>
      </c>
      <c r="F1519" t="inlineStr">
        <is>
          <t>SCA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27034-2022</t>
        </is>
      </c>
      <c r="B1520" s="1" t="n">
        <v>44741</v>
      </c>
      <c r="C1520" s="1" t="n">
        <v>45688</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27032-2022</t>
        </is>
      </c>
      <c r="B1521" s="1" t="n">
        <v>44740</v>
      </c>
      <c r="C1521" s="1" t="n">
        <v>45688</v>
      </c>
      <c r="D1521" t="inlineStr">
        <is>
          <t>JÄMTLANDS LÄN</t>
        </is>
      </c>
      <c r="E1521" t="inlineStr">
        <is>
          <t>STRÖMSUND</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27031-2022</t>
        </is>
      </c>
      <c r="B1522" s="1" t="n">
        <v>44741</v>
      </c>
      <c r="C1522" s="1" t="n">
        <v>45688</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27036-2022</t>
        </is>
      </c>
      <c r="B1523" s="1" t="n">
        <v>44741</v>
      </c>
      <c r="C1523" s="1" t="n">
        <v>45688</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27037-2022</t>
        </is>
      </c>
      <c r="B1524" s="1" t="n">
        <v>44741</v>
      </c>
      <c r="C1524" s="1" t="n">
        <v>45688</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27295-2022</t>
        </is>
      </c>
      <c r="B1525" s="1" t="n">
        <v>44742</v>
      </c>
      <c r="C1525" s="1" t="n">
        <v>45688</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27290-2022</t>
        </is>
      </c>
      <c r="B1526" s="1" t="n">
        <v>44741</v>
      </c>
      <c r="C1526" s="1" t="n">
        <v>45688</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27285-2022</t>
        </is>
      </c>
      <c r="B1527" s="1" t="n">
        <v>44742</v>
      </c>
      <c r="C1527" s="1" t="n">
        <v>45688</v>
      </c>
      <c r="D1527" t="inlineStr">
        <is>
          <t>JÄMTLANDS LÄN</t>
        </is>
      </c>
      <c r="E1527" t="inlineStr">
        <is>
          <t>STRÖMSUND</t>
        </is>
      </c>
      <c r="F1527" t="inlineStr">
        <is>
          <t>SCA</t>
        </is>
      </c>
      <c r="G1527" t="n">
        <v>43.8</v>
      </c>
      <c r="H1527" t="n">
        <v>0</v>
      </c>
      <c r="I1527" t="n">
        <v>0</v>
      </c>
      <c r="J1527" t="n">
        <v>0</v>
      </c>
      <c r="K1527" t="n">
        <v>0</v>
      </c>
      <c r="L1527" t="n">
        <v>0</v>
      </c>
      <c r="M1527" t="n">
        <v>0</v>
      </c>
      <c r="N1527" t="n">
        <v>0</v>
      </c>
      <c r="O1527" t="n">
        <v>0</v>
      </c>
      <c r="P1527" t="n">
        <v>0</v>
      </c>
      <c r="Q1527" t="n">
        <v>0</v>
      </c>
      <c r="R1527" s="2" t="inlineStr"/>
    </row>
    <row r="1528" ht="15" customHeight="1">
      <c r="A1528" t="inlineStr">
        <is>
          <t>A 27574-2022</t>
        </is>
      </c>
      <c r="B1528" s="1" t="n">
        <v>44743</v>
      </c>
      <c r="C1528" s="1" t="n">
        <v>45688</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27586-2022</t>
        </is>
      </c>
      <c r="B1529" s="1" t="n">
        <v>44743</v>
      </c>
      <c r="C1529" s="1" t="n">
        <v>45688</v>
      </c>
      <c r="D1529" t="inlineStr">
        <is>
          <t>JÄMTLANDS LÄN</t>
        </is>
      </c>
      <c r="E1529" t="inlineStr">
        <is>
          <t>STRÖMSUND</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27585-2022</t>
        </is>
      </c>
      <c r="B1530" s="1" t="n">
        <v>44742</v>
      </c>
      <c r="C1530" s="1" t="n">
        <v>45688</v>
      </c>
      <c r="D1530" t="inlineStr">
        <is>
          <t>JÄMTLANDS LÄN</t>
        </is>
      </c>
      <c r="E1530" t="inlineStr">
        <is>
          <t>STRÖMSUND</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27568-2022</t>
        </is>
      </c>
      <c r="B1531" s="1" t="n">
        <v>44743</v>
      </c>
      <c r="C1531" s="1" t="n">
        <v>45688</v>
      </c>
      <c r="D1531" t="inlineStr">
        <is>
          <t>JÄMTLANDS LÄN</t>
        </is>
      </c>
      <c r="E1531" t="inlineStr">
        <is>
          <t>STRÖMSUND</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27584-2022</t>
        </is>
      </c>
      <c r="B1532" s="1" t="n">
        <v>44742</v>
      </c>
      <c r="C1532" s="1" t="n">
        <v>45688</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27594-2022</t>
        </is>
      </c>
      <c r="B1533" s="1" t="n">
        <v>44743</v>
      </c>
      <c r="C1533" s="1" t="n">
        <v>45688</v>
      </c>
      <c r="D1533" t="inlineStr">
        <is>
          <t>JÄMTLANDS LÄN</t>
        </is>
      </c>
      <c r="E1533" t="inlineStr">
        <is>
          <t>STRÖMSUND</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27600-2022</t>
        </is>
      </c>
      <c r="B1534" s="1" t="n">
        <v>44743</v>
      </c>
      <c r="C1534" s="1" t="n">
        <v>45688</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27601-2022</t>
        </is>
      </c>
      <c r="B1535" s="1" t="n">
        <v>44743</v>
      </c>
      <c r="C1535" s="1" t="n">
        <v>45688</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27596-2022</t>
        </is>
      </c>
      <c r="B1536" s="1" t="n">
        <v>44742</v>
      </c>
      <c r="C1536" s="1" t="n">
        <v>45688</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27923-2022</t>
        </is>
      </c>
      <c r="B1537" s="1" t="n">
        <v>44744</v>
      </c>
      <c r="C1537" s="1" t="n">
        <v>45688</v>
      </c>
      <c r="D1537" t="inlineStr">
        <is>
          <t>JÄMTLANDS LÄN</t>
        </is>
      </c>
      <c r="E1537" t="inlineStr">
        <is>
          <t>STRÖMSUND</t>
        </is>
      </c>
      <c r="F1537" t="inlineStr">
        <is>
          <t>SCA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27927-2022</t>
        </is>
      </c>
      <c r="B1538" s="1" t="n">
        <v>44744</v>
      </c>
      <c r="C1538" s="1" t="n">
        <v>45688</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27942-2022</t>
        </is>
      </c>
      <c r="B1539" s="1" t="n">
        <v>44744</v>
      </c>
      <c r="C1539" s="1" t="n">
        <v>45688</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27917-2022</t>
        </is>
      </c>
      <c r="B1540" s="1" t="n">
        <v>44744</v>
      </c>
      <c r="C1540" s="1" t="n">
        <v>45688</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27930-2022</t>
        </is>
      </c>
      <c r="B1541" s="1" t="n">
        <v>44743</v>
      </c>
      <c r="C1541" s="1" t="n">
        <v>45688</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27941-2022</t>
        </is>
      </c>
      <c r="B1542" s="1" t="n">
        <v>44744</v>
      </c>
      <c r="C1542" s="1" t="n">
        <v>45688</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27946-2022</t>
        </is>
      </c>
      <c r="B1543" s="1" t="n">
        <v>44744</v>
      </c>
      <c r="C1543" s="1" t="n">
        <v>45688</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27929-2022</t>
        </is>
      </c>
      <c r="B1544" s="1" t="n">
        <v>44744</v>
      </c>
      <c r="C1544" s="1" t="n">
        <v>45688</v>
      </c>
      <c r="D1544" t="inlineStr">
        <is>
          <t>JÄMTLANDS LÄN</t>
        </is>
      </c>
      <c r="E1544" t="inlineStr">
        <is>
          <t>STRÖMSUND</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27940-2022</t>
        </is>
      </c>
      <c r="B1545" s="1" t="n">
        <v>44744</v>
      </c>
      <c r="C1545" s="1" t="n">
        <v>45688</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27928-2022</t>
        </is>
      </c>
      <c r="B1546" s="1" t="n">
        <v>44744</v>
      </c>
      <c r="C1546" s="1" t="n">
        <v>45688</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28289-2022</t>
        </is>
      </c>
      <c r="B1547" s="1" t="n">
        <v>44747</v>
      </c>
      <c r="C1547" s="1" t="n">
        <v>45688</v>
      </c>
      <c r="D1547" t="inlineStr">
        <is>
          <t>JÄMTLANDS LÄN</t>
        </is>
      </c>
      <c r="E1547" t="inlineStr">
        <is>
          <t>STRÖMSUND</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28294-2022</t>
        </is>
      </c>
      <c r="B1548" s="1" t="n">
        <v>44747</v>
      </c>
      <c r="C1548" s="1" t="n">
        <v>45688</v>
      </c>
      <c r="D1548" t="inlineStr">
        <is>
          <t>JÄMTLANDS LÄN</t>
        </is>
      </c>
      <c r="E1548" t="inlineStr">
        <is>
          <t>STRÖMSUND</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28286-2022</t>
        </is>
      </c>
      <c r="B1549" s="1" t="n">
        <v>44746</v>
      </c>
      <c r="C1549" s="1" t="n">
        <v>45688</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28290-2022</t>
        </is>
      </c>
      <c r="B1550" s="1" t="n">
        <v>44747</v>
      </c>
      <c r="C1550" s="1" t="n">
        <v>45688</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28207-2022</t>
        </is>
      </c>
      <c r="B1551" s="1" t="n">
        <v>44746</v>
      </c>
      <c r="C1551" s="1" t="n">
        <v>45688</v>
      </c>
      <c r="D1551" t="inlineStr">
        <is>
          <t>JÄMTLANDS LÄN</t>
        </is>
      </c>
      <c r="E1551" t="inlineStr">
        <is>
          <t>STRÖMSUND</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28483-2022</t>
        </is>
      </c>
      <c r="B1552" s="1" t="n">
        <v>44747</v>
      </c>
      <c r="C1552" s="1" t="n">
        <v>45688</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28494-2022</t>
        </is>
      </c>
      <c r="B1553" s="1" t="n">
        <v>44748</v>
      </c>
      <c r="C1553" s="1" t="n">
        <v>45688</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28493-2022</t>
        </is>
      </c>
      <c r="B1554" s="1" t="n">
        <v>44747</v>
      </c>
      <c r="C1554" s="1" t="n">
        <v>45688</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44748</v>
      </c>
      <c r="C1555" s="1" t="n">
        <v>45688</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28496-2022</t>
        </is>
      </c>
      <c r="B1556" s="1" t="n">
        <v>44748</v>
      </c>
      <c r="C1556" s="1" t="n">
        <v>45688</v>
      </c>
      <c r="D1556" t="inlineStr">
        <is>
          <t>JÄMTLANDS LÄN</t>
        </is>
      </c>
      <c r="E1556" t="inlineStr">
        <is>
          <t>STRÖMSUND</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28520-2022</t>
        </is>
      </c>
      <c r="B1557" s="1" t="n">
        <v>44748</v>
      </c>
      <c r="C1557" s="1" t="n">
        <v>45688</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28533-2022</t>
        </is>
      </c>
      <c r="B1558" s="1" t="n">
        <v>44748</v>
      </c>
      <c r="C1558" s="1" t="n">
        <v>45688</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28705-2022</t>
        </is>
      </c>
      <c r="B1559" s="1" t="n">
        <v>44748</v>
      </c>
      <c r="C1559" s="1" t="n">
        <v>45688</v>
      </c>
      <c r="D1559" t="inlineStr">
        <is>
          <t>JÄMTLANDS LÄN</t>
        </is>
      </c>
      <c r="E1559" t="inlineStr">
        <is>
          <t>STRÖMSUND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28734-2022</t>
        </is>
      </c>
      <c r="B1560" s="1" t="n">
        <v>44748</v>
      </c>
      <c r="C1560" s="1" t="n">
        <v>45688</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28948-2022</t>
        </is>
      </c>
      <c r="B1561" s="1" t="n">
        <v>44749</v>
      </c>
      <c r="C1561" s="1" t="n">
        <v>45688</v>
      </c>
      <c r="D1561" t="inlineStr">
        <is>
          <t>JÄMTLANDS LÄN</t>
        </is>
      </c>
      <c r="E1561" t="inlineStr">
        <is>
          <t>STRÖMSUND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29042-2022</t>
        </is>
      </c>
      <c r="B1562" s="1" t="n">
        <v>44749</v>
      </c>
      <c r="C1562" s="1" t="n">
        <v>45688</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29045-2022</t>
        </is>
      </c>
      <c r="B1563" s="1" t="n">
        <v>44750</v>
      </c>
      <c r="C1563" s="1" t="n">
        <v>45688</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28869-2022</t>
        </is>
      </c>
      <c r="B1564" s="1" t="n">
        <v>44749</v>
      </c>
      <c r="C1564" s="1" t="n">
        <v>45688</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29033-2022</t>
        </is>
      </c>
      <c r="B1565" s="1" t="n">
        <v>44750</v>
      </c>
      <c r="C1565" s="1" t="n">
        <v>45688</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29043-2022</t>
        </is>
      </c>
      <c r="B1566" s="1" t="n">
        <v>44749</v>
      </c>
      <c r="C1566" s="1" t="n">
        <v>45688</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29295-2022</t>
        </is>
      </c>
      <c r="B1567" s="1" t="n">
        <v>44751</v>
      </c>
      <c r="C1567" s="1" t="n">
        <v>45688</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29276-2022</t>
        </is>
      </c>
      <c r="B1568" s="1" t="n">
        <v>44750</v>
      </c>
      <c r="C1568" s="1" t="n">
        <v>45688</v>
      </c>
      <c r="D1568" t="inlineStr">
        <is>
          <t>JÄMTLANDS LÄN</t>
        </is>
      </c>
      <c r="E1568" t="inlineStr">
        <is>
          <t>STRÖMSUND</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29353-2022</t>
        </is>
      </c>
      <c r="B1569" s="1" t="n">
        <v>44750</v>
      </c>
      <c r="C1569" s="1" t="n">
        <v>45688</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29296-2022</t>
        </is>
      </c>
      <c r="B1570" s="1" t="n">
        <v>44751</v>
      </c>
      <c r="C1570" s="1" t="n">
        <v>45688</v>
      </c>
      <c r="D1570" t="inlineStr">
        <is>
          <t>JÄMTLANDS LÄN</t>
        </is>
      </c>
      <c r="E1570" t="inlineStr">
        <is>
          <t>STRÖMSUND</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29545-2022</t>
        </is>
      </c>
      <c r="B1571" s="1" t="n">
        <v>44753</v>
      </c>
      <c r="C1571" s="1" t="n">
        <v>45688</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29541-2022</t>
        </is>
      </c>
      <c r="B1572" s="1" t="n">
        <v>44754</v>
      </c>
      <c r="C1572" s="1" t="n">
        <v>45688</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29540-2022</t>
        </is>
      </c>
      <c r="B1573" s="1" t="n">
        <v>44754</v>
      </c>
      <c r="C1573" s="1" t="n">
        <v>45688</v>
      </c>
      <c r="D1573" t="inlineStr">
        <is>
          <t>JÄMTLANDS LÄN</t>
        </is>
      </c>
      <c r="E1573" t="inlineStr">
        <is>
          <t>STRÖMSUND</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29550-2022</t>
        </is>
      </c>
      <c r="B1574" s="1" t="n">
        <v>44754</v>
      </c>
      <c r="C1574" s="1" t="n">
        <v>45688</v>
      </c>
      <c r="D1574" t="inlineStr">
        <is>
          <t>JÄMTLANDS LÄN</t>
        </is>
      </c>
      <c r="E1574" t="inlineStr">
        <is>
          <t>STRÖMSUND</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29830-2022</t>
        </is>
      </c>
      <c r="B1575" s="1" t="n">
        <v>44755</v>
      </c>
      <c r="C1575" s="1" t="n">
        <v>45688</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29875-2022</t>
        </is>
      </c>
      <c r="B1576" s="1" t="n">
        <v>44756</v>
      </c>
      <c r="C1576" s="1" t="n">
        <v>45688</v>
      </c>
      <c r="D1576" t="inlineStr">
        <is>
          <t>JÄMTLANDS LÄN</t>
        </is>
      </c>
      <c r="E1576" t="inlineStr">
        <is>
          <t>STRÖMSUND</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30021-2022</t>
        </is>
      </c>
      <c r="B1577" s="1" t="n">
        <v>44757</v>
      </c>
      <c r="C1577" s="1" t="n">
        <v>45688</v>
      </c>
      <c r="D1577" t="inlineStr">
        <is>
          <t>JÄMTLANDS LÄN</t>
        </is>
      </c>
      <c r="E1577" t="inlineStr">
        <is>
          <t>STRÖMSUND</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30036-2022</t>
        </is>
      </c>
      <c r="B1578" s="1" t="n">
        <v>44756</v>
      </c>
      <c r="C1578" s="1" t="n">
        <v>45688</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30024-2022</t>
        </is>
      </c>
      <c r="B1579" s="1" t="n">
        <v>44757</v>
      </c>
      <c r="C1579" s="1" t="n">
        <v>45688</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30031-2022</t>
        </is>
      </c>
      <c r="B1580" s="1" t="n">
        <v>44757</v>
      </c>
      <c r="C1580" s="1" t="n">
        <v>45688</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30023-2022</t>
        </is>
      </c>
      <c r="B1581" s="1" t="n">
        <v>44757</v>
      </c>
      <c r="C1581" s="1" t="n">
        <v>45688</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30030-2022</t>
        </is>
      </c>
      <c r="B1582" s="1" t="n">
        <v>44757</v>
      </c>
      <c r="C1582" s="1" t="n">
        <v>45688</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30022-2022</t>
        </is>
      </c>
      <c r="B1583" s="1" t="n">
        <v>44756</v>
      </c>
      <c r="C1583" s="1" t="n">
        <v>45688</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30037-2022</t>
        </is>
      </c>
      <c r="B1584" s="1" t="n">
        <v>44757</v>
      </c>
      <c r="C1584" s="1" t="n">
        <v>45688</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30042-2022</t>
        </is>
      </c>
      <c r="B1585" s="1" t="n">
        <v>44757</v>
      </c>
      <c r="C1585" s="1" t="n">
        <v>45688</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30046-2022</t>
        </is>
      </c>
      <c r="B1586" s="1" t="n">
        <v>44757</v>
      </c>
      <c r="C1586" s="1" t="n">
        <v>45688</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30044-2022</t>
        </is>
      </c>
      <c r="B1587" s="1" t="n">
        <v>44756</v>
      </c>
      <c r="C1587" s="1" t="n">
        <v>45688</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30086-2022</t>
        </is>
      </c>
      <c r="B1588" s="1" t="n">
        <v>44757</v>
      </c>
      <c r="C1588" s="1" t="n">
        <v>45688</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30219-2022</t>
        </is>
      </c>
      <c r="B1589" s="1" t="n">
        <v>44758</v>
      </c>
      <c r="C1589" s="1" t="n">
        <v>45688</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30220-2022</t>
        </is>
      </c>
      <c r="B1590" s="1" t="n">
        <v>44758</v>
      </c>
      <c r="C1590" s="1" t="n">
        <v>45688</v>
      </c>
      <c r="D1590" t="inlineStr">
        <is>
          <t>JÄMTLANDS LÄN</t>
        </is>
      </c>
      <c r="E1590" t="inlineStr">
        <is>
          <t>STRÖMSUND</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30225-2022</t>
        </is>
      </c>
      <c r="B1591" s="1" t="n">
        <v>44758</v>
      </c>
      <c r="C1591" s="1" t="n">
        <v>45688</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30229-2022</t>
        </is>
      </c>
      <c r="B1592" s="1" t="n">
        <v>44758</v>
      </c>
      <c r="C1592" s="1" t="n">
        <v>45688</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30223-2022</t>
        </is>
      </c>
      <c r="B1593" s="1" t="n">
        <v>44758</v>
      </c>
      <c r="C1593" s="1" t="n">
        <v>45688</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30227-2022</t>
        </is>
      </c>
      <c r="B1594" s="1" t="n">
        <v>44758</v>
      </c>
      <c r="C1594" s="1" t="n">
        <v>45688</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30232-2022</t>
        </is>
      </c>
      <c r="B1595" s="1" t="n">
        <v>44758</v>
      </c>
      <c r="C1595" s="1" t="n">
        <v>45688</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30226-2022</t>
        </is>
      </c>
      <c r="B1596" s="1" t="n">
        <v>44757</v>
      </c>
      <c r="C1596" s="1" t="n">
        <v>45688</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30230-2022</t>
        </is>
      </c>
      <c r="B1597" s="1" t="n">
        <v>44757</v>
      </c>
      <c r="C1597" s="1" t="n">
        <v>45688</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30496-2022</t>
        </is>
      </c>
      <c r="B1598" s="1" t="n">
        <v>44762</v>
      </c>
      <c r="C1598" s="1" t="n">
        <v>45688</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31443-2022</t>
        </is>
      </c>
      <c r="B1599" s="1" t="n">
        <v>44775</v>
      </c>
      <c r="C1599" s="1" t="n">
        <v>45688</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31447-2022</t>
        </is>
      </c>
      <c r="B1600" s="1" t="n">
        <v>44775</v>
      </c>
      <c r="C1600" s="1" t="n">
        <v>45688</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31448-2022</t>
        </is>
      </c>
      <c r="B1601" s="1" t="n">
        <v>44775</v>
      </c>
      <c r="C1601" s="1" t="n">
        <v>45688</v>
      </c>
      <c r="D1601" t="inlineStr">
        <is>
          <t>JÄMTLANDS LÄN</t>
        </is>
      </c>
      <c r="E1601" t="inlineStr">
        <is>
          <t>STRÖMSUND</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31445-2022</t>
        </is>
      </c>
      <c r="B1602" s="1" t="n">
        <v>44775</v>
      </c>
      <c r="C1602" s="1" t="n">
        <v>45688</v>
      </c>
      <c r="D1602" t="inlineStr">
        <is>
          <t>JÄMTLANDS LÄN</t>
        </is>
      </c>
      <c r="E1602" t="inlineStr">
        <is>
          <t>STRÖMSUND</t>
        </is>
      </c>
      <c r="F1602" t="inlineStr">
        <is>
          <t>SCA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31449-2022</t>
        </is>
      </c>
      <c r="B1603" s="1" t="n">
        <v>44775</v>
      </c>
      <c r="C1603" s="1" t="n">
        <v>45688</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31485-2022</t>
        </is>
      </c>
      <c r="B1604" s="1" t="n">
        <v>44775</v>
      </c>
      <c r="C1604" s="1" t="n">
        <v>45688</v>
      </c>
      <c r="D1604" t="inlineStr">
        <is>
          <t>JÄMTLANDS LÄN</t>
        </is>
      </c>
      <c r="E1604" t="inlineStr">
        <is>
          <t>STRÖMSUND</t>
        </is>
      </c>
      <c r="F1604" t="inlineStr">
        <is>
          <t>SCA</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31501-2022</t>
        </is>
      </c>
      <c r="B1605" s="1" t="n">
        <v>44775</v>
      </c>
      <c r="C1605" s="1" t="n">
        <v>45688</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31505-2022</t>
        </is>
      </c>
      <c r="B1606" s="1" t="n">
        <v>44775</v>
      </c>
      <c r="C1606" s="1" t="n">
        <v>45688</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31509-2022</t>
        </is>
      </c>
      <c r="B1607" s="1" t="n">
        <v>44775</v>
      </c>
      <c r="C1607" s="1" t="n">
        <v>45688</v>
      </c>
      <c r="D1607" t="inlineStr">
        <is>
          <t>JÄMTLANDS LÄN</t>
        </is>
      </c>
      <c r="E1607" t="inlineStr">
        <is>
          <t>STRÖMSUND</t>
        </is>
      </c>
      <c r="F1607" t="inlineStr">
        <is>
          <t>SCA</t>
        </is>
      </c>
      <c r="G1607" t="n">
        <v>20.7</v>
      </c>
      <c r="H1607" t="n">
        <v>0</v>
      </c>
      <c r="I1607" t="n">
        <v>0</v>
      </c>
      <c r="J1607" t="n">
        <v>0</v>
      </c>
      <c r="K1607" t="n">
        <v>0</v>
      </c>
      <c r="L1607" t="n">
        <v>0</v>
      </c>
      <c r="M1607" t="n">
        <v>0</v>
      </c>
      <c r="N1607" t="n">
        <v>0</v>
      </c>
      <c r="O1607" t="n">
        <v>0</v>
      </c>
      <c r="P1607" t="n">
        <v>0</v>
      </c>
      <c r="Q1607" t="n">
        <v>0</v>
      </c>
      <c r="R1607" s="2" t="inlineStr"/>
    </row>
    <row r="1608" ht="15" customHeight="1">
      <c r="A1608" t="inlineStr">
        <is>
          <t>A 31442-2022</t>
        </is>
      </c>
      <c r="B1608" s="1" t="n">
        <v>44774</v>
      </c>
      <c r="C1608" s="1" t="n">
        <v>45688</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31446-2022</t>
        </is>
      </c>
      <c r="B1609" s="1" t="n">
        <v>44775</v>
      </c>
      <c r="C1609" s="1" t="n">
        <v>45688</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31503-2022</t>
        </is>
      </c>
      <c r="B1610" s="1" t="n">
        <v>44775</v>
      </c>
      <c r="C1610" s="1" t="n">
        <v>45688</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31499-2022</t>
        </is>
      </c>
      <c r="B1611" s="1" t="n">
        <v>44775</v>
      </c>
      <c r="C1611" s="1" t="n">
        <v>45688</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31504-2022</t>
        </is>
      </c>
      <c r="B1612" s="1" t="n">
        <v>44775</v>
      </c>
      <c r="C1612" s="1" t="n">
        <v>45688</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31508-2022</t>
        </is>
      </c>
      <c r="B1613" s="1" t="n">
        <v>44775</v>
      </c>
      <c r="C1613" s="1" t="n">
        <v>45688</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31502-2022</t>
        </is>
      </c>
      <c r="B1614" s="1" t="n">
        <v>44775</v>
      </c>
      <c r="C1614" s="1" t="n">
        <v>45688</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31506-2022</t>
        </is>
      </c>
      <c r="B1615" s="1" t="n">
        <v>44774</v>
      </c>
      <c r="C1615" s="1" t="n">
        <v>45688</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31507-2022</t>
        </is>
      </c>
      <c r="B1616" s="1" t="n">
        <v>44774</v>
      </c>
      <c r="C1616" s="1" t="n">
        <v>45688</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31519-2022</t>
        </is>
      </c>
      <c r="B1617" s="1" t="n">
        <v>44775</v>
      </c>
      <c r="C1617" s="1" t="n">
        <v>45688</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31657-2022</t>
        </is>
      </c>
      <c r="B1618" s="1" t="n">
        <v>44776</v>
      </c>
      <c r="C1618" s="1" t="n">
        <v>45688</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31849-2022</t>
        </is>
      </c>
      <c r="B1619" s="1" t="n">
        <v>44777</v>
      </c>
      <c r="C1619" s="1" t="n">
        <v>45688</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31852-2022</t>
        </is>
      </c>
      <c r="B1620" s="1" t="n">
        <v>44776</v>
      </c>
      <c r="C1620" s="1" t="n">
        <v>45688</v>
      </c>
      <c r="D1620" t="inlineStr">
        <is>
          <t>JÄMTLANDS LÄN</t>
        </is>
      </c>
      <c r="E1620" t="inlineStr">
        <is>
          <t>STRÖMSUND</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31846-2022</t>
        </is>
      </c>
      <c r="B1621" s="1" t="n">
        <v>44777</v>
      </c>
      <c r="C1621" s="1" t="n">
        <v>45688</v>
      </c>
      <c r="D1621" t="inlineStr">
        <is>
          <t>JÄMTLANDS LÄN</t>
        </is>
      </c>
      <c r="E1621" t="inlineStr">
        <is>
          <t>STRÖMSUND</t>
        </is>
      </c>
      <c r="F1621" t="inlineStr">
        <is>
          <t>SCA</t>
        </is>
      </c>
      <c r="G1621" t="n">
        <v>19.1</v>
      </c>
      <c r="H1621" t="n">
        <v>0</v>
      </c>
      <c r="I1621" t="n">
        <v>0</v>
      </c>
      <c r="J1621" t="n">
        <v>0</v>
      </c>
      <c r="K1621" t="n">
        <v>0</v>
      </c>
      <c r="L1621" t="n">
        <v>0</v>
      </c>
      <c r="M1621" t="n">
        <v>0</v>
      </c>
      <c r="N1621" t="n">
        <v>0</v>
      </c>
      <c r="O1621" t="n">
        <v>0</v>
      </c>
      <c r="P1621" t="n">
        <v>0</v>
      </c>
      <c r="Q1621" t="n">
        <v>0</v>
      </c>
      <c r="R1621" s="2" t="inlineStr"/>
    </row>
    <row r="1622" ht="15" customHeight="1">
      <c r="A1622" t="inlineStr">
        <is>
          <t>A 32128-2022</t>
        </is>
      </c>
      <c r="B1622" s="1" t="n">
        <v>44779</v>
      </c>
      <c r="C1622" s="1" t="n">
        <v>45688</v>
      </c>
      <c r="D1622" t="inlineStr">
        <is>
          <t>JÄMTLANDS LÄN</t>
        </is>
      </c>
      <c r="E1622" t="inlineStr">
        <is>
          <t>STRÖMSUND</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32125-2022</t>
        </is>
      </c>
      <c r="B1623" s="1" t="n">
        <v>44778</v>
      </c>
      <c r="C1623" s="1" t="n">
        <v>45688</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32349-2022</t>
        </is>
      </c>
      <c r="B1624" s="1" t="n">
        <v>44782</v>
      </c>
      <c r="C1624" s="1" t="n">
        <v>45688</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32357-2022</t>
        </is>
      </c>
      <c r="B1625" s="1" t="n">
        <v>44782</v>
      </c>
      <c r="C1625" s="1" t="n">
        <v>45688</v>
      </c>
      <c r="D1625" t="inlineStr">
        <is>
          <t>JÄMTLANDS LÄN</t>
        </is>
      </c>
      <c r="E1625" t="inlineStr">
        <is>
          <t>STRÖMSUND</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32360-2022</t>
        </is>
      </c>
      <c r="B1626" s="1" t="n">
        <v>44782</v>
      </c>
      <c r="C1626" s="1" t="n">
        <v>45688</v>
      </c>
      <c r="D1626" t="inlineStr">
        <is>
          <t>JÄMTLANDS LÄN</t>
        </is>
      </c>
      <c r="E1626" t="inlineStr">
        <is>
          <t>STRÖMSUND</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45688</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44782</v>
      </c>
      <c r="C1628" s="1" t="n">
        <v>45688</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32528-2022</t>
        </is>
      </c>
      <c r="B1629" s="1" t="n">
        <v>44783</v>
      </c>
      <c r="C1629" s="1" t="n">
        <v>45688</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32865-2022</t>
        </is>
      </c>
      <c r="B1630" s="1" t="n">
        <v>44784</v>
      </c>
      <c r="C1630" s="1" t="n">
        <v>45688</v>
      </c>
      <c r="D1630" t="inlineStr">
        <is>
          <t>JÄMTLANDS LÄN</t>
        </is>
      </c>
      <c r="E1630" t="inlineStr">
        <is>
          <t>STRÖMSUND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32932-2022</t>
        </is>
      </c>
      <c r="B1631" s="1" t="n">
        <v>44784</v>
      </c>
      <c r="C1631" s="1" t="n">
        <v>45688</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32883-2022</t>
        </is>
      </c>
      <c r="B1632" s="1" t="n">
        <v>44784</v>
      </c>
      <c r="C1632" s="1" t="n">
        <v>45688</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32978-2022</t>
        </is>
      </c>
      <c r="B1633" s="1" t="n">
        <v>44785</v>
      </c>
      <c r="C1633" s="1" t="n">
        <v>45688</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32996-2022</t>
        </is>
      </c>
      <c r="B1634" s="1" t="n">
        <v>44784</v>
      </c>
      <c r="C1634" s="1" t="n">
        <v>45688</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32997-2022</t>
        </is>
      </c>
      <c r="B1635" s="1" t="n">
        <v>44785</v>
      </c>
      <c r="C1635" s="1" t="n">
        <v>45688</v>
      </c>
      <c r="D1635" t="inlineStr">
        <is>
          <t>JÄMTLANDS LÄN</t>
        </is>
      </c>
      <c r="E1635" t="inlineStr">
        <is>
          <t>STRÖMSUND</t>
        </is>
      </c>
      <c r="F1635" t="inlineStr">
        <is>
          <t>SCA</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33054-2022</t>
        </is>
      </c>
      <c r="B1636" s="1" t="n">
        <v>44785</v>
      </c>
      <c r="C1636" s="1" t="n">
        <v>45688</v>
      </c>
      <c r="D1636" t="inlineStr">
        <is>
          <t>JÄMTLANDS LÄN</t>
        </is>
      </c>
      <c r="E1636" t="inlineStr">
        <is>
          <t>STRÖMSUND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33223-2022</t>
        </is>
      </c>
      <c r="B1637" s="1" t="n">
        <v>44785</v>
      </c>
      <c r="C1637" s="1" t="n">
        <v>45688</v>
      </c>
      <c r="D1637" t="inlineStr">
        <is>
          <t>JÄMTLANDS LÄN</t>
        </is>
      </c>
      <c r="E1637" t="inlineStr">
        <is>
          <t>STRÖMSUND</t>
        </is>
      </c>
      <c r="F1637" t="inlineStr">
        <is>
          <t>SCA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33219-2022</t>
        </is>
      </c>
      <c r="B1638" s="1" t="n">
        <v>44786</v>
      </c>
      <c r="C1638" s="1" t="n">
        <v>45688</v>
      </c>
      <c r="D1638" t="inlineStr">
        <is>
          <t>JÄMTLANDS LÄN</t>
        </is>
      </c>
      <c r="E1638" t="inlineStr">
        <is>
          <t>STRÖMSUND</t>
        </is>
      </c>
      <c r="F1638" t="inlineStr">
        <is>
          <t>SCA</t>
        </is>
      </c>
      <c r="G1638" t="n">
        <v>15.8</v>
      </c>
      <c r="H1638" t="n">
        <v>0</v>
      </c>
      <c r="I1638" t="n">
        <v>0</v>
      </c>
      <c r="J1638" t="n">
        <v>0</v>
      </c>
      <c r="K1638" t="n">
        <v>0</v>
      </c>
      <c r="L1638" t="n">
        <v>0</v>
      </c>
      <c r="M1638" t="n">
        <v>0</v>
      </c>
      <c r="N1638" t="n">
        <v>0</v>
      </c>
      <c r="O1638" t="n">
        <v>0</v>
      </c>
      <c r="P1638" t="n">
        <v>0</v>
      </c>
      <c r="Q1638" t="n">
        <v>0</v>
      </c>
      <c r="R1638" s="2" t="inlineStr"/>
    </row>
    <row r="1639" ht="15" customHeight="1">
      <c r="A1639" t="inlineStr">
        <is>
          <t>A 33225-2022</t>
        </is>
      </c>
      <c r="B1639" s="1" t="n">
        <v>44786</v>
      </c>
      <c r="C1639" s="1" t="n">
        <v>45688</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33231-2022</t>
        </is>
      </c>
      <c r="B1640" s="1" t="n">
        <v>44786</v>
      </c>
      <c r="C1640" s="1" t="n">
        <v>45688</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33224-2022</t>
        </is>
      </c>
      <c r="B1641" s="1" t="n">
        <v>44785</v>
      </c>
      <c r="C1641" s="1" t="n">
        <v>45688</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33230-2022</t>
        </is>
      </c>
      <c r="B1642" s="1" t="n">
        <v>44786</v>
      </c>
      <c r="C1642" s="1" t="n">
        <v>45688</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33501-2022</t>
        </is>
      </c>
      <c r="B1643" s="1" t="n">
        <v>44788</v>
      </c>
      <c r="C1643" s="1" t="n">
        <v>45688</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33502-2022</t>
        </is>
      </c>
      <c r="B1644" s="1" t="n">
        <v>44789</v>
      </c>
      <c r="C1644" s="1" t="n">
        <v>45688</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33520-2022</t>
        </is>
      </c>
      <c r="B1645" s="1" t="n">
        <v>44789</v>
      </c>
      <c r="C1645" s="1" t="n">
        <v>45688</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33732-2022</t>
        </is>
      </c>
      <c r="B1646" s="1" t="n">
        <v>44790</v>
      </c>
      <c r="C1646" s="1" t="n">
        <v>45688</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33728-2022</t>
        </is>
      </c>
      <c r="B1647" s="1" t="n">
        <v>44790</v>
      </c>
      <c r="C1647" s="1" t="n">
        <v>45688</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33730-2022</t>
        </is>
      </c>
      <c r="B1648" s="1" t="n">
        <v>44790</v>
      </c>
      <c r="C1648" s="1" t="n">
        <v>45688</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33876-2022</t>
        </is>
      </c>
      <c r="B1649" s="1" t="n">
        <v>44790</v>
      </c>
      <c r="C1649" s="1" t="n">
        <v>45688</v>
      </c>
      <c r="D1649" t="inlineStr">
        <is>
          <t>JÄMTLANDS LÄN</t>
        </is>
      </c>
      <c r="E1649" t="inlineStr">
        <is>
          <t>STRÖMSUND</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33987-2022</t>
        </is>
      </c>
      <c r="B1650" s="1" t="n">
        <v>44790</v>
      </c>
      <c r="C1650" s="1" t="n">
        <v>45688</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34008-2022</t>
        </is>
      </c>
      <c r="B1651" s="1" t="n">
        <v>44791</v>
      </c>
      <c r="C1651" s="1" t="n">
        <v>45688</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33988-2022</t>
        </is>
      </c>
      <c r="B1652" s="1" t="n">
        <v>44790</v>
      </c>
      <c r="C1652" s="1" t="n">
        <v>45688</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34004-2022</t>
        </is>
      </c>
      <c r="B1653" s="1" t="n">
        <v>44791</v>
      </c>
      <c r="C1653" s="1" t="n">
        <v>45688</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33985-2022</t>
        </is>
      </c>
      <c r="B1654" s="1" t="n">
        <v>44790</v>
      </c>
      <c r="C1654" s="1" t="n">
        <v>45688</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34023-2022</t>
        </is>
      </c>
      <c r="B1655" s="1" t="n">
        <v>44790</v>
      </c>
      <c r="C1655" s="1" t="n">
        <v>45688</v>
      </c>
      <c r="D1655" t="inlineStr">
        <is>
          <t>JÄMTLANDS LÄN</t>
        </is>
      </c>
      <c r="E1655" t="inlineStr">
        <is>
          <t>STRÖMSUND</t>
        </is>
      </c>
      <c r="G1655" t="n">
        <v>34.5</v>
      </c>
      <c r="H1655" t="n">
        <v>0</v>
      </c>
      <c r="I1655" t="n">
        <v>0</v>
      </c>
      <c r="J1655" t="n">
        <v>0</v>
      </c>
      <c r="K1655" t="n">
        <v>0</v>
      </c>
      <c r="L1655" t="n">
        <v>0</v>
      </c>
      <c r="M1655" t="n">
        <v>0</v>
      </c>
      <c r="N1655" t="n">
        <v>0</v>
      </c>
      <c r="O1655" t="n">
        <v>0</v>
      </c>
      <c r="P1655" t="n">
        <v>0</v>
      </c>
      <c r="Q1655" t="n">
        <v>0</v>
      </c>
      <c r="R1655" s="2" t="inlineStr"/>
    </row>
    <row r="1656" ht="15" customHeight="1">
      <c r="A1656" t="inlineStr">
        <is>
          <t>A 34005-2022</t>
        </is>
      </c>
      <c r="B1656" s="1" t="n">
        <v>44791</v>
      </c>
      <c r="C1656" s="1" t="n">
        <v>45688</v>
      </c>
      <c r="D1656" t="inlineStr">
        <is>
          <t>JÄMTLANDS LÄN</t>
        </is>
      </c>
      <c r="E1656" t="inlineStr">
        <is>
          <t>STRÖMSUND</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34011-2022</t>
        </is>
      </c>
      <c r="B1657" s="1" t="n">
        <v>44790</v>
      </c>
      <c r="C1657" s="1" t="n">
        <v>45688</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34245-2022</t>
        </is>
      </c>
      <c r="B1658" s="1" t="n">
        <v>44792</v>
      </c>
      <c r="C1658" s="1" t="n">
        <v>45688</v>
      </c>
      <c r="D1658" t="inlineStr">
        <is>
          <t>JÄMTLANDS LÄN</t>
        </is>
      </c>
      <c r="E1658" t="inlineStr">
        <is>
          <t>STRÖMSUND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34243-2022</t>
        </is>
      </c>
      <c r="B1659" s="1" t="n">
        <v>44792</v>
      </c>
      <c r="C1659" s="1" t="n">
        <v>45688</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34247-2022</t>
        </is>
      </c>
      <c r="B1660" s="1" t="n">
        <v>44792</v>
      </c>
      <c r="C1660" s="1" t="n">
        <v>45688</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34251-2022</t>
        </is>
      </c>
      <c r="B1661" s="1" t="n">
        <v>44792</v>
      </c>
      <c r="C1661" s="1" t="n">
        <v>45688</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34244-2022</t>
        </is>
      </c>
      <c r="B1662" s="1" t="n">
        <v>44791</v>
      </c>
      <c r="C1662" s="1" t="n">
        <v>45688</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34264-2022</t>
        </is>
      </c>
      <c r="B1663" s="1" t="n">
        <v>44791</v>
      </c>
      <c r="C1663" s="1" t="n">
        <v>45688</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34294-2022</t>
        </is>
      </c>
      <c r="B1664" s="1" t="n">
        <v>44792</v>
      </c>
      <c r="C1664" s="1" t="n">
        <v>45688</v>
      </c>
      <c r="D1664" t="inlineStr">
        <is>
          <t>JÄMTLANDS LÄN</t>
        </is>
      </c>
      <c r="E1664" t="inlineStr">
        <is>
          <t>STRÖMSUND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34293-2022</t>
        </is>
      </c>
      <c r="B1665" s="1" t="n">
        <v>44792</v>
      </c>
      <c r="C1665" s="1" t="n">
        <v>45688</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34512-2022</t>
        </is>
      </c>
      <c r="B1666" s="1" t="n">
        <v>44793</v>
      </c>
      <c r="C1666" s="1" t="n">
        <v>45688</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34522-2022</t>
        </is>
      </c>
      <c r="B1667" s="1" t="n">
        <v>44793</v>
      </c>
      <c r="C1667" s="1" t="n">
        <v>45688</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34523-2022</t>
        </is>
      </c>
      <c r="B1668" s="1" t="n">
        <v>44793</v>
      </c>
      <c r="C1668" s="1" t="n">
        <v>45688</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34524-2022</t>
        </is>
      </c>
      <c r="B1669" s="1" t="n">
        <v>44793</v>
      </c>
      <c r="C1669" s="1" t="n">
        <v>45688</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34521-2022</t>
        </is>
      </c>
      <c r="B1670" s="1" t="n">
        <v>44793</v>
      </c>
      <c r="C1670" s="1" t="n">
        <v>45688</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34525-2022</t>
        </is>
      </c>
      <c r="B1671" s="1" t="n">
        <v>44793</v>
      </c>
      <c r="C1671" s="1" t="n">
        <v>45688</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34550-2022</t>
        </is>
      </c>
      <c r="B1672" s="1" t="n">
        <v>44793</v>
      </c>
      <c r="C1672" s="1" t="n">
        <v>45688</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34805-2022</t>
        </is>
      </c>
      <c r="B1673" s="1" t="n">
        <v>44796</v>
      </c>
      <c r="C1673" s="1" t="n">
        <v>45688</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34890-2022</t>
        </is>
      </c>
      <c r="B1674" s="1" t="n">
        <v>44796</v>
      </c>
      <c r="C1674" s="1" t="n">
        <v>45688</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34920-2022</t>
        </is>
      </c>
      <c r="B1675" s="1" t="n">
        <v>44796</v>
      </c>
      <c r="C1675" s="1" t="n">
        <v>45688</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35015-2022</t>
        </is>
      </c>
      <c r="B1676" s="1" t="n">
        <v>44797</v>
      </c>
      <c r="C1676" s="1" t="n">
        <v>45688</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35221-2022</t>
        </is>
      </c>
      <c r="B1677" s="1" t="n">
        <v>44798</v>
      </c>
      <c r="C1677" s="1" t="n">
        <v>45688</v>
      </c>
      <c r="D1677" t="inlineStr">
        <is>
          <t>JÄMTLANDS LÄN</t>
        </is>
      </c>
      <c r="E1677" t="inlineStr">
        <is>
          <t>STRÖMSUND</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35233-2022</t>
        </is>
      </c>
      <c r="B1678" s="1" t="n">
        <v>44797</v>
      </c>
      <c r="C1678" s="1" t="n">
        <v>45688</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35240-2022</t>
        </is>
      </c>
      <c r="B1679" s="1" t="n">
        <v>44797</v>
      </c>
      <c r="C1679" s="1" t="n">
        <v>45688</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35241-2022</t>
        </is>
      </c>
      <c r="B1680" s="1" t="n">
        <v>44797</v>
      </c>
      <c r="C1680" s="1" t="n">
        <v>45688</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35308-2022</t>
        </is>
      </c>
      <c r="B1681" s="1" t="n">
        <v>44798</v>
      </c>
      <c r="C1681" s="1" t="n">
        <v>45688</v>
      </c>
      <c r="D1681" t="inlineStr">
        <is>
          <t>JÄMTLANDS LÄN</t>
        </is>
      </c>
      <c r="E1681" t="inlineStr">
        <is>
          <t>STRÖMSUND</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35295-2022</t>
        </is>
      </c>
      <c r="B1682" s="1" t="n">
        <v>44798</v>
      </c>
      <c r="C1682" s="1" t="n">
        <v>45688</v>
      </c>
      <c r="D1682" t="inlineStr">
        <is>
          <t>JÄMTLANDS LÄN</t>
        </is>
      </c>
      <c r="E1682" t="inlineStr">
        <is>
          <t>STRÖMSUND</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35321-2022</t>
        </is>
      </c>
      <c r="B1683" s="1" t="n">
        <v>44798</v>
      </c>
      <c r="C1683" s="1" t="n">
        <v>45688</v>
      </c>
      <c r="D1683" t="inlineStr">
        <is>
          <t>JÄMTLANDS LÄN</t>
        </is>
      </c>
      <c r="E1683" t="inlineStr">
        <is>
          <t>STRÖMSUND</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35329-2022</t>
        </is>
      </c>
      <c r="B1684" s="1" t="n">
        <v>44798</v>
      </c>
      <c r="C1684" s="1" t="n">
        <v>45688</v>
      </c>
      <c r="D1684" t="inlineStr">
        <is>
          <t>JÄMTLANDS LÄN</t>
        </is>
      </c>
      <c r="E1684" t="inlineStr">
        <is>
          <t>STRÖMSUND</t>
        </is>
      </c>
      <c r="F1684" t="inlineStr">
        <is>
          <t>Kommuner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35377-2022</t>
        </is>
      </c>
      <c r="B1685" s="1" t="n">
        <v>44798</v>
      </c>
      <c r="C1685" s="1" t="n">
        <v>45688</v>
      </c>
      <c r="D1685" t="inlineStr">
        <is>
          <t>JÄMTLANDS LÄN</t>
        </is>
      </c>
      <c r="E1685" t="inlineStr">
        <is>
          <t>STRÖMSUND</t>
        </is>
      </c>
      <c r="F1685" t="inlineStr">
        <is>
          <t>Kommuner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35375-2022</t>
        </is>
      </c>
      <c r="B1686" s="1" t="n">
        <v>44798</v>
      </c>
      <c r="C1686" s="1" t="n">
        <v>45688</v>
      </c>
      <c r="D1686" t="inlineStr">
        <is>
          <t>JÄMTLANDS LÄN</t>
        </is>
      </c>
      <c r="E1686" t="inlineStr">
        <is>
          <t>STRÖMSUND</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35694-2022</t>
        </is>
      </c>
      <c r="B1687" s="1" t="n">
        <v>44799</v>
      </c>
      <c r="C1687" s="1" t="n">
        <v>45688</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35743-2022</t>
        </is>
      </c>
      <c r="B1688" s="1" t="n">
        <v>44800</v>
      </c>
      <c r="C1688" s="1" t="n">
        <v>45688</v>
      </c>
      <c r="D1688" t="inlineStr">
        <is>
          <t>JÄMTLANDS LÄN</t>
        </is>
      </c>
      <c r="E1688" t="inlineStr">
        <is>
          <t>STRÖMSUND</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35989-2022</t>
        </is>
      </c>
      <c r="B1689" s="1" t="n">
        <v>44802</v>
      </c>
      <c r="C1689" s="1" t="n">
        <v>45688</v>
      </c>
      <c r="D1689" t="inlineStr">
        <is>
          <t>JÄMTLANDS LÄN</t>
        </is>
      </c>
      <c r="E1689" t="inlineStr">
        <is>
          <t>STRÖMSUND</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35853-2022</t>
        </is>
      </c>
      <c r="B1690" s="1" t="n">
        <v>44802</v>
      </c>
      <c r="C1690" s="1" t="n">
        <v>45688</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35850-2022</t>
        </is>
      </c>
      <c r="B1691" s="1" t="n">
        <v>44802</v>
      </c>
      <c r="C1691" s="1" t="n">
        <v>45688</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35972-2022</t>
        </is>
      </c>
      <c r="B1692" s="1" t="n">
        <v>44802</v>
      </c>
      <c r="C1692" s="1" t="n">
        <v>45688</v>
      </c>
      <c r="D1692" t="inlineStr">
        <is>
          <t>JÄMTLANDS LÄN</t>
        </is>
      </c>
      <c r="E1692" t="inlineStr">
        <is>
          <t>STRÖMSUND</t>
        </is>
      </c>
      <c r="F1692" t="inlineStr">
        <is>
          <t>Sveaskog</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36079-2022</t>
        </is>
      </c>
      <c r="B1693" s="1" t="n">
        <v>44803</v>
      </c>
      <c r="C1693" s="1" t="n">
        <v>45688</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35971-2022</t>
        </is>
      </c>
      <c r="B1694" s="1" t="n">
        <v>44802</v>
      </c>
      <c r="C1694" s="1" t="n">
        <v>45688</v>
      </c>
      <c r="D1694" t="inlineStr">
        <is>
          <t>JÄMTLANDS LÄN</t>
        </is>
      </c>
      <c r="E1694" t="inlineStr">
        <is>
          <t>STRÖMSUND</t>
        </is>
      </c>
      <c r="F1694" t="inlineStr">
        <is>
          <t>Sveaskog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36096-2022</t>
        </is>
      </c>
      <c r="B1695" s="1" t="n">
        <v>44803</v>
      </c>
      <c r="C1695" s="1" t="n">
        <v>45688</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36369-2022</t>
        </is>
      </c>
      <c r="B1696" s="1" t="n">
        <v>44804</v>
      </c>
      <c r="C1696" s="1" t="n">
        <v>45688</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36374-2022</t>
        </is>
      </c>
      <c r="B1697" s="1" t="n">
        <v>44804</v>
      </c>
      <c r="C1697" s="1" t="n">
        <v>45688</v>
      </c>
      <c r="D1697" t="inlineStr">
        <is>
          <t>JÄMTLANDS LÄN</t>
        </is>
      </c>
      <c r="E1697" t="inlineStr">
        <is>
          <t>STRÖMSUND</t>
        </is>
      </c>
      <c r="F1697" t="inlineStr">
        <is>
          <t>SCA</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36275-2022</t>
        </is>
      </c>
      <c r="B1698" s="1" t="n">
        <v>44803</v>
      </c>
      <c r="C1698" s="1" t="n">
        <v>45688</v>
      </c>
      <c r="D1698" t="inlineStr">
        <is>
          <t>JÄMTLANDS LÄN</t>
        </is>
      </c>
      <c r="E1698" t="inlineStr">
        <is>
          <t>STRÖMSUND</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36383-2022</t>
        </is>
      </c>
      <c r="B1699" s="1" t="n">
        <v>44804</v>
      </c>
      <c r="C1699" s="1" t="n">
        <v>45688</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36390-2022</t>
        </is>
      </c>
      <c r="B1700" s="1" t="n">
        <v>44804</v>
      </c>
      <c r="C1700" s="1" t="n">
        <v>45688</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36384-2022</t>
        </is>
      </c>
      <c r="B1701" s="1" t="n">
        <v>44804</v>
      </c>
      <c r="C1701" s="1" t="n">
        <v>45688</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36372-2022</t>
        </is>
      </c>
      <c r="B1702" s="1" t="n">
        <v>44804</v>
      </c>
      <c r="C1702" s="1" t="n">
        <v>45688</v>
      </c>
      <c r="D1702" t="inlineStr">
        <is>
          <t>JÄMTLANDS LÄN</t>
        </is>
      </c>
      <c r="E1702" t="inlineStr">
        <is>
          <t>STRÖMSUND</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36382-2022</t>
        </is>
      </c>
      <c r="B1703" s="1" t="n">
        <v>44803</v>
      </c>
      <c r="C1703" s="1" t="n">
        <v>45688</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36581-2022</t>
        </is>
      </c>
      <c r="B1704" s="1" t="n">
        <v>44804</v>
      </c>
      <c r="C1704" s="1" t="n">
        <v>45688</v>
      </c>
      <c r="D1704" t="inlineStr">
        <is>
          <t>JÄMTLANDS LÄN</t>
        </is>
      </c>
      <c r="E1704" t="inlineStr">
        <is>
          <t>STRÖMSUND</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36559-2022</t>
        </is>
      </c>
      <c r="B1705" s="1" t="n">
        <v>44804</v>
      </c>
      <c r="C1705" s="1" t="n">
        <v>45688</v>
      </c>
      <c r="D1705" t="inlineStr">
        <is>
          <t>JÄMTLANDS LÄN</t>
        </is>
      </c>
      <c r="E1705" t="inlineStr">
        <is>
          <t>STRÖMSUND</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36690-2022</t>
        </is>
      </c>
      <c r="B1706" s="1" t="n">
        <v>44805</v>
      </c>
      <c r="C1706" s="1" t="n">
        <v>45688</v>
      </c>
      <c r="D1706" t="inlineStr">
        <is>
          <t>JÄMTLANDS LÄN</t>
        </is>
      </c>
      <c r="E1706" t="inlineStr">
        <is>
          <t>STRÖMSUND</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36698-2022</t>
        </is>
      </c>
      <c r="B1707" s="1" t="n">
        <v>44805</v>
      </c>
      <c r="C1707" s="1" t="n">
        <v>45688</v>
      </c>
      <c r="D1707" t="inlineStr">
        <is>
          <t>JÄMTLANDS LÄN</t>
        </is>
      </c>
      <c r="E1707" t="inlineStr">
        <is>
          <t>STRÖMSUND</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36689-2022</t>
        </is>
      </c>
      <c r="B1708" s="1" t="n">
        <v>44804</v>
      </c>
      <c r="C1708" s="1" t="n">
        <v>45688</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36699-2022</t>
        </is>
      </c>
      <c r="B1709" s="1" t="n">
        <v>44805</v>
      </c>
      <c r="C1709" s="1" t="n">
        <v>45688</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37090-2022</t>
        </is>
      </c>
      <c r="B1710" s="1" t="n">
        <v>44806</v>
      </c>
      <c r="C1710" s="1" t="n">
        <v>45688</v>
      </c>
      <c r="D1710" t="inlineStr">
        <is>
          <t>JÄMTLANDS LÄN</t>
        </is>
      </c>
      <c r="E1710" t="inlineStr">
        <is>
          <t>STRÖMSUND</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37100-2022</t>
        </is>
      </c>
      <c r="B1711" s="1" t="n">
        <v>44806</v>
      </c>
      <c r="C1711" s="1" t="n">
        <v>45688</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37107-2022</t>
        </is>
      </c>
      <c r="B1712" s="1" t="n">
        <v>44806</v>
      </c>
      <c r="C1712" s="1" t="n">
        <v>45688</v>
      </c>
      <c r="D1712" t="inlineStr">
        <is>
          <t>JÄMTLANDS LÄN</t>
        </is>
      </c>
      <c r="E1712" t="inlineStr">
        <is>
          <t>STRÖMSUND</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45688</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37093-2022</t>
        </is>
      </c>
      <c r="B1714" s="1" t="n">
        <v>44806</v>
      </c>
      <c r="C1714" s="1" t="n">
        <v>45688</v>
      </c>
      <c r="D1714" t="inlineStr">
        <is>
          <t>JÄMTLANDS LÄN</t>
        </is>
      </c>
      <c r="E1714" t="inlineStr">
        <is>
          <t>STRÖMSUND</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37097-2022</t>
        </is>
      </c>
      <c r="B1715" s="1" t="n">
        <v>44806</v>
      </c>
      <c r="C1715" s="1" t="n">
        <v>45688</v>
      </c>
      <c r="D1715" t="inlineStr">
        <is>
          <t>JÄMTLANDS LÄN</t>
        </is>
      </c>
      <c r="E1715" t="inlineStr">
        <is>
          <t>STRÖMSUND</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37102-2022</t>
        </is>
      </c>
      <c r="B1716" s="1" t="n">
        <v>44806</v>
      </c>
      <c r="C1716" s="1" t="n">
        <v>45688</v>
      </c>
      <c r="D1716" t="inlineStr">
        <is>
          <t>JÄMTLANDS LÄN</t>
        </is>
      </c>
      <c r="E1716" t="inlineStr">
        <is>
          <t>STRÖMSUND</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37078-2022</t>
        </is>
      </c>
      <c r="B1717" s="1" t="n">
        <v>44806</v>
      </c>
      <c r="C1717" s="1" t="n">
        <v>45688</v>
      </c>
      <c r="D1717" t="inlineStr">
        <is>
          <t>JÄMTLANDS LÄN</t>
        </is>
      </c>
      <c r="E1717" t="inlineStr">
        <is>
          <t>STRÖMSUND</t>
        </is>
      </c>
      <c r="F1717" t="inlineStr">
        <is>
          <t>Kommuner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37104-2022</t>
        </is>
      </c>
      <c r="B1718" s="1" t="n">
        <v>44806</v>
      </c>
      <c r="C1718" s="1" t="n">
        <v>45688</v>
      </c>
      <c r="D1718" t="inlineStr">
        <is>
          <t>JÄMTLANDS LÄN</t>
        </is>
      </c>
      <c r="E1718" t="inlineStr">
        <is>
          <t>STRÖMSUND</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37231-2022</t>
        </is>
      </c>
      <c r="B1719" s="1" t="n">
        <v>44806</v>
      </c>
      <c r="C1719" s="1" t="n">
        <v>45688</v>
      </c>
      <c r="D1719" t="inlineStr">
        <is>
          <t>JÄMTLANDS LÄN</t>
        </is>
      </c>
      <c r="E1719" t="inlineStr">
        <is>
          <t>STRÖMSUND</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37791-2022</t>
        </is>
      </c>
      <c r="B1720" s="1" t="n">
        <v>44810</v>
      </c>
      <c r="C1720" s="1" t="n">
        <v>45688</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38415-2022</t>
        </is>
      </c>
      <c r="B1721" s="1" t="n">
        <v>44812</v>
      </c>
      <c r="C1721" s="1" t="n">
        <v>45688</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38414-2022</t>
        </is>
      </c>
      <c r="B1722" s="1" t="n">
        <v>44812</v>
      </c>
      <c r="C1722" s="1" t="n">
        <v>45688</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38413-2022</t>
        </is>
      </c>
      <c r="B1723" s="1" t="n">
        <v>44812</v>
      </c>
      <c r="C1723" s="1" t="n">
        <v>45688</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38661-2022</t>
        </is>
      </c>
      <c r="B1724" s="1" t="n">
        <v>44813</v>
      </c>
      <c r="C1724" s="1" t="n">
        <v>45688</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39000-2022</t>
        </is>
      </c>
      <c r="B1725" s="1" t="n">
        <v>44817</v>
      </c>
      <c r="C1725" s="1" t="n">
        <v>45688</v>
      </c>
      <c r="D1725" t="inlineStr">
        <is>
          <t>JÄMTLANDS LÄN</t>
        </is>
      </c>
      <c r="E1725" t="inlineStr">
        <is>
          <t>STRÖMSUND</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39010-2022</t>
        </is>
      </c>
      <c r="B1726" s="1" t="n">
        <v>44816</v>
      </c>
      <c r="C1726" s="1" t="n">
        <v>45688</v>
      </c>
      <c r="D1726" t="inlineStr">
        <is>
          <t>JÄMTLANDS LÄN</t>
        </is>
      </c>
      <c r="E1726" t="inlineStr">
        <is>
          <t>STRÖMSUND</t>
        </is>
      </c>
      <c r="F1726" t="inlineStr">
        <is>
          <t>SCA</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39007-2022</t>
        </is>
      </c>
      <c r="B1727" s="1" t="n">
        <v>44817</v>
      </c>
      <c r="C1727" s="1" t="n">
        <v>45688</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39009-2022</t>
        </is>
      </c>
      <c r="B1728" s="1" t="n">
        <v>44817</v>
      </c>
      <c r="C1728" s="1" t="n">
        <v>45688</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39388-2022</t>
        </is>
      </c>
      <c r="B1729" s="1" t="n">
        <v>44817</v>
      </c>
      <c r="C1729" s="1" t="n">
        <v>45688</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39689-2022</t>
        </is>
      </c>
      <c r="B1730" s="1" t="n">
        <v>44818</v>
      </c>
      <c r="C1730" s="1" t="n">
        <v>45688</v>
      </c>
      <c r="D1730" t="inlineStr">
        <is>
          <t>JÄMTLANDS LÄN</t>
        </is>
      </c>
      <c r="E1730" t="inlineStr">
        <is>
          <t>STRÖMSUND</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39690-2022</t>
        </is>
      </c>
      <c r="B1731" s="1" t="n">
        <v>44819</v>
      </c>
      <c r="C1731" s="1" t="n">
        <v>45688</v>
      </c>
      <c r="D1731" t="inlineStr">
        <is>
          <t>JÄMTLANDS LÄN</t>
        </is>
      </c>
      <c r="E1731" t="inlineStr">
        <is>
          <t>STRÖMSUND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39700-2022</t>
        </is>
      </c>
      <c r="B1732" s="1" t="n">
        <v>44819</v>
      </c>
      <c r="C1732" s="1" t="n">
        <v>45688</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39882-2022</t>
        </is>
      </c>
      <c r="B1733" s="1" t="n">
        <v>44819</v>
      </c>
      <c r="C1733" s="1" t="n">
        <v>45688</v>
      </c>
      <c r="D1733" t="inlineStr">
        <is>
          <t>JÄMTLANDS LÄN</t>
        </is>
      </c>
      <c r="E1733" t="inlineStr">
        <is>
          <t>STRÖMSUND</t>
        </is>
      </c>
      <c r="F1733" t="inlineStr">
        <is>
          <t>Sveaskog</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39890-2022</t>
        </is>
      </c>
      <c r="B1734" s="1" t="n">
        <v>44819</v>
      </c>
      <c r="C1734" s="1" t="n">
        <v>45688</v>
      </c>
      <c r="D1734" t="inlineStr">
        <is>
          <t>JÄMTLANDS LÄN</t>
        </is>
      </c>
      <c r="E1734" t="inlineStr">
        <is>
          <t>STRÖMSUND</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39889-2022</t>
        </is>
      </c>
      <c r="B1735" s="1" t="n">
        <v>44819</v>
      </c>
      <c r="C1735" s="1" t="n">
        <v>45688</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39892-2022</t>
        </is>
      </c>
      <c r="B1736" s="1" t="n">
        <v>44819</v>
      </c>
      <c r="C1736" s="1" t="n">
        <v>45688</v>
      </c>
      <c r="D1736" t="inlineStr">
        <is>
          <t>JÄMTLANDS LÄN</t>
        </is>
      </c>
      <c r="E1736" t="inlineStr">
        <is>
          <t>STRÖMSUND</t>
        </is>
      </c>
      <c r="F1736" t="inlineStr">
        <is>
          <t>Sveaskog</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39939-2022</t>
        </is>
      </c>
      <c r="B1737" s="1" t="n">
        <v>44820</v>
      </c>
      <c r="C1737" s="1" t="n">
        <v>45688</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39957-2022</t>
        </is>
      </c>
      <c r="B1738" s="1" t="n">
        <v>44820</v>
      </c>
      <c r="C1738" s="1" t="n">
        <v>45688</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40271-2022</t>
        </is>
      </c>
      <c r="B1739" s="1" t="n">
        <v>44821</v>
      </c>
      <c r="C1739" s="1" t="n">
        <v>45688</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40287-2022</t>
        </is>
      </c>
      <c r="B1740" s="1" t="n">
        <v>44821</v>
      </c>
      <c r="C1740" s="1" t="n">
        <v>45688</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40275-2022</t>
        </is>
      </c>
      <c r="B1741" s="1" t="n">
        <v>44820</v>
      </c>
      <c r="C1741" s="1" t="n">
        <v>45688</v>
      </c>
      <c r="D1741" t="inlineStr">
        <is>
          <t>JÄMTLANDS LÄN</t>
        </is>
      </c>
      <c r="E1741" t="inlineStr">
        <is>
          <t>STRÖMSUND</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40862-2022</t>
        </is>
      </c>
      <c r="B1742" s="1" t="n">
        <v>44820</v>
      </c>
      <c r="C1742" s="1" t="n">
        <v>45688</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40272-2022</t>
        </is>
      </c>
      <c r="B1743" s="1" t="n">
        <v>44820</v>
      </c>
      <c r="C1743" s="1" t="n">
        <v>45688</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40290-2022</t>
        </is>
      </c>
      <c r="B1744" s="1" t="n">
        <v>44821</v>
      </c>
      <c r="C1744" s="1" t="n">
        <v>45688</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40602-2022</t>
        </is>
      </c>
      <c r="B1745" s="1" t="n">
        <v>44823</v>
      </c>
      <c r="C1745" s="1" t="n">
        <v>45688</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40617-2022</t>
        </is>
      </c>
      <c r="B1746" s="1" t="n">
        <v>44823</v>
      </c>
      <c r="C1746" s="1" t="n">
        <v>45688</v>
      </c>
      <c r="D1746" t="inlineStr">
        <is>
          <t>JÄMTLANDS LÄN</t>
        </is>
      </c>
      <c r="E1746" t="inlineStr">
        <is>
          <t>STRÖMSUND</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40936-2022</t>
        </is>
      </c>
      <c r="B1747" s="1" t="n">
        <v>44823</v>
      </c>
      <c r="C1747" s="1" t="n">
        <v>45688</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40840-2022</t>
        </is>
      </c>
      <c r="B1748" s="1" t="n">
        <v>44824</v>
      </c>
      <c r="C1748" s="1" t="n">
        <v>45688</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40841-2022</t>
        </is>
      </c>
      <c r="B1749" s="1" t="n">
        <v>44825</v>
      </c>
      <c r="C1749" s="1" t="n">
        <v>45688</v>
      </c>
      <c r="D1749" t="inlineStr">
        <is>
          <t>JÄMTLANDS LÄN</t>
        </is>
      </c>
      <c r="E1749" t="inlineStr">
        <is>
          <t>STRÖMSUND</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41171-2022</t>
        </is>
      </c>
      <c r="B1750" s="1" t="n">
        <v>44826</v>
      </c>
      <c r="C1750" s="1" t="n">
        <v>45688</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41194-2022</t>
        </is>
      </c>
      <c r="B1751" s="1" t="n">
        <v>44826</v>
      </c>
      <c r="C1751" s="1" t="n">
        <v>45688</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41818-2022</t>
        </is>
      </c>
      <c r="B1752" s="1" t="n">
        <v>44828</v>
      </c>
      <c r="C1752" s="1" t="n">
        <v>45688</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41820-2022</t>
        </is>
      </c>
      <c r="B1753" s="1" t="n">
        <v>44828</v>
      </c>
      <c r="C1753" s="1" t="n">
        <v>45688</v>
      </c>
      <c r="D1753" t="inlineStr">
        <is>
          <t>JÄMTLANDS LÄN</t>
        </is>
      </c>
      <c r="E1753" t="inlineStr">
        <is>
          <t>STRÖMSUND</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41822-2022</t>
        </is>
      </c>
      <c r="B1754" s="1" t="n">
        <v>44828</v>
      </c>
      <c r="C1754" s="1" t="n">
        <v>45688</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41828-2022</t>
        </is>
      </c>
      <c r="B1755" s="1" t="n">
        <v>44828</v>
      </c>
      <c r="C1755" s="1" t="n">
        <v>45688</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41829-2022</t>
        </is>
      </c>
      <c r="B1756" s="1" t="n">
        <v>44828</v>
      </c>
      <c r="C1756" s="1" t="n">
        <v>45688</v>
      </c>
      <c r="D1756" t="inlineStr">
        <is>
          <t>JÄMTLANDS LÄN</t>
        </is>
      </c>
      <c r="E1756" t="inlineStr">
        <is>
          <t>STRÖMSUND</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41821-2022</t>
        </is>
      </c>
      <c r="B1757" s="1" t="n">
        <v>44827</v>
      </c>
      <c r="C1757" s="1" t="n">
        <v>45688</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41827-2022</t>
        </is>
      </c>
      <c r="B1758" s="1" t="n">
        <v>44828</v>
      </c>
      <c r="C1758" s="1" t="n">
        <v>45688</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42155-2022</t>
        </is>
      </c>
      <c r="B1759" s="1" t="n">
        <v>44830</v>
      </c>
      <c r="C1759" s="1" t="n">
        <v>45688</v>
      </c>
      <c r="D1759" t="inlineStr">
        <is>
          <t>JÄMTLANDS LÄN</t>
        </is>
      </c>
      <c r="E1759" t="inlineStr">
        <is>
          <t>STRÖMSUND</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41972-2022</t>
        </is>
      </c>
      <c r="B1760" s="1" t="n">
        <v>44830</v>
      </c>
      <c r="C1760" s="1" t="n">
        <v>45688</v>
      </c>
      <c r="D1760" t="inlineStr">
        <is>
          <t>JÄMTLANDS LÄN</t>
        </is>
      </c>
      <c r="E1760" t="inlineStr">
        <is>
          <t>STRÖMSUND</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42237-2022</t>
        </is>
      </c>
      <c r="B1761" s="1" t="n">
        <v>44830</v>
      </c>
      <c r="C1761" s="1" t="n">
        <v>45688</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42280-2022</t>
        </is>
      </c>
      <c r="B1762" s="1" t="n">
        <v>44831</v>
      </c>
      <c r="C1762" s="1" t="n">
        <v>45688</v>
      </c>
      <c r="D1762" t="inlineStr">
        <is>
          <t>JÄMTLANDS LÄN</t>
        </is>
      </c>
      <c r="E1762" t="inlineStr">
        <is>
          <t>STRÖMSUND</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42294-2022</t>
        </is>
      </c>
      <c r="B1763" s="1" t="n">
        <v>44831</v>
      </c>
      <c r="C1763" s="1" t="n">
        <v>45688</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42660-2022</t>
        </is>
      </c>
      <c r="B1764" s="1" t="n">
        <v>44832</v>
      </c>
      <c r="C1764" s="1" t="n">
        <v>45688</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42770-2022</t>
        </is>
      </c>
      <c r="B1765" s="1" t="n">
        <v>44832</v>
      </c>
      <c r="C1765" s="1" t="n">
        <v>45688</v>
      </c>
      <c r="D1765" t="inlineStr">
        <is>
          <t>JÄMTLANDS LÄN</t>
        </is>
      </c>
      <c r="E1765" t="inlineStr">
        <is>
          <t>STRÖMSUND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42790-2022</t>
        </is>
      </c>
      <c r="B1766" s="1" t="n">
        <v>44832</v>
      </c>
      <c r="C1766" s="1" t="n">
        <v>45688</v>
      </c>
      <c r="D1766" t="inlineStr">
        <is>
          <t>JÄMTLANDS LÄN</t>
        </is>
      </c>
      <c r="E1766" t="inlineStr">
        <is>
          <t>STRÖMSUND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42760-2022</t>
        </is>
      </c>
      <c r="B1767" s="1" t="n">
        <v>44832</v>
      </c>
      <c r="C1767" s="1" t="n">
        <v>45688</v>
      </c>
      <c r="D1767" t="inlineStr">
        <is>
          <t>JÄMTLANDS LÄN</t>
        </is>
      </c>
      <c r="E1767" t="inlineStr">
        <is>
          <t>STRÖMSUND</t>
        </is>
      </c>
      <c r="F1767" t="inlineStr">
        <is>
          <t>Holmen skog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42806-2022</t>
        </is>
      </c>
      <c r="B1768" s="1" t="n">
        <v>44832</v>
      </c>
      <c r="C1768" s="1" t="n">
        <v>45688</v>
      </c>
      <c r="D1768" t="inlineStr">
        <is>
          <t>JÄMTLANDS LÄN</t>
        </is>
      </c>
      <c r="E1768" t="inlineStr">
        <is>
          <t>STRÖMSUND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42896-2022</t>
        </is>
      </c>
      <c r="B1769" s="1" t="n">
        <v>44832</v>
      </c>
      <c r="C1769" s="1" t="n">
        <v>45688</v>
      </c>
      <c r="D1769" t="inlineStr">
        <is>
          <t>JÄMTLANDS LÄN</t>
        </is>
      </c>
      <c r="E1769" t="inlineStr">
        <is>
          <t>STRÖMSUND</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42902-2022</t>
        </is>
      </c>
      <c r="B1770" s="1" t="n">
        <v>44832</v>
      </c>
      <c r="C1770" s="1" t="n">
        <v>45688</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43160-2022</t>
        </is>
      </c>
      <c r="B1771" s="1" t="n">
        <v>44834</v>
      </c>
      <c r="C1771" s="1" t="n">
        <v>45688</v>
      </c>
      <c r="D1771" t="inlineStr">
        <is>
          <t>JÄMTLANDS LÄN</t>
        </is>
      </c>
      <c r="E1771" t="inlineStr">
        <is>
          <t>STRÖMSUND</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43140-2022</t>
        </is>
      </c>
      <c r="B1772" s="1" t="n">
        <v>44834</v>
      </c>
      <c r="C1772" s="1" t="n">
        <v>45688</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43146-2022</t>
        </is>
      </c>
      <c r="B1773" s="1" t="n">
        <v>44833</v>
      </c>
      <c r="C1773" s="1" t="n">
        <v>45688</v>
      </c>
      <c r="D1773" t="inlineStr">
        <is>
          <t>JÄMTLANDS LÄN</t>
        </is>
      </c>
      <c r="E1773" t="inlineStr">
        <is>
          <t>STRÖMSUND</t>
        </is>
      </c>
      <c r="F1773" t="inlineStr">
        <is>
          <t>SCA</t>
        </is>
      </c>
      <c r="G1773" t="n">
        <v>33.3</v>
      </c>
      <c r="H1773" t="n">
        <v>0</v>
      </c>
      <c r="I1773" t="n">
        <v>0</v>
      </c>
      <c r="J1773" t="n">
        <v>0</v>
      </c>
      <c r="K1773" t="n">
        <v>0</v>
      </c>
      <c r="L1773" t="n">
        <v>0</v>
      </c>
      <c r="M1773" t="n">
        <v>0</v>
      </c>
      <c r="N1773" t="n">
        <v>0</v>
      </c>
      <c r="O1773" t="n">
        <v>0</v>
      </c>
      <c r="P1773" t="n">
        <v>0</v>
      </c>
      <c r="Q1773" t="n">
        <v>0</v>
      </c>
      <c r="R1773" s="2" t="inlineStr"/>
    </row>
    <row r="1774" ht="15" customHeight="1">
      <c r="A1774" t="inlineStr">
        <is>
          <t>A 43165-2022</t>
        </is>
      </c>
      <c r="B1774" s="1" t="n">
        <v>44833</v>
      </c>
      <c r="C1774" s="1" t="n">
        <v>45688</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43432-2022</t>
        </is>
      </c>
      <c r="B1775" s="1" t="n">
        <v>44834</v>
      </c>
      <c r="C1775" s="1" t="n">
        <v>45688</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43607-2022</t>
        </is>
      </c>
      <c r="B1776" s="1" t="n">
        <v>44834</v>
      </c>
      <c r="C1776" s="1" t="n">
        <v>45688</v>
      </c>
      <c r="D1776" t="inlineStr">
        <is>
          <t>JÄMTLANDS LÄN</t>
        </is>
      </c>
      <c r="E1776" t="inlineStr">
        <is>
          <t>STRÖMSUND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45969-2022</t>
        </is>
      </c>
      <c r="B1777" s="1" t="n">
        <v>44834</v>
      </c>
      <c r="C1777" s="1" t="n">
        <v>45688</v>
      </c>
      <c r="D1777" t="inlineStr">
        <is>
          <t>JÄMTLANDS LÄN</t>
        </is>
      </c>
      <c r="E1777" t="inlineStr">
        <is>
          <t>STRÖMSUND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43458-2022</t>
        </is>
      </c>
      <c r="B1778" s="1" t="n">
        <v>44836</v>
      </c>
      <c r="C1778" s="1" t="n">
        <v>45688</v>
      </c>
      <c r="D1778" t="inlineStr">
        <is>
          <t>JÄMTLANDS LÄN</t>
        </is>
      </c>
      <c r="E1778" t="inlineStr">
        <is>
          <t>STRÖMSUND</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43453-2022</t>
        </is>
      </c>
      <c r="B1779" s="1" t="n">
        <v>44835</v>
      </c>
      <c r="C1779" s="1" t="n">
        <v>45688</v>
      </c>
      <c r="D1779" t="inlineStr">
        <is>
          <t>JÄMTLANDS LÄN</t>
        </is>
      </c>
      <c r="E1779" t="inlineStr">
        <is>
          <t>STRÖMSUND</t>
        </is>
      </c>
      <c r="F1779" t="inlineStr">
        <is>
          <t>SCA</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43460-2022</t>
        </is>
      </c>
      <c r="B1780" s="1" t="n">
        <v>44836</v>
      </c>
      <c r="C1780" s="1" t="n">
        <v>45688</v>
      </c>
      <c r="D1780" t="inlineStr">
        <is>
          <t>JÄMTLANDS LÄN</t>
        </is>
      </c>
      <c r="E1780" t="inlineStr">
        <is>
          <t>STRÖMSUND</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43455-2022</t>
        </is>
      </c>
      <c r="B1781" s="1" t="n">
        <v>44836</v>
      </c>
      <c r="C1781" s="1" t="n">
        <v>45688</v>
      </c>
      <c r="D1781" t="inlineStr">
        <is>
          <t>JÄMTLANDS LÄN</t>
        </is>
      </c>
      <c r="E1781" t="inlineStr">
        <is>
          <t>STRÖMSUND</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43459-2022</t>
        </is>
      </c>
      <c r="B1782" s="1" t="n">
        <v>44836</v>
      </c>
      <c r="C1782" s="1" t="n">
        <v>45688</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43773-2022</t>
        </is>
      </c>
      <c r="B1783" s="1" t="n">
        <v>44838</v>
      </c>
      <c r="C1783" s="1" t="n">
        <v>45688</v>
      </c>
      <c r="D1783" t="inlineStr">
        <is>
          <t>JÄMTLANDS LÄN</t>
        </is>
      </c>
      <c r="E1783" t="inlineStr">
        <is>
          <t>STRÖMSUND</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43790-2022</t>
        </is>
      </c>
      <c r="B1784" s="1" t="n">
        <v>44837</v>
      </c>
      <c r="C1784" s="1" t="n">
        <v>45688</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44049-2022</t>
        </is>
      </c>
      <c r="B1785" s="1" t="n">
        <v>44839</v>
      </c>
      <c r="C1785" s="1" t="n">
        <v>45688</v>
      </c>
      <c r="D1785" t="inlineStr">
        <is>
          <t>JÄMTLANDS LÄN</t>
        </is>
      </c>
      <c r="E1785" t="inlineStr">
        <is>
          <t>STRÖMSUND</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44453-2022</t>
        </is>
      </c>
      <c r="B1786" s="1" t="n">
        <v>44840</v>
      </c>
      <c r="C1786" s="1" t="n">
        <v>45688</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44096-2022</t>
        </is>
      </c>
      <c r="B1787" s="1" t="n">
        <v>44839</v>
      </c>
      <c r="C1787" s="1" t="n">
        <v>45688</v>
      </c>
      <c r="D1787" t="inlineStr">
        <is>
          <t>JÄMTLANDS LÄN</t>
        </is>
      </c>
      <c r="E1787" t="inlineStr">
        <is>
          <t>STRÖMSUND</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44429-2022</t>
        </is>
      </c>
      <c r="B1788" s="1" t="n">
        <v>44839</v>
      </c>
      <c r="C1788" s="1" t="n">
        <v>45688</v>
      </c>
      <c r="D1788" t="inlineStr">
        <is>
          <t>JÄMTLANDS LÄN</t>
        </is>
      </c>
      <c r="E1788" t="inlineStr">
        <is>
          <t>STRÖMSUND</t>
        </is>
      </c>
      <c r="F1788" t="inlineStr">
        <is>
          <t>SCA</t>
        </is>
      </c>
      <c r="G1788" t="n">
        <v>52.1</v>
      </c>
      <c r="H1788" t="n">
        <v>0</v>
      </c>
      <c r="I1788" t="n">
        <v>0</v>
      </c>
      <c r="J1788" t="n">
        <v>0</v>
      </c>
      <c r="K1788" t="n">
        <v>0</v>
      </c>
      <c r="L1788" t="n">
        <v>0</v>
      </c>
      <c r="M1788" t="n">
        <v>0</v>
      </c>
      <c r="N1788" t="n">
        <v>0</v>
      </c>
      <c r="O1788" t="n">
        <v>0</v>
      </c>
      <c r="P1788" t="n">
        <v>0</v>
      </c>
      <c r="Q1788" t="n">
        <v>0</v>
      </c>
      <c r="R1788" s="2" t="inlineStr"/>
    </row>
    <row r="1789" ht="15" customHeight="1">
      <c r="A1789" t="inlineStr">
        <is>
          <t>A 44448-2022</t>
        </is>
      </c>
      <c r="B1789" s="1" t="n">
        <v>44840</v>
      </c>
      <c r="C1789" s="1" t="n">
        <v>45688</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44449-2022</t>
        </is>
      </c>
      <c r="B1790" s="1" t="n">
        <v>44839</v>
      </c>
      <c r="C1790" s="1" t="n">
        <v>45688</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44249-2022</t>
        </is>
      </c>
      <c r="B1791" s="1" t="n">
        <v>44839</v>
      </c>
      <c r="C1791" s="1" t="n">
        <v>45688</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44451-2022</t>
        </is>
      </c>
      <c r="B1792" s="1" t="n">
        <v>44840</v>
      </c>
      <c r="C1792" s="1" t="n">
        <v>45688</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44641-2022</t>
        </is>
      </c>
      <c r="B1793" s="1" t="n">
        <v>44839</v>
      </c>
      <c r="C1793" s="1" t="n">
        <v>45688</v>
      </c>
      <c r="D1793" t="inlineStr">
        <is>
          <t>JÄMTLANDS LÄN</t>
        </is>
      </c>
      <c r="E1793" t="inlineStr">
        <is>
          <t>STRÖMSUND</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45074-2022</t>
        </is>
      </c>
      <c r="B1794" s="1" t="n">
        <v>44842</v>
      </c>
      <c r="C1794" s="1" t="n">
        <v>45688</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45308-2022</t>
        </is>
      </c>
      <c r="B1795" s="1" t="n">
        <v>44841</v>
      </c>
      <c r="C1795" s="1" t="n">
        <v>45688</v>
      </c>
      <c r="D1795" t="inlineStr">
        <is>
          <t>JÄMTLANDS LÄN</t>
        </is>
      </c>
      <c r="E1795" t="inlineStr">
        <is>
          <t>STRÖMSUND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45076-2022</t>
        </is>
      </c>
      <c r="B1796" s="1" t="n">
        <v>44842</v>
      </c>
      <c r="C1796" s="1" t="n">
        <v>45688</v>
      </c>
      <c r="D1796" t="inlineStr">
        <is>
          <t>JÄMTLANDS LÄN</t>
        </is>
      </c>
      <c r="E1796" t="inlineStr">
        <is>
          <t>STRÖMSUND</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45398-2022</t>
        </is>
      </c>
      <c r="B1797" s="1" t="n">
        <v>44841</v>
      </c>
      <c r="C1797" s="1" t="n">
        <v>45688</v>
      </c>
      <c r="D1797" t="inlineStr">
        <is>
          <t>JÄMTLANDS LÄN</t>
        </is>
      </c>
      <c r="E1797" t="inlineStr">
        <is>
          <t>STRÖMSUND</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45326-2022</t>
        </is>
      </c>
      <c r="B1798" s="1" t="n">
        <v>44841</v>
      </c>
      <c r="C1798" s="1" t="n">
        <v>45688</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45071-2022</t>
        </is>
      </c>
      <c r="B1799" s="1" t="n">
        <v>44842</v>
      </c>
      <c r="C1799" s="1" t="n">
        <v>45688</v>
      </c>
      <c r="D1799" t="inlineStr">
        <is>
          <t>JÄMTLANDS LÄN</t>
        </is>
      </c>
      <c r="E1799" t="inlineStr">
        <is>
          <t>STRÖMSUND</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45331-2022</t>
        </is>
      </c>
      <c r="B1800" s="1" t="n">
        <v>44841</v>
      </c>
      <c r="C1800" s="1" t="n">
        <v>45688</v>
      </c>
      <c r="D1800" t="inlineStr">
        <is>
          <t>JÄMTLANDS LÄN</t>
        </is>
      </c>
      <c r="E1800" t="inlineStr">
        <is>
          <t>STRÖMSUND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44845</v>
      </c>
      <c r="C1801" s="1" t="n">
        <v>45688</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45435-2022</t>
        </is>
      </c>
      <c r="B1802" s="1" t="n">
        <v>44845</v>
      </c>
      <c r="C1802" s="1" t="n">
        <v>45688</v>
      </c>
      <c r="D1802" t="inlineStr">
        <is>
          <t>JÄMTLANDS LÄN</t>
        </is>
      </c>
      <c r="E1802" t="inlineStr">
        <is>
          <t>STRÖMSUND</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45706-2022</t>
        </is>
      </c>
      <c r="B1803" s="1" t="n">
        <v>44846</v>
      </c>
      <c r="C1803" s="1" t="n">
        <v>45688</v>
      </c>
      <c r="D1803" t="inlineStr">
        <is>
          <t>JÄMTLANDS LÄN</t>
        </is>
      </c>
      <c r="E1803" t="inlineStr">
        <is>
          <t>STRÖMSUND</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45720-2022</t>
        </is>
      </c>
      <c r="B1804" s="1" t="n">
        <v>44846</v>
      </c>
      <c r="C1804" s="1" t="n">
        <v>45688</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46054-2022</t>
        </is>
      </c>
      <c r="B1805" s="1" t="n">
        <v>44846</v>
      </c>
      <c r="C1805" s="1" t="n">
        <v>45688</v>
      </c>
      <c r="D1805" t="inlineStr">
        <is>
          <t>JÄMTLANDS LÄN</t>
        </is>
      </c>
      <c r="E1805" t="inlineStr">
        <is>
          <t>STRÖMSUND</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47320-2022</t>
        </is>
      </c>
      <c r="B1806" s="1" t="n">
        <v>44846</v>
      </c>
      <c r="C1806" s="1" t="n">
        <v>45688</v>
      </c>
      <c r="D1806" t="inlineStr">
        <is>
          <t>JÄMTLANDS LÄN</t>
        </is>
      </c>
      <c r="E1806" t="inlineStr">
        <is>
          <t>STRÖMSUND</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46042-2022</t>
        </is>
      </c>
      <c r="B1807" s="1" t="n">
        <v>44847</v>
      </c>
      <c r="C1807" s="1" t="n">
        <v>45688</v>
      </c>
      <c r="D1807" t="inlineStr">
        <is>
          <t>JÄMTLANDS LÄN</t>
        </is>
      </c>
      <c r="E1807" t="inlineStr">
        <is>
          <t>STRÖMSUND</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46058-2022</t>
        </is>
      </c>
      <c r="B1808" s="1" t="n">
        <v>44847</v>
      </c>
      <c r="C1808" s="1" t="n">
        <v>45688</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46057-2022</t>
        </is>
      </c>
      <c r="B1809" s="1" t="n">
        <v>44847</v>
      </c>
      <c r="C1809" s="1" t="n">
        <v>45688</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46056-2022</t>
        </is>
      </c>
      <c r="B1810" s="1" t="n">
        <v>44847</v>
      </c>
      <c r="C1810" s="1" t="n">
        <v>45688</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46321-2022</t>
        </is>
      </c>
      <c r="B1811" s="1" t="n">
        <v>44848</v>
      </c>
      <c r="C1811" s="1" t="n">
        <v>45688</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46327-2022</t>
        </is>
      </c>
      <c r="B1812" s="1" t="n">
        <v>44848</v>
      </c>
      <c r="C1812" s="1" t="n">
        <v>45688</v>
      </c>
      <c r="D1812" t="inlineStr">
        <is>
          <t>JÄMTLANDS LÄN</t>
        </is>
      </c>
      <c r="E1812" t="inlineStr">
        <is>
          <t>STRÖMSUND</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46338-2022</t>
        </is>
      </c>
      <c r="B1813" s="1" t="n">
        <v>44848</v>
      </c>
      <c r="C1813" s="1" t="n">
        <v>45688</v>
      </c>
      <c r="D1813" t="inlineStr">
        <is>
          <t>JÄMTLANDS LÄN</t>
        </is>
      </c>
      <c r="E1813" t="inlineStr">
        <is>
          <t>STRÖMSUND</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46342-2022</t>
        </is>
      </c>
      <c r="B1814" s="1" t="n">
        <v>44848</v>
      </c>
      <c r="C1814" s="1" t="n">
        <v>45688</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46326-2022</t>
        </is>
      </c>
      <c r="B1815" s="1" t="n">
        <v>44848</v>
      </c>
      <c r="C1815" s="1" t="n">
        <v>45688</v>
      </c>
      <c r="D1815" t="inlineStr">
        <is>
          <t>JÄMTLANDS LÄN</t>
        </is>
      </c>
      <c r="E1815" t="inlineStr">
        <is>
          <t>STRÖMSUND</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46332-2022</t>
        </is>
      </c>
      <c r="B1816" s="1" t="n">
        <v>44848</v>
      </c>
      <c r="C1816" s="1" t="n">
        <v>45688</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46337-2022</t>
        </is>
      </c>
      <c r="B1817" s="1" t="n">
        <v>44848</v>
      </c>
      <c r="C1817" s="1" t="n">
        <v>45688</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46346-2022</t>
        </is>
      </c>
      <c r="B1818" s="1" t="n">
        <v>44848</v>
      </c>
      <c r="C1818" s="1" t="n">
        <v>45688</v>
      </c>
      <c r="D1818" t="inlineStr">
        <is>
          <t>JÄMTLANDS LÄN</t>
        </is>
      </c>
      <c r="E1818" t="inlineStr">
        <is>
          <t>STRÖMSUND</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46336-2022</t>
        </is>
      </c>
      <c r="B1819" s="1" t="n">
        <v>44848</v>
      </c>
      <c r="C1819" s="1" t="n">
        <v>45688</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46345-2022</t>
        </is>
      </c>
      <c r="B1820" s="1" t="n">
        <v>44848</v>
      </c>
      <c r="C1820" s="1" t="n">
        <v>45688</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46322-2022</t>
        </is>
      </c>
      <c r="B1821" s="1" t="n">
        <v>44848</v>
      </c>
      <c r="C1821" s="1" t="n">
        <v>45688</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46335-2022</t>
        </is>
      </c>
      <c r="B1822" s="1" t="n">
        <v>44848</v>
      </c>
      <c r="C1822" s="1" t="n">
        <v>45688</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46339-2022</t>
        </is>
      </c>
      <c r="B1823" s="1" t="n">
        <v>44848</v>
      </c>
      <c r="C1823" s="1" t="n">
        <v>45688</v>
      </c>
      <c r="D1823" t="inlineStr">
        <is>
          <t>JÄMTLANDS LÄN</t>
        </is>
      </c>
      <c r="E1823" t="inlineStr">
        <is>
          <t>STRÖMSUND</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46633-2022</t>
        </is>
      </c>
      <c r="B1824" s="1" t="n">
        <v>44849</v>
      </c>
      <c r="C1824" s="1" t="n">
        <v>45688</v>
      </c>
      <c r="D1824" t="inlineStr">
        <is>
          <t>JÄMTLANDS LÄN</t>
        </is>
      </c>
      <c r="E1824" t="inlineStr">
        <is>
          <t>STRÖMSUND</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46975-2022</t>
        </is>
      </c>
      <c r="B1825" s="1" t="n">
        <v>44851</v>
      </c>
      <c r="C1825" s="1" t="n">
        <v>45688</v>
      </c>
      <c r="D1825" t="inlineStr">
        <is>
          <t>JÄMTLANDS LÄN</t>
        </is>
      </c>
      <c r="E1825" t="inlineStr">
        <is>
          <t>STRÖMSUND</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46953-2022</t>
        </is>
      </c>
      <c r="B1826" s="1" t="n">
        <v>44852</v>
      </c>
      <c r="C1826" s="1" t="n">
        <v>45688</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46959-2022</t>
        </is>
      </c>
      <c r="B1827" s="1" t="n">
        <v>44851</v>
      </c>
      <c r="C1827" s="1" t="n">
        <v>45688</v>
      </c>
      <c r="D1827" t="inlineStr">
        <is>
          <t>JÄMTLANDS LÄN</t>
        </is>
      </c>
      <c r="E1827" t="inlineStr">
        <is>
          <t>STRÖMSUND</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46950-2022</t>
        </is>
      </c>
      <c r="B1828" s="1" t="n">
        <v>44851</v>
      </c>
      <c r="C1828" s="1" t="n">
        <v>45688</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46976-2022</t>
        </is>
      </c>
      <c r="B1829" s="1" t="n">
        <v>44851</v>
      </c>
      <c r="C1829" s="1" t="n">
        <v>45688</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46987-2022</t>
        </is>
      </c>
      <c r="B1830" s="1" t="n">
        <v>44851</v>
      </c>
      <c r="C1830" s="1" t="n">
        <v>45688</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47156-2022</t>
        </is>
      </c>
      <c r="B1831" s="1" t="n">
        <v>44852</v>
      </c>
      <c r="C1831" s="1" t="n">
        <v>45688</v>
      </c>
      <c r="D1831" t="inlineStr">
        <is>
          <t>JÄMTLANDS LÄN</t>
        </is>
      </c>
      <c r="E1831" t="inlineStr">
        <is>
          <t>STRÖMSUND</t>
        </is>
      </c>
      <c r="F1831" t="inlineStr">
        <is>
          <t>Holmen skog AB</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47248-2022</t>
        </is>
      </c>
      <c r="B1832" s="1" t="n">
        <v>44853</v>
      </c>
      <c r="C1832" s="1" t="n">
        <v>45688</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47276-2022</t>
        </is>
      </c>
      <c r="B1833" s="1" t="n">
        <v>44853</v>
      </c>
      <c r="C1833" s="1" t="n">
        <v>45688</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47291-2022</t>
        </is>
      </c>
      <c r="B1834" s="1" t="n">
        <v>44852</v>
      </c>
      <c r="C1834" s="1" t="n">
        <v>45688</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47271-2022</t>
        </is>
      </c>
      <c r="B1835" s="1" t="n">
        <v>44852</v>
      </c>
      <c r="C1835" s="1" t="n">
        <v>45688</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47289-2022</t>
        </is>
      </c>
      <c r="B1836" s="1" t="n">
        <v>44853</v>
      </c>
      <c r="C1836" s="1" t="n">
        <v>45688</v>
      </c>
      <c r="D1836" t="inlineStr">
        <is>
          <t>JÄMTLANDS LÄN</t>
        </is>
      </c>
      <c r="E1836" t="inlineStr">
        <is>
          <t>STRÖMSUND</t>
        </is>
      </c>
      <c r="F1836" t="inlineStr">
        <is>
          <t>SCA</t>
        </is>
      </c>
      <c r="G1836" t="n">
        <v>44.2</v>
      </c>
      <c r="H1836" t="n">
        <v>0</v>
      </c>
      <c r="I1836" t="n">
        <v>0</v>
      </c>
      <c r="J1836" t="n">
        <v>0</v>
      </c>
      <c r="K1836" t="n">
        <v>0</v>
      </c>
      <c r="L1836" t="n">
        <v>0</v>
      </c>
      <c r="M1836" t="n">
        <v>0</v>
      </c>
      <c r="N1836" t="n">
        <v>0</v>
      </c>
      <c r="O1836" t="n">
        <v>0</v>
      </c>
      <c r="P1836" t="n">
        <v>0</v>
      </c>
      <c r="Q1836" t="n">
        <v>0</v>
      </c>
      <c r="R1836" s="2" t="inlineStr"/>
    </row>
    <row r="1837" ht="15" customHeight="1">
      <c r="A1837" t="inlineStr">
        <is>
          <t>A 47290-2022</t>
        </is>
      </c>
      <c r="B1837" s="1" t="n">
        <v>44852</v>
      </c>
      <c r="C1837" s="1" t="n">
        <v>45688</v>
      </c>
      <c r="D1837" t="inlineStr">
        <is>
          <t>JÄMTLANDS LÄN</t>
        </is>
      </c>
      <c r="E1837" t="inlineStr">
        <is>
          <t>STRÖMSUND</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47098-2022</t>
        </is>
      </c>
      <c r="B1838" s="1" t="n">
        <v>44852</v>
      </c>
      <c r="C1838" s="1" t="n">
        <v>45688</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47360-2022</t>
        </is>
      </c>
      <c r="B1839" s="1" t="n">
        <v>44853</v>
      </c>
      <c r="C1839" s="1" t="n">
        <v>45688</v>
      </c>
      <c r="D1839" t="inlineStr">
        <is>
          <t>JÄMTLANDS LÄN</t>
        </is>
      </c>
      <c r="E1839" t="inlineStr">
        <is>
          <t>STRÖMSUND</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47391-2022</t>
        </is>
      </c>
      <c r="B1840" s="1" t="n">
        <v>44853</v>
      </c>
      <c r="C1840" s="1" t="n">
        <v>45688</v>
      </c>
      <c r="D1840" t="inlineStr">
        <is>
          <t>JÄMTLANDS LÄN</t>
        </is>
      </c>
      <c r="E1840" t="inlineStr">
        <is>
          <t>STRÖMSUND</t>
        </is>
      </c>
      <c r="F1840" t="inlineStr">
        <is>
          <t>Holmen skog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47577-2022</t>
        </is>
      </c>
      <c r="B1841" s="1" t="n">
        <v>44853</v>
      </c>
      <c r="C1841" s="1" t="n">
        <v>45688</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47566-2022</t>
        </is>
      </c>
      <c r="B1842" s="1" t="n">
        <v>44854</v>
      </c>
      <c r="C1842" s="1" t="n">
        <v>45688</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47578-2022</t>
        </is>
      </c>
      <c r="B1843" s="1" t="n">
        <v>44853</v>
      </c>
      <c r="C1843" s="1" t="n">
        <v>45688</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47579-2022</t>
        </is>
      </c>
      <c r="B1844" s="1" t="n">
        <v>44854</v>
      </c>
      <c r="C1844" s="1" t="n">
        <v>45688</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47810-2022</t>
        </is>
      </c>
      <c r="B1845" s="1" t="n">
        <v>44855</v>
      </c>
      <c r="C1845" s="1" t="n">
        <v>45688</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48564-2022</t>
        </is>
      </c>
      <c r="B1846" s="1" t="n">
        <v>44854</v>
      </c>
      <c r="C1846" s="1" t="n">
        <v>45688</v>
      </c>
      <c r="D1846" t="inlineStr">
        <is>
          <t>JÄMTLANDS LÄN</t>
        </is>
      </c>
      <c r="E1846" t="inlineStr">
        <is>
          <t>STRÖMSUND</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47811-2022</t>
        </is>
      </c>
      <c r="B1847" s="1" t="n">
        <v>44855</v>
      </c>
      <c r="C1847" s="1" t="n">
        <v>45688</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48050-2022</t>
        </is>
      </c>
      <c r="B1848" s="1" t="n">
        <v>44856</v>
      </c>
      <c r="C1848" s="1" t="n">
        <v>45688</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48049-2022</t>
        </is>
      </c>
      <c r="B1849" s="1" t="n">
        <v>44856</v>
      </c>
      <c r="C1849" s="1" t="n">
        <v>45688</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48531-2022</t>
        </is>
      </c>
      <c r="B1850" s="1" t="n">
        <v>44858</v>
      </c>
      <c r="C1850" s="1" t="n">
        <v>45688</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48543-2022</t>
        </is>
      </c>
      <c r="B1851" s="1" t="n">
        <v>44859</v>
      </c>
      <c r="C1851" s="1" t="n">
        <v>45688</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48547-2022</t>
        </is>
      </c>
      <c r="B1852" s="1" t="n">
        <v>44858</v>
      </c>
      <c r="C1852" s="1" t="n">
        <v>45688</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49287-2022</t>
        </is>
      </c>
      <c r="B1853" s="1" t="n">
        <v>44858</v>
      </c>
      <c r="C1853" s="1" t="n">
        <v>45688</v>
      </c>
      <c r="D1853" t="inlineStr">
        <is>
          <t>JÄMTLANDS LÄN</t>
        </is>
      </c>
      <c r="E1853" t="inlineStr">
        <is>
          <t>STRÖMSUND</t>
        </is>
      </c>
      <c r="G1853" t="n">
        <v>200</v>
      </c>
      <c r="H1853" t="n">
        <v>0</v>
      </c>
      <c r="I1853" t="n">
        <v>0</v>
      </c>
      <c r="J1853" t="n">
        <v>0</v>
      </c>
      <c r="K1853" t="n">
        <v>0</v>
      </c>
      <c r="L1853" t="n">
        <v>0</v>
      </c>
      <c r="M1853" t="n">
        <v>0</v>
      </c>
      <c r="N1853" t="n">
        <v>0</v>
      </c>
      <c r="O1853" t="n">
        <v>0</v>
      </c>
      <c r="P1853" t="n">
        <v>0</v>
      </c>
      <c r="Q1853" t="n">
        <v>0</v>
      </c>
      <c r="R1853" s="2" t="inlineStr"/>
    </row>
    <row r="1854" ht="15" customHeight="1">
      <c r="A1854" t="inlineStr">
        <is>
          <t>A 48333-2022</t>
        </is>
      </c>
      <c r="B1854" s="1" t="n">
        <v>44858</v>
      </c>
      <c r="C1854" s="1" t="n">
        <v>45688</v>
      </c>
      <c r="D1854" t="inlineStr">
        <is>
          <t>JÄMTLANDS LÄN</t>
        </is>
      </c>
      <c r="E1854" t="inlineStr">
        <is>
          <t>STRÖMSUND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48528-2022</t>
        </is>
      </c>
      <c r="B1855" s="1" t="n">
        <v>44859</v>
      </c>
      <c r="C1855" s="1" t="n">
        <v>45688</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48545-2022</t>
        </is>
      </c>
      <c r="B1856" s="1" t="n">
        <v>44858</v>
      </c>
      <c r="C1856" s="1" t="n">
        <v>45688</v>
      </c>
      <c r="D1856" t="inlineStr">
        <is>
          <t>JÄMTLANDS LÄN</t>
        </is>
      </c>
      <c r="E1856" t="inlineStr">
        <is>
          <t>STRÖMSUND</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48542-2022</t>
        </is>
      </c>
      <c r="B1857" s="1" t="n">
        <v>44859</v>
      </c>
      <c r="C1857" s="1" t="n">
        <v>45688</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48546-2022</t>
        </is>
      </c>
      <c r="B1858" s="1" t="n">
        <v>44858</v>
      </c>
      <c r="C1858" s="1" t="n">
        <v>45688</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48926-2022</t>
        </is>
      </c>
      <c r="B1859" s="1" t="n">
        <v>44859</v>
      </c>
      <c r="C1859" s="1" t="n">
        <v>45688</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48894-2022</t>
        </is>
      </c>
      <c r="B1860" s="1" t="n">
        <v>44860</v>
      </c>
      <c r="C1860" s="1" t="n">
        <v>45688</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48933-2022</t>
        </is>
      </c>
      <c r="B1861" s="1" t="n">
        <v>44860</v>
      </c>
      <c r="C1861" s="1" t="n">
        <v>45688</v>
      </c>
      <c r="D1861" t="inlineStr">
        <is>
          <t>JÄMTLANDS LÄN</t>
        </is>
      </c>
      <c r="E1861" t="inlineStr">
        <is>
          <t>STRÖMSUND</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49752-2022</t>
        </is>
      </c>
      <c r="B1862" s="1" t="n">
        <v>44859</v>
      </c>
      <c r="C1862" s="1" t="n">
        <v>45688</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48963-2022</t>
        </is>
      </c>
      <c r="B1863" s="1" t="n">
        <v>44860</v>
      </c>
      <c r="C1863" s="1" t="n">
        <v>45688</v>
      </c>
      <c r="D1863" t="inlineStr">
        <is>
          <t>JÄMTLANDS LÄN</t>
        </is>
      </c>
      <c r="E1863" t="inlineStr">
        <is>
          <t>STRÖMSUND</t>
        </is>
      </c>
      <c r="F1863" t="inlineStr">
        <is>
          <t>Sveaskog</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49541-2022</t>
        </is>
      </c>
      <c r="B1864" s="1" t="n">
        <v>44862</v>
      </c>
      <c r="C1864" s="1" t="n">
        <v>45688</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50313-2022</t>
        </is>
      </c>
      <c r="B1865" s="1" t="n">
        <v>44865</v>
      </c>
      <c r="C1865" s="1" t="n">
        <v>45688</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50317-2022</t>
        </is>
      </c>
      <c r="B1866" s="1" t="n">
        <v>44865</v>
      </c>
      <c r="C1866" s="1" t="n">
        <v>45688</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50316-2022</t>
        </is>
      </c>
      <c r="B1867" s="1" t="n">
        <v>44865</v>
      </c>
      <c r="C1867" s="1" t="n">
        <v>45688</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50305-2022</t>
        </is>
      </c>
      <c r="B1868" s="1" t="n">
        <v>44865</v>
      </c>
      <c r="C1868" s="1" t="n">
        <v>45688</v>
      </c>
      <c r="D1868" t="inlineStr">
        <is>
          <t>JÄMTLANDS LÄN</t>
        </is>
      </c>
      <c r="E1868" t="inlineStr">
        <is>
          <t>STRÖMSUND</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50314-2022</t>
        </is>
      </c>
      <c r="B1869" s="1" t="n">
        <v>44865</v>
      </c>
      <c r="C1869" s="1" t="n">
        <v>45688</v>
      </c>
      <c r="D1869" t="inlineStr">
        <is>
          <t>JÄMTLANDS LÄN</t>
        </is>
      </c>
      <c r="E1869" t="inlineStr">
        <is>
          <t>STRÖMSUND</t>
        </is>
      </c>
      <c r="F1869" t="inlineStr">
        <is>
          <t>SCA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50337-2022</t>
        </is>
      </c>
      <c r="B1870" s="1" t="n">
        <v>44865</v>
      </c>
      <c r="C1870" s="1" t="n">
        <v>45688</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50315-2022</t>
        </is>
      </c>
      <c r="B1871" s="1" t="n">
        <v>44865</v>
      </c>
      <c r="C1871" s="1" t="n">
        <v>45688</v>
      </c>
      <c r="D1871" t="inlineStr">
        <is>
          <t>JÄMTLANDS LÄN</t>
        </is>
      </c>
      <c r="E1871" t="inlineStr">
        <is>
          <t>STRÖMSUND</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50320-2022</t>
        </is>
      </c>
      <c r="B1872" s="1" t="n">
        <v>44865</v>
      </c>
      <c r="C1872" s="1" t="n">
        <v>45688</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50335-2022</t>
        </is>
      </c>
      <c r="B1873" s="1" t="n">
        <v>44865</v>
      </c>
      <c r="C1873" s="1" t="n">
        <v>45688</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50450-2022</t>
        </is>
      </c>
      <c r="B1874" s="1" t="n">
        <v>44866</v>
      </c>
      <c r="C1874" s="1" t="n">
        <v>45688</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50645-2022</t>
        </is>
      </c>
      <c r="B1875" s="1" t="n">
        <v>44866</v>
      </c>
      <c r="C1875" s="1" t="n">
        <v>45688</v>
      </c>
      <c r="D1875" t="inlineStr">
        <is>
          <t>JÄMTLANDS LÄN</t>
        </is>
      </c>
      <c r="E1875" t="inlineStr">
        <is>
          <t>STRÖMSUND</t>
        </is>
      </c>
      <c r="F1875" t="inlineStr">
        <is>
          <t>SCA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50646-2022</t>
        </is>
      </c>
      <c r="B1876" s="1" t="n">
        <v>44866</v>
      </c>
      <c r="C1876" s="1" t="n">
        <v>45688</v>
      </c>
      <c r="D1876" t="inlineStr">
        <is>
          <t>JÄMTLANDS LÄN</t>
        </is>
      </c>
      <c r="E1876" t="inlineStr">
        <is>
          <t>STRÖMSUND</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50657-2022</t>
        </is>
      </c>
      <c r="B1877" s="1" t="n">
        <v>44866</v>
      </c>
      <c r="C1877" s="1" t="n">
        <v>45688</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50661-2022</t>
        </is>
      </c>
      <c r="B1878" s="1" t="n">
        <v>44866</v>
      </c>
      <c r="C1878" s="1" t="n">
        <v>45688</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50659-2022</t>
        </is>
      </c>
      <c r="B1879" s="1" t="n">
        <v>44866</v>
      </c>
      <c r="C1879" s="1" t="n">
        <v>45688</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50663-2022</t>
        </is>
      </c>
      <c r="B1880" s="1" t="n">
        <v>44866</v>
      </c>
      <c r="C1880" s="1" t="n">
        <v>45688</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50664-2022</t>
        </is>
      </c>
      <c r="B1881" s="1" t="n">
        <v>44866</v>
      </c>
      <c r="C1881" s="1" t="n">
        <v>45688</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50680-2022</t>
        </is>
      </c>
      <c r="B1882" s="1" t="n">
        <v>44866</v>
      </c>
      <c r="C1882" s="1" t="n">
        <v>45688</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50647-2022</t>
        </is>
      </c>
      <c r="B1883" s="1" t="n">
        <v>44866</v>
      </c>
      <c r="C1883" s="1" t="n">
        <v>45688</v>
      </c>
      <c r="D1883" t="inlineStr">
        <is>
          <t>JÄMTLANDS LÄN</t>
        </is>
      </c>
      <c r="E1883" t="inlineStr">
        <is>
          <t>STRÖMSUND</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50658-2022</t>
        </is>
      </c>
      <c r="B1884" s="1" t="n">
        <v>44866</v>
      </c>
      <c r="C1884" s="1" t="n">
        <v>45688</v>
      </c>
      <c r="D1884" t="inlineStr">
        <is>
          <t>JÄMTLANDS LÄN</t>
        </is>
      </c>
      <c r="E1884" t="inlineStr">
        <is>
          <t>STRÖMSUND</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51344-2022</t>
        </is>
      </c>
      <c r="B1885" s="1" t="n">
        <v>44866</v>
      </c>
      <c r="C1885" s="1" t="n">
        <v>45688</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50681-2022</t>
        </is>
      </c>
      <c r="B1886" s="1" t="n">
        <v>44866</v>
      </c>
      <c r="C1886" s="1" t="n">
        <v>45688</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50687-2022</t>
        </is>
      </c>
      <c r="B1887" s="1" t="n">
        <v>44866</v>
      </c>
      <c r="C1887" s="1" t="n">
        <v>45688</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50934-2022</t>
        </is>
      </c>
      <c r="B1888" s="1" t="n">
        <v>44867</v>
      </c>
      <c r="C1888" s="1" t="n">
        <v>45688</v>
      </c>
      <c r="D1888" t="inlineStr">
        <is>
          <t>JÄMTLANDS LÄN</t>
        </is>
      </c>
      <c r="E1888" t="inlineStr">
        <is>
          <t>STRÖMSUND</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51013-2022</t>
        </is>
      </c>
      <c r="B1889" s="1" t="n">
        <v>44867</v>
      </c>
      <c r="C1889" s="1" t="n">
        <v>45688</v>
      </c>
      <c r="D1889" t="inlineStr">
        <is>
          <t>JÄMTLANDS LÄN</t>
        </is>
      </c>
      <c r="E1889" t="inlineStr">
        <is>
          <t>STRÖMSUND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51015-2022</t>
        </is>
      </c>
      <c r="B1890" s="1" t="n">
        <v>44867</v>
      </c>
      <c r="C1890" s="1" t="n">
        <v>45688</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51021-2022</t>
        </is>
      </c>
      <c r="B1891" s="1" t="n">
        <v>44867</v>
      </c>
      <c r="C1891" s="1" t="n">
        <v>45688</v>
      </c>
      <c r="D1891" t="inlineStr">
        <is>
          <t>JÄMTLANDS LÄN</t>
        </is>
      </c>
      <c r="E1891" t="inlineStr">
        <is>
          <t>STRÖMSUND</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51889-2022</t>
        </is>
      </c>
      <c r="B1892" s="1" t="n">
        <v>44867</v>
      </c>
      <c r="C1892" s="1" t="n">
        <v>45688</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51325-2022</t>
        </is>
      </c>
      <c r="B1893" s="1" t="n">
        <v>44868</v>
      </c>
      <c r="C1893" s="1" t="n">
        <v>45688</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51324-2022</t>
        </is>
      </c>
      <c r="B1894" s="1" t="n">
        <v>44868</v>
      </c>
      <c r="C1894" s="1" t="n">
        <v>45688</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52181-2022</t>
        </is>
      </c>
      <c r="B1895" s="1" t="n">
        <v>44868</v>
      </c>
      <c r="C1895" s="1" t="n">
        <v>45688</v>
      </c>
      <c r="D1895" t="inlineStr">
        <is>
          <t>JÄMTLANDS LÄN</t>
        </is>
      </c>
      <c r="E1895" t="inlineStr">
        <is>
          <t>STRÖMSUND</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51450-2022</t>
        </is>
      </c>
      <c r="B1896" s="1" t="n">
        <v>44869</v>
      </c>
      <c r="C1896" s="1" t="n">
        <v>45688</v>
      </c>
      <c r="D1896" t="inlineStr">
        <is>
          <t>JÄMTLANDS LÄN</t>
        </is>
      </c>
      <c r="E1896" t="inlineStr">
        <is>
          <t>STRÖMSUND</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51562-2022</t>
        </is>
      </c>
      <c r="B1897" s="1" t="n">
        <v>44869</v>
      </c>
      <c r="C1897" s="1" t="n">
        <v>45688</v>
      </c>
      <c r="D1897" t="inlineStr">
        <is>
          <t>JÄMTLANDS LÄN</t>
        </is>
      </c>
      <c r="E1897" t="inlineStr">
        <is>
          <t>STRÖMSUND</t>
        </is>
      </c>
      <c r="F1897" t="inlineStr">
        <is>
          <t>SCA</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51563-2022</t>
        </is>
      </c>
      <c r="B1898" s="1" t="n">
        <v>44869</v>
      </c>
      <c r="C1898" s="1" t="n">
        <v>45688</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52038-2022</t>
        </is>
      </c>
      <c r="B1899" s="1" t="n">
        <v>44872</v>
      </c>
      <c r="C1899" s="1" t="n">
        <v>45688</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52028-2022</t>
        </is>
      </c>
      <c r="B1900" s="1" t="n">
        <v>44872</v>
      </c>
      <c r="C1900" s="1" t="n">
        <v>45688</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52806-2022</t>
        </is>
      </c>
      <c r="B1901" s="1" t="n">
        <v>44872</v>
      </c>
      <c r="C1901" s="1" t="n">
        <v>45688</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52345-2022</t>
        </is>
      </c>
      <c r="B1902" s="1" t="n">
        <v>44873</v>
      </c>
      <c r="C1902" s="1" t="n">
        <v>45688</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52352-2022</t>
        </is>
      </c>
      <c r="B1903" s="1" t="n">
        <v>44873</v>
      </c>
      <c r="C1903" s="1" t="n">
        <v>45688</v>
      </c>
      <c r="D1903" t="inlineStr">
        <is>
          <t>JÄMTLANDS LÄN</t>
        </is>
      </c>
      <c r="E1903" t="inlineStr">
        <is>
          <t>STRÖMSUND</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52344-2022</t>
        </is>
      </c>
      <c r="B1904" s="1" t="n">
        <v>44873</v>
      </c>
      <c r="C1904" s="1" t="n">
        <v>45688</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52715-2022</t>
        </is>
      </c>
      <c r="B1905" s="1" t="n">
        <v>44874</v>
      </c>
      <c r="C1905" s="1" t="n">
        <v>45688</v>
      </c>
      <c r="D1905" t="inlineStr">
        <is>
          <t>JÄMTLANDS LÄN</t>
        </is>
      </c>
      <c r="E1905" t="inlineStr">
        <is>
          <t>STRÖMSUND</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52521-2022</t>
        </is>
      </c>
      <c r="B1906" s="1" t="n">
        <v>44874</v>
      </c>
      <c r="C1906" s="1" t="n">
        <v>45688</v>
      </c>
      <c r="D1906" t="inlineStr">
        <is>
          <t>JÄMTLANDS LÄN</t>
        </is>
      </c>
      <c r="E1906" t="inlineStr">
        <is>
          <t>STRÖMSUND</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52728-2022</t>
        </is>
      </c>
      <c r="B1907" s="1" t="n">
        <v>44874</v>
      </c>
      <c r="C1907" s="1" t="n">
        <v>45688</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53019-2022</t>
        </is>
      </c>
      <c r="B1908" s="1" t="n">
        <v>44875</v>
      </c>
      <c r="C1908" s="1" t="n">
        <v>45688</v>
      </c>
      <c r="D1908" t="inlineStr">
        <is>
          <t>JÄMTLANDS LÄN</t>
        </is>
      </c>
      <c r="E1908" t="inlineStr">
        <is>
          <t>STRÖMSUND</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53020-2022</t>
        </is>
      </c>
      <c r="B1909" s="1" t="n">
        <v>44875</v>
      </c>
      <c r="C1909" s="1" t="n">
        <v>45688</v>
      </c>
      <c r="D1909" t="inlineStr">
        <is>
          <t>JÄMTLANDS LÄN</t>
        </is>
      </c>
      <c r="E1909" t="inlineStr">
        <is>
          <t>STRÖMSUND</t>
        </is>
      </c>
      <c r="F1909" t="inlineStr">
        <is>
          <t>SCA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53016-2022</t>
        </is>
      </c>
      <c r="B1910" s="1" t="n">
        <v>44875</v>
      </c>
      <c r="C1910" s="1" t="n">
        <v>45688</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53143-2022</t>
        </is>
      </c>
      <c r="B1911" s="1" t="n">
        <v>44876</v>
      </c>
      <c r="C1911" s="1" t="n">
        <v>45688</v>
      </c>
      <c r="D1911" t="inlineStr">
        <is>
          <t>JÄMTLANDS LÄN</t>
        </is>
      </c>
      <c r="E1911" t="inlineStr">
        <is>
          <t>STRÖMSUND</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53149-2022</t>
        </is>
      </c>
      <c r="B1912" s="1" t="n">
        <v>44876</v>
      </c>
      <c r="C1912" s="1" t="n">
        <v>45688</v>
      </c>
      <c r="D1912" t="inlineStr">
        <is>
          <t>JÄMTLANDS LÄN</t>
        </is>
      </c>
      <c r="E1912" t="inlineStr">
        <is>
          <t>STRÖMSUND</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53816-2022</t>
        </is>
      </c>
      <c r="B1913" s="1" t="n">
        <v>44876</v>
      </c>
      <c r="C1913" s="1" t="n">
        <v>45688</v>
      </c>
      <c r="D1913" t="inlineStr">
        <is>
          <t>JÄMTLANDS LÄN</t>
        </is>
      </c>
      <c r="E1913" t="inlineStr">
        <is>
          <t>STRÖMSUND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54050-2022</t>
        </is>
      </c>
      <c r="B1914" s="1" t="n">
        <v>44876</v>
      </c>
      <c r="C1914" s="1" t="n">
        <v>45688</v>
      </c>
      <c r="D1914" t="inlineStr">
        <is>
          <t>JÄMTLANDS LÄN</t>
        </is>
      </c>
      <c r="E1914" t="inlineStr">
        <is>
          <t>STRÖMSUND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53318-2022</t>
        </is>
      </c>
      <c r="B1915" s="1" t="n">
        <v>44878</v>
      </c>
      <c r="C1915" s="1" t="n">
        <v>45688</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53338-2022</t>
        </is>
      </c>
      <c r="B1916" s="1" t="n">
        <v>44879</v>
      </c>
      <c r="C1916" s="1" t="n">
        <v>45688</v>
      </c>
      <c r="D1916" t="inlineStr">
        <is>
          <t>JÄMTLANDS LÄN</t>
        </is>
      </c>
      <c r="E1916" t="inlineStr">
        <is>
          <t>STRÖMSUND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53400-2022</t>
        </is>
      </c>
      <c r="B1917" s="1" t="n">
        <v>44879</v>
      </c>
      <c r="C1917" s="1" t="n">
        <v>45688</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53396-2022</t>
        </is>
      </c>
      <c r="B1918" s="1" t="n">
        <v>44879</v>
      </c>
      <c r="C1918" s="1" t="n">
        <v>45688</v>
      </c>
      <c r="D1918" t="inlineStr">
        <is>
          <t>JÄMTLANDS LÄN</t>
        </is>
      </c>
      <c r="E1918" t="inlineStr">
        <is>
          <t>STRÖMSUND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54577-2022</t>
        </is>
      </c>
      <c r="B1919" s="1" t="n">
        <v>44882</v>
      </c>
      <c r="C1919" s="1" t="n">
        <v>45688</v>
      </c>
      <c r="D1919" t="inlineStr">
        <is>
          <t>JÄMTLANDS LÄN</t>
        </is>
      </c>
      <c r="E1919" t="inlineStr">
        <is>
          <t>STRÖMSUND</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54581-2022</t>
        </is>
      </c>
      <c r="B1920" s="1" t="n">
        <v>44882</v>
      </c>
      <c r="C1920" s="1" t="n">
        <v>45688</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55459-2022</t>
        </is>
      </c>
      <c r="B1921" s="1" t="n">
        <v>44882</v>
      </c>
      <c r="C1921" s="1" t="n">
        <v>45688</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55485-2022</t>
        </is>
      </c>
      <c r="B1922" s="1" t="n">
        <v>44882</v>
      </c>
      <c r="C1922" s="1" t="n">
        <v>45688</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54828-2022</t>
        </is>
      </c>
      <c r="B1923" s="1" t="n">
        <v>44883</v>
      </c>
      <c r="C1923" s="1" t="n">
        <v>45688</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54839-2022</t>
        </is>
      </c>
      <c r="B1924" s="1" t="n">
        <v>44883</v>
      </c>
      <c r="C1924" s="1" t="n">
        <v>45688</v>
      </c>
      <c r="D1924" t="inlineStr">
        <is>
          <t>JÄMTLANDS LÄN</t>
        </is>
      </c>
      <c r="E1924" t="inlineStr">
        <is>
          <t>STRÖMSUND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54843-2022</t>
        </is>
      </c>
      <c r="B1925" s="1" t="n">
        <v>44883</v>
      </c>
      <c r="C1925" s="1" t="n">
        <v>45688</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54844-2022</t>
        </is>
      </c>
      <c r="B1926" s="1" t="n">
        <v>44883</v>
      </c>
      <c r="C1926" s="1" t="n">
        <v>45688</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55525-2022</t>
        </is>
      </c>
      <c r="B1927" s="1" t="n">
        <v>44887</v>
      </c>
      <c r="C1927" s="1" t="n">
        <v>45688</v>
      </c>
      <c r="D1927" t="inlineStr">
        <is>
          <t>JÄMTLANDS LÄN</t>
        </is>
      </c>
      <c r="E1927" t="inlineStr">
        <is>
          <t>STRÖMSUND</t>
        </is>
      </c>
      <c r="F1927" t="inlineStr">
        <is>
          <t>SCA</t>
        </is>
      </c>
      <c r="G1927" t="n">
        <v>14.3</v>
      </c>
      <c r="H1927" t="n">
        <v>0</v>
      </c>
      <c r="I1927" t="n">
        <v>0</v>
      </c>
      <c r="J1927" t="n">
        <v>0</v>
      </c>
      <c r="K1927" t="n">
        <v>0</v>
      </c>
      <c r="L1927" t="n">
        <v>0</v>
      </c>
      <c r="M1927" t="n">
        <v>0</v>
      </c>
      <c r="N1927" t="n">
        <v>0</v>
      </c>
      <c r="O1927" t="n">
        <v>0</v>
      </c>
      <c r="P1927" t="n">
        <v>0</v>
      </c>
      <c r="Q1927" t="n">
        <v>0</v>
      </c>
      <c r="R1927" s="2" t="inlineStr"/>
    </row>
    <row r="1928" ht="15" customHeight="1">
      <c r="A1928" t="inlineStr">
        <is>
          <t>A 55524-2022</t>
        </is>
      </c>
      <c r="B1928" s="1" t="n">
        <v>44887</v>
      </c>
      <c r="C1928" s="1" t="n">
        <v>45688</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55531-2022</t>
        </is>
      </c>
      <c r="B1929" s="1" t="n">
        <v>44887</v>
      </c>
      <c r="C1929" s="1" t="n">
        <v>45688</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55901-2022</t>
        </is>
      </c>
      <c r="B1930" s="1" t="n">
        <v>44888</v>
      </c>
      <c r="C1930" s="1" t="n">
        <v>45688</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56091-2022</t>
        </is>
      </c>
      <c r="B1931" s="1" t="n">
        <v>44889</v>
      </c>
      <c r="C1931" s="1" t="n">
        <v>45688</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56171-2022</t>
        </is>
      </c>
      <c r="B1932" s="1" t="n">
        <v>44889</v>
      </c>
      <c r="C1932" s="1" t="n">
        <v>45688</v>
      </c>
      <c r="D1932" t="inlineStr">
        <is>
          <t>JÄMTLANDS LÄN</t>
        </is>
      </c>
      <c r="E1932" t="inlineStr">
        <is>
          <t>STRÖMSUND</t>
        </is>
      </c>
      <c r="F1932" t="inlineStr">
        <is>
          <t>SCA</t>
        </is>
      </c>
      <c r="G1932" t="n">
        <v>21.9</v>
      </c>
      <c r="H1932" t="n">
        <v>0</v>
      </c>
      <c r="I1932" t="n">
        <v>0</v>
      </c>
      <c r="J1932" t="n">
        <v>0</v>
      </c>
      <c r="K1932" t="n">
        <v>0</v>
      </c>
      <c r="L1932" t="n">
        <v>0</v>
      </c>
      <c r="M1932" t="n">
        <v>0</v>
      </c>
      <c r="N1932" t="n">
        <v>0</v>
      </c>
      <c r="O1932" t="n">
        <v>0</v>
      </c>
      <c r="P1932" t="n">
        <v>0</v>
      </c>
      <c r="Q1932" t="n">
        <v>0</v>
      </c>
      <c r="R1932" s="2" t="inlineStr"/>
    </row>
    <row r="1933" ht="15" customHeight="1">
      <c r="A1933" t="inlineStr">
        <is>
          <t>A 56196-2022</t>
        </is>
      </c>
      <c r="B1933" s="1" t="n">
        <v>44889</v>
      </c>
      <c r="C1933" s="1" t="n">
        <v>45688</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56412-2022</t>
        </is>
      </c>
      <c r="B1934" s="1" t="n">
        <v>44890</v>
      </c>
      <c r="C1934" s="1" t="n">
        <v>45688</v>
      </c>
      <c r="D1934" t="inlineStr">
        <is>
          <t>JÄMTLANDS LÄN</t>
        </is>
      </c>
      <c r="E1934" t="inlineStr">
        <is>
          <t>STRÖMSUND</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57740-2022</t>
        </is>
      </c>
      <c r="B1935" s="1" t="n">
        <v>44890</v>
      </c>
      <c r="C1935" s="1" t="n">
        <v>45688</v>
      </c>
      <c r="D1935" t="inlineStr">
        <is>
          <t>JÄMTLANDS LÄN</t>
        </is>
      </c>
      <c r="E1935" t="inlineStr">
        <is>
          <t>STRÖMSUND</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57762-2022</t>
        </is>
      </c>
      <c r="B1936" s="1" t="n">
        <v>44890</v>
      </c>
      <c r="C1936" s="1" t="n">
        <v>45688</v>
      </c>
      <c r="D1936" t="inlineStr">
        <is>
          <t>JÄMTLANDS LÄN</t>
        </is>
      </c>
      <c r="E1936" t="inlineStr">
        <is>
          <t>STRÖMSUND</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56413-2022</t>
        </is>
      </c>
      <c r="B1937" s="1" t="n">
        <v>44890</v>
      </c>
      <c r="C1937" s="1" t="n">
        <v>45688</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57754-2022</t>
        </is>
      </c>
      <c r="B1938" s="1" t="n">
        <v>44890</v>
      </c>
      <c r="C1938" s="1" t="n">
        <v>45688</v>
      </c>
      <c r="D1938" t="inlineStr">
        <is>
          <t>JÄMTLANDS LÄN</t>
        </is>
      </c>
      <c r="E1938" t="inlineStr">
        <is>
          <t>STRÖMSUND</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58031-2022</t>
        </is>
      </c>
      <c r="B1939" s="1" t="n">
        <v>44893</v>
      </c>
      <c r="C1939" s="1" t="n">
        <v>45688</v>
      </c>
      <c r="D1939" t="inlineStr">
        <is>
          <t>JÄMTLANDS LÄN</t>
        </is>
      </c>
      <c r="E1939" t="inlineStr">
        <is>
          <t>STRÖMSUND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58037-2022</t>
        </is>
      </c>
      <c r="B1940" s="1" t="n">
        <v>44893</v>
      </c>
      <c r="C1940" s="1" t="n">
        <v>45688</v>
      </c>
      <c r="D1940" t="inlineStr">
        <is>
          <t>JÄMTLANDS LÄN</t>
        </is>
      </c>
      <c r="E1940" t="inlineStr">
        <is>
          <t>STRÖMSUND</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58025-2022</t>
        </is>
      </c>
      <c r="B1941" s="1" t="n">
        <v>44893</v>
      </c>
      <c r="C1941" s="1" t="n">
        <v>45688</v>
      </c>
      <c r="D1941" t="inlineStr">
        <is>
          <t>JÄMTLANDS LÄN</t>
        </is>
      </c>
      <c r="E1941" t="inlineStr">
        <is>
          <t>STRÖMSUND</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57005-2022</t>
        </is>
      </c>
      <c r="B1942" s="1" t="n">
        <v>44894</v>
      </c>
      <c r="C1942" s="1" t="n">
        <v>45688</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56999-2022</t>
        </is>
      </c>
      <c r="B1943" s="1" t="n">
        <v>44894</v>
      </c>
      <c r="C1943" s="1" t="n">
        <v>45688</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57012-2022</t>
        </is>
      </c>
      <c r="B1944" s="1" t="n">
        <v>44894</v>
      </c>
      <c r="C1944" s="1" t="n">
        <v>45688</v>
      </c>
      <c r="D1944" t="inlineStr">
        <is>
          <t>JÄMTLANDS LÄN</t>
        </is>
      </c>
      <c r="E1944" t="inlineStr">
        <is>
          <t>STRÖMSUND</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57017-2022</t>
        </is>
      </c>
      <c r="B1945" s="1" t="n">
        <v>44895</v>
      </c>
      <c r="C1945" s="1" t="n">
        <v>45688</v>
      </c>
      <c r="D1945" t="inlineStr">
        <is>
          <t>JÄMTLANDS LÄN</t>
        </is>
      </c>
      <c r="E1945" t="inlineStr">
        <is>
          <t>STRÖMSUND</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57021-2022</t>
        </is>
      </c>
      <c r="B1946" s="1" t="n">
        <v>44895</v>
      </c>
      <c r="C1946" s="1" t="n">
        <v>45688</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57018-2022</t>
        </is>
      </c>
      <c r="B1947" s="1" t="n">
        <v>44895</v>
      </c>
      <c r="C1947" s="1" t="n">
        <v>45688</v>
      </c>
      <c r="D1947" t="inlineStr">
        <is>
          <t>JÄMTLANDS LÄN</t>
        </is>
      </c>
      <c r="E1947" t="inlineStr">
        <is>
          <t>STRÖMSUND</t>
        </is>
      </c>
      <c r="F1947" t="inlineStr">
        <is>
          <t>SCA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57022-2022</t>
        </is>
      </c>
      <c r="B1948" s="1" t="n">
        <v>44895</v>
      </c>
      <c r="C1948" s="1" t="n">
        <v>45688</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56931-2022</t>
        </is>
      </c>
      <c r="B1949" s="1" t="n">
        <v>44894</v>
      </c>
      <c r="C1949" s="1" t="n">
        <v>45688</v>
      </c>
      <c r="D1949" t="inlineStr">
        <is>
          <t>JÄMTLANDS LÄN</t>
        </is>
      </c>
      <c r="E1949" t="inlineStr">
        <is>
          <t>STRÖMSUND</t>
        </is>
      </c>
      <c r="F1949" t="inlineStr">
        <is>
          <t>Holmen skog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57002-2022</t>
        </is>
      </c>
      <c r="B1950" s="1" t="n">
        <v>44894</v>
      </c>
      <c r="C1950" s="1" t="n">
        <v>45688</v>
      </c>
      <c r="D1950" t="inlineStr">
        <is>
          <t>JÄMTLANDS LÄN</t>
        </is>
      </c>
      <c r="E1950" t="inlineStr">
        <is>
          <t>STRÖMSUND</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57014-2022</t>
        </is>
      </c>
      <c r="B1951" s="1" t="n">
        <v>44894</v>
      </c>
      <c r="C1951" s="1" t="n">
        <v>45688</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57016-2022</t>
        </is>
      </c>
      <c r="B1952" s="1" t="n">
        <v>44894</v>
      </c>
      <c r="C1952" s="1" t="n">
        <v>45688</v>
      </c>
      <c r="D1952" t="inlineStr">
        <is>
          <t>JÄMTLANDS LÄN</t>
        </is>
      </c>
      <c r="E1952" t="inlineStr">
        <is>
          <t>STRÖMSUND</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57272-2022</t>
        </is>
      </c>
      <c r="B1953" s="1" t="n">
        <v>44895</v>
      </c>
      <c r="C1953" s="1" t="n">
        <v>45688</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57278-2022</t>
        </is>
      </c>
      <c r="B1954" s="1" t="n">
        <v>44895</v>
      </c>
      <c r="C1954" s="1" t="n">
        <v>45688</v>
      </c>
      <c r="D1954" t="inlineStr">
        <is>
          <t>JÄMTLANDS LÄN</t>
        </is>
      </c>
      <c r="E1954" t="inlineStr">
        <is>
          <t>STRÖMSUND</t>
        </is>
      </c>
      <c r="F1954" t="inlineStr">
        <is>
          <t>SCA</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57274-2022</t>
        </is>
      </c>
      <c r="B1955" s="1" t="n">
        <v>44895</v>
      </c>
      <c r="C1955" s="1" t="n">
        <v>45688</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57280-2022</t>
        </is>
      </c>
      <c r="B1956" s="1" t="n">
        <v>44895</v>
      </c>
      <c r="C1956" s="1" t="n">
        <v>45688</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57277-2022</t>
        </is>
      </c>
      <c r="B1957" s="1" t="n">
        <v>44895</v>
      </c>
      <c r="C1957" s="1" t="n">
        <v>45688</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57297-2022</t>
        </is>
      </c>
      <c r="B1958" s="1" t="n">
        <v>44895</v>
      </c>
      <c r="C1958" s="1" t="n">
        <v>45688</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57626-2022</t>
        </is>
      </c>
      <c r="B1959" s="1" t="n">
        <v>44897</v>
      </c>
      <c r="C1959" s="1" t="n">
        <v>45688</v>
      </c>
      <c r="D1959" t="inlineStr">
        <is>
          <t>JÄMTLANDS LÄN</t>
        </is>
      </c>
      <c r="E1959" t="inlineStr">
        <is>
          <t>STRÖMSUND</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57829-2022</t>
        </is>
      </c>
      <c r="B1960" s="1" t="n">
        <v>44897</v>
      </c>
      <c r="C1960" s="1" t="n">
        <v>45688</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58179-2022</t>
        </is>
      </c>
      <c r="B1961" s="1" t="n">
        <v>44900</v>
      </c>
      <c r="C1961" s="1" t="n">
        <v>45688</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58170-2022</t>
        </is>
      </c>
      <c r="B1962" s="1" t="n">
        <v>44900</v>
      </c>
      <c r="C1962" s="1" t="n">
        <v>45688</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58183-2022</t>
        </is>
      </c>
      <c r="B1963" s="1" t="n">
        <v>44900</v>
      </c>
      <c r="C1963" s="1" t="n">
        <v>45688</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59725-2022</t>
        </is>
      </c>
      <c r="B1964" s="1" t="n">
        <v>44900</v>
      </c>
      <c r="C1964" s="1" t="n">
        <v>45688</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58449-2022</t>
        </is>
      </c>
      <c r="B1965" s="1" t="n">
        <v>44901</v>
      </c>
      <c r="C1965" s="1" t="n">
        <v>45688</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58729-2022</t>
        </is>
      </c>
      <c r="B1966" s="1" t="n">
        <v>44902</v>
      </c>
      <c r="C1966" s="1" t="n">
        <v>45688</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58743-2022</t>
        </is>
      </c>
      <c r="B1967" s="1" t="n">
        <v>44902</v>
      </c>
      <c r="C1967" s="1" t="n">
        <v>45688</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59003-2022</t>
        </is>
      </c>
      <c r="B1968" s="1" t="n">
        <v>44903</v>
      </c>
      <c r="C1968" s="1" t="n">
        <v>45688</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58973-2022</t>
        </is>
      </c>
      <c r="B1969" s="1" t="n">
        <v>44903</v>
      </c>
      <c r="C1969" s="1" t="n">
        <v>45688</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58905-2022</t>
        </is>
      </c>
      <c r="B1970" s="1" t="n">
        <v>44903</v>
      </c>
      <c r="C1970" s="1" t="n">
        <v>45688</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59035-2022</t>
        </is>
      </c>
      <c r="B1971" s="1" t="n">
        <v>44903</v>
      </c>
      <c r="C1971" s="1" t="n">
        <v>45688</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59367-2022</t>
        </is>
      </c>
      <c r="B1972" s="1" t="n">
        <v>44904</v>
      </c>
      <c r="C1972" s="1" t="n">
        <v>45688</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59372-2022</t>
        </is>
      </c>
      <c r="B1973" s="1" t="n">
        <v>44904</v>
      </c>
      <c r="C1973" s="1" t="n">
        <v>45688</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59376-2022</t>
        </is>
      </c>
      <c r="B1974" s="1" t="n">
        <v>44904</v>
      </c>
      <c r="C1974" s="1" t="n">
        <v>45688</v>
      </c>
      <c r="D1974" t="inlineStr">
        <is>
          <t>JÄMTLANDS LÄN</t>
        </is>
      </c>
      <c r="E1974" t="inlineStr">
        <is>
          <t>STRÖMSUND</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59461-2022</t>
        </is>
      </c>
      <c r="B1975" s="1" t="n">
        <v>44907</v>
      </c>
      <c r="C1975" s="1" t="n">
        <v>45688</v>
      </c>
      <c r="D1975" t="inlineStr">
        <is>
          <t>JÄMTLANDS LÄN</t>
        </is>
      </c>
      <c r="E1975" t="inlineStr">
        <is>
          <t>STRÖMSUND</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59637-2022</t>
        </is>
      </c>
      <c r="B1976" s="1" t="n">
        <v>44908</v>
      </c>
      <c r="C1976" s="1" t="n">
        <v>45688</v>
      </c>
      <c r="D1976" t="inlineStr">
        <is>
          <t>JÄMTLANDS LÄN</t>
        </is>
      </c>
      <c r="E1976" t="inlineStr">
        <is>
          <t>STRÖMSUND</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59645-2022</t>
        </is>
      </c>
      <c r="B1977" s="1" t="n">
        <v>44908</v>
      </c>
      <c r="C1977" s="1" t="n">
        <v>45688</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59646-2022</t>
        </is>
      </c>
      <c r="B1978" s="1" t="n">
        <v>44908</v>
      </c>
      <c r="C1978" s="1" t="n">
        <v>45688</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60639-2022</t>
        </is>
      </c>
      <c r="B1979" s="1" t="n">
        <v>44907</v>
      </c>
      <c r="C1979" s="1" t="n">
        <v>45688</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60775-2022</t>
        </is>
      </c>
      <c r="B1980" s="1" t="n">
        <v>44907</v>
      </c>
      <c r="C1980" s="1" t="n">
        <v>45688</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60002-2022</t>
        </is>
      </c>
      <c r="B1981" s="1" t="n">
        <v>44909</v>
      </c>
      <c r="C1981" s="1" t="n">
        <v>45688</v>
      </c>
      <c r="D1981" t="inlineStr">
        <is>
          <t>JÄMTLANDS LÄN</t>
        </is>
      </c>
      <c r="E1981" t="inlineStr">
        <is>
          <t>STRÖMSUND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60667-2022</t>
        </is>
      </c>
      <c r="B1982" s="1" t="n">
        <v>44911</v>
      </c>
      <c r="C1982" s="1" t="n">
        <v>45688</v>
      </c>
      <c r="D1982" t="inlineStr">
        <is>
          <t>JÄMTLANDS LÄN</t>
        </is>
      </c>
      <c r="E1982" t="inlineStr">
        <is>
          <t>STRÖMSUND</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60741-2022</t>
        </is>
      </c>
      <c r="B1983" s="1" t="n">
        <v>44913</v>
      </c>
      <c r="C1983" s="1" t="n">
        <v>45688</v>
      </c>
      <c r="D1983" t="inlineStr">
        <is>
          <t>JÄMTLANDS LÄN</t>
        </is>
      </c>
      <c r="E1983" t="inlineStr">
        <is>
          <t>STRÖMSUND</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60740-2022</t>
        </is>
      </c>
      <c r="B1984" s="1" t="n">
        <v>44913</v>
      </c>
      <c r="C1984" s="1" t="n">
        <v>45688</v>
      </c>
      <c r="D1984" t="inlineStr">
        <is>
          <t>JÄMTLANDS LÄN</t>
        </is>
      </c>
      <c r="E1984" t="inlineStr">
        <is>
          <t>STRÖMSUND</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60742-2022</t>
        </is>
      </c>
      <c r="B1985" s="1" t="n">
        <v>44913</v>
      </c>
      <c r="C1985" s="1" t="n">
        <v>45688</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60801-2022</t>
        </is>
      </c>
      <c r="B1986" s="1" t="n">
        <v>44914</v>
      </c>
      <c r="C1986" s="1" t="n">
        <v>45688</v>
      </c>
      <c r="D1986" t="inlineStr">
        <is>
          <t>JÄMTLANDS LÄN</t>
        </is>
      </c>
      <c r="E1986" t="inlineStr">
        <is>
          <t>STRÖMSUND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61038-2022</t>
        </is>
      </c>
      <c r="B1987" s="1" t="n">
        <v>44914</v>
      </c>
      <c r="C1987" s="1" t="n">
        <v>45688</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61374-2022</t>
        </is>
      </c>
      <c r="B1988" s="1" t="n">
        <v>44915</v>
      </c>
      <c r="C1988" s="1" t="n">
        <v>45688</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61380-2022</t>
        </is>
      </c>
      <c r="B1989" s="1" t="n">
        <v>44915</v>
      </c>
      <c r="C1989" s="1" t="n">
        <v>45688</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61375-2022</t>
        </is>
      </c>
      <c r="B1990" s="1" t="n">
        <v>44915</v>
      </c>
      <c r="C1990" s="1" t="n">
        <v>45688</v>
      </c>
      <c r="D1990" t="inlineStr">
        <is>
          <t>JÄMTLANDS LÄN</t>
        </is>
      </c>
      <c r="E1990" t="inlineStr">
        <is>
          <t>STRÖMSUND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61382-2022</t>
        </is>
      </c>
      <c r="B1991" s="1" t="n">
        <v>44915</v>
      </c>
      <c r="C1991" s="1" t="n">
        <v>45688</v>
      </c>
      <c r="D1991" t="inlineStr">
        <is>
          <t>JÄMTLANDS LÄN</t>
        </is>
      </c>
      <c r="E1991" t="inlineStr">
        <is>
          <t>STRÖMSUND</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62211-2022</t>
        </is>
      </c>
      <c r="B1992" s="1" t="n">
        <v>44915</v>
      </c>
      <c r="C1992" s="1" t="n">
        <v>45688</v>
      </c>
      <c r="D1992" t="inlineStr">
        <is>
          <t>JÄMTLANDS LÄN</t>
        </is>
      </c>
      <c r="E1992" t="inlineStr">
        <is>
          <t>STRÖMSUND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62229-2022</t>
        </is>
      </c>
      <c r="B1993" s="1" t="n">
        <v>44916</v>
      </c>
      <c r="C1993" s="1" t="n">
        <v>45688</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61921-2022</t>
        </is>
      </c>
      <c r="B1994" s="1" t="n">
        <v>44917</v>
      </c>
      <c r="C1994" s="1" t="n">
        <v>45688</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31-2023</t>
        </is>
      </c>
      <c r="B1995" s="1" t="n">
        <v>44918</v>
      </c>
      <c r="C1995" s="1" t="n">
        <v>45688</v>
      </c>
      <c r="D1995" t="inlineStr">
        <is>
          <t>JÄMTLANDS LÄN</t>
        </is>
      </c>
      <c r="E1995" t="inlineStr">
        <is>
          <t>STRÖMSUND</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25-2023</t>
        </is>
      </c>
      <c r="B1996" s="1" t="n">
        <v>44928</v>
      </c>
      <c r="C1996" s="1" t="n">
        <v>45688</v>
      </c>
      <c r="D1996" t="inlineStr">
        <is>
          <t>JÄMTLANDS LÄN</t>
        </is>
      </c>
      <c r="E1996" t="inlineStr">
        <is>
          <t>STRÖMSUND</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286-2023</t>
        </is>
      </c>
      <c r="B1997" s="1" t="n">
        <v>44928</v>
      </c>
      <c r="C1997" s="1" t="n">
        <v>45688</v>
      </c>
      <c r="D1997" t="inlineStr">
        <is>
          <t>JÄMTLANDS LÄN</t>
        </is>
      </c>
      <c r="E1997" t="inlineStr">
        <is>
          <t>STRÖMSUND</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536-2023</t>
        </is>
      </c>
      <c r="B1998" s="1" t="n">
        <v>44930</v>
      </c>
      <c r="C1998" s="1" t="n">
        <v>45688</v>
      </c>
      <c r="D1998" t="inlineStr">
        <is>
          <t>JÄMTLANDS LÄN</t>
        </is>
      </c>
      <c r="E1998" t="inlineStr">
        <is>
          <t>STRÖMSUND</t>
        </is>
      </c>
      <c r="G1998" t="n">
        <v>35.4</v>
      </c>
      <c r="H1998" t="n">
        <v>0</v>
      </c>
      <c r="I1998" t="n">
        <v>0</v>
      </c>
      <c r="J1998" t="n">
        <v>0</v>
      </c>
      <c r="K1998" t="n">
        <v>0</v>
      </c>
      <c r="L1998" t="n">
        <v>0</v>
      </c>
      <c r="M1998" t="n">
        <v>0</v>
      </c>
      <c r="N1998" t="n">
        <v>0</v>
      </c>
      <c r="O1998" t="n">
        <v>0</v>
      </c>
      <c r="P1998" t="n">
        <v>0</v>
      </c>
      <c r="Q1998" t="n">
        <v>0</v>
      </c>
      <c r="R1998" s="2" t="inlineStr"/>
    </row>
    <row r="1999" ht="15" customHeight="1">
      <c r="A1999" t="inlineStr">
        <is>
          <t>A 1187-2023</t>
        </is>
      </c>
      <c r="B1999" s="1" t="n">
        <v>44930</v>
      </c>
      <c r="C1999" s="1" t="n">
        <v>45688</v>
      </c>
      <c r="D1999" t="inlineStr">
        <is>
          <t>JÄMTLANDS LÄN</t>
        </is>
      </c>
      <c r="E1999" t="inlineStr">
        <is>
          <t>STRÖMSUND</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897-2023</t>
        </is>
      </c>
      <c r="B2000" s="1" t="n">
        <v>44931</v>
      </c>
      <c r="C2000" s="1" t="n">
        <v>45688</v>
      </c>
      <c r="D2000" t="inlineStr">
        <is>
          <t>JÄMTLANDS LÄN</t>
        </is>
      </c>
      <c r="E2000" t="inlineStr">
        <is>
          <t>STRÖMSUND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1288-2023</t>
        </is>
      </c>
      <c r="B2001" s="1" t="n">
        <v>44931</v>
      </c>
      <c r="C2001" s="1" t="n">
        <v>45688</v>
      </c>
      <c r="D2001" t="inlineStr">
        <is>
          <t>JÄMTLANDS LÄN</t>
        </is>
      </c>
      <c r="E2001" t="inlineStr">
        <is>
          <t>STRÖMSUND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1224-2023</t>
        </is>
      </c>
      <c r="B2002" s="1" t="n">
        <v>44935</v>
      </c>
      <c r="C2002" s="1" t="n">
        <v>45688</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1747-2023</t>
        </is>
      </c>
      <c r="B2003" s="1" t="n">
        <v>44936</v>
      </c>
      <c r="C2003" s="1" t="n">
        <v>45688</v>
      </c>
      <c r="D2003" t="inlineStr">
        <is>
          <t>JÄMTLANDS LÄN</t>
        </is>
      </c>
      <c r="E2003" t="inlineStr">
        <is>
          <t>STRÖMSUND</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1744-2023</t>
        </is>
      </c>
      <c r="B2004" s="1" t="n">
        <v>44936</v>
      </c>
      <c r="C2004" s="1" t="n">
        <v>45688</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1641-2023</t>
        </is>
      </c>
      <c r="B2005" s="1" t="n">
        <v>44937</v>
      </c>
      <c r="C2005" s="1" t="n">
        <v>45688</v>
      </c>
      <c r="D2005" t="inlineStr">
        <is>
          <t>JÄMTLANDS LÄN</t>
        </is>
      </c>
      <c r="E2005" t="inlineStr">
        <is>
          <t>STRÖMSUND</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1642-2023</t>
        </is>
      </c>
      <c r="B2006" s="1" t="n">
        <v>44937</v>
      </c>
      <c r="C2006" s="1" t="n">
        <v>45688</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1952-2023</t>
        </is>
      </c>
      <c r="B2007" s="1" t="n">
        <v>44938</v>
      </c>
      <c r="C2007" s="1" t="n">
        <v>45688</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2050-2023</t>
        </is>
      </c>
      <c r="B2008" s="1" t="n">
        <v>44939</v>
      </c>
      <c r="C2008" s="1" t="n">
        <v>45688</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2246-2023</t>
        </is>
      </c>
      <c r="B2009" s="1" t="n">
        <v>44939</v>
      </c>
      <c r="C2009" s="1" t="n">
        <v>45688</v>
      </c>
      <c r="D2009" t="inlineStr">
        <is>
          <t>JÄMTLANDS LÄN</t>
        </is>
      </c>
      <c r="E2009" t="inlineStr">
        <is>
          <t>STRÖMSUND</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2296-2023</t>
        </is>
      </c>
      <c r="B2010" s="1" t="n">
        <v>44942</v>
      </c>
      <c r="C2010" s="1" t="n">
        <v>45688</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2675-2023</t>
        </is>
      </c>
      <c r="B2011" s="1" t="n">
        <v>44942</v>
      </c>
      <c r="C2011" s="1" t="n">
        <v>45688</v>
      </c>
      <c r="D2011" t="inlineStr">
        <is>
          <t>JÄMTLANDS LÄN</t>
        </is>
      </c>
      <c r="E2011" t="inlineStr">
        <is>
          <t>STRÖMSUND</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3182-2023</t>
        </is>
      </c>
      <c r="B2012" s="1" t="n">
        <v>44942</v>
      </c>
      <c r="C2012" s="1" t="n">
        <v>45688</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3027-2023</t>
        </is>
      </c>
      <c r="B2013" s="1" t="n">
        <v>44945</v>
      </c>
      <c r="C2013" s="1" t="n">
        <v>45688</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3481-2023</t>
        </is>
      </c>
      <c r="B2014" s="1" t="n">
        <v>44949</v>
      </c>
      <c r="C2014" s="1" t="n">
        <v>45688</v>
      </c>
      <c r="D2014" t="inlineStr">
        <is>
          <t>JÄMTLANDS LÄN</t>
        </is>
      </c>
      <c r="E2014" t="inlineStr">
        <is>
          <t>STRÖMSUND</t>
        </is>
      </c>
      <c r="G2014" t="n">
        <v>21.6</v>
      </c>
      <c r="H2014" t="n">
        <v>0</v>
      </c>
      <c r="I2014" t="n">
        <v>0</v>
      </c>
      <c r="J2014" t="n">
        <v>0</v>
      </c>
      <c r="K2014" t="n">
        <v>0</v>
      </c>
      <c r="L2014" t="n">
        <v>0</v>
      </c>
      <c r="M2014" t="n">
        <v>0</v>
      </c>
      <c r="N2014" t="n">
        <v>0</v>
      </c>
      <c r="O2014" t="n">
        <v>0</v>
      </c>
      <c r="P2014" t="n">
        <v>0</v>
      </c>
      <c r="Q2014" t="n">
        <v>0</v>
      </c>
      <c r="R2014" s="2" t="inlineStr"/>
    </row>
    <row r="2015" ht="15" customHeight="1">
      <c r="A2015" t="inlineStr">
        <is>
          <t>A 3693-2023</t>
        </is>
      </c>
      <c r="B2015" s="1" t="n">
        <v>44950</v>
      </c>
      <c r="C2015" s="1" t="n">
        <v>45688</v>
      </c>
      <c r="D2015" t="inlineStr">
        <is>
          <t>JÄMTLANDS LÄN</t>
        </is>
      </c>
      <c r="E2015" t="inlineStr">
        <is>
          <t>STRÖMSUND</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4045-2023</t>
        </is>
      </c>
      <c r="B2016" s="1" t="n">
        <v>44952</v>
      </c>
      <c r="C2016" s="1" t="n">
        <v>45688</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4537-2023</t>
        </is>
      </c>
      <c r="B2017" s="1" t="n">
        <v>44952</v>
      </c>
      <c r="C2017" s="1" t="n">
        <v>45688</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4050-2023</t>
        </is>
      </c>
      <c r="B2018" s="1" t="n">
        <v>44952</v>
      </c>
      <c r="C2018" s="1" t="n">
        <v>45688</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4684-2023</t>
        </is>
      </c>
      <c r="B2019" s="1" t="n">
        <v>44952</v>
      </c>
      <c r="C2019" s="1" t="n">
        <v>45688</v>
      </c>
      <c r="D2019" t="inlineStr">
        <is>
          <t>JÄMTLANDS LÄN</t>
        </is>
      </c>
      <c r="E2019" t="inlineStr">
        <is>
          <t>STRÖMSUND</t>
        </is>
      </c>
      <c r="G2019" t="n">
        <v>24.1</v>
      </c>
      <c r="H2019" t="n">
        <v>0</v>
      </c>
      <c r="I2019" t="n">
        <v>0</v>
      </c>
      <c r="J2019" t="n">
        <v>0</v>
      </c>
      <c r="K2019" t="n">
        <v>0</v>
      </c>
      <c r="L2019" t="n">
        <v>0</v>
      </c>
      <c r="M2019" t="n">
        <v>0</v>
      </c>
      <c r="N2019" t="n">
        <v>0</v>
      </c>
      <c r="O2019" t="n">
        <v>0</v>
      </c>
      <c r="P2019" t="n">
        <v>0</v>
      </c>
      <c r="Q2019" t="n">
        <v>0</v>
      </c>
      <c r="R2019" s="2" t="inlineStr"/>
    </row>
    <row r="2020" ht="15" customHeight="1">
      <c r="A2020" t="inlineStr">
        <is>
          <t>A 4523-2023</t>
        </is>
      </c>
      <c r="B2020" s="1" t="n">
        <v>44952</v>
      </c>
      <c r="C2020" s="1" t="n">
        <v>45688</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4388-2023</t>
        </is>
      </c>
      <c r="B2021" s="1" t="n">
        <v>44955</v>
      </c>
      <c r="C2021" s="1" t="n">
        <v>45688</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4621-2023</t>
        </is>
      </c>
      <c r="B2022" s="1" t="n">
        <v>44956</v>
      </c>
      <c r="C2022" s="1" t="n">
        <v>45688</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4988-2023</t>
        </is>
      </c>
      <c r="B2023" s="1" t="n">
        <v>44956</v>
      </c>
      <c r="C2023" s="1" t="n">
        <v>45688</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4981-2023</t>
        </is>
      </c>
      <c r="B2024" s="1" t="n">
        <v>44956</v>
      </c>
      <c r="C2024" s="1" t="n">
        <v>45688</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4880-2023</t>
        </is>
      </c>
      <c r="B2025" s="1" t="n">
        <v>44957</v>
      </c>
      <c r="C2025" s="1" t="n">
        <v>45688</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5154-2023</t>
        </is>
      </c>
      <c r="B2026" s="1" t="n">
        <v>44958</v>
      </c>
      <c r="C2026" s="1" t="n">
        <v>45688</v>
      </c>
      <c r="D2026" t="inlineStr">
        <is>
          <t>JÄMTLANDS LÄN</t>
        </is>
      </c>
      <c r="E2026" t="inlineStr">
        <is>
          <t>STRÖMSUND</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5174-2023</t>
        </is>
      </c>
      <c r="B2027" s="1" t="n">
        <v>44958</v>
      </c>
      <c r="C2027" s="1" t="n">
        <v>45688</v>
      </c>
      <c r="D2027" t="inlineStr">
        <is>
          <t>JÄMTLANDS LÄN</t>
        </is>
      </c>
      <c r="E2027" t="inlineStr">
        <is>
          <t>STRÖMSUND</t>
        </is>
      </c>
      <c r="F2027" t="inlineStr">
        <is>
          <t>SCA</t>
        </is>
      </c>
      <c r="G2027" t="n">
        <v>64.5</v>
      </c>
      <c r="H2027" t="n">
        <v>0</v>
      </c>
      <c r="I2027" t="n">
        <v>0</v>
      </c>
      <c r="J2027" t="n">
        <v>0</v>
      </c>
      <c r="K2027" t="n">
        <v>0</v>
      </c>
      <c r="L2027" t="n">
        <v>0</v>
      </c>
      <c r="M2027" t="n">
        <v>0</v>
      </c>
      <c r="N2027" t="n">
        <v>0</v>
      </c>
      <c r="O2027" t="n">
        <v>0</v>
      </c>
      <c r="P2027" t="n">
        <v>0</v>
      </c>
      <c r="Q2027" t="n">
        <v>0</v>
      </c>
      <c r="R2027" s="2" t="inlineStr"/>
    </row>
    <row r="2028" ht="15" customHeight="1">
      <c r="A2028" t="inlineStr">
        <is>
          <t>A 5155-2023</t>
        </is>
      </c>
      <c r="B2028" s="1" t="n">
        <v>44958</v>
      </c>
      <c r="C2028" s="1" t="n">
        <v>45688</v>
      </c>
      <c r="D2028" t="inlineStr">
        <is>
          <t>JÄMTLANDS LÄN</t>
        </is>
      </c>
      <c r="E2028" t="inlineStr">
        <is>
          <t>STRÖMSUND</t>
        </is>
      </c>
      <c r="F2028" t="inlineStr">
        <is>
          <t>SCA</t>
        </is>
      </c>
      <c r="G2028" t="n">
        <v>34.1</v>
      </c>
      <c r="H2028" t="n">
        <v>0</v>
      </c>
      <c r="I2028" t="n">
        <v>0</v>
      </c>
      <c r="J2028" t="n">
        <v>0</v>
      </c>
      <c r="K2028" t="n">
        <v>0</v>
      </c>
      <c r="L2028" t="n">
        <v>0</v>
      </c>
      <c r="M2028" t="n">
        <v>0</v>
      </c>
      <c r="N2028" t="n">
        <v>0</v>
      </c>
      <c r="O2028" t="n">
        <v>0</v>
      </c>
      <c r="P2028" t="n">
        <v>0</v>
      </c>
      <c r="Q2028" t="n">
        <v>0</v>
      </c>
      <c r="R2028" s="2" t="inlineStr"/>
    </row>
    <row r="2029" ht="15" customHeight="1">
      <c r="A2029" t="inlineStr">
        <is>
          <t>A 5162-2023</t>
        </is>
      </c>
      <c r="B2029" s="1" t="n">
        <v>44958</v>
      </c>
      <c r="C2029" s="1" t="n">
        <v>45688</v>
      </c>
      <c r="D2029" t="inlineStr">
        <is>
          <t>JÄMTLANDS LÄN</t>
        </is>
      </c>
      <c r="E2029" t="inlineStr">
        <is>
          <t>STRÖMSUND</t>
        </is>
      </c>
      <c r="F2029" t="inlineStr">
        <is>
          <t>SCA</t>
        </is>
      </c>
      <c r="G2029" t="n">
        <v>62.1</v>
      </c>
      <c r="H2029" t="n">
        <v>0</v>
      </c>
      <c r="I2029" t="n">
        <v>0</v>
      </c>
      <c r="J2029" t="n">
        <v>0</v>
      </c>
      <c r="K2029" t="n">
        <v>0</v>
      </c>
      <c r="L2029" t="n">
        <v>0</v>
      </c>
      <c r="M2029" t="n">
        <v>0</v>
      </c>
      <c r="N2029" t="n">
        <v>0</v>
      </c>
      <c r="O2029" t="n">
        <v>0</v>
      </c>
      <c r="P2029" t="n">
        <v>0</v>
      </c>
      <c r="Q2029" t="n">
        <v>0</v>
      </c>
      <c r="R2029" s="2" t="inlineStr"/>
    </row>
    <row r="2030" ht="15" customHeight="1">
      <c r="A2030" t="inlineStr">
        <is>
          <t>A 5279-2023</t>
        </is>
      </c>
      <c r="B2030" s="1" t="n">
        <v>44959</v>
      </c>
      <c r="C2030" s="1" t="n">
        <v>45688</v>
      </c>
      <c r="D2030" t="inlineStr">
        <is>
          <t>JÄMTLANDS LÄN</t>
        </is>
      </c>
      <c r="E2030" t="inlineStr">
        <is>
          <t>STRÖMSUND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5277-2023</t>
        </is>
      </c>
      <c r="B2031" s="1" t="n">
        <v>44959</v>
      </c>
      <c r="C2031" s="1" t="n">
        <v>45688</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5278-2023</t>
        </is>
      </c>
      <c r="B2032" s="1" t="n">
        <v>44959</v>
      </c>
      <c r="C2032" s="1" t="n">
        <v>45688</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5397-2023</t>
        </is>
      </c>
      <c r="B2033" s="1" t="n">
        <v>44959</v>
      </c>
      <c r="C2033" s="1" t="n">
        <v>45688</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5452-2023</t>
        </is>
      </c>
      <c r="B2034" s="1" t="n">
        <v>44959</v>
      </c>
      <c r="C2034" s="1" t="n">
        <v>45688</v>
      </c>
      <c r="D2034" t="inlineStr">
        <is>
          <t>JÄMTLANDS LÄN</t>
        </is>
      </c>
      <c r="E2034" t="inlineStr">
        <is>
          <t>STRÖMSUND</t>
        </is>
      </c>
      <c r="F2034" t="inlineStr">
        <is>
          <t>SCA</t>
        </is>
      </c>
      <c r="G2034" t="n">
        <v>33.6</v>
      </c>
      <c r="H2034" t="n">
        <v>0</v>
      </c>
      <c r="I2034" t="n">
        <v>0</v>
      </c>
      <c r="J2034" t="n">
        <v>0</v>
      </c>
      <c r="K2034" t="n">
        <v>0</v>
      </c>
      <c r="L2034" t="n">
        <v>0</v>
      </c>
      <c r="M2034" t="n">
        <v>0</v>
      </c>
      <c r="N2034" t="n">
        <v>0</v>
      </c>
      <c r="O2034" t="n">
        <v>0</v>
      </c>
      <c r="P2034" t="n">
        <v>0</v>
      </c>
      <c r="Q2034" t="n">
        <v>0</v>
      </c>
      <c r="R2034" s="2" t="inlineStr"/>
      <c r="U2034">
        <f>HYPERLINK("https://klasma.github.io/Logging_2313/knärot/A 5452-2023 karta knärot.png", "A 5452-2023")</f>
        <v/>
      </c>
      <c r="V2034">
        <f>HYPERLINK("https://klasma.github.io/Logging_2313/klagomål/A 5452-2023 FSC-klagomål.docx", "A 5452-2023")</f>
        <v/>
      </c>
      <c r="W2034">
        <f>HYPERLINK("https://klasma.github.io/Logging_2313/klagomålsmail/A 5452-2023 FSC-klagomål mail.docx", "A 5452-2023")</f>
        <v/>
      </c>
      <c r="X2034">
        <f>HYPERLINK("https://klasma.github.io/Logging_2313/tillsyn/A 5452-2023 tillsynsbegäran.docx", "A 5452-2023")</f>
        <v/>
      </c>
      <c r="Y2034">
        <f>HYPERLINK("https://klasma.github.io/Logging_2313/tillsynsmail/A 5452-2023 tillsynsbegäran mail.docx", "A 5452-2023")</f>
        <v/>
      </c>
    </row>
    <row r="2035" ht="15" customHeight="1">
      <c r="A2035" t="inlineStr">
        <is>
          <t>A 5714-2023</t>
        </is>
      </c>
      <c r="B2035" s="1" t="n">
        <v>44960</v>
      </c>
      <c r="C2035" s="1" t="n">
        <v>45688</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6267-2023</t>
        </is>
      </c>
      <c r="B2036" s="1" t="n">
        <v>44960</v>
      </c>
      <c r="C2036" s="1" t="n">
        <v>45688</v>
      </c>
      <c r="D2036" t="inlineStr">
        <is>
          <t>JÄMTLANDS LÄN</t>
        </is>
      </c>
      <c r="E2036" t="inlineStr">
        <is>
          <t>STRÖMSUND</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6581-2023</t>
        </is>
      </c>
      <c r="B2037" s="1" t="n">
        <v>44963</v>
      </c>
      <c r="C2037" s="1" t="n">
        <v>45688</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6583-2023</t>
        </is>
      </c>
      <c r="B2038" s="1" t="n">
        <v>44963</v>
      </c>
      <c r="C2038" s="1" t="n">
        <v>45688</v>
      </c>
      <c r="D2038" t="inlineStr">
        <is>
          <t>JÄMTLANDS LÄN</t>
        </is>
      </c>
      <c r="E2038" t="inlineStr">
        <is>
          <t>STRÖMSUND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5956-2023</t>
        </is>
      </c>
      <c r="B2039" s="1" t="n">
        <v>44963</v>
      </c>
      <c r="C2039" s="1" t="n">
        <v>45688</v>
      </c>
      <c r="D2039" t="inlineStr">
        <is>
          <t>JÄMTLANDS LÄN</t>
        </is>
      </c>
      <c r="E2039" t="inlineStr">
        <is>
          <t>STRÖMSUND</t>
        </is>
      </c>
      <c r="F2039" t="inlineStr">
        <is>
          <t>SCA</t>
        </is>
      </c>
      <c r="G2039" t="n">
        <v>20.2</v>
      </c>
      <c r="H2039" t="n">
        <v>0</v>
      </c>
      <c r="I2039" t="n">
        <v>0</v>
      </c>
      <c r="J2039" t="n">
        <v>0</v>
      </c>
      <c r="K2039" t="n">
        <v>0</v>
      </c>
      <c r="L2039" t="n">
        <v>0</v>
      </c>
      <c r="M2039" t="n">
        <v>0</v>
      </c>
      <c r="N2039" t="n">
        <v>0</v>
      </c>
      <c r="O2039" t="n">
        <v>0</v>
      </c>
      <c r="P2039" t="n">
        <v>0</v>
      </c>
      <c r="Q2039" t="n">
        <v>0</v>
      </c>
      <c r="R2039" s="2" t="inlineStr"/>
    </row>
    <row r="2040" ht="15" customHeight="1">
      <c r="A2040" t="inlineStr">
        <is>
          <t>A 6234-2023</t>
        </is>
      </c>
      <c r="B2040" s="1" t="n">
        <v>44964</v>
      </c>
      <c r="C2040" s="1" t="n">
        <v>45688</v>
      </c>
      <c r="D2040" t="inlineStr">
        <is>
          <t>JÄMTLANDS LÄN</t>
        </is>
      </c>
      <c r="E2040" t="inlineStr">
        <is>
          <t>STRÖMSUND</t>
        </is>
      </c>
      <c r="F2040" t="inlineStr">
        <is>
          <t>SCA</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6928-2023</t>
        </is>
      </c>
      <c r="B2041" s="1" t="n">
        <v>44964</v>
      </c>
      <c r="C2041" s="1" t="n">
        <v>45688</v>
      </c>
      <c r="D2041" t="inlineStr">
        <is>
          <t>JÄMTLANDS LÄN</t>
        </is>
      </c>
      <c r="E2041" t="inlineStr">
        <is>
          <t>STRÖMSUND</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6932-2023</t>
        </is>
      </c>
      <c r="B2042" s="1" t="n">
        <v>44964</v>
      </c>
      <c r="C2042" s="1" t="n">
        <v>45688</v>
      </c>
      <c r="D2042" t="inlineStr">
        <is>
          <t>JÄMTLANDS LÄN</t>
        </is>
      </c>
      <c r="E2042" t="inlineStr">
        <is>
          <t>STRÖMSUND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6455-2023</t>
        </is>
      </c>
      <c r="B2043" s="1" t="n">
        <v>44965</v>
      </c>
      <c r="C2043" s="1" t="n">
        <v>45688</v>
      </c>
      <c r="D2043" t="inlineStr">
        <is>
          <t>JÄMTLANDS LÄN</t>
        </is>
      </c>
      <c r="E2043" t="inlineStr">
        <is>
          <t>STRÖMSUND</t>
        </is>
      </c>
      <c r="F2043" t="inlineStr">
        <is>
          <t>SCA</t>
        </is>
      </c>
      <c r="G2043" t="n">
        <v>74.7</v>
      </c>
      <c r="H2043" t="n">
        <v>0</v>
      </c>
      <c r="I2043" t="n">
        <v>0</v>
      </c>
      <c r="J2043" t="n">
        <v>0</v>
      </c>
      <c r="K2043" t="n">
        <v>0</v>
      </c>
      <c r="L2043" t="n">
        <v>0</v>
      </c>
      <c r="M2043" t="n">
        <v>0</v>
      </c>
      <c r="N2043" t="n">
        <v>0</v>
      </c>
      <c r="O2043" t="n">
        <v>0</v>
      </c>
      <c r="P2043" t="n">
        <v>0</v>
      </c>
      <c r="Q2043" t="n">
        <v>0</v>
      </c>
      <c r="R2043" s="2" t="inlineStr"/>
    </row>
    <row r="2044" ht="15" customHeight="1">
      <c r="A2044" t="inlineStr">
        <is>
          <t>A 6462-2023</t>
        </is>
      </c>
      <c r="B2044" s="1" t="n">
        <v>44965</v>
      </c>
      <c r="C2044" s="1" t="n">
        <v>45688</v>
      </c>
      <c r="D2044" t="inlineStr">
        <is>
          <t>JÄMTLANDS LÄN</t>
        </is>
      </c>
      <c r="E2044" t="inlineStr">
        <is>
          <t>STRÖMSUND</t>
        </is>
      </c>
      <c r="F2044" t="inlineStr">
        <is>
          <t>SCA</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6773-2023</t>
        </is>
      </c>
      <c r="B2045" s="1" t="n">
        <v>44966</v>
      </c>
      <c r="C2045" s="1" t="n">
        <v>45688</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6798-2023</t>
        </is>
      </c>
      <c r="B2046" s="1" t="n">
        <v>44966</v>
      </c>
      <c r="C2046" s="1" t="n">
        <v>45688</v>
      </c>
      <c r="D2046" t="inlineStr">
        <is>
          <t>JÄMTLANDS LÄN</t>
        </is>
      </c>
      <c r="E2046" t="inlineStr">
        <is>
          <t>STRÖMSUND</t>
        </is>
      </c>
      <c r="F2046" t="inlineStr">
        <is>
          <t>SCA</t>
        </is>
      </c>
      <c r="G2046" t="n">
        <v>70.3</v>
      </c>
      <c r="H2046" t="n">
        <v>0</v>
      </c>
      <c r="I2046" t="n">
        <v>0</v>
      </c>
      <c r="J2046" t="n">
        <v>0</v>
      </c>
      <c r="K2046" t="n">
        <v>0</v>
      </c>
      <c r="L2046" t="n">
        <v>0</v>
      </c>
      <c r="M2046" t="n">
        <v>0</v>
      </c>
      <c r="N2046" t="n">
        <v>0</v>
      </c>
      <c r="O2046" t="n">
        <v>0</v>
      </c>
      <c r="P2046" t="n">
        <v>0</v>
      </c>
      <c r="Q2046" t="n">
        <v>0</v>
      </c>
      <c r="R2046" s="2" t="inlineStr"/>
    </row>
    <row r="2047" ht="15" customHeight="1">
      <c r="A2047" t="inlineStr">
        <is>
          <t>A 6780-2023</t>
        </is>
      </c>
      <c r="B2047" s="1" t="n">
        <v>44966</v>
      </c>
      <c r="C2047" s="1" t="n">
        <v>45688</v>
      </c>
      <c r="D2047" t="inlineStr">
        <is>
          <t>JÄMTLANDS LÄN</t>
        </is>
      </c>
      <c r="E2047" t="inlineStr">
        <is>
          <t>STRÖMSUND</t>
        </is>
      </c>
      <c r="F2047" t="inlineStr">
        <is>
          <t>SCA</t>
        </is>
      </c>
      <c r="G2047" t="n">
        <v>38.5</v>
      </c>
      <c r="H2047" t="n">
        <v>0</v>
      </c>
      <c r="I2047" t="n">
        <v>0</v>
      </c>
      <c r="J2047" t="n">
        <v>0</v>
      </c>
      <c r="K2047" t="n">
        <v>0</v>
      </c>
      <c r="L2047" t="n">
        <v>0</v>
      </c>
      <c r="M2047" t="n">
        <v>0</v>
      </c>
      <c r="N2047" t="n">
        <v>0</v>
      </c>
      <c r="O2047" t="n">
        <v>0</v>
      </c>
      <c r="P2047" t="n">
        <v>0</v>
      </c>
      <c r="Q2047" t="n">
        <v>0</v>
      </c>
      <c r="R2047" s="2" t="inlineStr"/>
    </row>
    <row r="2048" ht="15" customHeight="1">
      <c r="A2048" t="inlineStr">
        <is>
          <t>A 7489-2023</t>
        </is>
      </c>
      <c r="B2048" s="1" t="n">
        <v>44966</v>
      </c>
      <c r="C2048" s="1" t="n">
        <v>45688</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7020-2023</t>
        </is>
      </c>
      <c r="B2049" s="1" t="n">
        <v>44967</v>
      </c>
      <c r="C2049" s="1" t="n">
        <v>45688</v>
      </c>
      <c r="D2049" t="inlineStr">
        <is>
          <t>JÄMTLANDS LÄN</t>
        </is>
      </c>
      <c r="E2049" t="inlineStr">
        <is>
          <t>STRÖMSUND</t>
        </is>
      </c>
      <c r="F2049" t="inlineStr">
        <is>
          <t>SCA</t>
        </is>
      </c>
      <c r="G2049" t="n">
        <v>33.9</v>
      </c>
      <c r="H2049" t="n">
        <v>0</v>
      </c>
      <c r="I2049" t="n">
        <v>0</v>
      </c>
      <c r="J2049" t="n">
        <v>0</v>
      </c>
      <c r="K2049" t="n">
        <v>0</v>
      </c>
      <c r="L2049" t="n">
        <v>0</v>
      </c>
      <c r="M2049" t="n">
        <v>0</v>
      </c>
      <c r="N2049" t="n">
        <v>0</v>
      </c>
      <c r="O2049" t="n">
        <v>0</v>
      </c>
      <c r="P2049" t="n">
        <v>0</v>
      </c>
      <c r="Q2049" t="n">
        <v>0</v>
      </c>
      <c r="R2049" s="2" t="inlineStr"/>
    </row>
    <row r="2050" ht="15" customHeight="1">
      <c r="A2050" t="inlineStr">
        <is>
          <t>A 7015-2023</t>
        </is>
      </c>
      <c r="B2050" s="1" t="n">
        <v>44967</v>
      </c>
      <c r="C2050" s="1" t="n">
        <v>45688</v>
      </c>
      <c r="D2050" t="inlineStr">
        <is>
          <t>JÄMTLANDS LÄN</t>
        </is>
      </c>
      <c r="E2050" t="inlineStr">
        <is>
          <t>STRÖMSUND</t>
        </is>
      </c>
      <c r="F2050" t="inlineStr">
        <is>
          <t>SCA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7326-2023</t>
        </is>
      </c>
      <c r="B2051" s="1" t="n">
        <v>44971</v>
      </c>
      <c r="C2051" s="1" t="n">
        <v>45688</v>
      </c>
      <c r="D2051" t="inlineStr">
        <is>
          <t>JÄMTLANDS LÄN</t>
        </is>
      </c>
      <c r="E2051" t="inlineStr">
        <is>
          <t>STRÖMSUND</t>
        </is>
      </c>
      <c r="F2051" t="inlineStr">
        <is>
          <t>SCA</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7334-2023</t>
        </is>
      </c>
      <c r="B2052" s="1" t="n">
        <v>44971</v>
      </c>
      <c r="C2052" s="1" t="n">
        <v>45688</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8031-2023</t>
        </is>
      </c>
      <c r="B2053" s="1" t="n">
        <v>44973</v>
      </c>
      <c r="C2053" s="1" t="n">
        <v>45688</v>
      </c>
      <c r="D2053" t="inlineStr">
        <is>
          <t>JÄMTLANDS LÄN</t>
        </is>
      </c>
      <c r="E2053" t="inlineStr">
        <is>
          <t>STRÖMSUND</t>
        </is>
      </c>
      <c r="F2053" t="inlineStr">
        <is>
          <t>SCA</t>
        </is>
      </c>
      <c r="G2053" t="n">
        <v>39.1</v>
      </c>
      <c r="H2053" t="n">
        <v>0</v>
      </c>
      <c r="I2053" t="n">
        <v>0</v>
      </c>
      <c r="J2053" t="n">
        <v>0</v>
      </c>
      <c r="K2053" t="n">
        <v>0</v>
      </c>
      <c r="L2053" t="n">
        <v>0</v>
      </c>
      <c r="M2053" t="n">
        <v>0</v>
      </c>
      <c r="N2053" t="n">
        <v>0</v>
      </c>
      <c r="O2053" t="n">
        <v>0</v>
      </c>
      <c r="P2053" t="n">
        <v>0</v>
      </c>
      <c r="Q2053" t="n">
        <v>0</v>
      </c>
      <c r="R2053" s="2" t="inlineStr"/>
    </row>
    <row r="2054" ht="15" customHeight="1">
      <c r="A2054" t="inlineStr">
        <is>
          <t>A 8647-2023</t>
        </is>
      </c>
      <c r="B2054" s="1" t="n">
        <v>44977</v>
      </c>
      <c r="C2054" s="1" t="n">
        <v>45688</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8676-2023</t>
        </is>
      </c>
      <c r="B2055" s="1" t="n">
        <v>44978</v>
      </c>
      <c r="C2055" s="1" t="n">
        <v>45688</v>
      </c>
      <c r="D2055" t="inlineStr">
        <is>
          <t>JÄMTLANDS LÄN</t>
        </is>
      </c>
      <c r="E2055" t="inlineStr">
        <is>
          <t>STRÖMSUND</t>
        </is>
      </c>
      <c r="F2055" t="inlineStr">
        <is>
          <t>SCA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9301-2023</t>
        </is>
      </c>
      <c r="B2056" s="1" t="n">
        <v>44977</v>
      </c>
      <c r="C2056" s="1" t="n">
        <v>45688</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9716-2023</t>
        </is>
      </c>
      <c r="B2057" s="1" t="n">
        <v>44978</v>
      </c>
      <c r="C2057" s="1" t="n">
        <v>45688</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9089-2023</t>
        </is>
      </c>
      <c r="B2058" s="1" t="n">
        <v>44979</v>
      </c>
      <c r="C2058" s="1" t="n">
        <v>45688</v>
      </c>
      <c r="D2058" t="inlineStr">
        <is>
          <t>JÄMTLANDS LÄN</t>
        </is>
      </c>
      <c r="E2058" t="inlineStr">
        <is>
          <t>STRÖMSUND</t>
        </is>
      </c>
      <c r="F2058" t="inlineStr">
        <is>
          <t>SCA</t>
        </is>
      </c>
      <c r="G2058" t="n">
        <v>41.2</v>
      </c>
      <c r="H2058" t="n">
        <v>0</v>
      </c>
      <c r="I2058" t="n">
        <v>0</v>
      </c>
      <c r="J2058" t="n">
        <v>0</v>
      </c>
      <c r="K2058" t="n">
        <v>0</v>
      </c>
      <c r="L2058" t="n">
        <v>0</v>
      </c>
      <c r="M2058" t="n">
        <v>0</v>
      </c>
      <c r="N2058" t="n">
        <v>0</v>
      </c>
      <c r="O2058" t="n">
        <v>0</v>
      </c>
      <c r="P2058" t="n">
        <v>0</v>
      </c>
      <c r="Q2058" t="n">
        <v>0</v>
      </c>
      <c r="R2058" s="2" t="inlineStr"/>
    </row>
    <row r="2059" ht="15" customHeight="1">
      <c r="A2059" t="inlineStr">
        <is>
          <t>A 9354-2023</t>
        </is>
      </c>
      <c r="B2059" s="1" t="n">
        <v>44980</v>
      </c>
      <c r="C2059" s="1" t="n">
        <v>45688</v>
      </c>
      <c r="D2059" t="inlineStr">
        <is>
          <t>JÄMTLANDS LÄN</t>
        </is>
      </c>
      <c r="E2059" t="inlineStr">
        <is>
          <t>STRÖMSUND</t>
        </is>
      </c>
      <c r="F2059" t="inlineStr">
        <is>
          <t>SCA</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9353-2023</t>
        </is>
      </c>
      <c r="B2060" s="1" t="n">
        <v>44980</v>
      </c>
      <c r="C2060" s="1" t="n">
        <v>45688</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9555-2023</t>
        </is>
      </c>
      <c r="B2061" s="1" t="n">
        <v>44981</v>
      </c>
      <c r="C2061" s="1" t="n">
        <v>45688</v>
      </c>
      <c r="D2061" t="inlineStr">
        <is>
          <t>JÄMTLANDS LÄN</t>
        </is>
      </c>
      <c r="E2061" t="inlineStr">
        <is>
          <t>STRÖMSUND</t>
        </is>
      </c>
      <c r="F2061" t="inlineStr">
        <is>
          <t>SCA</t>
        </is>
      </c>
      <c r="G2061" t="n">
        <v>18.8</v>
      </c>
      <c r="H2061" t="n">
        <v>0</v>
      </c>
      <c r="I2061" t="n">
        <v>0</v>
      </c>
      <c r="J2061" t="n">
        <v>0</v>
      </c>
      <c r="K2061" t="n">
        <v>0</v>
      </c>
      <c r="L2061" t="n">
        <v>0</v>
      </c>
      <c r="M2061" t="n">
        <v>0</v>
      </c>
      <c r="N2061" t="n">
        <v>0</v>
      </c>
      <c r="O2061" t="n">
        <v>0</v>
      </c>
      <c r="P2061" t="n">
        <v>0</v>
      </c>
      <c r="Q2061" t="n">
        <v>0</v>
      </c>
      <c r="R2061" s="2" t="inlineStr"/>
    </row>
    <row r="2062" ht="15" customHeight="1">
      <c r="A2062" t="inlineStr">
        <is>
          <t>A 9554-2023</t>
        </is>
      </c>
      <c r="B2062" s="1" t="n">
        <v>44981</v>
      </c>
      <c r="C2062" s="1" t="n">
        <v>45688</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9678-2023</t>
        </is>
      </c>
      <c r="B2063" s="1" t="n">
        <v>44984</v>
      </c>
      <c r="C2063" s="1" t="n">
        <v>45688</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9851-2023</t>
        </is>
      </c>
      <c r="B2064" s="1" t="n">
        <v>44984</v>
      </c>
      <c r="C2064" s="1" t="n">
        <v>45688</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10738-2023</t>
        </is>
      </c>
      <c r="B2065" s="1" t="n">
        <v>44984</v>
      </c>
      <c r="C2065" s="1" t="n">
        <v>45688</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10101-2023</t>
        </is>
      </c>
      <c r="B2066" s="1" t="n">
        <v>44985</v>
      </c>
      <c r="C2066" s="1" t="n">
        <v>45688</v>
      </c>
      <c r="D2066" t="inlineStr">
        <is>
          <t>JÄMTLANDS LÄN</t>
        </is>
      </c>
      <c r="E2066" t="inlineStr">
        <is>
          <t>STRÖMSUND</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10102-2023</t>
        </is>
      </c>
      <c r="B2067" s="1" t="n">
        <v>44985</v>
      </c>
      <c r="C2067" s="1" t="n">
        <v>45688</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10074-2023</t>
        </is>
      </c>
      <c r="B2068" s="1" t="n">
        <v>44985</v>
      </c>
      <c r="C2068" s="1" t="n">
        <v>45688</v>
      </c>
      <c r="D2068" t="inlineStr">
        <is>
          <t>JÄMTLANDS LÄN</t>
        </is>
      </c>
      <c r="E2068" t="inlineStr">
        <is>
          <t>STRÖMSUND</t>
        </is>
      </c>
      <c r="F2068" t="inlineStr">
        <is>
          <t>SCA</t>
        </is>
      </c>
      <c r="G2068" t="n">
        <v>58.9</v>
      </c>
      <c r="H2068" t="n">
        <v>0</v>
      </c>
      <c r="I2068" t="n">
        <v>0</v>
      </c>
      <c r="J2068" t="n">
        <v>0</v>
      </c>
      <c r="K2068" t="n">
        <v>0</v>
      </c>
      <c r="L2068" t="n">
        <v>0</v>
      </c>
      <c r="M2068" t="n">
        <v>0</v>
      </c>
      <c r="N2068" t="n">
        <v>0</v>
      </c>
      <c r="O2068" t="n">
        <v>0</v>
      </c>
      <c r="P2068" t="n">
        <v>0</v>
      </c>
      <c r="Q2068" t="n">
        <v>0</v>
      </c>
      <c r="R2068" s="2" t="inlineStr"/>
    </row>
    <row r="2069" ht="15" customHeight="1">
      <c r="A2069" t="inlineStr">
        <is>
          <t>A 10944-2023</t>
        </is>
      </c>
      <c r="B2069" s="1" t="n">
        <v>44985</v>
      </c>
      <c r="C2069" s="1" t="n">
        <v>45688</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10537-2023</t>
        </is>
      </c>
      <c r="B2070" s="1" t="n">
        <v>44987</v>
      </c>
      <c r="C2070" s="1" t="n">
        <v>45688</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10826-2023</t>
        </is>
      </c>
      <c r="B2071" s="1" t="n">
        <v>44990</v>
      </c>
      <c r="C2071" s="1" t="n">
        <v>45688</v>
      </c>
      <c r="D2071" t="inlineStr">
        <is>
          <t>JÄMTLANDS LÄN</t>
        </is>
      </c>
      <c r="E2071" t="inlineStr">
        <is>
          <t>STRÖMSUND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11058-2023</t>
        </is>
      </c>
      <c r="B2072" s="1" t="n">
        <v>44991</v>
      </c>
      <c r="C2072" s="1" t="n">
        <v>45688</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11061-2023</t>
        </is>
      </c>
      <c r="B2073" s="1" t="n">
        <v>44991</v>
      </c>
      <c r="C2073" s="1" t="n">
        <v>45688</v>
      </c>
      <c r="D2073" t="inlineStr">
        <is>
          <t>JÄMTLANDS LÄN</t>
        </is>
      </c>
      <c r="E2073" t="inlineStr">
        <is>
          <t>STRÖMSUND</t>
        </is>
      </c>
      <c r="F2073" t="inlineStr">
        <is>
          <t>SCA</t>
        </is>
      </c>
      <c r="G2073" t="n">
        <v>26.7</v>
      </c>
      <c r="H2073" t="n">
        <v>0</v>
      </c>
      <c r="I2073" t="n">
        <v>0</v>
      </c>
      <c r="J2073" t="n">
        <v>0</v>
      </c>
      <c r="K2073" t="n">
        <v>0</v>
      </c>
      <c r="L2073" t="n">
        <v>0</v>
      </c>
      <c r="M2073" t="n">
        <v>0</v>
      </c>
      <c r="N2073" t="n">
        <v>0</v>
      </c>
      <c r="O2073" t="n">
        <v>0</v>
      </c>
      <c r="P2073" t="n">
        <v>0</v>
      </c>
      <c r="Q2073" t="n">
        <v>0</v>
      </c>
      <c r="R2073" s="2" t="inlineStr"/>
    </row>
    <row r="2074" ht="15" customHeight="1">
      <c r="A2074" t="inlineStr">
        <is>
          <t>A 11458-2023</t>
        </is>
      </c>
      <c r="B2074" s="1" t="n">
        <v>44991</v>
      </c>
      <c r="C2074" s="1" t="n">
        <v>45688</v>
      </c>
      <c r="D2074" t="inlineStr">
        <is>
          <t>JÄMTLANDS LÄN</t>
        </is>
      </c>
      <c r="E2074" t="inlineStr">
        <is>
          <t>STRÖMSUND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11444-2023</t>
        </is>
      </c>
      <c r="B2075" s="1" t="n">
        <v>44991</v>
      </c>
      <c r="C2075" s="1" t="n">
        <v>45688</v>
      </c>
      <c r="D2075" t="inlineStr">
        <is>
          <t>JÄMTLANDS LÄN</t>
        </is>
      </c>
      <c r="E2075" t="inlineStr">
        <is>
          <t>STRÖMSUND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11303-2023</t>
        </is>
      </c>
      <c r="B2076" s="1" t="n">
        <v>44993</v>
      </c>
      <c r="C2076" s="1" t="n">
        <v>45688</v>
      </c>
      <c r="D2076" t="inlineStr">
        <is>
          <t>JÄMTLANDS LÄN</t>
        </is>
      </c>
      <c r="E2076" t="inlineStr">
        <is>
          <t>STRÖMSUND</t>
        </is>
      </c>
      <c r="F2076" t="inlineStr">
        <is>
          <t>SCA</t>
        </is>
      </c>
      <c r="G2076" t="n">
        <v>39.2</v>
      </c>
      <c r="H2076" t="n">
        <v>0</v>
      </c>
      <c r="I2076" t="n">
        <v>0</v>
      </c>
      <c r="J2076" t="n">
        <v>0</v>
      </c>
      <c r="K2076" t="n">
        <v>0</v>
      </c>
      <c r="L2076" t="n">
        <v>0</v>
      </c>
      <c r="M2076" t="n">
        <v>0</v>
      </c>
      <c r="N2076" t="n">
        <v>0</v>
      </c>
      <c r="O2076" t="n">
        <v>0</v>
      </c>
      <c r="P2076" t="n">
        <v>0</v>
      </c>
      <c r="Q2076" t="n">
        <v>0</v>
      </c>
      <c r="R2076" s="2" t="inlineStr"/>
    </row>
    <row r="2077" ht="15" customHeight="1">
      <c r="A2077" t="inlineStr">
        <is>
          <t>A 11302-2023</t>
        </is>
      </c>
      <c r="B2077" s="1" t="n">
        <v>44993</v>
      </c>
      <c r="C2077" s="1" t="n">
        <v>45688</v>
      </c>
      <c r="D2077" t="inlineStr">
        <is>
          <t>JÄMTLANDS LÄN</t>
        </is>
      </c>
      <c r="E2077" t="inlineStr">
        <is>
          <t>STRÖMSUND</t>
        </is>
      </c>
      <c r="F2077" t="inlineStr">
        <is>
          <t>SCA</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11324-2023</t>
        </is>
      </c>
      <c r="B2078" s="1" t="n">
        <v>44993</v>
      </c>
      <c r="C2078" s="1" t="n">
        <v>45688</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12042-2023</t>
        </is>
      </c>
      <c r="B2079" s="1" t="n">
        <v>44996</v>
      </c>
      <c r="C2079" s="1" t="n">
        <v>45688</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12644-2023</t>
        </is>
      </c>
      <c r="B2080" s="1" t="n">
        <v>45000</v>
      </c>
      <c r="C2080" s="1" t="n">
        <v>45688</v>
      </c>
      <c r="D2080" t="inlineStr">
        <is>
          <t>JÄMTLANDS LÄN</t>
        </is>
      </c>
      <c r="E2080" t="inlineStr">
        <is>
          <t>STRÖMSUND</t>
        </is>
      </c>
      <c r="F2080" t="inlineStr">
        <is>
          <t>Kyrkan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12731-2023</t>
        </is>
      </c>
      <c r="B2081" s="1" t="n">
        <v>45000</v>
      </c>
      <c r="C2081" s="1" t="n">
        <v>45688</v>
      </c>
      <c r="D2081" t="inlineStr">
        <is>
          <t>JÄMTLANDS LÄN</t>
        </is>
      </c>
      <c r="E2081" t="inlineStr">
        <is>
          <t>STRÖMSUND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12971-2023</t>
        </is>
      </c>
      <c r="B2082" s="1" t="n">
        <v>45001</v>
      </c>
      <c r="C2082" s="1" t="n">
        <v>45688</v>
      </c>
      <c r="D2082" t="inlineStr">
        <is>
          <t>JÄMTLANDS LÄN</t>
        </is>
      </c>
      <c r="E2082" t="inlineStr">
        <is>
          <t>STRÖMSUND</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12993-2023</t>
        </is>
      </c>
      <c r="B2083" s="1" t="n">
        <v>45002</v>
      </c>
      <c r="C2083" s="1" t="n">
        <v>45688</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12994-2023</t>
        </is>
      </c>
      <c r="B2084" s="1" t="n">
        <v>45002</v>
      </c>
      <c r="C2084" s="1" t="n">
        <v>45688</v>
      </c>
      <c r="D2084" t="inlineStr">
        <is>
          <t>JÄMTLANDS LÄN</t>
        </is>
      </c>
      <c r="E2084" t="inlineStr">
        <is>
          <t>STRÖMSUND</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13685-2023</t>
        </is>
      </c>
      <c r="B2085" s="1" t="n">
        <v>45006</v>
      </c>
      <c r="C2085" s="1" t="n">
        <v>45688</v>
      </c>
      <c r="D2085" t="inlineStr">
        <is>
          <t>JÄMTLANDS LÄN</t>
        </is>
      </c>
      <c r="E2085" t="inlineStr">
        <is>
          <t>STRÖMSUND</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13684-2023</t>
        </is>
      </c>
      <c r="B2086" s="1" t="n">
        <v>45006</v>
      </c>
      <c r="C2086" s="1" t="n">
        <v>45688</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13687-2023</t>
        </is>
      </c>
      <c r="B2087" s="1" t="n">
        <v>45006</v>
      </c>
      <c r="C2087" s="1" t="n">
        <v>45688</v>
      </c>
      <c r="D2087" t="inlineStr">
        <is>
          <t>JÄMTLANDS LÄN</t>
        </is>
      </c>
      <c r="E2087" t="inlineStr">
        <is>
          <t>STRÖMSUND</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13686-2023</t>
        </is>
      </c>
      <c r="B2088" s="1" t="n">
        <v>45006</v>
      </c>
      <c r="C2088" s="1" t="n">
        <v>45688</v>
      </c>
      <c r="D2088" t="inlineStr">
        <is>
          <t>JÄMTLANDS LÄN</t>
        </is>
      </c>
      <c r="E2088" t="inlineStr">
        <is>
          <t>STRÖMSUND</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14070-2023</t>
        </is>
      </c>
      <c r="B2089" s="1" t="n">
        <v>45008</v>
      </c>
      <c r="C2089" s="1" t="n">
        <v>45688</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14069-2023</t>
        </is>
      </c>
      <c r="B2090" s="1" t="n">
        <v>45008</v>
      </c>
      <c r="C2090" s="1" t="n">
        <v>45688</v>
      </c>
      <c r="D2090" t="inlineStr">
        <is>
          <t>JÄMTLANDS LÄN</t>
        </is>
      </c>
      <c r="E2090" t="inlineStr">
        <is>
          <t>STRÖMSUND</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14068-2023</t>
        </is>
      </c>
      <c r="B2091" s="1" t="n">
        <v>45009</v>
      </c>
      <c r="C2091" s="1" t="n">
        <v>45688</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v>
      </c>
      <c r="C2092" s="1" t="n">
        <v>45688</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14338-2023</t>
        </is>
      </c>
      <c r="B2093" s="1" t="n">
        <v>45012</v>
      </c>
      <c r="C2093" s="1" t="n">
        <v>45688</v>
      </c>
      <c r="D2093" t="inlineStr">
        <is>
          <t>JÄMTLANDS LÄN</t>
        </is>
      </c>
      <c r="E2093" t="inlineStr">
        <is>
          <t>STRÖMSUND</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45688</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14371-2023</t>
        </is>
      </c>
      <c r="B2095" s="1" t="n">
        <v>45012</v>
      </c>
      <c r="C2095" s="1" t="n">
        <v>45688</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14347-2023</t>
        </is>
      </c>
      <c r="B2096" s="1" t="n">
        <v>45012</v>
      </c>
      <c r="C2096" s="1" t="n">
        <v>45688</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14528-2023</t>
        </is>
      </c>
      <c r="B2097" s="1" t="n">
        <v>45012</v>
      </c>
      <c r="C2097" s="1" t="n">
        <v>45688</v>
      </c>
      <c r="D2097" t="inlineStr">
        <is>
          <t>JÄMTLANDS LÄN</t>
        </is>
      </c>
      <c r="E2097" t="inlineStr">
        <is>
          <t>STRÖMSUND</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14975-2023</t>
        </is>
      </c>
      <c r="B2098" s="1" t="n">
        <v>45013</v>
      </c>
      <c r="C2098" s="1" t="n">
        <v>45688</v>
      </c>
      <c r="D2098" t="inlineStr">
        <is>
          <t>JÄMTLANDS LÄN</t>
        </is>
      </c>
      <c r="E2098" t="inlineStr">
        <is>
          <t>STRÖMSUND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14821-2023</t>
        </is>
      </c>
      <c r="B2099" s="1" t="n">
        <v>45013</v>
      </c>
      <c r="C2099" s="1" t="n">
        <v>45688</v>
      </c>
      <c r="D2099" t="inlineStr">
        <is>
          <t>JÄMTLANDS LÄN</t>
        </is>
      </c>
      <c r="E2099" t="inlineStr">
        <is>
          <t>STRÖMSUND</t>
        </is>
      </c>
      <c r="G2099" t="n">
        <v>39.3</v>
      </c>
      <c r="H2099" t="n">
        <v>0</v>
      </c>
      <c r="I2099" t="n">
        <v>0</v>
      </c>
      <c r="J2099" t="n">
        <v>0</v>
      </c>
      <c r="K2099" t="n">
        <v>0</v>
      </c>
      <c r="L2099" t="n">
        <v>0</v>
      </c>
      <c r="M2099" t="n">
        <v>0</v>
      </c>
      <c r="N2099" t="n">
        <v>0</v>
      </c>
      <c r="O2099" t="n">
        <v>0</v>
      </c>
      <c r="P2099" t="n">
        <v>0</v>
      </c>
      <c r="Q2099" t="n">
        <v>0</v>
      </c>
      <c r="R2099" s="2" t="inlineStr"/>
    </row>
    <row r="2100" ht="15" customHeight="1">
      <c r="A2100" t="inlineStr">
        <is>
          <t>A 14861-2023</t>
        </is>
      </c>
      <c r="B2100" s="1" t="n">
        <v>45015</v>
      </c>
      <c r="C2100" s="1" t="n">
        <v>45688</v>
      </c>
      <c r="D2100" t="inlineStr">
        <is>
          <t>JÄMTLANDS LÄN</t>
        </is>
      </c>
      <c r="E2100" t="inlineStr">
        <is>
          <t>STRÖMSUND</t>
        </is>
      </c>
      <c r="F2100" t="inlineStr">
        <is>
          <t>SCA</t>
        </is>
      </c>
      <c r="G2100" t="n">
        <v>26.3</v>
      </c>
      <c r="H2100" t="n">
        <v>0</v>
      </c>
      <c r="I2100" t="n">
        <v>0</v>
      </c>
      <c r="J2100" t="n">
        <v>0</v>
      </c>
      <c r="K2100" t="n">
        <v>0</v>
      </c>
      <c r="L2100" t="n">
        <v>0</v>
      </c>
      <c r="M2100" t="n">
        <v>0</v>
      </c>
      <c r="N2100" t="n">
        <v>0</v>
      </c>
      <c r="O2100" t="n">
        <v>0</v>
      </c>
      <c r="P2100" t="n">
        <v>0</v>
      </c>
      <c r="Q2100" t="n">
        <v>0</v>
      </c>
      <c r="R2100" s="2" t="inlineStr"/>
    </row>
    <row r="2101" ht="15" customHeight="1">
      <c r="A2101" t="inlineStr">
        <is>
          <t>A 14867-2023</t>
        </is>
      </c>
      <c r="B2101" s="1" t="n">
        <v>45015</v>
      </c>
      <c r="C2101" s="1" t="n">
        <v>45688</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14866-2023</t>
        </is>
      </c>
      <c r="B2102" s="1" t="n">
        <v>45015</v>
      </c>
      <c r="C2102" s="1" t="n">
        <v>45688</v>
      </c>
      <c r="D2102" t="inlineStr">
        <is>
          <t>JÄMTLANDS LÄN</t>
        </is>
      </c>
      <c r="E2102" t="inlineStr">
        <is>
          <t>STRÖMSUND</t>
        </is>
      </c>
      <c r="F2102" t="inlineStr">
        <is>
          <t>SCA</t>
        </is>
      </c>
      <c r="G2102" t="n">
        <v>64.90000000000001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15064-2023</t>
        </is>
      </c>
      <c r="B2103" s="1" t="n">
        <v>45015</v>
      </c>
      <c r="C2103" s="1" t="n">
        <v>45688</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15207-2023</t>
        </is>
      </c>
      <c r="B2104" s="1" t="n">
        <v>45018</v>
      </c>
      <c r="C2104" s="1" t="n">
        <v>45688</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15455-2023</t>
        </is>
      </c>
      <c r="B2105" s="1" t="n">
        <v>45019</v>
      </c>
      <c r="C2105" s="1" t="n">
        <v>45688</v>
      </c>
      <c r="D2105" t="inlineStr">
        <is>
          <t>JÄMTLANDS LÄN</t>
        </is>
      </c>
      <c r="E2105" t="inlineStr">
        <is>
          <t>STRÖMSUND</t>
        </is>
      </c>
      <c r="G2105" t="n">
        <v>20.3</v>
      </c>
      <c r="H2105" t="n">
        <v>0</v>
      </c>
      <c r="I2105" t="n">
        <v>0</v>
      </c>
      <c r="J2105" t="n">
        <v>0</v>
      </c>
      <c r="K2105" t="n">
        <v>0</v>
      </c>
      <c r="L2105" t="n">
        <v>0</v>
      </c>
      <c r="M2105" t="n">
        <v>0</v>
      </c>
      <c r="N2105" t="n">
        <v>0</v>
      </c>
      <c r="O2105" t="n">
        <v>0</v>
      </c>
      <c r="P2105" t="n">
        <v>0</v>
      </c>
      <c r="Q2105" t="n">
        <v>0</v>
      </c>
      <c r="R2105" s="2" t="inlineStr"/>
    </row>
    <row r="2106" ht="15" customHeight="1">
      <c r="A2106" t="inlineStr">
        <is>
          <t>A 15818-2023</t>
        </is>
      </c>
      <c r="B2106" s="1" t="n">
        <v>45021</v>
      </c>
      <c r="C2106" s="1" t="n">
        <v>45688</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v>
      </c>
      <c r="C2107" s="1" t="n">
        <v>45688</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17334-2023</t>
        </is>
      </c>
      <c r="B2108" s="1" t="n">
        <v>45033</v>
      </c>
      <c r="C2108" s="1" t="n">
        <v>45688</v>
      </c>
      <c r="D2108" t="inlineStr">
        <is>
          <t>JÄMTLANDS LÄN</t>
        </is>
      </c>
      <c r="E2108" t="inlineStr">
        <is>
          <t>STRÖMSUND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17006-2023</t>
        </is>
      </c>
      <c r="B2109" s="1" t="n">
        <v>45033</v>
      </c>
      <c r="C2109" s="1" t="n">
        <v>45688</v>
      </c>
      <c r="D2109" t="inlineStr">
        <is>
          <t>JÄMTLANDS LÄN</t>
        </is>
      </c>
      <c r="E2109" t="inlineStr">
        <is>
          <t>STRÖMSUND</t>
        </is>
      </c>
      <c r="F2109" t="inlineStr">
        <is>
          <t>SCA</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17337-2023</t>
        </is>
      </c>
      <c r="B2110" s="1" t="n">
        <v>45033</v>
      </c>
      <c r="C2110" s="1" t="n">
        <v>45688</v>
      </c>
      <c r="D2110" t="inlineStr">
        <is>
          <t>JÄMTLANDS LÄN</t>
        </is>
      </c>
      <c r="E2110" t="inlineStr">
        <is>
          <t>STRÖMSUND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17338-2023</t>
        </is>
      </c>
      <c r="B2111" s="1" t="n">
        <v>45033</v>
      </c>
      <c r="C2111" s="1" t="n">
        <v>45688</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17222-2023</t>
        </is>
      </c>
      <c r="B2112" s="1" t="n">
        <v>45035</v>
      </c>
      <c r="C2112" s="1" t="n">
        <v>45688</v>
      </c>
      <c r="D2112" t="inlineStr">
        <is>
          <t>JÄMTLANDS LÄN</t>
        </is>
      </c>
      <c r="E2112" t="inlineStr">
        <is>
          <t>STRÖMSUND</t>
        </is>
      </c>
      <c r="F2112" t="inlineStr">
        <is>
          <t>SCA</t>
        </is>
      </c>
      <c r="G2112" t="n">
        <v>25.2</v>
      </c>
      <c r="H2112" t="n">
        <v>0</v>
      </c>
      <c r="I2112" t="n">
        <v>0</v>
      </c>
      <c r="J2112" t="n">
        <v>0</v>
      </c>
      <c r="K2112" t="n">
        <v>0</v>
      </c>
      <c r="L2112" t="n">
        <v>0</v>
      </c>
      <c r="M2112" t="n">
        <v>0</v>
      </c>
      <c r="N2112" t="n">
        <v>0</v>
      </c>
      <c r="O2112" t="n">
        <v>0</v>
      </c>
      <c r="P2112" t="n">
        <v>0</v>
      </c>
      <c r="Q2112" t="n">
        <v>0</v>
      </c>
      <c r="R2112" s="2" t="inlineStr"/>
    </row>
    <row r="2113" ht="15" customHeight="1">
      <c r="A2113" t="inlineStr">
        <is>
          <t>A 17220-2023</t>
        </is>
      </c>
      <c r="B2113" s="1" t="n">
        <v>45035</v>
      </c>
      <c r="C2113" s="1" t="n">
        <v>45688</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17433-2023</t>
        </is>
      </c>
      <c r="B2114" s="1" t="n">
        <v>45035</v>
      </c>
      <c r="C2114" s="1" t="n">
        <v>45688</v>
      </c>
      <c r="D2114" t="inlineStr">
        <is>
          <t>JÄMTLANDS LÄN</t>
        </is>
      </c>
      <c r="E2114" t="inlineStr">
        <is>
          <t>STRÖMSUND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17663-2023</t>
        </is>
      </c>
      <c r="B2115" s="1" t="n">
        <v>45037</v>
      </c>
      <c r="C2115" s="1" t="n">
        <v>45688</v>
      </c>
      <c r="D2115" t="inlineStr">
        <is>
          <t>JÄMTLANDS LÄN</t>
        </is>
      </c>
      <c r="E2115" t="inlineStr">
        <is>
          <t>STRÖMSUND</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17662-2023</t>
        </is>
      </c>
      <c r="B2116" s="1" t="n">
        <v>45037</v>
      </c>
      <c r="C2116" s="1" t="n">
        <v>45688</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17798-2023</t>
        </is>
      </c>
      <c r="B2117" s="1" t="n">
        <v>45036</v>
      </c>
      <c r="C2117" s="1" t="n">
        <v>45688</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17789-2023</t>
        </is>
      </c>
      <c r="B2118" s="1" t="n">
        <v>45036</v>
      </c>
      <c r="C2118" s="1" t="n">
        <v>45688</v>
      </c>
      <c r="D2118" t="inlineStr">
        <is>
          <t>JÄMTLANDS LÄN</t>
        </is>
      </c>
      <c r="E2118" t="inlineStr">
        <is>
          <t>STRÖMSUND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18158-2023</t>
        </is>
      </c>
      <c r="B2119" s="1" t="n">
        <v>45040</v>
      </c>
      <c r="C2119" s="1" t="n">
        <v>45688</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18369-2023</t>
        </is>
      </c>
      <c r="B2120" s="1" t="n">
        <v>45042</v>
      </c>
      <c r="C2120" s="1" t="n">
        <v>45688</v>
      </c>
      <c r="D2120" t="inlineStr">
        <is>
          <t>JÄMTLANDS LÄN</t>
        </is>
      </c>
      <c r="E2120" t="inlineStr">
        <is>
          <t>STRÖMSUND</t>
        </is>
      </c>
      <c r="F2120" t="inlineStr">
        <is>
          <t>SCA</t>
        </is>
      </c>
      <c r="G2120" t="n">
        <v>100.1</v>
      </c>
      <c r="H2120" t="n">
        <v>0</v>
      </c>
      <c r="I2120" t="n">
        <v>0</v>
      </c>
      <c r="J2120" t="n">
        <v>0</v>
      </c>
      <c r="K2120" t="n">
        <v>0</v>
      </c>
      <c r="L2120" t="n">
        <v>0</v>
      </c>
      <c r="M2120" t="n">
        <v>0</v>
      </c>
      <c r="N2120" t="n">
        <v>0</v>
      </c>
      <c r="O2120" t="n">
        <v>0</v>
      </c>
      <c r="P2120" t="n">
        <v>0</v>
      </c>
      <c r="Q2120" t="n">
        <v>0</v>
      </c>
      <c r="R2120" s="2" t="inlineStr"/>
    </row>
    <row r="2121" ht="15" customHeight="1">
      <c r="A2121" t="inlineStr">
        <is>
          <t>A 18374-2023</t>
        </is>
      </c>
      <c r="B2121" s="1" t="n">
        <v>45041</v>
      </c>
      <c r="C2121" s="1" t="n">
        <v>45688</v>
      </c>
      <c r="D2121" t="inlineStr">
        <is>
          <t>JÄMTLANDS LÄN</t>
        </is>
      </c>
      <c r="E2121" t="inlineStr">
        <is>
          <t>STRÖMSUND</t>
        </is>
      </c>
      <c r="F2121" t="inlineStr">
        <is>
          <t>SCA</t>
        </is>
      </c>
      <c r="G2121" t="n">
        <v>29.7</v>
      </c>
      <c r="H2121" t="n">
        <v>0</v>
      </c>
      <c r="I2121" t="n">
        <v>0</v>
      </c>
      <c r="J2121" t="n">
        <v>0</v>
      </c>
      <c r="K2121" t="n">
        <v>0</v>
      </c>
      <c r="L2121" t="n">
        <v>0</v>
      </c>
      <c r="M2121" t="n">
        <v>0</v>
      </c>
      <c r="N2121" t="n">
        <v>0</v>
      </c>
      <c r="O2121" t="n">
        <v>0</v>
      </c>
      <c r="P2121" t="n">
        <v>0</v>
      </c>
      <c r="Q2121" t="n">
        <v>0</v>
      </c>
      <c r="R2121" s="2" t="inlineStr"/>
    </row>
    <row r="2122" ht="15" customHeight="1">
      <c r="A2122" t="inlineStr">
        <is>
          <t>A 18553-2023</t>
        </is>
      </c>
      <c r="B2122" s="1" t="n">
        <v>45042</v>
      </c>
      <c r="C2122" s="1" t="n">
        <v>45688</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18564-2023</t>
        </is>
      </c>
      <c r="B2123" s="1" t="n">
        <v>45043</v>
      </c>
      <c r="C2123" s="1" t="n">
        <v>45688</v>
      </c>
      <c r="D2123" t="inlineStr">
        <is>
          <t>JÄMTLANDS LÄN</t>
        </is>
      </c>
      <c r="E2123" t="inlineStr">
        <is>
          <t>STRÖMSUND</t>
        </is>
      </c>
      <c r="F2123" t="inlineStr">
        <is>
          <t>SCA</t>
        </is>
      </c>
      <c r="G2123" t="n">
        <v>40.5</v>
      </c>
      <c r="H2123" t="n">
        <v>0</v>
      </c>
      <c r="I2123" t="n">
        <v>0</v>
      </c>
      <c r="J2123" t="n">
        <v>0</v>
      </c>
      <c r="K2123" t="n">
        <v>0</v>
      </c>
      <c r="L2123" t="n">
        <v>0</v>
      </c>
      <c r="M2123" t="n">
        <v>0</v>
      </c>
      <c r="N2123" t="n">
        <v>0</v>
      </c>
      <c r="O2123" t="n">
        <v>0</v>
      </c>
      <c r="P2123" t="n">
        <v>0</v>
      </c>
      <c r="Q2123" t="n">
        <v>0</v>
      </c>
      <c r="R2123" s="2" t="inlineStr"/>
    </row>
    <row r="2124" ht="15" customHeight="1">
      <c r="A2124" t="inlineStr">
        <is>
          <t>A 18775-2023</t>
        </is>
      </c>
      <c r="B2124" s="1" t="n">
        <v>45044</v>
      </c>
      <c r="C2124" s="1" t="n">
        <v>45688</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18773-2023</t>
        </is>
      </c>
      <c r="B2125" s="1" t="n">
        <v>45044</v>
      </c>
      <c r="C2125" s="1" t="n">
        <v>45688</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18783-2023</t>
        </is>
      </c>
      <c r="B2126" s="1" t="n">
        <v>45043</v>
      </c>
      <c r="C2126" s="1" t="n">
        <v>45688</v>
      </c>
      <c r="D2126" t="inlineStr">
        <is>
          <t>JÄMTLANDS LÄN</t>
        </is>
      </c>
      <c r="E2126" t="inlineStr">
        <is>
          <t>STRÖMSUND</t>
        </is>
      </c>
      <c r="F2126" t="inlineStr">
        <is>
          <t>SCA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18768-2023</t>
        </is>
      </c>
      <c r="B2127" s="1" t="n">
        <v>45043</v>
      </c>
      <c r="C2127" s="1" t="n">
        <v>45688</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18777-2023</t>
        </is>
      </c>
      <c r="B2128" s="1" t="n">
        <v>45044</v>
      </c>
      <c r="C2128" s="1" t="n">
        <v>45688</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45044</v>
      </c>
      <c r="C2129" s="1" t="n">
        <v>45688</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18788-2023</t>
        </is>
      </c>
      <c r="B2130" s="1" t="n">
        <v>45044</v>
      </c>
      <c r="C2130" s="1" t="n">
        <v>45688</v>
      </c>
      <c r="D2130" t="inlineStr">
        <is>
          <t>JÄMTLANDS LÄN</t>
        </is>
      </c>
      <c r="E2130" t="inlineStr">
        <is>
          <t>STRÖMSUND</t>
        </is>
      </c>
      <c r="F2130" t="inlineStr">
        <is>
          <t>SCA</t>
        </is>
      </c>
      <c r="G2130" t="n">
        <v>69.09999999999999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18992-2023</t>
        </is>
      </c>
      <c r="B2131" s="1" t="n">
        <v>45044</v>
      </c>
      <c r="C2131" s="1" t="n">
        <v>45688</v>
      </c>
      <c r="D2131" t="inlineStr">
        <is>
          <t>JÄMTLANDS LÄN</t>
        </is>
      </c>
      <c r="E2131" t="inlineStr">
        <is>
          <t>STRÖMSUND</t>
        </is>
      </c>
      <c r="F2131" t="inlineStr">
        <is>
          <t>SCA</t>
        </is>
      </c>
      <c r="G2131" t="n">
        <v>25.7</v>
      </c>
      <c r="H2131" t="n">
        <v>0</v>
      </c>
      <c r="I2131" t="n">
        <v>0</v>
      </c>
      <c r="J2131" t="n">
        <v>0</v>
      </c>
      <c r="K2131" t="n">
        <v>0</v>
      </c>
      <c r="L2131" t="n">
        <v>0</v>
      </c>
      <c r="M2131" t="n">
        <v>0</v>
      </c>
      <c r="N2131" t="n">
        <v>0</v>
      </c>
      <c r="O2131" t="n">
        <v>0</v>
      </c>
      <c r="P2131" t="n">
        <v>0</v>
      </c>
      <c r="Q2131" t="n">
        <v>0</v>
      </c>
      <c r="R2131" s="2" t="inlineStr"/>
    </row>
    <row r="2132" ht="15" customHeight="1">
      <c r="A2132" t="inlineStr">
        <is>
          <t>A 18993-2023</t>
        </is>
      </c>
      <c r="B2132" s="1" t="n">
        <v>45044</v>
      </c>
      <c r="C2132" s="1" t="n">
        <v>45688</v>
      </c>
      <c r="D2132" t="inlineStr">
        <is>
          <t>JÄMTLANDS LÄN</t>
        </is>
      </c>
      <c r="E2132" t="inlineStr">
        <is>
          <t>STRÖMSUND</t>
        </is>
      </c>
      <c r="F2132" t="inlineStr">
        <is>
          <t>SCA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18997-2023</t>
        </is>
      </c>
      <c r="B2133" s="1" t="n">
        <v>45044</v>
      </c>
      <c r="C2133" s="1" t="n">
        <v>45688</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18994-2023</t>
        </is>
      </c>
      <c r="B2134" s="1" t="n">
        <v>45045</v>
      </c>
      <c r="C2134" s="1" t="n">
        <v>45688</v>
      </c>
      <c r="D2134" t="inlineStr">
        <is>
          <t>JÄMTLANDS LÄN</t>
        </is>
      </c>
      <c r="E2134" t="inlineStr">
        <is>
          <t>STRÖMSUND</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19029-2023</t>
        </is>
      </c>
      <c r="B2135" s="1" t="n">
        <v>45047</v>
      </c>
      <c r="C2135" s="1" t="n">
        <v>45688</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19027-2023</t>
        </is>
      </c>
      <c r="B2136" s="1" t="n">
        <v>45047</v>
      </c>
      <c r="C2136" s="1" t="n">
        <v>45688</v>
      </c>
      <c r="D2136" t="inlineStr">
        <is>
          <t>JÄMTLANDS LÄN</t>
        </is>
      </c>
      <c r="E2136" t="inlineStr">
        <is>
          <t>STRÖMSUND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19026-2023</t>
        </is>
      </c>
      <c r="B2137" s="1" t="n">
        <v>45047</v>
      </c>
      <c r="C2137" s="1" t="n">
        <v>45688</v>
      </c>
      <c r="D2137" t="inlineStr">
        <is>
          <t>JÄMTLANDS LÄN</t>
        </is>
      </c>
      <c r="E2137" t="inlineStr">
        <is>
          <t>STRÖMSUND</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19239-2023</t>
        </is>
      </c>
      <c r="B2138" s="1" t="n">
        <v>45048</v>
      </c>
      <c r="C2138" s="1" t="n">
        <v>45688</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45688</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19621-2023</t>
        </is>
      </c>
      <c r="B2140" s="1" t="n">
        <v>45051</v>
      </c>
      <c r="C2140" s="1" t="n">
        <v>45688</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19658-2023</t>
        </is>
      </c>
      <c r="B2141" s="1" t="n">
        <v>45050</v>
      </c>
      <c r="C2141" s="1" t="n">
        <v>45688</v>
      </c>
      <c r="D2141" t="inlineStr">
        <is>
          <t>JÄMTLANDS LÄN</t>
        </is>
      </c>
      <c r="E2141" t="inlineStr">
        <is>
          <t>STRÖMSUND</t>
        </is>
      </c>
      <c r="F2141" t="inlineStr">
        <is>
          <t>Kommuner</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19652-2023</t>
        </is>
      </c>
      <c r="B2142" s="1" t="n">
        <v>45050</v>
      </c>
      <c r="C2142" s="1" t="n">
        <v>45688</v>
      </c>
      <c r="D2142" t="inlineStr">
        <is>
          <t>JÄMTLANDS LÄN</t>
        </is>
      </c>
      <c r="E2142" t="inlineStr">
        <is>
          <t>STRÖMSUND</t>
        </is>
      </c>
      <c r="F2142" t="inlineStr">
        <is>
          <t>Kommuner</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19656-2023</t>
        </is>
      </c>
      <c r="B2143" s="1" t="n">
        <v>45050</v>
      </c>
      <c r="C2143" s="1" t="n">
        <v>45688</v>
      </c>
      <c r="D2143" t="inlineStr">
        <is>
          <t>JÄMTLANDS LÄN</t>
        </is>
      </c>
      <c r="E2143" t="inlineStr">
        <is>
          <t>STRÖMSUND</t>
        </is>
      </c>
      <c r="F2143" t="inlineStr">
        <is>
          <t>Kommuner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19826-2023</t>
        </is>
      </c>
      <c r="B2144" s="1" t="n">
        <v>45052</v>
      </c>
      <c r="C2144" s="1" t="n">
        <v>45688</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19831-2023</t>
        </is>
      </c>
      <c r="B2145" s="1" t="n">
        <v>45052</v>
      </c>
      <c r="C2145" s="1" t="n">
        <v>45688</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20590-2023</t>
        </is>
      </c>
      <c r="B2146" s="1" t="n">
        <v>45058</v>
      </c>
      <c r="C2146" s="1" t="n">
        <v>45688</v>
      </c>
      <c r="D2146" t="inlineStr">
        <is>
          <t>JÄMTLANDS LÄN</t>
        </is>
      </c>
      <c r="E2146" t="inlineStr">
        <is>
          <t>STRÖMSUND</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20631-2023</t>
        </is>
      </c>
      <c r="B2147" s="1" t="n">
        <v>45057</v>
      </c>
      <c r="C2147" s="1" t="n">
        <v>45688</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21146-2023</t>
        </is>
      </c>
      <c r="B2148" s="1" t="n">
        <v>45057</v>
      </c>
      <c r="C2148" s="1" t="n">
        <v>45688</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20597-2023</t>
        </is>
      </c>
      <c r="B2149" s="1" t="n">
        <v>45058</v>
      </c>
      <c r="C2149" s="1" t="n">
        <v>45688</v>
      </c>
      <c r="D2149" t="inlineStr">
        <is>
          <t>JÄMTLANDS LÄN</t>
        </is>
      </c>
      <c r="E2149" t="inlineStr">
        <is>
          <t>STRÖMSUND</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20592-2023</t>
        </is>
      </c>
      <c r="B2150" s="1" t="n">
        <v>45057</v>
      </c>
      <c r="C2150" s="1" t="n">
        <v>45688</v>
      </c>
      <c r="D2150" t="inlineStr">
        <is>
          <t>JÄMTLANDS LÄN</t>
        </is>
      </c>
      <c r="E2150" t="inlineStr">
        <is>
          <t>STRÖMSUND</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20887-2023</t>
        </is>
      </c>
      <c r="B2151" s="1" t="n">
        <v>45058</v>
      </c>
      <c r="C2151" s="1" t="n">
        <v>45688</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21115-2023</t>
        </is>
      </c>
      <c r="B2152" s="1" t="n">
        <v>45061</v>
      </c>
      <c r="C2152" s="1" t="n">
        <v>45688</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21110-2023</t>
        </is>
      </c>
      <c r="B2153" s="1" t="n">
        <v>45061</v>
      </c>
      <c r="C2153" s="1" t="n">
        <v>45688</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21358-2023</t>
        </is>
      </c>
      <c r="B2154" s="1" t="n">
        <v>45063</v>
      </c>
      <c r="C2154" s="1" t="n">
        <v>45688</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21338-2023</t>
        </is>
      </c>
      <c r="B2155" s="1" t="n">
        <v>45062</v>
      </c>
      <c r="C2155" s="1" t="n">
        <v>45688</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21339-2023</t>
        </is>
      </c>
      <c r="B2156" s="1" t="n">
        <v>45063</v>
      </c>
      <c r="C2156" s="1" t="n">
        <v>45688</v>
      </c>
      <c r="D2156" t="inlineStr">
        <is>
          <t>JÄMTLANDS LÄN</t>
        </is>
      </c>
      <c r="E2156" t="inlineStr">
        <is>
          <t>STRÖMSUND</t>
        </is>
      </c>
      <c r="F2156" t="inlineStr">
        <is>
          <t>SCA</t>
        </is>
      </c>
      <c r="G2156" t="n">
        <v>22.5</v>
      </c>
      <c r="H2156" t="n">
        <v>0</v>
      </c>
      <c r="I2156" t="n">
        <v>0</v>
      </c>
      <c r="J2156" t="n">
        <v>0</v>
      </c>
      <c r="K2156" t="n">
        <v>0</v>
      </c>
      <c r="L2156" t="n">
        <v>0</v>
      </c>
      <c r="M2156" t="n">
        <v>0</v>
      </c>
      <c r="N2156" t="n">
        <v>0</v>
      </c>
      <c r="O2156" t="n">
        <v>0</v>
      </c>
      <c r="P2156" t="n">
        <v>0</v>
      </c>
      <c r="Q2156" t="n">
        <v>0</v>
      </c>
      <c r="R2156" s="2" t="inlineStr"/>
    </row>
    <row r="2157" ht="15" customHeight="1">
      <c r="A2157" t="inlineStr">
        <is>
          <t>A 21687-2023</t>
        </is>
      </c>
      <c r="B2157" s="1" t="n">
        <v>45063</v>
      </c>
      <c r="C2157" s="1" t="n">
        <v>45688</v>
      </c>
      <c r="D2157" t="inlineStr">
        <is>
          <t>JÄMTLANDS LÄN</t>
        </is>
      </c>
      <c r="E2157" t="inlineStr">
        <is>
          <t>STRÖMSUND</t>
        </is>
      </c>
      <c r="F2157" t="inlineStr">
        <is>
          <t>SCA</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21685-2023</t>
        </is>
      </c>
      <c r="B2158" s="1" t="n">
        <v>45064</v>
      </c>
      <c r="C2158" s="1" t="n">
        <v>45688</v>
      </c>
      <c r="D2158" t="inlineStr">
        <is>
          <t>JÄMTLANDS LÄN</t>
        </is>
      </c>
      <c r="E2158" t="inlineStr">
        <is>
          <t>STRÖMSUND</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21711-2023</t>
        </is>
      </c>
      <c r="B2159" s="1" t="n">
        <v>45065</v>
      </c>
      <c r="C2159" s="1" t="n">
        <v>45688</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22223-2023</t>
        </is>
      </c>
      <c r="B2160" s="1" t="n">
        <v>45069</v>
      </c>
      <c r="C2160" s="1" t="n">
        <v>45688</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22475-2023</t>
        </is>
      </c>
      <c r="B2161" s="1" t="n">
        <v>45071</v>
      </c>
      <c r="C2161" s="1" t="n">
        <v>45688</v>
      </c>
      <c r="D2161" t="inlineStr">
        <is>
          <t>JÄMTLANDS LÄN</t>
        </is>
      </c>
      <c r="E2161" t="inlineStr">
        <is>
          <t>STRÖMSUND</t>
        </is>
      </c>
      <c r="F2161" t="inlineStr">
        <is>
          <t>SCA</t>
        </is>
      </c>
      <c r="G2161" t="n">
        <v>35.1</v>
      </c>
      <c r="H2161" t="n">
        <v>0</v>
      </c>
      <c r="I2161" t="n">
        <v>0</v>
      </c>
      <c r="J2161" t="n">
        <v>0</v>
      </c>
      <c r="K2161" t="n">
        <v>0</v>
      </c>
      <c r="L2161" t="n">
        <v>0</v>
      </c>
      <c r="M2161" t="n">
        <v>0</v>
      </c>
      <c r="N2161" t="n">
        <v>0</v>
      </c>
      <c r="O2161" t="n">
        <v>0</v>
      </c>
      <c r="P2161" t="n">
        <v>0</v>
      </c>
      <c r="Q2161" t="n">
        <v>0</v>
      </c>
      <c r="R2161" s="2" t="inlineStr"/>
    </row>
    <row r="2162" ht="15" customHeight="1">
      <c r="A2162" t="inlineStr">
        <is>
          <t>A 22346-2023</t>
        </is>
      </c>
      <c r="B2162" s="1" t="n">
        <v>45070</v>
      </c>
      <c r="C2162" s="1" t="n">
        <v>45688</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22468-2023</t>
        </is>
      </c>
      <c r="B2163" s="1" t="n">
        <v>45070</v>
      </c>
      <c r="C2163" s="1" t="n">
        <v>45688</v>
      </c>
      <c r="D2163" t="inlineStr">
        <is>
          <t>JÄMTLANDS LÄN</t>
        </is>
      </c>
      <c r="E2163" t="inlineStr">
        <is>
          <t>STRÖMSUND</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22478-2023</t>
        </is>
      </c>
      <c r="B2164" s="1" t="n">
        <v>45071</v>
      </c>
      <c r="C2164" s="1" t="n">
        <v>45688</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22476-2023</t>
        </is>
      </c>
      <c r="B2165" s="1" t="n">
        <v>45070</v>
      </c>
      <c r="C2165" s="1" t="n">
        <v>45688</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22477-2023</t>
        </is>
      </c>
      <c r="B2166" s="1" t="n">
        <v>45070</v>
      </c>
      <c r="C2166" s="1" t="n">
        <v>45688</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22745-2023</t>
        </is>
      </c>
      <c r="B2167" s="1" t="n">
        <v>45072</v>
      </c>
      <c r="C2167" s="1" t="n">
        <v>45688</v>
      </c>
      <c r="D2167" t="inlineStr">
        <is>
          <t>JÄMTLANDS LÄN</t>
        </is>
      </c>
      <c r="E2167" t="inlineStr">
        <is>
          <t>STRÖMSUND</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23303-2023</t>
        </is>
      </c>
      <c r="B2168" s="1" t="n">
        <v>45076</v>
      </c>
      <c r="C2168" s="1" t="n">
        <v>45688</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23310-2023</t>
        </is>
      </c>
      <c r="B2169" s="1" t="n">
        <v>45075</v>
      </c>
      <c r="C2169" s="1" t="n">
        <v>45688</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23309-2023</t>
        </is>
      </c>
      <c r="B2170" s="1" t="n">
        <v>45075</v>
      </c>
      <c r="C2170" s="1" t="n">
        <v>45688</v>
      </c>
      <c r="D2170" t="inlineStr">
        <is>
          <t>JÄMTLANDS LÄN</t>
        </is>
      </c>
      <c r="E2170" t="inlineStr">
        <is>
          <t>STRÖMSUND</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23311-2023</t>
        </is>
      </c>
      <c r="B2171" s="1" t="n">
        <v>45075</v>
      </c>
      <c r="C2171" s="1" t="n">
        <v>45688</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23906-2023</t>
        </is>
      </c>
      <c r="B2172" s="1" t="n">
        <v>45075</v>
      </c>
      <c r="C2172" s="1" t="n">
        <v>45688</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23839-2023</t>
        </is>
      </c>
      <c r="B2173" s="1" t="n">
        <v>45075</v>
      </c>
      <c r="C2173" s="1" t="n">
        <v>45688</v>
      </c>
      <c r="D2173" t="inlineStr">
        <is>
          <t>JÄMTLANDS LÄN</t>
        </is>
      </c>
      <c r="E2173" t="inlineStr">
        <is>
          <t>STRÖMSUND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23446-2023</t>
        </is>
      </c>
      <c r="B2174" s="1" t="n">
        <v>45076</v>
      </c>
      <c r="C2174" s="1" t="n">
        <v>45688</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23406-2023</t>
        </is>
      </c>
      <c r="B2175" s="1" t="n">
        <v>45076</v>
      </c>
      <c r="C2175" s="1" t="n">
        <v>45688</v>
      </c>
      <c r="D2175" t="inlineStr">
        <is>
          <t>JÄMTLANDS LÄN</t>
        </is>
      </c>
      <c r="E2175" t="inlineStr">
        <is>
          <t>STRÖMSUND</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23528-2023</t>
        </is>
      </c>
      <c r="B2176" s="1" t="n">
        <v>45076</v>
      </c>
      <c r="C2176" s="1" t="n">
        <v>45688</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23518-2023</t>
        </is>
      </c>
      <c r="B2177" s="1" t="n">
        <v>45077</v>
      </c>
      <c r="C2177" s="1" t="n">
        <v>45688</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23525-2023</t>
        </is>
      </c>
      <c r="B2178" s="1" t="n">
        <v>45076</v>
      </c>
      <c r="C2178" s="1" t="n">
        <v>45688</v>
      </c>
      <c r="D2178" t="inlineStr">
        <is>
          <t>JÄMTLANDS LÄN</t>
        </is>
      </c>
      <c r="E2178" t="inlineStr">
        <is>
          <t>STRÖMSUND</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23748-2023</t>
        </is>
      </c>
      <c r="B2179" s="1" t="n">
        <v>45077</v>
      </c>
      <c r="C2179" s="1" t="n">
        <v>45688</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23777-2023</t>
        </is>
      </c>
      <c r="B2180" s="1" t="n">
        <v>45078</v>
      </c>
      <c r="C2180" s="1" t="n">
        <v>45688</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23770-2023</t>
        </is>
      </c>
      <c r="B2181" s="1" t="n">
        <v>45078</v>
      </c>
      <c r="C2181" s="1" t="n">
        <v>45688</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23780-2023</t>
        </is>
      </c>
      <c r="B2182" s="1" t="n">
        <v>45078</v>
      </c>
      <c r="C2182" s="1" t="n">
        <v>45688</v>
      </c>
      <c r="D2182" t="inlineStr">
        <is>
          <t>JÄMTLANDS LÄN</t>
        </is>
      </c>
      <c r="E2182" t="inlineStr">
        <is>
          <t>STRÖMSUND</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23779-2023</t>
        </is>
      </c>
      <c r="B2183" s="1" t="n">
        <v>45078</v>
      </c>
      <c r="C2183" s="1" t="n">
        <v>45688</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23783-2023</t>
        </is>
      </c>
      <c r="B2184" s="1" t="n">
        <v>45078</v>
      </c>
      <c r="C2184" s="1" t="n">
        <v>45688</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24073-2023</t>
        </is>
      </c>
      <c r="B2185" s="1" t="n">
        <v>45079</v>
      </c>
      <c r="C2185" s="1" t="n">
        <v>45688</v>
      </c>
      <c r="D2185" t="inlineStr">
        <is>
          <t>JÄMTLANDS LÄN</t>
        </is>
      </c>
      <c r="E2185" t="inlineStr">
        <is>
          <t>STRÖMSUND</t>
        </is>
      </c>
      <c r="F2185" t="inlineStr">
        <is>
          <t>SCA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24071-2023</t>
        </is>
      </c>
      <c r="B2186" s="1" t="n">
        <v>45079</v>
      </c>
      <c r="C2186" s="1" t="n">
        <v>45688</v>
      </c>
      <c r="D2186" t="inlineStr">
        <is>
          <t>JÄMTLANDS LÄN</t>
        </is>
      </c>
      <c r="E2186" t="inlineStr">
        <is>
          <t>STRÖMSUND</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24070-2023</t>
        </is>
      </c>
      <c r="B2187" s="1" t="n">
        <v>45078</v>
      </c>
      <c r="C2187" s="1" t="n">
        <v>45688</v>
      </c>
      <c r="D2187" t="inlineStr">
        <is>
          <t>JÄMTLANDS LÄN</t>
        </is>
      </c>
      <c r="E2187" t="inlineStr">
        <is>
          <t>STRÖMSUND</t>
        </is>
      </c>
      <c r="F2187" t="inlineStr">
        <is>
          <t>SCA</t>
        </is>
      </c>
      <c r="G2187" t="n">
        <v>25.2</v>
      </c>
      <c r="H2187" t="n">
        <v>0</v>
      </c>
      <c r="I2187" t="n">
        <v>0</v>
      </c>
      <c r="J2187" t="n">
        <v>0</v>
      </c>
      <c r="K2187" t="n">
        <v>0</v>
      </c>
      <c r="L2187" t="n">
        <v>0</v>
      </c>
      <c r="M2187" t="n">
        <v>0</v>
      </c>
      <c r="N2187" t="n">
        <v>0</v>
      </c>
      <c r="O2187" t="n">
        <v>0</v>
      </c>
      <c r="P2187" t="n">
        <v>0</v>
      </c>
      <c r="Q2187" t="n">
        <v>0</v>
      </c>
      <c r="R2187" s="2" t="inlineStr"/>
    </row>
    <row r="2188" ht="15" customHeight="1">
      <c r="A2188" t="inlineStr">
        <is>
          <t>A 24315-2023</t>
        </is>
      </c>
      <c r="B2188" s="1" t="n">
        <v>45079</v>
      </c>
      <c r="C2188" s="1" t="n">
        <v>45688</v>
      </c>
      <c r="D2188" t="inlineStr">
        <is>
          <t>JÄMTLANDS LÄN</t>
        </is>
      </c>
      <c r="E2188" t="inlineStr">
        <is>
          <t>STRÖMSUND</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24303-2023</t>
        </is>
      </c>
      <c r="B2189" s="1" t="n">
        <v>45079</v>
      </c>
      <c r="C2189" s="1" t="n">
        <v>45688</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24301-2023</t>
        </is>
      </c>
      <c r="B2190" s="1" t="n">
        <v>45080</v>
      </c>
      <c r="C2190" s="1" t="n">
        <v>45688</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24308-2023</t>
        </is>
      </c>
      <c r="B2191" s="1" t="n">
        <v>45080</v>
      </c>
      <c r="C2191" s="1" t="n">
        <v>45688</v>
      </c>
      <c r="D2191" t="inlineStr">
        <is>
          <t>JÄMTLANDS LÄN</t>
        </is>
      </c>
      <c r="E2191" t="inlineStr">
        <is>
          <t>STRÖMSUND</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24313-2023</t>
        </is>
      </c>
      <c r="B2192" s="1" t="n">
        <v>45080</v>
      </c>
      <c r="C2192" s="1" t="n">
        <v>45688</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24317-2023</t>
        </is>
      </c>
      <c r="B2193" s="1" t="n">
        <v>45080</v>
      </c>
      <c r="C2193" s="1" t="n">
        <v>45688</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24312-2023</t>
        </is>
      </c>
      <c r="B2194" s="1" t="n">
        <v>45080</v>
      </c>
      <c r="C2194" s="1" t="n">
        <v>45688</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24316-2023</t>
        </is>
      </c>
      <c r="B2195" s="1" t="n">
        <v>45079</v>
      </c>
      <c r="C2195" s="1" t="n">
        <v>45688</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24397-2023</t>
        </is>
      </c>
      <c r="B2196" s="1" t="n">
        <v>45082</v>
      </c>
      <c r="C2196" s="1" t="n">
        <v>45688</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24599-2023</t>
        </is>
      </c>
      <c r="B2197" s="1" t="n">
        <v>45084</v>
      </c>
      <c r="C2197" s="1" t="n">
        <v>45688</v>
      </c>
      <c r="D2197" t="inlineStr">
        <is>
          <t>JÄMTLANDS LÄN</t>
        </is>
      </c>
      <c r="E2197" t="inlineStr">
        <is>
          <t>STRÖMSUND</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24602-2023</t>
        </is>
      </c>
      <c r="B2198" s="1" t="n">
        <v>45083</v>
      </c>
      <c r="C2198" s="1" t="n">
        <v>45688</v>
      </c>
      <c r="D2198" t="inlineStr">
        <is>
          <t>JÄMTLANDS LÄN</t>
        </is>
      </c>
      <c r="E2198" t="inlineStr">
        <is>
          <t>STRÖMSUND</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24601-2023</t>
        </is>
      </c>
      <c r="B2199" s="1" t="n">
        <v>45084</v>
      </c>
      <c r="C2199" s="1" t="n">
        <v>45688</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24600-2023</t>
        </is>
      </c>
      <c r="B2200" s="1" t="n">
        <v>45084</v>
      </c>
      <c r="C2200" s="1" t="n">
        <v>45688</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24831-2023</t>
        </is>
      </c>
      <c r="B2201" s="1" t="n">
        <v>45085</v>
      </c>
      <c r="C2201" s="1" t="n">
        <v>45688</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24833-2023</t>
        </is>
      </c>
      <c r="B2202" s="1" t="n">
        <v>45084</v>
      </c>
      <c r="C2202" s="1" t="n">
        <v>45688</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24830-2023</t>
        </is>
      </c>
      <c r="B2203" s="1" t="n">
        <v>45085</v>
      </c>
      <c r="C2203" s="1" t="n">
        <v>45688</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25052-2023</t>
        </is>
      </c>
      <c r="B2204" s="1" t="n">
        <v>45086</v>
      </c>
      <c r="C2204" s="1" t="n">
        <v>45688</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25026-2023</t>
        </is>
      </c>
      <c r="B2205" s="1" t="n">
        <v>45085</v>
      </c>
      <c r="C2205" s="1" t="n">
        <v>45688</v>
      </c>
      <c r="D2205" t="inlineStr">
        <is>
          <t>JÄMTLANDS LÄN</t>
        </is>
      </c>
      <c r="E2205" t="inlineStr">
        <is>
          <t>STRÖMSUND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25066-2023</t>
        </is>
      </c>
      <c r="B2206" s="1" t="n">
        <v>45085</v>
      </c>
      <c r="C2206" s="1" t="n">
        <v>45688</v>
      </c>
      <c r="D2206" t="inlineStr">
        <is>
          <t>JÄMTLANDS LÄN</t>
        </is>
      </c>
      <c r="E2206" t="inlineStr">
        <is>
          <t>STRÖMSUND</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25328-2023</t>
        </is>
      </c>
      <c r="B2207" s="1" t="n">
        <v>45087</v>
      </c>
      <c r="C2207" s="1" t="n">
        <v>45688</v>
      </c>
      <c r="D2207" t="inlineStr">
        <is>
          <t>JÄMTLANDS LÄN</t>
        </is>
      </c>
      <c r="E2207" t="inlineStr">
        <is>
          <t>STRÖMSUND</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26226-2023</t>
        </is>
      </c>
      <c r="B2208" s="1" t="n">
        <v>45086</v>
      </c>
      <c r="C2208" s="1" t="n">
        <v>45688</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25326-2023</t>
        </is>
      </c>
      <c r="B2209" s="1" t="n">
        <v>45087</v>
      </c>
      <c r="C2209" s="1" t="n">
        <v>45688</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25673-2023</t>
        </is>
      </c>
      <c r="B2210" s="1" t="n">
        <v>45090</v>
      </c>
      <c r="C2210" s="1" t="n">
        <v>45688</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25682-2023</t>
        </is>
      </c>
      <c r="B2211" s="1" t="n">
        <v>45089</v>
      </c>
      <c r="C2211" s="1" t="n">
        <v>45688</v>
      </c>
      <c r="D2211" t="inlineStr">
        <is>
          <t>JÄMTLANDS LÄN</t>
        </is>
      </c>
      <c r="E2211" t="inlineStr">
        <is>
          <t>STRÖMSUND</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26346-2023</t>
        </is>
      </c>
      <c r="B2212" s="1" t="n">
        <v>45092</v>
      </c>
      <c r="C2212" s="1" t="n">
        <v>45688</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26349-2023</t>
        </is>
      </c>
      <c r="B2213" s="1" t="n">
        <v>45092</v>
      </c>
      <c r="C2213" s="1" t="n">
        <v>45688</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26348-2023</t>
        </is>
      </c>
      <c r="B2214" s="1" t="n">
        <v>45092</v>
      </c>
      <c r="C2214" s="1" t="n">
        <v>45688</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26368-2023</t>
        </is>
      </c>
      <c r="B2215" s="1" t="n">
        <v>45091</v>
      </c>
      <c r="C2215" s="1" t="n">
        <v>45688</v>
      </c>
      <c r="D2215" t="inlineStr">
        <is>
          <t>JÄMTLANDS LÄN</t>
        </is>
      </c>
      <c r="E2215" t="inlineStr">
        <is>
          <t>STRÖMSUND</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26666-2023</t>
        </is>
      </c>
      <c r="B2216" s="1" t="n">
        <v>45093</v>
      </c>
      <c r="C2216" s="1" t="n">
        <v>45688</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26665-2023</t>
        </is>
      </c>
      <c r="B2217" s="1" t="n">
        <v>45093</v>
      </c>
      <c r="C2217" s="1" t="n">
        <v>45688</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26650-2023</t>
        </is>
      </c>
      <c r="B2218" s="1" t="n">
        <v>45093</v>
      </c>
      <c r="C2218" s="1" t="n">
        <v>45688</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26659-2023</t>
        </is>
      </c>
      <c r="B2219" s="1" t="n">
        <v>45092</v>
      </c>
      <c r="C2219" s="1" t="n">
        <v>45688</v>
      </c>
      <c r="D2219" t="inlineStr">
        <is>
          <t>JÄMTLANDS LÄN</t>
        </is>
      </c>
      <c r="E2219" t="inlineStr">
        <is>
          <t>STRÖMSUND</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26660-2023</t>
        </is>
      </c>
      <c r="B2220" s="1" t="n">
        <v>45092</v>
      </c>
      <c r="C2220" s="1" t="n">
        <v>45688</v>
      </c>
      <c r="D2220" t="inlineStr">
        <is>
          <t>JÄMTLANDS LÄN</t>
        </is>
      </c>
      <c r="E2220" t="inlineStr">
        <is>
          <t>STRÖMSUND</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26799-2023</t>
        </is>
      </c>
      <c r="B2221" s="1" t="n">
        <v>45093</v>
      </c>
      <c r="C2221" s="1" t="n">
        <v>45688</v>
      </c>
      <c r="D2221" t="inlineStr">
        <is>
          <t>JÄMTLANDS LÄN</t>
        </is>
      </c>
      <c r="E2221" t="inlineStr">
        <is>
          <t>STRÖMSUND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26735-2023</t>
        </is>
      </c>
      <c r="B2222" s="1" t="n">
        <v>45093</v>
      </c>
      <c r="C2222" s="1" t="n">
        <v>45688</v>
      </c>
      <c r="D2222" t="inlineStr">
        <is>
          <t>JÄMTLANDS LÄN</t>
        </is>
      </c>
      <c r="E2222" t="inlineStr">
        <is>
          <t>STRÖMSUND</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27389-2023</t>
        </is>
      </c>
      <c r="B2223" s="1" t="n">
        <v>45096</v>
      </c>
      <c r="C2223" s="1" t="n">
        <v>45688</v>
      </c>
      <c r="D2223" t="inlineStr">
        <is>
          <t>JÄMTLANDS LÄN</t>
        </is>
      </c>
      <c r="E2223" t="inlineStr">
        <is>
          <t>STRÖMSUND</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27366-2023</t>
        </is>
      </c>
      <c r="B2224" s="1" t="n">
        <v>45096</v>
      </c>
      <c r="C2224" s="1" t="n">
        <v>45688</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27386-2023</t>
        </is>
      </c>
      <c r="B2225" s="1" t="n">
        <v>45097</v>
      </c>
      <c r="C2225" s="1" t="n">
        <v>45688</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27374-2023</t>
        </is>
      </c>
      <c r="B2226" s="1" t="n">
        <v>45097</v>
      </c>
      <c r="C2226" s="1" t="n">
        <v>45688</v>
      </c>
      <c r="D2226" t="inlineStr">
        <is>
          <t>JÄMTLANDS LÄN</t>
        </is>
      </c>
      <c r="E2226" t="inlineStr">
        <is>
          <t>STRÖMSUND</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27388-2023</t>
        </is>
      </c>
      <c r="B2227" s="1" t="n">
        <v>45097</v>
      </c>
      <c r="C2227" s="1" t="n">
        <v>45688</v>
      </c>
      <c r="D2227" t="inlineStr">
        <is>
          <t>JÄMTLANDS LÄN</t>
        </is>
      </c>
      <c r="E2227" t="inlineStr">
        <is>
          <t>STRÖMSUND</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27368-2023</t>
        </is>
      </c>
      <c r="B2228" s="1" t="n">
        <v>45096</v>
      </c>
      <c r="C2228" s="1" t="n">
        <v>45688</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27365-2023</t>
        </is>
      </c>
      <c r="B2229" s="1" t="n">
        <v>45097</v>
      </c>
      <c r="C2229" s="1" t="n">
        <v>45688</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27387-2023</t>
        </is>
      </c>
      <c r="B2230" s="1" t="n">
        <v>45097</v>
      </c>
      <c r="C2230" s="1" t="n">
        <v>45688</v>
      </c>
      <c r="D2230" t="inlineStr">
        <is>
          <t>JÄMTLANDS LÄN</t>
        </is>
      </c>
      <c r="E2230" t="inlineStr">
        <is>
          <t>STRÖMSUND</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27375-2023</t>
        </is>
      </c>
      <c r="B2231" s="1" t="n">
        <v>45097</v>
      </c>
      <c r="C2231" s="1" t="n">
        <v>45688</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28660-2023</t>
        </is>
      </c>
      <c r="B2232" s="1" t="n">
        <v>45096</v>
      </c>
      <c r="C2232" s="1" t="n">
        <v>45688</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27679-2023</t>
        </is>
      </c>
      <c r="B2233" s="1" t="n">
        <v>45098</v>
      </c>
      <c r="C2233" s="1" t="n">
        <v>45688</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28005-2023</t>
        </is>
      </c>
      <c r="B2234" s="1" t="n">
        <v>45099</v>
      </c>
      <c r="C2234" s="1" t="n">
        <v>45688</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28006-2023</t>
        </is>
      </c>
      <c r="B2235" s="1" t="n">
        <v>45099</v>
      </c>
      <c r="C2235" s="1" t="n">
        <v>45688</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28014-2023</t>
        </is>
      </c>
      <c r="B2236" s="1" t="n">
        <v>45098</v>
      </c>
      <c r="C2236" s="1" t="n">
        <v>45688</v>
      </c>
      <c r="D2236" t="inlineStr">
        <is>
          <t>JÄMTLANDS LÄN</t>
        </is>
      </c>
      <c r="E2236" t="inlineStr">
        <is>
          <t>STRÖMSUND</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28003-2023</t>
        </is>
      </c>
      <c r="B2237" s="1" t="n">
        <v>45099</v>
      </c>
      <c r="C2237" s="1" t="n">
        <v>45688</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28004-2023</t>
        </is>
      </c>
      <c r="B2238" s="1" t="n">
        <v>45099</v>
      </c>
      <c r="C2238" s="1" t="n">
        <v>45688</v>
      </c>
      <c r="D2238" t="inlineStr">
        <is>
          <t>JÄMTLANDS LÄN</t>
        </is>
      </c>
      <c r="E2238" t="inlineStr">
        <is>
          <t>STRÖMSUND</t>
        </is>
      </c>
      <c r="F2238" t="inlineStr">
        <is>
          <t>SCA</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28016-2023</t>
        </is>
      </c>
      <c r="B2239" s="1" t="n">
        <v>45099</v>
      </c>
      <c r="C2239" s="1" t="n">
        <v>45688</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29593-2023</t>
        </is>
      </c>
      <c r="B2240" s="1" t="n">
        <v>45098</v>
      </c>
      <c r="C2240" s="1" t="n">
        <v>45688</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28297-2023</t>
        </is>
      </c>
      <c r="B2241" s="1" t="n">
        <v>45099</v>
      </c>
      <c r="C2241" s="1" t="n">
        <v>45688</v>
      </c>
      <c r="D2241" t="inlineStr">
        <is>
          <t>JÄMTLANDS LÄN</t>
        </is>
      </c>
      <c r="E2241" t="inlineStr">
        <is>
          <t>STRÖMSUND</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28365-2023</t>
        </is>
      </c>
      <c r="B2242" s="1" t="n">
        <v>45100</v>
      </c>
      <c r="C2242" s="1" t="n">
        <v>45688</v>
      </c>
      <c r="D2242" t="inlineStr">
        <is>
          <t>JÄMTLANDS LÄN</t>
        </is>
      </c>
      <c r="E2242" t="inlineStr">
        <is>
          <t>STRÖMSUND</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28376-2023</t>
        </is>
      </c>
      <c r="B2243" s="1" t="n">
        <v>45100</v>
      </c>
      <c r="C2243" s="1" t="n">
        <v>45688</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28364-2023</t>
        </is>
      </c>
      <c r="B2244" s="1" t="n">
        <v>45100</v>
      </c>
      <c r="C2244" s="1" t="n">
        <v>45688</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28362-2023</t>
        </is>
      </c>
      <c r="B2245" s="1" t="n">
        <v>45100</v>
      </c>
      <c r="C2245" s="1" t="n">
        <v>45688</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28377-2023</t>
        </is>
      </c>
      <c r="B2246" s="1" t="n">
        <v>45100</v>
      </c>
      <c r="C2246" s="1" t="n">
        <v>45688</v>
      </c>
      <c r="D2246" t="inlineStr">
        <is>
          <t>JÄMTLANDS LÄN</t>
        </is>
      </c>
      <c r="E2246" t="inlineStr">
        <is>
          <t>STRÖMSUND</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28405-2023</t>
        </is>
      </c>
      <c r="B2247" s="1" t="n">
        <v>45101</v>
      </c>
      <c r="C2247" s="1" t="n">
        <v>45688</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28715-2023</t>
        </is>
      </c>
      <c r="B2248" s="1" t="n">
        <v>45103</v>
      </c>
      <c r="C2248" s="1" t="n">
        <v>45688</v>
      </c>
      <c r="D2248" t="inlineStr">
        <is>
          <t>JÄMTLANDS LÄN</t>
        </is>
      </c>
      <c r="E2248" t="inlineStr">
        <is>
          <t>STRÖMSUND</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28740-2023</t>
        </is>
      </c>
      <c r="B2249" s="1" t="n">
        <v>45104</v>
      </c>
      <c r="C2249" s="1" t="n">
        <v>45688</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28744-2023</t>
        </is>
      </c>
      <c r="B2250" s="1" t="n">
        <v>45104</v>
      </c>
      <c r="C2250" s="1" t="n">
        <v>45688</v>
      </c>
      <c r="D2250" t="inlineStr">
        <is>
          <t>JÄMTLANDS LÄN</t>
        </is>
      </c>
      <c r="E2250" t="inlineStr">
        <is>
          <t>STRÖMSUND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28753-2023</t>
        </is>
      </c>
      <c r="B2251" s="1" t="n">
        <v>45104</v>
      </c>
      <c r="C2251" s="1" t="n">
        <v>45688</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28766-2023</t>
        </is>
      </c>
      <c r="B2252" s="1" t="n">
        <v>45104</v>
      </c>
      <c r="C2252" s="1" t="n">
        <v>45688</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28713-2023</t>
        </is>
      </c>
      <c r="B2253" s="1" t="n">
        <v>45103</v>
      </c>
      <c r="C2253" s="1" t="n">
        <v>45688</v>
      </c>
      <c r="D2253" t="inlineStr">
        <is>
          <t>JÄMTLANDS LÄN</t>
        </is>
      </c>
      <c r="E2253" t="inlineStr">
        <is>
          <t>STRÖMSUND</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28741-2023</t>
        </is>
      </c>
      <c r="B2254" s="1" t="n">
        <v>45103</v>
      </c>
      <c r="C2254" s="1" t="n">
        <v>45688</v>
      </c>
      <c r="D2254" t="inlineStr">
        <is>
          <t>JÄMTLANDS LÄN</t>
        </is>
      </c>
      <c r="E2254" t="inlineStr">
        <is>
          <t>STRÖMSUND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28754-2023</t>
        </is>
      </c>
      <c r="B2255" s="1" t="n">
        <v>45104</v>
      </c>
      <c r="C2255" s="1" t="n">
        <v>45688</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28767-2023</t>
        </is>
      </c>
      <c r="B2256" s="1" t="n">
        <v>45104</v>
      </c>
      <c r="C2256" s="1" t="n">
        <v>45688</v>
      </c>
      <c r="D2256" t="inlineStr">
        <is>
          <t>JÄMTLANDS LÄN</t>
        </is>
      </c>
      <c r="E2256" t="inlineStr">
        <is>
          <t>STRÖMSUND</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31156-2023</t>
        </is>
      </c>
      <c r="B2257" s="1" t="n">
        <v>45103</v>
      </c>
      <c r="C2257" s="1" t="n">
        <v>45688</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28714-2023</t>
        </is>
      </c>
      <c r="B2258" s="1" t="n">
        <v>45103</v>
      </c>
      <c r="C2258" s="1" t="n">
        <v>45688</v>
      </c>
      <c r="D2258" t="inlineStr">
        <is>
          <t>JÄMTLANDS LÄN</t>
        </is>
      </c>
      <c r="E2258" t="inlineStr">
        <is>
          <t>STRÖMSUND</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28735-2023</t>
        </is>
      </c>
      <c r="B2259" s="1" t="n">
        <v>45104</v>
      </c>
      <c r="C2259" s="1" t="n">
        <v>45688</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28743-2023</t>
        </is>
      </c>
      <c r="B2260" s="1" t="n">
        <v>45103</v>
      </c>
      <c r="C2260" s="1" t="n">
        <v>45688</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28752-2023</t>
        </is>
      </c>
      <c r="B2261" s="1" t="n">
        <v>45104</v>
      </c>
      <c r="C2261" s="1" t="n">
        <v>45688</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29039-2023</t>
        </is>
      </c>
      <c r="B2262" s="1" t="n">
        <v>45104</v>
      </c>
      <c r="C2262" s="1" t="n">
        <v>45688</v>
      </c>
      <c r="D2262" t="inlineStr">
        <is>
          <t>JÄMTLANDS LÄN</t>
        </is>
      </c>
      <c r="E2262" t="inlineStr">
        <is>
          <t>STRÖMSUND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29069-2023</t>
        </is>
      </c>
      <c r="B2263" s="1" t="n">
        <v>45105</v>
      </c>
      <c r="C2263" s="1" t="n">
        <v>45688</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29040-2023</t>
        </is>
      </c>
      <c r="B2264" s="1" t="n">
        <v>45104</v>
      </c>
      <c r="C2264" s="1" t="n">
        <v>45688</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29305-2023</t>
        </is>
      </c>
      <c r="B2265" s="1" t="n">
        <v>45106</v>
      </c>
      <c r="C2265" s="1" t="n">
        <v>45688</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29329-2023</t>
        </is>
      </c>
      <c r="B2266" s="1" t="n">
        <v>45106</v>
      </c>
      <c r="C2266" s="1" t="n">
        <v>45688</v>
      </c>
      <c r="D2266" t="inlineStr">
        <is>
          <t>JÄMTLANDS LÄN</t>
        </is>
      </c>
      <c r="E2266" t="inlineStr">
        <is>
          <t>STRÖMSUND</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29328-2023</t>
        </is>
      </c>
      <c r="B2267" s="1" t="n">
        <v>45106</v>
      </c>
      <c r="C2267" s="1" t="n">
        <v>45688</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29335-2023</t>
        </is>
      </c>
      <c r="B2268" s="1" t="n">
        <v>45106</v>
      </c>
      <c r="C2268" s="1" t="n">
        <v>45688</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29343-2023</t>
        </is>
      </c>
      <c r="B2269" s="1" t="n">
        <v>45106</v>
      </c>
      <c r="C2269" s="1" t="n">
        <v>45688</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29605-2023</t>
        </is>
      </c>
      <c r="B2270" s="1" t="n">
        <v>45107</v>
      </c>
      <c r="C2270" s="1" t="n">
        <v>45688</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29632-2023</t>
        </is>
      </c>
      <c r="B2271" s="1" t="n">
        <v>45107</v>
      </c>
      <c r="C2271" s="1" t="n">
        <v>45688</v>
      </c>
      <c r="D2271" t="inlineStr">
        <is>
          <t>JÄMTLANDS LÄN</t>
        </is>
      </c>
      <c r="E2271" t="inlineStr">
        <is>
          <t>STRÖMSUND</t>
        </is>
      </c>
      <c r="F2271" t="inlineStr">
        <is>
          <t>SCA</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29631-2023</t>
        </is>
      </c>
      <c r="B2272" s="1" t="n">
        <v>45107</v>
      </c>
      <c r="C2272" s="1" t="n">
        <v>45688</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29635-2023</t>
        </is>
      </c>
      <c r="B2273" s="1" t="n">
        <v>45107</v>
      </c>
      <c r="C2273" s="1" t="n">
        <v>45688</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29965-2023</t>
        </is>
      </c>
      <c r="B2274" s="1" t="n">
        <v>45107</v>
      </c>
      <c r="C2274" s="1" t="n">
        <v>45688</v>
      </c>
      <c r="D2274" t="inlineStr">
        <is>
          <t>JÄMTLANDS LÄN</t>
        </is>
      </c>
      <c r="E2274" t="inlineStr">
        <is>
          <t>STRÖMSUND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29959-2023</t>
        </is>
      </c>
      <c r="B2275" s="1" t="n">
        <v>45108</v>
      </c>
      <c r="C2275" s="1" t="n">
        <v>45688</v>
      </c>
      <c r="D2275" t="inlineStr">
        <is>
          <t>JÄMTLANDS LÄN</t>
        </is>
      </c>
      <c r="E2275" t="inlineStr">
        <is>
          <t>STRÖMSUND</t>
        </is>
      </c>
      <c r="F2275" t="inlineStr">
        <is>
          <t>SCA</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30170-2023</t>
        </is>
      </c>
      <c r="B2276" s="1" t="n">
        <v>45110</v>
      </c>
      <c r="C2276" s="1" t="n">
        <v>45688</v>
      </c>
      <c r="D2276" t="inlineStr">
        <is>
          <t>JÄMTLANDS LÄN</t>
        </is>
      </c>
      <c r="E2276" t="inlineStr">
        <is>
          <t>STRÖMSUND</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32379-2023</t>
        </is>
      </c>
      <c r="B2277" s="1" t="n">
        <v>45110</v>
      </c>
      <c r="C2277" s="1" t="n">
        <v>45688</v>
      </c>
      <c r="D2277" t="inlineStr">
        <is>
          <t>JÄMTLANDS LÄN</t>
        </is>
      </c>
      <c r="E2277" t="inlineStr">
        <is>
          <t>STRÖMSUND</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30284-2023</t>
        </is>
      </c>
      <c r="B2278" s="1" t="n">
        <v>45110</v>
      </c>
      <c r="C2278" s="1" t="n">
        <v>45688</v>
      </c>
      <c r="D2278" t="inlineStr">
        <is>
          <t>JÄMTLANDS LÄN</t>
        </is>
      </c>
      <c r="E2278" t="inlineStr">
        <is>
          <t>STRÖMSUND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30285-2023</t>
        </is>
      </c>
      <c r="B2279" s="1" t="n">
        <v>45110</v>
      </c>
      <c r="C2279" s="1" t="n">
        <v>45688</v>
      </c>
      <c r="D2279" t="inlineStr">
        <is>
          <t>JÄMTLANDS LÄN</t>
        </is>
      </c>
      <c r="E2279" t="inlineStr">
        <is>
          <t>STRÖMSUND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30565-2023</t>
        </is>
      </c>
      <c r="B2280" s="1" t="n">
        <v>45112</v>
      </c>
      <c r="C2280" s="1" t="n">
        <v>45688</v>
      </c>
      <c r="D2280" t="inlineStr">
        <is>
          <t>JÄMTLANDS LÄN</t>
        </is>
      </c>
      <c r="E2280" t="inlineStr">
        <is>
          <t>STRÖMSUND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32530-2023</t>
        </is>
      </c>
      <c r="B2281" s="1" t="n">
        <v>45111</v>
      </c>
      <c r="C2281" s="1" t="n">
        <v>45688</v>
      </c>
      <c r="D2281" t="inlineStr">
        <is>
          <t>JÄMTLANDS LÄN</t>
        </is>
      </c>
      <c r="E2281" t="inlineStr">
        <is>
          <t>STRÖMSUND</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32572-2023</t>
        </is>
      </c>
      <c r="B2282" s="1" t="n">
        <v>45111</v>
      </c>
      <c r="C2282" s="1" t="n">
        <v>45688</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32546-2023</t>
        </is>
      </c>
      <c r="B2283" s="1" t="n">
        <v>45111</v>
      </c>
      <c r="C2283" s="1" t="n">
        <v>45688</v>
      </c>
      <c r="D2283" t="inlineStr">
        <is>
          <t>JÄMTLANDS LÄN</t>
        </is>
      </c>
      <c r="E2283" t="inlineStr">
        <is>
          <t>STRÖMSUND</t>
        </is>
      </c>
      <c r="F2283" t="inlineStr">
        <is>
          <t>Kommuner</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32538-2023</t>
        </is>
      </c>
      <c r="B2284" s="1" t="n">
        <v>45111</v>
      </c>
      <c r="C2284" s="1" t="n">
        <v>45688</v>
      </c>
      <c r="D2284" t="inlineStr">
        <is>
          <t>JÄMTLANDS LÄN</t>
        </is>
      </c>
      <c r="E2284" t="inlineStr">
        <is>
          <t>STRÖMSUND</t>
        </is>
      </c>
      <c r="F2284" t="inlineStr">
        <is>
          <t>Kommuner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32550-2023</t>
        </is>
      </c>
      <c r="B2285" s="1" t="n">
        <v>45111</v>
      </c>
      <c r="C2285" s="1" t="n">
        <v>45688</v>
      </c>
      <c r="D2285" t="inlineStr">
        <is>
          <t>JÄMTLANDS LÄN</t>
        </is>
      </c>
      <c r="E2285" t="inlineStr">
        <is>
          <t>STRÖMSUND</t>
        </is>
      </c>
      <c r="F2285" t="inlineStr">
        <is>
          <t>Kommuner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30818-2023</t>
        </is>
      </c>
      <c r="B2286" s="1" t="n">
        <v>45112</v>
      </c>
      <c r="C2286" s="1" t="n">
        <v>45688</v>
      </c>
      <c r="D2286" t="inlineStr">
        <is>
          <t>JÄMTLANDS LÄN</t>
        </is>
      </c>
      <c r="E2286" t="inlineStr">
        <is>
          <t>STRÖMSUND</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30830-2023</t>
        </is>
      </c>
      <c r="B2287" s="1" t="n">
        <v>45113</v>
      </c>
      <c r="C2287" s="1" t="n">
        <v>45688</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30842-2023</t>
        </is>
      </c>
      <c r="B2288" s="1" t="n">
        <v>45113</v>
      </c>
      <c r="C2288" s="1" t="n">
        <v>45688</v>
      </c>
      <c r="D2288" t="inlineStr">
        <is>
          <t>JÄMTLANDS LÄN</t>
        </is>
      </c>
      <c r="E2288" t="inlineStr">
        <is>
          <t>STRÖMSUND</t>
        </is>
      </c>
      <c r="F2288" t="inlineStr">
        <is>
          <t>SCA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30849-2023</t>
        </is>
      </c>
      <c r="B2289" s="1" t="n">
        <v>45113</v>
      </c>
      <c r="C2289" s="1" t="n">
        <v>45688</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30819-2023</t>
        </is>
      </c>
      <c r="B2290" s="1" t="n">
        <v>45113</v>
      </c>
      <c r="C2290" s="1" t="n">
        <v>45688</v>
      </c>
      <c r="D2290" t="inlineStr">
        <is>
          <t>JÄMTLANDS LÄN</t>
        </is>
      </c>
      <c r="E2290" t="inlineStr">
        <is>
          <t>STRÖMSUND</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30831-2023</t>
        </is>
      </c>
      <c r="B2291" s="1" t="n">
        <v>45113</v>
      </c>
      <c r="C2291" s="1" t="n">
        <v>45688</v>
      </c>
      <c r="D2291" t="inlineStr">
        <is>
          <t>JÄMTLANDS LÄN</t>
        </is>
      </c>
      <c r="E2291" t="inlineStr">
        <is>
          <t>STRÖMSUND</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30816-2023</t>
        </is>
      </c>
      <c r="B2292" s="1" t="n">
        <v>45112</v>
      </c>
      <c r="C2292" s="1" t="n">
        <v>45688</v>
      </c>
      <c r="D2292" t="inlineStr">
        <is>
          <t>JÄMTLANDS LÄN</t>
        </is>
      </c>
      <c r="E2292" t="inlineStr">
        <is>
          <t>STRÖMSUND</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30828-2023</t>
        </is>
      </c>
      <c r="B2293" s="1" t="n">
        <v>45113</v>
      </c>
      <c r="C2293" s="1" t="n">
        <v>45688</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45688</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30836-2023</t>
        </is>
      </c>
      <c r="B2295" s="1" t="n">
        <v>45113</v>
      </c>
      <c r="C2295" s="1" t="n">
        <v>45688</v>
      </c>
      <c r="D2295" t="inlineStr">
        <is>
          <t>JÄMTLANDS LÄN</t>
        </is>
      </c>
      <c r="E2295" t="inlineStr">
        <is>
          <t>STRÖMSUND</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32871-2023</t>
        </is>
      </c>
      <c r="B2296" s="1" t="n">
        <v>45112</v>
      </c>
      <c r="C2296" s="1" t="n">
        <v>45688</v>
      </c>
      <c r="D2296" t="inlineStr">
        <is>
          <t>JÄMTLANDS LÄN</t>
        </is>
      </c>
      <c r="E2296" t="inlineStr">
        <is>
          <t>STRÖMSUND</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32873-2023</t>
        </is>
      </c>
      <c r="B2297" s="1" t="n">
        <v>45112</v>
      </c>
      <c r="C2297" s="1" t="n">
        <v>45688</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32882-2023</t>
        </is>
      </c>
      <c r="B2298" s="1" t="n">
        <v>45112</v>
      </c>
      <c r="C2298" s="1" t="n">
        <v>45688</v>
      </c>
      <c r="D2298" t="inlineStr">
        <is>
          <t>JÄMTLANDS LÄN</t>
        </is>
      </c>
      <c r="E2298" t="inlineStr">
        <is>
          <t>STRÖMSUND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32883-2023</t>
        </is>
      </c>
      <c r="B2299" s="1" t="n">
        <v>45112</v>
      </c>
      <c r="C2299" s="1" t="n">
        <v>45688</v>
      </c>
      <c r="D2299" t="inlineStr">
        <is>
          <t>JÄMTLANDS LÄN</t>
        </is>
      </c>
      <c r="E2299" t="inlineStr">
        <is>
          <t>STRÖMSUND</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32884-2023</t>
        </is>
      </c>
      <c r="B2300" s="1" t="n">
        <v>45112</v>
      </c>
      <c r="C2300" s="1" t="n">
        <v>45688</v>
      </c>
      <c r="D2300" t="inlineStr">
        <is>
          <t>JÄMTLANDS LÄN</t>
        </is>
      </c>
      <c r="E2300" t="inlineStr">
        <is>
          <t>STRÖMSUND</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31201-2023</t>
        </is>
      </c>
      <c r="B2301" s="1" t="n">
        <v>45113</v>
      </c>
      <c r="C2301" s="1" t="n">
        <v>45688</v>
      </c>
      <c r="D2301" t="inlineStr">
        <is>
          <t>JÄMTLANDS LÄN</t>
        </is>
      </c>
      <c r="E2301" t="inlineStr">
        <is>
          <t>STRÖMSUND</t>
        </is>
      </c>
      <c r="F2301" t="inlineStr">
        <is>
          <t>SCA</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31210-2023</t>
        </is>
      </c>
      <c r="B2302" s="1" t="n">
        <v>45114</v>
      </c>
      <c r="C2302" s="1" t="n">
        <v>45688</v>
      </c>
      <c r="D2302" t="inlineStr">
        <is>
          <t>JÄMTLANDS LÄN</t>
        </is>
      </c>
      <c r="E2302" t="inlineStr">
        <is>
          <t>STRÖMSUND</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31182-2023</t>
        </is>
      </c>
      <c r="B2303" s="1" t="n">
        <v>45113</v>
      </c>
      <c r="C2303" s="1" t="n">
        <v>45688</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31491-2023</t>
        </is>
      </c>
      <c r="B2304" s="1" t="n">
        <v>45114</v>
      </c>
      <c r="C2304" s="1" t="n">
        <v>45688</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31497-2023</t>
        </is>
      </c>
      <c r="B2305" s="1" t="n">
        <v>45115</v>
      </c>
      <c r="C2305" s="1" t="n">
        <v>45688</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31929-2023</t>
        </is>
      </c>
      <c r="B2306" s="1" t="n">
        <v>45118</v>
      </c>
      <c r="C2306" s="1" t="n">
        <v>45688</v>
      </c>
      <c r="D2306" t="inlineStr">
        <is>
          <t>JÄMTLANDS LÄN</t>
        </is>
      </c>
      <c r="E2306" t="inlineStr">
        <is>
          <t>STRÖMSUND</t>
        </is>
      </c>
      <c r="F2306" t="inlineStr">
        <is>
          <t>SCA</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32210-2023</t>
        </is>
      </c>
      <c r="B2307" s="1" t="n">
        <v>45120</v>
      </c>
      <c r="C2307" s="1" t="n">
        <v>45688</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32220-2023</t>
        </is>
      </c>
      <c r="B2308" s="1" t="n">
        <v>45120</v>
      </c>
      <c r="C2308" s="1" t="n">
        <v>45688</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45120</v>
      </c>
      <c r="C2309" s="1" t="n">
        <v>45688</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32730-2023</t>
        </is>
      </c>
      <c r="B2310" s="1" t="n">
        <v>45122</v>
      </c>
      <c r="C2310" s="1" t="n">
        <v>45688</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32724-2023</t>
        </is>
      </c>
      <c r="B2311" s="1" t="n">
        <v>45121</v>
      </c>
      <c r="C2311" s="1" t="n">
        <v>45688</v>
      </c>
      <c r="D2311" t="inlineStr">
        <is>
          <t>JÄMTLANDS LÄN</t>
        </is>
      </c>
      <c r="E2311" t="inlineStr">
        <is>
          <t>STRÖMSUND</t>
        </is>
      </c>
      <c r="F2311" t="inlineStr">
        <is>
          <t>SCA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32729-2023</t>
        </is>
      </c>
      <c r="B2312" s="1" t="n">
        <v>45122</v>
      </c>
      <c r="C2312" s="1" t="n">
        <v>45688</v>
      </c>
      <c r="D2312" t="inlineStr">
        <is>
          <t>JÄMTLANDS LÄN</t>
        </is>
      </c>
      <c r="E2312" t="inlineStr">
        <is>
          <t>STRÖMSUND</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32731-2023</t>
        </is>
      </c>
      <c r="B2313" s="1" t="n">
        <v>45122</v>
      </c>
      <c r="C2313" s="1" t="n">
        <v>45688</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32907-2023</t>
        </is>
      </c>
      <c r="B2314" s="1" t="n">
        <v>45124</v>
      </c>
      <c r="C2314" s="1" t="n">
        <v>45688</v>
      </c>
      <c r="D2314" t="inlineStr">
        <is>
          <t>JÄMTLANDS LÄN</t>
        </is>
      </c>
      <c r="E2314" t="inlineStr">
        <is>
          <t>STRÖMSUND</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32911-2023</t>
        </is>
      </c>
      <c r="B2315" s="1" t="n">
        <v>45125</v>
      </c>
      <c r="C2315" s="1" t="n">
        <v>45688</v>
      </c>
      <c r="D2315" t="inlineStr">
        <is>
          <t>JÄMTLANDS LÄN</t>
        </is>
      </c>
      <c r="E2315" t="inlineStr">
        <is>
          <t>STRÖMSUND</t>
        </is>
      </c>
      <c r="F2315" t="inlineStr">
        <is>
          <t>SCA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32906-2023</t>
        </is>
      </c>
      <c r="B2316" s="1" t="n">
        <v>45125</v>
      </c>
      <c r="C2316" s="1" t="n">
        <v>45688</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32910-2023</t>
        </is>
      </c>
      <c r="B2317" s="1" t="n">
        <v>45125</v>
      </c>
      <c r="C2317" s="1" t="n">
        <v>45688</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33045-2023</t>
        </is>
      </c>
      <c r="B2318" s="1" t="n">
        <v>45126</v>
      </c>
      <c r="C2318" s="1" t="n">
        <v>45688</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33176-2023</t>
        </is>
      </c>
      <c r="B2319" s="1" t="n">
        <v>45127</v>
      </c>
      <c r="C2319" s="1" t="n">
        <v>45688</v>
      </c>
      <c r="D2319" t="inlineStr">
        <is>
          <t>JÄMTLANDS LÄN</t>
        </is>
      </c>
      <c r="E2319" t="inlineStr">
        <is>
          <t>STRÖMSUND</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33426-2023</t>
        </is>
      </c>
      <c r="B2320" s="1" t="n">
        <v>45129</v>
      </c>
      <c r="C2320" s="1" t="n">
        <v>45688</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33427-2023</t>
        </is>
      </c>
      <c r="B2321" s="1" t="n">
        <v>45128</v>
      </c>
      <c r="C2321" s="1" t="n">
        <v>45688</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33433-2023</t>
        </is>
      </c>
      <c r="B2322" s="1" t="n">
        <v>45129</v>
      </c>
      <c r="C2322" s="1" t="n">
        <v>45688</v>
      </c>
      <c r="D2322" t="inlineStr">
        <is>
          <t>JÄMTLANDS LÄN</t>
        </is>
      </c>
      <c r="E2322" t="inlineStr">
        <is>
          <t>STRÖMSUND</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33453-2023</t>
        </is>
      </c>
      <c r="B2323" s="1" t="n">
        <v>45130</v>
      </c>
      <c r="C2323" s="1" t="n">
        <v>45688</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33532-2023</t>
        </is>
      </c>
      <c r="B2324" s="1" t="n">
        <v>45131</v>
      </c>
      <c r="C2324" s="1" t="n">
        <v>45688</v>
      </c>
      <c r="D2324" t="inlineStr">
        <is>
          <t>JÄMTLANDS LÄN</t>
        </is>
      </c>
      <c r="E2324" t="inlineStr">
        <is>
          <t>STRÖMSUND</t>
        </is>
      </c>
      <c r="F2324" t="inlineStr">
        <is>
          <t>Kyrkan</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33590-2023</t>
        </is>
      </c>
      <c r="B2325" s="1" t="n">
        <v>45132</v>
      </c>
      <c r="C2325" s="1" t="n">
        <v>45688</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33718-2023</t>
        </is>
      </c>
      <c r="B2326" s="1" t="n">
        <v>45133</v>
      </c>
      <c r="C2326" s="1" t="n">
        <v>45688</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34002-2023</t>
        </is>
      </c>
      <c r="B2327" s="1" t="n">
        <v>45135</v>
      </c>
      <c r="C2327" s="1" t="n">
        <v>45688</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34010-2023</t>
        </is>
      </c>
      <c r="B2328" s="1" t="n">
        <v>45134</v>
      </c>
      <c r="C2328" s="1" t="n">
        <v>45688</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34001-2023</t>
        </is>
      </c>
      <c r="B2329" s="1" t="n">
        <v>45135</v>
      </c>
      <c r="C2329" s="1" t="n">
        <v>45688</v>
      </c>
      <c r="D2329" t="inlineStr">
        <is>
          <t>JÄMTLANDS LÄN</t>
        </is>
      </c>
      <c r="E2329" t="inlineStr">
        <is>
          <t>STRÖMSUND</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34005-2023</t>
        </is>
      </c>
      <c r="B2330" s="1" t="n">
        <v>45134</v>
      </c>
      <c r="C2330" s="1" t="n">
        <v>45688</v>
      </c>
      <c r="D2330" t="inlineStr">
        <is>
          <t>JÄMTLANDS LÄN</t>
        </is>
      </c>
      <c r="E2330" t="inlineStr">
        <is>
          <t>STRÖMSUND</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34003-2023</t>
        </is>
      </c>
      <c r="B2331" s="1" t="n">
        <v>45135</v>
      </c>
      <c r="C2331" s="1" t="n">
        <v>45688</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34007-2023</t>
        </is>
      </c>
      <c r="B2332" s="1" t="n">
        <v>45135</v>
      </c>
      <c r="C2332" s="1" t="n">
        <v>45688</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34009-2023</t>
        </is>
      </c>
      <c r="B2333" s="1" t="n">
        <v>45135</v>
      </c>
      <c r="C2333" s="1" t="n">
        <v>45688</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34004-2023</t>
        </is>
      </c>
      <c r="B2334" s="1" t="n">
        <v>45135</v>
      </c>
      <c r="C2334" s="1" t="n">
        <v>45688</v>
      </c>
      <c r="D2334" t="inlineStr">
        <is>
          <t>JÄMTLANDS LÄN</t>
        </is>
      </c>
      <c r="E2334" t="inlineStr">
        <is>
          <t>STRÖMSUND</t>
        </is>
      </c>
      <c r="F2334" t="inlineStr">
        <is>
          <t>SCA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34008-2023</t>
        </is>
      </c>
      <c r="B2335" s="1" t="n">
        <v>45134</v>
      </c>
      <c r="C2335" s="1" t="n">
        <v>45688</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34479-2023</t>
        </is>
      </c>
      <c r="B2336" s="1" t="n">
        <v>45139</v>
      </c>
      <c r="C2336" s="1" t="n">
        <v>45688</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34480-2023</t>
        </is>
      </c>
      <c r="B2337" s="1" t="n">
        <v>45140</v>
      </c>
      <c r="C2337" s="1" t="n">
        <v>45688</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34824-2023</t>
        </is>
      </c>
      <c r="B2338" s="1" t="n">
        <v>45141</v>
      </c>
      <c r="C2338" s="1" t="n">
        <v>45688</v>
      </c>
      <c r="D2338" t="inlineStr">
        <is>
          <t>JÄMTLANDS LÄN</t>
        </is>
      </c>
      <c r="E2338" t="inlineStr">
        <is>
          <t>STRÖMSUND</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34907-2023</t>
        </is>
      </c>
      <c r="B2339" s="1" t="n">
        <v>45141</v>
      </c>
      <c r="C2339" s="1" t="n">
        <v>45688</v>
      </c>
      <c r="D2339" t="inlineStr">
        <is>
          <t>JÄMTLANDS LÄN</t>
        </is>
      </c>
      <c r="E2339" t="inlineStr">
        <is>
          <t>STRÖMSUND</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35004-2023</t>
        </is>
      </c>
      <c r="B2340" s="1" t="n">
        <v>45143</v>
      </c>
      <c r="C2340" s="1" t="n">
        <v>45688</v>
      </c>
      <c r="D2340" t="inlineStr">
        <is>
          <t>JÄMTLANDS LÄN</t>
        </is>
      </c>
      <c r="E2340" t="inlineStr">
        <is>
          <t>STRÖMSUND</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35007-2023</t>
        </is>
      </c>
      <c r="B2341" s="1" t="n">
        <v>45143</v>
      </c>
      <c r="C2341" s="1" t="n">
        <v>45688</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35012-2023</t>
        </is>
      </c>
      <c r="B2342" s="1" t="n">
        <v>45143</v>
      </c>
      <c r="C2342" s="1" t="n">
        <v>45688</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35011-2023</t>
        </is>
      </c>
      <c r="B2343" s="1" t="n">
        <v>45143</v>
      </c>
      <c r="C2343" s="1" t="n">
        <v>45688</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35279-2023</t>
        </is>
      </c>
      <c r="B2344" s="1" t="n">
        <v>45146</v>
      </c>
      <c r="C2344" s="1" t="n">
        <v>45688</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35385-2023</t>
        </is>
      </c>
      <c r="B2345" s="1" t="n">
        <v>45145</v>
      </c>
      <c r="C2345" s="1" t="n">
        <v>45688</v>
      </c>
      <c r="D2345" t="inlineStr">
        <is>
          <t>JÄMTLANDS LÄN</t>
        </is>
      </c>
      <c r="E2345" t="inlineStr">
        <is>
          <t>STRÖMSUND</t>
        </is>
      </c>
      <c r="G2345" t="n">
        <v>29.8</v>
      </c>
      <c r="H2345" t="n">
        <v>0</v>
      </c>
      <c r="I2345" t="n">
        <v>0</v>
      </c>
      <c r="J2345" t="n">
        <v>0</v>
      </c>
      <c r="K2345" t="n">
        <v>0</v>
      </c>
      <c r="L2345" t="n">
        <v>0</v>
      </c>
      <c r="M2345" t="n">
        <v>0</v>
      </c>
      <c r="N2345" t="n">
        <v>0</v>
      </c>
      <c r="O2345" t="n">
        <v>0</v>
      </c>
      <c r="P2345" t="n">
        <v>0</v>
      </c>
      <c r="Q2345" t="n">
        <v>0</v>
      </c>
      <c r="R2345" s="2" t="inlineStr"/>
    </row>
    <row r="2346" ht="15" customHeight="1">
      <c r="A2346" t="inlineStr">
        <is>
          <t>A 35278-2023</t>
        </is>
      </c>
      <c r="B2346" s="1" t="n">
        <v>45146</v>
      </c>
      <c r="C2346" s="1" t="n">
        <v>45688</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35461-2023</t>
        </is>
      </c>
      <c r="B2347" s="1" t="n">
        <v>45146</v>
      </c>
      <c r="C2347" s="1" t="n">
        <v>45688</v>
      </c>
      <c r="D2347" t="inlineStr">
        <is>
          <t>JÄMTLANDS LÄN</t>
        </is>
      </c>
      <c r="E2347" t="inlineStr">
        <is>
          <t>STRÖMSUND</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35897-2023</t>
        </is>
      </c>
      <c r="B2348" s="1" t="n">
        <v>45148</v>
      </c>
      <c r="C2348" s="1" t="n">
        <v>45688</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36503-2023</t>
        </is>
      </c>
      <c r="B2349" s="1" t="n">
        <v>45153</v>
      </c>
      <c r="C2349" s="1" t="n">
        <v>45688</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36507-2023</t>
        </is>
      </c>
      <c r="B2350" s="1" t="n">
        <v>45152</v>
      </c>
      <c r="C2350" s="1" t="n">
        <v>45688</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36524-2023</t>
        </is>
      </c>
      <c r="B2351" s="1" t="n">
        <v>45152</v>
      </c>
      <c r="C2351" s="1" t="n">
        <v>45688</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36394-2023</t>
        </is>
      </c>
      <c r="B2352" s="1" t="n">
        <v>45152</v>
      </c>
      <c r="C2352" s="1" t="n">
        <v>45688</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36502-2023</t>
        </is>
      </c>
      <c r="B2353" s="1" t="n">
        <v>45153</v>
      </c>
      <c r="C2353" s="1" t="n">
        <v>45688</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36764-2023</t>
        </is>
      </c>
      <c r="B2354" s="1" t="n">
        <v>45154</v>
      </c>
      <c r="C2354" s="1" t="n">
        <v>45688</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36749-2023</t>
        </is>
      </c>
      <c r="B2355" s="1" t="n">
        <v>45154</v>
      </c>
      <c r="C2355" s="1" t="n">
        <v>45688</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36773-2023</t>
        </is>
      </c>
      <c r="B2356" s="1" t="n">
        <v>45154</v>
      </c>
      <c r="C2356" s="1" t="n">
        <v>45688</v>
      </c>
      <c r="D2356" t="inlineStr">
        <is>
          <t>JÄMTLANDS LÄN</t>
        </is>
      </c>
      <c r="E2356" t="inlineStr">
        <is>
          <t>STRÖMSUND</t>
        </is>
      </c>
      <c r="F2356" t="inlineStr">
        <is>
          <t>Holmen skog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36968-2023</t>
        </is>
      </c>
      <c r="B2357" s="1" t="n">
        <v>45155</v>
      </c>
      <c r="C2357" s="1" t="n">
        <v>45688</v>
      </c>
      <c r="D2357" t="inlineStr">
        <is>
          <t>JÄMTLANDS LÄN</t>
        </is>
      </c>
      <c r="E2357" t="inlineStr">
        <is>
          <t>STRÖMSUND</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36993-2023</t>
        </is>
      </c>
      <c r="B2358" s="1" t="n">
        <v>45155</v>
      </c>
      <c r="C2358" s="1" t="n">
        <v>45688</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36959-2023</t>
        </is>
      </c>
      <c r="B2359" s="1" t="n">
        <v>45155</v>
      </c>
      <c r="C2359" s="1" t="n">
        <v>45688</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37146-2023</t>
        </is>
      </c>
      <c r="B2360" s="1" t="n">
        <v>45155</v>
      </c>
      <c r="C2360" s="1" t="n">
        <v>45688</v>
      </c>
      <c r="D2360" t="inlineStr">
        <is>
          <t>JÄMTLANDS LÄN</t>
        </is>
      </c>
      <c r="E2360" t="inlineStr">
        <is>
          <t>STRÖMSUND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37261-2023</t>
        </is>
      </c>
      <c r="B2361" s="1" t="n">
        <v>45155</v>
      </c>
      <c r="C2361" s="1" t="n">
        <v>45688</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37143-2023</t>
        </is>
      </c>
      <c r="B2362" s="1" t="n">
        <v>45155</v>
      </c>
      <c r="C2362" s="1" t="n">
        <v>45688</v>
      </c>
      <c r="D2362" t="inlineStr">
        <is>
          <t>JÄMTLANDS LÄN</t>
        </is>
      </c>
      <c r="E2362" t="inlineStr">
        <is>
          <t>STRÖMSUND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37260-2023</t>
        </is>
      </c>
      <c r="B2363" s="1" t="n">
        <v>45155</v>
      </c>
      <c r="C2363" s="1" t="n">
        <v>45688</v>
      </c>
      <c r="D2363" t="inlineStr">
        <is>
          <t>JÄMTLANDS LÄN</t>
        </is>
      </c>
      <c r="E2363" t="inlineStr">
        <is>
          <t>STRÖMSUND</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37258-2023</t>
        </is>
      </c>
      <c r="B2364" s="1" t="n">
        <v>45156</v>
      </c>
      <c r="C2364" s="1" t="n">
        <v>45688</v>
      </c>
      <c r="D2364" t="inlineStr">
        <is>
          <t>JÄMTLANDS LÄN</t>
        </is>
      </c>
      <c r="E2364" t="inlineStr">
        <is>
          <t>STRÖMSUND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37469-2023</t>
        </is>
      </c>
      <c r="B2365" s="1" t="n">
        <v>45157</v>
      </c>
      <c r="C2365" s="1" t="n">
        <v>45688</v>
      </c>
      <c r="D2365" t="inlineStr">
        <is>
          <t>JÄMTLANDS LÄN</t>
        </is>
      </c>
      <c r="E2365" t="inlineStr">
        <is>
          <t>STRÖMSUND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37490-2023</t>
        </is>
      </c>
      <c r="B2366" s="1" t="n">
        <v>45157</v>
      </c>
      <c r="C2366" s="1" t="n">
        <v>45688</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37803-2023</t>
        </is>
      </c>
      <c r="B2367" s="1" t="n">
        <v>45160</v>
      </c>
      <c r="C2367" s="1" t="n">
        <v>45688</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37809-2023</t>
        </is>
      </c>
      <c r="B2368" s="1" t="n">
        <v>45160</v>
      </c>
      <c r="C2368" s="1" t="n">
        <v>45688</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38418-2023</t>
        </is>
      </c>
      <c r="B2369" s="1" t="n">
        <v>45160</v>
      </c>
      <c r="C2369" s="1" t="n">
        <v>45688</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38248-2023</t>
        </is>
      </c>
      <c r="B2370" s="1" t="n">
        <v>45161</v>
      </c>
      <c r="C2370" s="1" t="n">
        <v>45688</v>
      </c>
      <c r="D2370" t="inlineStr">
        <is>
          <t>JÄMTLANDS LÄN</t>
        </is>
      </c>
      <c r="E2370" t="inlineStr">
        <is>
          <t>STRÖMSUND</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38374-2023</t>
        </is>
      </c>
      <c r="B2371" s="1" t="n">
        <v>45162</v>
      </c>
      <c r="C2371" s="1" t="n">
        <v>45688</v>
      </c>
      <c r="D2371" t="inlineStr">
        <is>
          <t>JÄMTLANDS LÄN</t>
        </is>
      </c>
      <c r="E2371" t="inlineStr">
        <is>
          <t>STRÖMSUND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38642-2023</t>
        </is>
      </c>
      <c r="B2372" s="1" t="n">
        <v>45162</v>
      </c>
      <c r="C2372" s="1" t="n">
        <v>45688</v>
      </c>
      <c r="D2372" t="inlineStr">
        <is>
          <t>JÄMTLANDS LÄN</t>
        </is>
      </c>
      <c r="E2372" t="inlineStr">
        <is>
          <t>STRÖMSUND</t>
        </is>
      </c>
      <c r="F2372" t="inlineStr">
        <is>
          <t>Holmen skog AB</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38842-2023</t>
        </is>
      </c>
      <c r="B2373" s="1" t="n">
        <v>45163</v>
      </c>
      <c r="C2373" s="1" t="n">
        <v>45688</v>
      </c>
      <c r="D2373" t="inlineStr">
        <is>
          <t>JÄMTLANDS LÄN</t>
        </is>
      </c>
      <c r="E2373" t="inlineStr">
        <is>
          <t>STRÖMSUND</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39051-2023</t>
        </is>
      </c>
      <c r="B2374" s="1" t="n">
        <v>45163</v>
      </c>
      <c r="C2374" s="1" t="n">
        <v>45688</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39054-2023</t>
        </is>
      </c>
      <c r="B2375" s="1" t="n">
        <v>45164</v>
      </c>
      <c r="C2375" s="1" t="n">
        <v>45688</v>
      </c>
      <c r="D2375" t="inlineStr">
        <is>
          <t>JÄMTLANDS LÄN</t>
        </is>
      </c>
      <c r="E2375" t="inlineStr">
        <is>
          <t>STRÖMSUND</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39066-2023</t>
        </is>
      </c>
      <c r="B2376" s="1" t="n">
        <v>45164</v>
      </c>
      <c r="C2376" s="1" t="n">
        <v>45688</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38698-2023</t>
        </is>
      </c>
      <c r="B2377" s="1" t="n">
        <v>45163</v>
      </c>
      <c r="C2377" s="1" t="n">
        <v>45688</v>
      </c>
      <c r="D2377" t="inlineStr">
        <is>
          <t>JÄMTLANDS LÄN</t>
        </is>
      </c>
      <c r="E2377" t="inlineStr">
        <is>
          <t>STRÖMSUND</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39064-2023</t>
        </is>
      </c>
      <c r="B2378" s="1" t="n">
        <v>45163</v>
      </c>
      <c r="C2378" s="1" t="n">
        <v>45688</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39080-2023</t>
        </is>
      </c>
      <c r="B2379" s="1" t="n">
        <v>45164</v>
      </c>
      <c r="C2379" s="1" t="n">
        <v>45688</v>
      </c>
      <c r="D2379" t="inlineStr">
        <is>
          <t>JÄMTLANDS LÄN</t>
        </is>
      </c>
      <c r="E2379" t="inlineStr">
        <is>
          <t>STRÖMSUND</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38740-2023</t>
        </is>
      </c>
      <c r="B2380" s="1" t="n">
        <v>45163</v>
      </c>
      <c r="C2380" s="1" t="n">
        <v>45688</v>
      </c>
      <c r="D2380" t="inlineStr">
        <is>
          <t>JÄMTLANDS LÄN</t>
        </is>
      </c>
      <c r="E2380" t="inlineStr">
        <is>
          <t>STRÖMSUND</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39480-2023</t>
        </is>
      </c>
      <c r="B2381" s="1" t="n">
        <v>45167</v>
      </c>
      <c r="C2381" s="1" t="n">
        <v>45688</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39479-2023</t>
        </is>
      </c>
      <c r="B2382" s="1" t="n">
        <v>45167</v>
      </c>
      <c r="C2382" s="1" t="n">
        <v>45688</v>
      </c>
      <c r="D2382" t="inlineStr">
        <is>
          <t>JÄMTLANDS LÄN</t>
        </is>
      </c>
      <c r="E2382" t="inlineStr">
        <is>
          <t>STRÖMSUND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39490-2023</t>
        </is>
      </c>
      <c r="B2383" s="1" t="n">
        <v>45166</v>
      </c>
      <c r="C2383" s="1" t="n">
        <v>45688</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39671-2023</t>
        </is>
      </c>
      <c r="B2384" s="1" t="n">
        <v>45167</v>
      </c>
      <c r="C2384" s="1" t="n">
        <v>45688</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39799-2023</t>
        </is>
      </c>
      <c r="B2385" s="1" t="n">
        <v>45168</v>
      </c>
      <c r="C2385" s="1" t="n">
        <v>45688</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39817-2023</t>
        </is>
      </c>
      <c r="B2386" s="1" t="n">
        <v>45168</v>
      </c>
      <c r="C2386" s="1" t="n">
        <v>45688</v>
      </c>
      <c r="D2386" t="inlineStr">
        <is>
          <t>JÄMTLANDS LÄN</t>
        </is>
      </c>
      <c r="E2386" t="inlineStr">
        <is>
          <t>STRÖMSUND</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39792-2023</t>
        </is>
      </c>
      <c r="B2387" s="1" t="n">
        <v>45168</v>
      </c>
      <c r="C2387" s="1" t="n">
        <v>45688</v>
      </c>
      <c r="D2387" t="inlineStr">
        <is>
          <t>JÄMTLANDS LÄN</t>
        </is>
      </c>
      <c r="E2387" t="inlineStr">
        <is>
          <t>STRÖMSUND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39800-2023</t>
        </is>
      </c>
      <c r="B2388" s="1" t="n">
        <v>45168</v>
      </c>
      <c r="C2388" s="1" t="n">
        <v>45688</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39870-2023</t>
        </is>
      </c>
      <c r="B2389" s="1" t="n">
        <v>45168</v>
      </c>
      <c r="C2389" s="1" t="n">
        <v>45688</v>
      </c>
      <c r="D2389" t="inlineStr">
        <is>
          <t>JÄMTLANDS LÄN</t>
        </is>
      </c>
      <c r="E2389" t="inlineStr">
        <is>
          <t>STRÖMSUND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39922-2023</t>
        </is>
      </c>
      <c r="B2390" s="1" t="n">
        <v>45168</v>
      </c>
      <c r="C2390" s="1" t="n">
        <v>45688</v>
      </c>
      <c r="D2390" t="inlineStr">
        <is>
          <t>JÄMTLANDS LÄN</t>
        </is>
      </c>
      <c r="E2390" t="inlineStr">
        <is>
          <t>STRÖMSUND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39946-2023</t>
        </is>
      </c>
      <c r="B2391" s="1" t="n">
        <v>45168</v>
      </c>
      <c r="C2391" s="1" t="n">
        <v>45688</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40104-2023</t>
        </is>
      </c>
      <c r="B2392" s="1" t="n">
        <v>45169</v>
      </c>
      <c r="C2392" s="1" t="n">
        <v>45688</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40102-2023</t>
        </is>
      </c>
      <c r="B2393" s="1" t="n">
        <v>45169</v>
      </c>
      <c r="C2393" s="1" t="n">
        <v>45688</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40110-2023</t>
        </is>
      </c>
      <c r="B2394" s="1" t="n">
        <v>45168</v>
      </c>
      <c r="C2394" s="1" t="n">
        <v>45688</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40103-2023</t>
        </is>
      </c>
      <c r="B2395" s="1" t="n">
        <v>45169</v>
      </c>
      <c r="C2395" s="1" t="n">
        <v>45688</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40101-2023</t>
        </is>
      </c>
      <c r="B2396" s="1" t="n">
        <v>45169</v>
      </c>
      <c r="C2396" s="1" t="n">
        <v>45688</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40105-2023</t>
        </is>
      </c>
      <c r="B2397" s="1" t="n">
        <v>45169</v>
      </c>
      <c r="C2397" s="1" t="n">
        <v>45688</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40109-2023</t>
        </is>
      </c>
      <c r="B2398" s="1" t="n">
        <v>45168</v>
      </c>
      <c r="C2398" s="1" t="n">
        <v>45688</v>
      </c>
      <c r="D2398" t="inlineStr">
        <is>
          <t>JÄMTLANDS LÄN</t>
        </is>
      </c>
      <c r="E2398" t="inlineStr">
        <is>
          <t>STRÖMSUND</t>
        </is>
      </c>
      <c r="F2398" t="inlineStr">
        <is>
          <t>SCA</t>
        </is>
      </c>
      <c r="G2398" t="n">
        <v>55.1</v>
      </c>
      <c r="H2398" t="n">
        <v>0</v>
      </c>
      <c r="I2398" t="n">
        <v>0</v>
      </c>
      <c r="J2398" t="n">
        <v>0</v>
      </c>
      <c r="K2398" t="n">
        <v>0</v>
      </c>
      <c r="L2398" t="n">
        <v>0</v>
      </c>
      <c r="M2398" t="n">
        <v>0</v>
      </c>
      <c r="N2398" t="n">
        <v>0</v>
      </c>
      <c r="O2398" t="n">
        <v>0</v>
      </c>
      <c r="P2398" t="n">
        <v>0</v>
      </c>
      <c r="Q2398" t="n">
        <v>0</v>
      </c>
      <c r="R2398" s="2" t="inlineStr"/>
    </row>
    <row r="2399" ht="15" customHeight="1">
      <c r="A2399" t="inlineStr">
        <is>
          <t>A 40395-2023</t>
        </is>
      </c>
      <c r="B2399" s="1" t="n">
        <v>45170</v>
      </c>
      <c r="C2399" s="1" t="n">
        <v>45688</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40399-2023</t>
        </is>
      </c>
      <c r="B2400" s="1" t="n">
        <v>45170</v>
      </c>
      <c r="C2400" s="1" t="n">
        <v>45688</v>
      </c>
      <c r="D2400" t="inlineStr">
        <is>
          <t>JÄMTLANDS LÄN</t>
        </is>
      </c>
      <c r="E2400" t="inlineStr">
        <is>
          <t>STRÖMSUND</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40407-2023</t>
        </is>
      </c>
      <c r="B2401" s="1" t="n">
        <v>45170</v>
      </c>
      <c r="C2401" s="1" t="n">
        <v>45688</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40398-2023</t>
        </is>
      </c>
      <c r="B2402" s="1" t="n">
        <v>45170</v>
      </c>
      <c r="C2402" s="1" t="n">
        <v>45688</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40440-2023</t>
        </is>
      </c>
      <c r="B2403" s="1" t="n">
        <v>45170</v>
      </c>
      <c r="C2403" s="1" t="n">
        <v>45688</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40427-2023</t>
        </is>
      </c>
      <c r="B2404" s="1" t="n">
        <v>45170</v>
      </c>
      <c r="C2404" s="1" t="n">
        <v>45688</v>
      </c>
      <c r="D2404" t="inlineStr">
        <is>
          <t>JÄMTLANDS LÄN</t>
        </is>
      </c>
      <c r="E2404" t="inlineStr">
        <is>
          <t>STRÖMSUND</t>
        </is>
      </c>
      <c r="F2404" t="inlineStr">
        <is>
          <t>SCA</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40402-2023</t>
        </is>
      </c>
      <c r="B2405" s="1" t="n">
        <v>45170</v>
      </c>
      <c r="C2405" s="1" t="n">
        <v>45688</v>
      </c>
      <c r="D2405" t="inlineStr">
        <is>
          <t>JÄMTLANDS LÄN</t>
        </is>
      </c>
      <c r="E2405" t="inlineStr">
        <is>
          <t>STRÖMSUND</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40396-2023</t>
        </is>
      </c>
      <c r="B2406" s="1" t="n">
        <v>45170</v>
      </c>
      <c r="C2406" s="1" t="n">
        <v>45688</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40439-2023</t>
        </is>
      </c>
      <c r="B2407" s="1" t="n">
        <v>45169</v>
      </c>
      <c r="C2407" s="1" t="n">
        <v>45688</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40408-2023</t>
        </is>
      </c>
      <c r="B2408" s="1" t="n">
        <v>45170</v>
      </c>
      <c r="C2408" s="1" t="n">
        <v>45688</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40424-2023</t>
        </is>
      </c>
      <c r="B2409" s="1" t="n">
        <v>45170</v>
      </c>
      <c r="C2409" s="1" t="n">
        <v>45688</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40441-2023</t>
        </is>
      </c>
      <c r="B2410" s="1" t="n">
        <v>45169</v>
      </c>
      <c r="C2410" s="1" t="n">
        <v>45688</v>
      </c>
      <c r="D2410" t="inlineStr">
        <is>
          <t>JÄMTLANDS LÄN</t>
        </is>
      </c>
      <c r="E2410" t="inlineStr">
        <is>
          <t>STRÖMSUND</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40625-2023</t>
        </is>
      </c>
      <c r="B2411" s="1" t="n">
        <v>45169</v>
      </c>
      <c r="C2411" s="1" t="n">
        <v>45688</v>
      </c>
      <c r="D2411" t="inlineStr">
        <is>
          <t>JÄMTLANDS LÄN</t>
        </is>
      </c>
      <c r="E2411" t="inlineStr">
        <is>
          <t>STRÖMSUND</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41150-2023</t>
        </is>
      </c>
      <c r="B2412" s="1" t="n">
        <v>45174</v>
      </c>
      <c r="C2412" s="1" t="n">
        <v>45688</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41536-2023</t>
        </is>
      </c>
      <c r="B2413" s="1" t="n">
        <v>45173</v>
      </c>
      <c r="C2413" s="1" t="n">
        <v>45688</v>
      </c>
      <c r="D2413" t="inlineStr">
        <is>
          <t>JÄMTLANDS LÄN</t>
        </is>
      </c>
      <c r="E2413" t="inlineStr">
        <is>
          <t>STRÖMSUND</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41268-2023</t>
        </is>
      </c>
      <c r="B2414" s="1" t="n">
        <v>45174</v>
      </c>
      <c r="C2414" s="1" t="n">
        <v>45688</v>
      </c>
      <c r="D2414" t="inlineStr">
        <is>
          <t>JÄMTLANDS LÄN</t>
        </is>
      </c>
      <c r="E2414" t="inlineStr">
        <is>
          <t>STRÖMSUND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41970-2023</t>
        </is>
      </c>
      <c r="B2415" s="1" t="n">
        <v>45174</v>
      </c>
      <c r="C2415" s="1" t="n">
        <v>45688</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41978-2023</t>
        </is>
      </c>
      <c r="B2416" s="1" t="n">
        <v>45174</v>
      </c>
      <c r="C2416" s="1" t="n">
        <v>45688</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41644-2023</t>
        </is>
      </c>
      <c r="B2417" s="1" t="n">
        <v>45175</v>
      </c>
      <c r="C2417" s="1" t="n">
        <v>45688</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41902-2023</t>
        </is>
      </c>
      <c r="B2418" s="1" t="n">
        <v>45176</v>
      </c>
      <c r="C2418" s="1" t="n">
        <v>45688</v>
      </c>
      <c r="D2418" t="inlineStr">
        <is>
          <t>JÄMTLANDS LÄN</t>
        </is>
      </c>
      <c r="E2418" t="inlineStr">
        <is>
          <t>STRÖMSUND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41917-2023</t>
        </is>
      </c>
      <c r="B2419" s="1" t="n">
        <v>45177</v>
      </c>
      <c r="C2419" s="1" t="n">
        <v>45688</v>
      </c>
      <c r="D2419" t="inlineStr">
        <is>
          <t>JÄMTLANDS LÄN</t>
        </is>
      </c>
      <c r="E2419" t="inlineStr">
        <is>
          <t>STRÖMSUND</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41921-2023</t>
        </is>
      </c>
      <c r="B2420" s="1" t="n">
        <v>45177</v>
      </c>
      <c r="C2420" s="1" t="n">
        <v>45688</v>
      </c>
      <c r="D2420" t="inlineStr">
        <is>
          <t>JÄMTLANDS LÄN</t>
        </is>
      </c>
      <c r="E2420" t="inlineStr">
        <is>
          <t>STRÖMSUND</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41903-2023</t>
        </is>
      </c>
      <c r="B2421" s="1" t="n">
        <v>45176</v>
      </c>
      <c r="C2421" s="1" t="n">
        <v>45688</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41916-2023</t>
        </is>
      </c>
      <c r="B2422" s="1" t="n">
        <v>45177</v>
      </c>
      <c r="C2422" s="1" t="n">
        <v>45688</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41939-2023</t>
        </is>
      </c>
      <c r="B2423" s="1" t="n">
        <v>45177</v>
      </c>
      <c r="C2423" s="1" t="n">
        <v>45688</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41940-2023</t>
        </is>
      </c>
      <c r="B2424" s="1" t="n">
        <v>45176</v>
      </c>
      <c r="C2424" s="1" t="n">
        <v>45688</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42284-2023</t>
        </is>
      </c>
      <c r="B2425" s="1" t="n">
        <v>45180</v>
      </c>
      <c r="C2425" s="1" t="n">
        <v>45688</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42502-2023</t>
        </is>
      </c>
      <c r="B2426" s="1" t="n">
        <v>45181</v>
      </c>
      <c r="C2426" s="1" t="n">
        <v>45688</v>
      </c>
      <c r="D2426" t="inlineStr">
        <is>
          <t>JÄMTLANDS LÄN</t>
        </is>
      </c>
      <c r="E2426" t="inlineStr">
        <is>
          <t>STRÖMSUND</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42287-2023</t>
        </is>
      </c>
      <c r="B2427" s="1" t="n">
        <v>45180</v>
      </c>
      <c r="C2427" s="1" t="n">
        <v>45688</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42291-2023</t>
        </is>
      </c>
      <c r="B2428" s="1" t="n">
        <v>45180</v>
      </c>
      <c r="C2428" s="1" t="n">
        <v>45688</v>
      </c>
      <c r="D2428" t="inlineStr">
        <is>
          <t>JÄMTLANDS LÄN</t>
        </is>
      </c>
      <c r="E2428" t="inlineStr">
        <is>
          <t>STRÖMSUND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42428-2023</t>
        </is>
      </c>
      <c r="B2429" s="1" t="n">
        <v>45180</v>
      </c>
      <c r="C2429" s="1" t="n">
        <v>45688</v>
      </c>
      <c r="D2429" t="inlineStr">
        <is>
          <t>JÄMTLANDS LÄN</t>
        </is>
      </c>
      <c r="E2429" t="inlineStr">
        <is>
          <t>STRÖMSUND</t>
        </is>
      </c>
      <c r="F2429" t="inlineStr">
        <is>
          <t>Holmen skog AB</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42448-2023</t>
        </is>
      </c>
      <c r="B2430" s="1" t="n">
        <v>45180</v>
      </c>
      <c r="C2430" s="1" t="n">
        <v>45688</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43565-2023</t>
        </is>
      </c>
      <c r="B2431" s="1" t="n">
        <v>45181</v>
      </c>
      <c r="C2431" s="1" t="n">
        <v>45688</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43558-2023</t>
        </is>
      </c>
      <c r="B2432" s="1" t="n">
        <v>45181</v>
      </c>
      <c r="C2432" s="1" t="n">
        <v>45688</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42966-2023</t>
        </is>
      </c>
      <c r="B2433" s="1" t="n">
        <v>45182</v>
      </c>
      <c r="C2433" s="1" t="n">
        <v>45688</v>
      </c>
      <c r="D2433" t="inlineStr">
        <is>
          <t>JÄMTLANDS LÄN</t>
        </is>
      </c>
      <c r="E2433" t="inlineStr">
        <is>
          <t>STRÖMSUND</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42964-2023</t>
        </is>
      </c>
      <c r="B2434" s="1" t="n">
        <v>45182</v>
      </c>
      <c r="C2434" s="1" t="n">
        <v>45688</v>
      </c>
      <c r="D2434" t="inlineStr">
        <is>
          <t>JÄMTLANDS LÄN</t>
        </is>
      </c>
      <c r="E2434" t="inlineStr">
        <is>
          <t>STRÖMSUND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43112-2023</t>
        </is>
      </c>
      <c r="B2435" s="1" t="n">
        <v>45183</v>
      </c>
      <c r="C2435" s="1" t="n">
        <v>45688</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43421-2023</t>
        </is>
      </c>
      <c r="B2436" s="1" t="n">
        <v>45184</v>
      </c>
      <c r="C2436" s="1" t="n">
        <v>45688</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44642-2023</t>
        </is>
      </c>
      <c r="B2437" s="1" t="n">
        <v>45184</v>
      </c>
      <c r="C2437" s="1" t="n">
        <v>45688</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43947-2023</t>
        </is>
      </c>
      <c r="B2438" s="1" t="n">
        <v>45188</v>
      </c>
      <c r="C2438" s="1" t="n">
        <v>45688</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43955-2023</t>
        </is>
      </c>
      <c r="B2439" s="1" t="n">
        <v>45188</v>
      </c>
      <c r="C2439" s="1" t="n">
        <v>45688</v>
      </c>
      <c r="D2439" t="inlineStr">
        <is>
          <t>JÄMTLANDS LÄN</t>
        </is>
      </c>
      <c r="E2439" t="inlineStr">
        <is>
          <t>STRÖMSUND</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43953-2023</t>
        </is>
      </c>
      <c r="B2440" s="1" t="n">
        <v>45187</v>
      </c>
      <c r="C2440" s="1" t="n">
        <v>45688</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43956-2023</t>
        </is>
      </c>
      <c r="B2441" s="1" t="n">
        <v>45188</v>
      </c>
      <c r="C2441" s="1" t="n">
        <v>45688</v>
      </c>
      <c r="D2441" t="inlineStr">
        <is>
          <t>JÄMTLANDS LÄN</t>
        </is>
      </c>
      <c r="E2441" t="inlineStr">
        <is>
          <t>STRÖMSUND</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43976-2023</t>
        </is>
      </c>
      <c r="B2442" s="1" t="n">
        <v>45187</v>
      </c>
      <c r="C2442" s="1" t="n">
        <v>45688</v>
      </c>
      <c r="D2442" t="inlineStr">
        <is>
          <t>JÄMTLANDS LÄN</t>
        </is>
      </c>
      <c r="E2442" t="inlineStr">
        <is>
          <t>STRÖMSUND</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44385-2023</t>
        </is>
      </c>
      <c r="B2443" s="1" t="n">
        <v>45189</v>
      </c>
      <c r="C2443" s="1" t="n">
        <v>45688</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44384-2023</t>
        </is>
      </c>
      <c r="B2444" s="1" t="n">
        <v>45189</v>
      </c>
      <c r="C2444" s="1" t="n">
        <v>45688</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44411-2023</t>
        </is>
      </c>
      <c r="B2445" s="1" t="n">
        <v>45189</v>
      </c>
      <c r="C2445" s="1" t="n">
        <v>45688</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44390-2023</t>
        </is>
      </c>
      <c r="B2446" s="1" t="n">
        <v>45189</v>
      </c>
      <c r="C2446" s="1" t="n">
        <v>45688</v>
      </c>
      <c r="D2446" t="inlineStr">
        <is>
          <t>JÄMTLANDS LÄN</t>
        </is>
      </c>
      <c r="E2446" t="inlineStr">
        <is>
          <t>STRÖMSUND</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44402-2023</t>
        </is>
      </c>
      <c r="B2447" s="1" t="n">
        <v>45188</v>
      </c>
      <c r="C2447" s="1" t="n">
        <v>45688</v>
      </c>
      <c r="D2447" t="inlineStr">
        <is>
          <t>JÄMTLANDS LÄN</t>
        </is>
      </c>
      <c r="E2447" t="inlineStr">
        <is>
          <t>STRÖMSUND</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45928-2023</t>
        </is>
      </c>
      <c r="B2448" s="1" t="n">
        <v>45189</v>
      </c>
      <c r="C2448" s="1" t="n">
        <v>45688</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44995-2023</t>
        </is>
      </c>
      <c r="B2449" s="1" t="n">
        <v>45191</v>
      </c>
      <c r="C2449" s="1" t="n">
        <v>45688</v>
      </c>
      <c r="D2449" t="inlineStr">
        <is>
          <t>JÄMTLANDS LÄN</t>
        </is>
      </c>
      <c r="E2449" t="inlineStr">
        <is>
          <t>STRÖMSUND</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44813-2023</t>
        </is>
      </c>
      <c r="B2450" s="1" t="n">
        <v>45190</v>
      </c>
      <c r="C2450" s="1" t="n">
        <v>45688</v>
      </c>
      <c r="D2450" t="inlineStr">
        <is>
          <t>JÄMTLANDS LÄN</t>
        </is>
      </c>
      <c r="E2450" t="inlineStr">
        <is>
          <t>STRÖMSUND</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44969-2023</t>
        </is>
      </c>
      <c r="B2451" s="1" t="n">
        <v>45191</v>
      </c>
      <c r="C2451" s="1" t="n">
        <v>45688</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45091-2023</t>
        </is>
      </c>
      <c r="B2452" s="1" t="n">
        <v>45191</v>
      </c>
      <c r="C2452" s="1" t="n">
        <v>45688</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45329-2023</t>
        </is>
      </c>
      <c r="B2453" s="1" t="n">
        <v>45192</v>
      </c>
      <c r="C2453" s="1" t="n">
        <v>45688</v>
      </c>
      <c r="D2453" t="inlineStr">
        <is>
          <t>JÄMTLANDS LÄN</t>
        </is>
      </c>
      <c r="E2453" t="inlineStr">
        <is>
          <t>STRÖMSUND</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45341-2023</t>
        </is>
      </c>
      <c r="B2454" s="1" t="n">
        <v>45192</v>
      </c>
      <c r="C2454" s="1" t="n">
        <v>45688</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45340-2023</t>
        </is>
      </c>
      <c r="B2455" s="1" t="n">
        <v>45192</v>
      </c>
      <c r="C2455" s="1" t="n">
        <v>45688</v>
      </c>
      <c r="D2455" t="inlineStr">
        <is>
          <t>JÄMTLANDS LÄN</t>
        </is>
      </c>
      <c r="E2455" t="inlineStr">
        <is>
          <t>STRÖMSUND</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45315-2023</t>
        </is>
      </c>
      <c r="B2456" s="1" t="n">
        <v>45191</v>
      </c>
      <c r="C2456" s="1" t="n">
        <v>45688</v>
      </c>
      <c r="D2456" t="inlineStr">
        <is>
          <t>JÄMTLANDS LÄN</t>
        </is>
      </c>
      <c r="E2456" t="inlineStr">
        <is>
          <t>STRÖMSUND</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45339-2023</t>
        </is>
      </c>
      <c r="B2457" s="1" t="n">
        <v>45192</v>
      </c>
      <c r="C2457" s="1" t="n">
        <v>45688</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45366-2023</t>
        </is>
      </c>
      <c r="B2458" s="1" t="n">
        <v>45192</v>
      </c>
      <c r="C2458" s="1" t="n">
        <v>45688</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45497-2023</t>
        </is>
      </c>
      <c r="B2459" s="1" t="n">
        <v>45194</v>
      </c>
      <c r="C2459" s="1" t="n">
        <v>45688</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45566-2023</t>
        </is>
      </c>
      <c r="B2460" s="1" t="n">
        <v>45194</v>
      </c>
      <c r="C2460" s="1" t="n">
        <v>45688</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45506-2023</t>
        </is>
      </c>
      <c r="B2461" s="1" t="n">
        <v>45194</v>
      </c>
      <c r="C2461" s="1" t="n">
        <v>45688</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45584-2023</t>
        </is>
      </c>
      <c r="B2462" s="1" t="n">
        <v>45194</v>
      </c>
      <c r="C2462" s="1" t="n">
        <v>45688</v>
      </c>
      <c r="D2462" t="inlineStr">
        <is>
          <t>JÄMTLANDS LÄN</t>
        </is>
      </c>
      <c r="E2462" t="inlineStr">
        <is>
          <t>STRÖMSUND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45502-2023</t>
        </is>
      </c>
      <c r="B2463" s="1" t="n">
        <v>45194</v>
      </c>
      <c r="C2463" s="1" t="n">
        <v>45688</v>
      </c>
      <c r="D2463" t="inlineStr">
        <is>
          <t>JÄMTLANDS LÄN</t>
        </is>
      </c>
      <c r="E2463" t="inlineStr">
        <is>
          <t>STRÖMSUND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45809-2023</t>
        </is>
      </c>
      <c r="B2464" s="1" t="n">
        <v>45195</v>
      </c>
      <c r="C2464" s="1" t="n">
        <v>45688</v>
      </c>
      <c r="D2464" t="inlineStr">
        <is>
          <t>JÄMTLANDS LÄN</t>
        </is>
      </c>
      <c r="E2464" t="inlineStr">
        <is>
          <t>STRÖMSUND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45938-2023</t>
        </is>
      </c>
      <c r="B2465" s="1" t="n">
        <v>45196</v>
      </c>
      <c r="C2465" s="1" t="n">
        <v>45688</v>
      </c>
      <c r="D2465" t="inlineStr">
        <is>
          <t>JÄMTLANDS LÄN</t>
        </is>
      </c>
      <c r="E2465" t="inlineStr">
        <is>
          <t>STRÖMSUND</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46788-2023</t>
        </is>
      </c>
      <c r="B2466" s="1" t="n">
        <v>45195</v>
      </c>
      <c r="C2466" s="1" t="n">
        <v>45688</v>
      </c>
      <c r="D2466" t="inlineStr">
        <is>
          <t>JÄMTLANDS LÄN</t>
        </is>
      </c>
      <c r="E2466" t="inlineStr">
        <is>
          <t>STRÖMSUND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45975-2023</t>
        </is>
      </c>
      <c r="B2467" s="1" t="n">
        <v>45196</v>
      </c>
      <c r="C2467" s="1" t="n">
        <v>45688</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46789-2023</t>
        </is>
      </c>
      <c r="B2468" s="1" t="n">
        <v>45195</v>
      </c>
      <c r="C2468" s="1" t="n">
        <v>45688</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46776-2023</t>
        </is>
      </c>
      <c r="B2469" s="1" t="n">
        <v>45195</v>
      </c>
      <c r="C2469" s="1" t="n">
        <v>45688</v>
      </c>
      <c r="D2469" t="inlineStr">
        <is>
          <t>JÄMTLANDS LÄN</t>
        </is>
      </c>
      <c r="E2469" t="inlineStr">
        <is>
          <t>STRÖMSUND</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46794-2023</t>
        </is>
      </c>
      <c r="B2470" s="1" t="n">
        <v>45195</v>
      </c>
      <c r="C2470" s="1" t="n">
        <v>45688</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46793-2023</t>
        </is>
      </c>
      <c r="B2471" s="1" t="n">
        <v>45195</v>
      </c>
      <c r="C2471" s="1" t="n">
        <v>45688</v>
      </c>
      <c r="D2471" t="inlineStr">
        <is>
          <t>JÄMTLANDS LÄN</t>
        </is>
      </c>
      <c r="E2471" t="inlineStr">
        <is>
          <t>STRÖMSUND</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46258-2023</t>
        </is>
      </c>
      <c r="B2472" s="1" t="n">
        <v>45197</v>
      </c>
      <c r="C2472" s="1" t="n">
        <v>45688</v>
      </c>
      <c r="D2472" t="inlineStr">
        <is>
          <t>JÄMTLANDS LÄN</t>
        </is>
      </c>
      <c r="E2472" t="inlineStr">
        <is>
          <t>STRÖMSUND</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46265-2023</t>
        </is>
      </c>
      <c r="B2473" s="1" t="n">
        <v>45196</v>
      </c>
      <c r="C2473" s="1" t="n">
        <v>45688</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46259-2023</t>
        </is>
      </c>
      <c r="B2474" s="1" t="n">
        <v>45197</v>
      </c>
      <c r="C2474" s="1" t="n">
        <v>45688</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46365-2023</t>
        </is>
      </c>
      <c r="B2475" s="1" t="n">
        <v>45197</v>
      </c>
      <c r="C2475" s="1" t="n">
        <v>45688</v>
      </c>
      <c r="D2475" t="inlineStr">
        <is>
          <t>JÄMTLANDS LÄN</t>
        </is>
      </c>
      <c r="E2475" t="inlineStr">
        <is>
          <t>STRÖMSUND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46545-2023</t>
        </is>
      </c>
      <c r="B2476" s="1" t="n">
        <v>45198</v>
      </c>
      <c r="C2476" s="1" t="n">
        <v>45688</v>
      </c>
      <c r="D2476" t="inlineStr">
        <is>
          <t>JÄMTLANDS LÄN</t>
        </is>
      </c>
      <c r="E2476" t="inlineStr">
        <is>
          <t>STRÖMSUND</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46556-2023</t>
        </is>
      </c>
      <c r="B2477" s="1" t="n">
        <v>45198</v>
      </c>
      <c r="C2477" s="1" t="n">
        <v>45688</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46557-2023</t>
        </is>
      </c>
      <c r="B2478" s="1" t="n">
        <v>45197</v>
      </c>
      <c r="C2478" s="1" t="n">
        <v>45688</v>
      </c>
      <c r="D2478" t="inlineStr">
        <is>
          <t>JÄMTLANDS LÄN</t>
        </is>
      </c>
      <c r="E2478" t="inlineStr">
        <is>
          <t>STRÖMSUND</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46807-2023</t>
        </is>
      </c>
      <c r="B2479" s="1" t="n">
        <v>45199</v>
      </c>
      <c r="C2479" s="1" t="n">
        <v>45688</v>
      </c>
      <c r="D2479" t="inlineStr">
        <is>
          <t>JÄMTLANDS LÄN</t>
        </is>
      </c>
      <c r="E2479" t="inlineStr">
        <is>
          <t>STRÖMSUND</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46811-2023</t>
        </is>
      </c>
      <c r="B2480" s="1" t="n">
        <v>45199</v>
      </c>
      <c r="C2480" s="1" t="n">
        <v>45688</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46813-2023</t>
        </is>
      </c>
      <c r="B2481" s="1" t="n">
        <v>45199</v>
      </c>
      <c r="C2481" s="1" t="n">
        <v>45688</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46770-2023</t>
        </is>
      </c>
      <c r="B2482" s="1" t="n">
        <v>45198</v>
      </c>
      <c r="C2482" s="1" t="n">
        <v>45688</v>
      </c>
      <c r="D2482" t="inlineStr">
        <is>
          <t>JÄMTLANDS LÄN</t>
        </is>
      </c>
      <c r="E2482" t="inlineStr">
        <is>
          <t>STRÖMSUND</t>
        </is>
      </c>
      <c r="F2482" t="inlineStr">
        <is>
          <t>Sveaskog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46774-2023</t>
        </is>
      </c>
      <c r="B2483" s="1" t="n">
        <v>45198</v>
      </c>
      <c r="C2483" s="1" t="n">
        <v>45688</v>
      </c>
      <c r="D2483" t="inlineStr">
        <is>
          <t>JÄMTLANDS LÄN</t>
        </is>
      </c>
      <c r="E2483" t="inlineStr">
        <is>
          <t>STRÖMSUND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47151-2023</t>
        </is>
      </c>
      <c r="B2484" s="1" t="n">
        <v>45201</v>
      </c>
      <c r="C2484" s="1" t="n">
        <v>45688</v>
      </c>
      <c r="D2484" t="inlineStr">
        <is>
          <t>JÄMTLANDS LÄN</t>
        </is>
      </c>
      <c r="E2484" t="inlineStr">
        <is>
          <t>STRÖMSUND</t>
        </is>
      </c>
      <c r="F2484" t="inlineStr">
        <is>
          <t>Holmen skog AB</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47178-2023</t>
        </is>
      </c>
      <c r="B2485" s="1" t="n">
        <v>45201</v>
      </c>
      <c r="C2485" s="1" t="n">
        <v>45688</v>
      </c>
      <c r="D2485" t="inlineStr">
        <is>
          <t>JÄMTLANDS LÄN</t>
        </is>
      </c>
      <c r="E2485" t="inlineStr">
        <is>
          <t>STRÖMSUND</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47182-2023</t>
        </is>
      </c>
      <c r="B2486" s="1" t="n">
        <v>45202</v>
      </c>
      <c r="C2486" s="1" t="n">
        <v>45688</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47116-2023</t>
        </is>
      </c>
      <c r="B2487" s="1" t="n">
        <v>45201</v>
      </c>
      <c r="C2487" s="1" t="n">
        <v>45688</v>
      </c>
      <c r="D2487" t="inlineStr">
        <is>
          <t>JÄMTLANDS LÄN</t>
        </is>
      </c>
      <c r="E2487" t="inlineStr">
        <is>
          <t>STRÖMSUND</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48328-2023</t>
        </is>
      </c>
      <c r="B2488" s="1" t="n">
        <v>45201</v>
      </c>
      <c r="C2488" s="1" t="n">
        <v>45688</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47491-2023</t>
        </is>
      </c>
      <c r="B2489" s="1" t="n">
        <v>45203</v>
      </c>
      <c r="C2489" s="1" t="n">
        <v>45688</v>
      </c>
      <c r="D2489" t="inlineStr">
        <is>
          <t>JÄMTLANDS LÄN</t>
        </is>
      </c>
      <c r="E2489" t="inlineStr">
        <is>
          <t>STRÖMSUND</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47843-2023</t>
        </is>
      </c>
      <c r="B2490" s="1" t="n">
        <v>45204</v>
      </c>
      <c r="C2490" s="1" t="n">
        <v>45688</v>
      </c>
      <c r="D2490" t="inlineStr">
        <is>
          <t>JÄMTLANDS LÄN</t>
        </is>
      </c>
      <c r="E2490" t="inlineStr">
        <is>
          <t>STRÖMSUND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48038-2023</t>
        </is>
      </c>
      <c r="B2491" s="1" t="n">
        <v>45204</v>
      </c>
      <c r="C2491" s="1" t="n">
        <v>45688</v>
      </c>
      <c r="D2491" t="inlineStr">
        <is>
          <t>JÄMTLANDS LÄN</t>
        </is>
      </c>
      <c r="E2491" t="inlineStr">
        <is>
          <t>STRÖMSUND</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48042-2023</t>
        </is>
      </c>
      <c r="B2492" s="1" t="n">
        <v>45204</v>
      </c>
      <c r="C2492" s="1" t="n">
        <v>45688</v>
      </c>
      <c r="D2492" t="inlineStr">
        <is>
          <t>JÄMTLANDS LÄN</t>
        </is>
      </c>
      <c r="E2492" t="inlineStr">
        <is>
          <t>STRÖMSUND</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48071-2023</t>
        </is>
      </c>
      <c r="B2493" s="1" t="n">
        <v>45205</v>
      </c>
      <c r="C2493" s="1" t="n">
        <v>45688</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48070-2023</t>
        </is>
      </c>
      <c r="B2494" s="1" t="n">
        <v>45204</v>
      </c>
      <c r="C2494" s="1" t="n">
        <v>45688</v>
      </c>
      <c r="D2494" t="inlineStr">
        <is>
          <t>JÄMTLANDS LÄN</t>
        </is>
      </c>
      <c r="E2494" t="inlineStr">
        <is>
          <t>STRÖMSUND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48982-2023</t>
        </is>
      </c>
      <c r="B2495" s="1" t="n">
        <v>45204</v>
      </c>
      <c r="C2495" s="1" t="n">
        <v>45688</v>
      </c>
      <c r="D2495" t="inlineStr">
        <is>
          <t>JÄMTLANDS LÄN</t>
        </is>
      </c>
      <c r="E2495" t="inlineStr">
        <is>
          <t>STRÖMSUND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48994-2023</t>
        </is>
      </c>
      <c r="B2496" s="1" t="n">
        <v>45204</v>
      </c>
      <c r="C2496" s="1" t="n">
        <v>45688</v>
      </c>
      <c r="D2496" t="inlineStr">
        <is>
          <t>JÄMTLANDS LÄN</t>
        </is>
      </c>
      <c r="E2496" t="inlineStr">
        <is>
          <t>STRÖMSUND</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49008-2023</t>
        </is>
      </c>
      <c r="B2497" s="1" t="n">
        <v>45204</v>
      </c>
      <c r="C2497" s="1" t="n">
        <v>45688</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48976-2023</t>
        </is>
      </c>
      <c r="B2498" s="1" t="n">
        <v>45204</v>
      </c>
      <c r="C2498" s="1" t="n">
        <v>45688</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48991-2023</t>
        </is>
      </c>
      <c r="B2499" s="1" t="n">
        <v>45204</v>
      </c>
      <c r="C2499" s="1" t="n">
        <v>45688</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48988-2023</t>
        </is>
      </c>
      <c r="B2500" s="1" t="n">
        <v>45204</v>
      </c>
      <c r="C2500" s="1" t="n">
        <v>45688</v>
      </c>
      <c r="D2500" t="inlineStr">
        <is>
          <t>JÄMTLANDS LÄN</t>
        </is>
      </c>
      <c r="E2500" t="inlineStr">
        <is>
          <t>STRÖMSUND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48997-2023</t>
        </is>
      </c>
      <c r="B2501" s="1" t="n">
        <v>45204</v>
      </c>
      <c r="C2501" s="1" t="n">
        <v>45688</v>
      </c>
      <c r="D2501" t="inlineStr">
        <is>
          <t>JÄMTLANDS LÄN</t>
        </is>
      </c>
      <c r="E2501" t="inlineStr">
        <is>
          <t>STRÖMSUND</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49091-2023</t>
        </is>
      </c>
      <c r="B2502" s="1" t="n">
        <v>45204</v>
      </c>
      <c r="C2502" s="1" t="n">
        <v>45688</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48388-2023</t>
        </is>
      </c>
      <c r="B2503" s="1" t="n">
        <v>45205</v>
      </c>
      <c r="C2503" s="1" t="n">
        <v>45688</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48420-2023</t>
        </is>
      </c>
      <c r="B2504" s="1" t="n">
        <v>45205</v>
      </c>
      <c r="C2504" s="1" t="n">
        <v>45688</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48476-2023</t>
        </is>
      </c>
      <c r="B2505" s="1" t="n">
        <v>45206</v>
      </c>
      <c r="C2505" s="1" t="n">
        <v>45688</v>
      </c>
      <c r="D2505" t="inlineStr">
        <is>
          <t>JÄMTLANDS LÄN</t>
        </is>
      </c>
      <c r="E2505" t="inlineStr">
        <is>
          <t>STRÖMSUND</t>
        </is>
      </c>
      <c r="F2505" t="inlineStr">
        <is>
          <t>SCA</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48775-2023</t>
        </is>
      </c>
      <c r="B2506" s="1" t="n">
        <v>45209</v>
      </c>
      <c r="C2506" s="1" t="n">
        <v>45688</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48637-2023</t>
        </is>
      </c>
      <c r="B2507" s="1" t="n">
        <v>45208</v>
      </c>
      <c r="C2507" s="1" t="n">
        <v>45688</v>
      </c>
      <c r="D2507" t="inlineStr">
        <is>
          <t>JÄMTLANDS LÄN</t>
        </is>
      </c>
      <c r="E2507" t="inlineStr">
        <is>
          <t>STRÖMSUND</t>
        </is>
      </c>
      <c r="F2507" t="inlineStr">
        <is>
          <t>Kommuner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49763-2023</t>
        </is>
      </c>
      <c r="B2508" s="1" t="n">
        <v>45208</v>
      </c>
      <c r="C2508" s="1" t="n">
        <v>45688</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49147-2023</t>
        </is>
      </c>
      <c r="B2509" s="1" t="n">
        <v>45210</v>
      </c>
      <c r="C2509" s="1" t="n">
        <v>45688</v>
      </c>
      <c r="D2509" t="inlineStr">
        <is>
          <t>JÄMTLANDS LÄN</t>
        </is>
      </c>
      <c r="E2509" t="inlineStr">
        <is>
          <t>STRÖMSUND</t>
        </is>
      </c>
      <c r="F2509" t="inlineStr">
        <is>
          <t>Holmen skog AB</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50647-2023</t>
        </is>
      </c>
      <c r="B2510" s="1" t="n">
        <v>45210</v>
      </c>
      <c r="C2510" s="1" t="n">
        <v>45688</v>
      </c>
      <c r="D2510" t="inlineStr">
        <is>
          <t>JÄMTLANDS LÄN</t>
        </is>
      </c>
      <c r="E2510" t="inlineStr">
        <is>
          <t>STRÖMSUND</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49377-2023</t>
        </is>
      </c>
      <c r="B2511" s="1" t="n">
        <v>45211</v>
      </c>
      <c r="C2511" s="1" t="n">
        <v>45688</v>
      </c>
      <c r="D2511" t="inlineStr">
        <is>
          <t>JÄMTLANDS LÄN</t>
        </is>
      </c>
      <c r="E2511" t="inlineStr">
        <is>
          <t>STRÖMSUND</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49415-2023</t>
        </is>
      </c>
      <c r="B2512" s="1" t="n">
        <v>45211</v>
      </c>
      <c r="C2512" s="1" t="n">
        <v>45688</v>
      </c>
      <c r="D2512" t="inlineStr">
        <is>
          <t>JÄMTLANDS LÄN</t>
        </is>
      </c>
      <c r="E2512" t="inlineStr">
        <is>
          <t>STRÖMSUND</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51074-2023</t>
        </is>
      </c>
      <c r="B2513" s="1" t="n">
        <v>45211</v>
      </c>
      <c r="C2513" s="1" t="n">
        <v>45688</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51077-2023</t>
        </is>
      </c>
      <c r="B2514" s="1" t="n">
        <v>45211</v>
      </c>
      <c r="C2514" s="1" t="n">
        <v>45688</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51075-2023</t>
        </is>
      </c>
      <c r="B2515" s="1" t="n">
        <v>45211</v>
      </c>
      <c r="C2515" s="1" t="n">
        <v>45688</v>
      </c>
      <c r="D2515" t="inlineStr">
        <is>
          <t>JÄMTLANDS LÄN</t>
        </is>
      </c>
      <c r="E2515" t="inlineStr">
        <is>
          <t>STRÖMSUND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49861-2023</t>
        </is>
      </c>
      <c r="B2516" s="1" t="n">
        <v>45212</v>
      </c>
      <c r="C2516" s="1" t="n">
        <v>45688</v>
      </c>
      <c r="D2516" t="inlineStr">
        <is>
          <t>JÄMTLANDS LÄN</t>
        </is>
      </c>
      <c r="E2516" t="inlineStr">
        <is>
          <t>STRÖMSUND</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50203-2023</t>
        </is>
      </c>
      <c r="B2517" s="1" t="n">
        <v>45216</v>
      </c>
      <c r="C2517" s="1" t="n">
        <v>45688</v>
      </c>
      <c r="D2517" t="inlineStr">
        <is>
          <t>JÄMTLANDS LÄN</t>
        </is>
      </c>
      <c r="E2517" t="inlineStr">
        <is>
          <t>STRÖMSUND</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50495-2023</t>
        </is>
      </c>
      <c r="B2518" s="1" t="n">
        <v>45216</v>
      </c>
      <c r="C2518" s="1" t="n">
        <v>45688</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52303-2023</t>
        </is>
      </c>
      <c r="B2519" s="1" t="n">
        <v>45217</v>
      </c>
      <c r="C2519" s="1" t="n">
        <v>45688</v>
      </c>
      <c r="D2519" t="inlineStr">
        <is>
          <t>JÄMTLANDS LÄN</t>
        </is>
      </c>
      <c r="E2519" t="inlineStr">
        <is>
          <t>STRÖMSUND</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51001-2023</t>
        </is>
      </c>
      <c r="B2520" s="1" t="n">
        <v>45218</v>
      </c>
      <c r="C2520" s="1" t="n">
        <v>45688</v>
      </c>
      <c r="D2520" t="inlineStr">
        <is>
          <t>JÄMTLANDS LÄN</t>
        </is>
      </c>
      <c r="E2520" t="inlineStr">
        <is>
          <t>STRÖMSUND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51429-2023</t>
        </is>
      </c>
      <c r="B2521" s="1" t="n">
        <v>45220</v>
      </c>
      <c r="C2521" s="1" t="n">
        <v>45688</v>
      </c>
      <c r="D2521" t="inlineStr">
        <is>
          <t>JÄMTLANDS LÄN</t>
        </is>
      </c>
      <c r="E2521" t="inlineStr">
        <is>
          <t>STRÖMSUND</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51795-2023</t>
        </is>
      </c>
      <c r="B2522" s="1" t="n">
        <v>45222</v>
      </c>
      <c r="C2522" s="1" t="n">
        <v>45688</v>
      </c>
      <c r="D2522" t="inlineStr">
        <is>
          <t>JÄMTLANDS LÄN</t>
        </is>
      </c>
      <c r="E2522" t="inlineStr">
        <is>
          <t>STRÖMSUND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51799-2023</t>
        </is>
      </c>
      <c r="B2523" s="1" t="n">
        <v>45223</v>
      </c>
      <c r="C2523" s="1" t="n">
        <v>45688</v>
      </c>
      <c r="D2523" t="inlineStr">
        <is>
          <t>JÄMTLANDS LÄN</t>
        </is>
      </c>
      <c r="E2523" t="inlineStr">
        <is>
          <t>STRÖMSUND</t>
        </is>
      </c>
      <c r="F2523" t="inlineStr">
        <is>
          <t>SCA</t>
        </is>
      </c>
      <c r="G2523" t="n">
        <v>42.6</v>
      </c>
      <c r="H2523" t="n">
        <v>0</v>
      </c>
      <c r="I2523" t="n">
        <v>0</v>
      </c>
      <c r="J2523" t="n">
        <v>0</v>
      </c>
      <c r="K2523" t="n">
        <v>0</v>
      </c>
      <c r="L2523" t="n">
        <v>0</v>
      </c>
      <c r="M2523" t="n">
        <v>0</v>
      </c>
      <c r="N2523" t="n">
        <v>0</v>
      </c>
      <c r="O2523" t="n">
        <v>0</v>
      </c>
      <c r="P2523" t="n">
        <v>0</v>
      </c>
      <c r="Q2523" t="n">
        <v>0</v>
      </c>
      <c r="R2523" s="2" t="inlineStr"/>
    </row>
    <row r="2524" ht="15" customHeight="1">
      <c r="A2524" t="inlineStr">
        <is>
          <t>A 51796-2023</t>
        </is>
      </c>
      <c r="B2524" s="1" t="n">
        <v>45222</v>
      </c>
      <c r="C2524" s="1" t="n">
        <v>45688</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53025-2023</t>
        </is>
      </c>
      <c r="B2525" s="1" t="n">
        <v>45222</v>
      </c>
      <c r="C2525" s="1" t="n">
        <v>45688</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53024-2023</t>
        </is>
      </c>
      <c r="B2526" s="1" t="n">
        <v>45222</v>
      </c>
      <c r="C2526" s="1" t="n">
        <v>45688</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51786-2023</t>
        </is>
      </c>
      <c r="B2527" s="1" t="n">
        <v>45222</v>
      </c>
      <c r="C2527" s="1" t="n">
        <v>45688</v>
      </c>
      <c r="D2527" t="inlineStr">
        <is>
          <t>JÄMTLANDS LÄN</t>
        </is>
      </c>
      <c r="E2527" t="inlineStr">
        <is>
          <t>STRÖMSUND</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52139-2023</t>
        </is>
      </c>
      <c r="B2528" s="1" t="n">
        <v>45223</v>
      </c>
      <c r="C2528" s="1" t="n">
        <v>45688</v>
      </c>
      <c r="D2528" t="inlineStr">
        <is>
          <t>JÄMTLANDS LÄN</t>
        </is>
      </c>
      <c r="E2528" t="inlineStr">
        <is>
          <t>STRÖMSUND</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52108-2023</t>
        </is>
      </c>
      <c r="B2529" s="1" t="n">
        <v>45224</v>
      </c>
      <c r="C2529" s="1" t="n">
        <v>45688</v>
      </c>
      <c r="D2529" t="inlineStr">
        <is>
          <t>JÄMTLANDS LÄN</t>
        </is>
      </c>
      <c r="E2529" t="inlineStr">
        <is>
          <t>STRÖMSUND</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52113-2023</t>
        </is>
      </c>
      <c r="B2530" s="1" t="n">
        <v>45224</v>
      </c>
      <c r="C2530" s="1" t="n">
        <v>45688</v>
      </c>
      <c r="D2530" t="inlineStr">
        <is>
          <t>JÄMTLANDS LÄN</t>
        </is>
      </c>
      <c r="E2530" t="inlineStr">
        <is>
          <t>STRÖMSUND</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52121-2023</t>
        </is>
      </c>
      <c r="B2531" s="1" t="n">
        <v>45223</v>
      </c>
      <c r="C2531" s="1" t="n">
        <v>45688</v>
      </c>
      <c r="D2531" t="inlineStr">
        <is>
          <t>JÄMTLANDS LÄN</t>
        </is>
      </c>
      <c r="E2531" t="inlineStr">
        <is>
          <t>STRÖMSUND</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52134-2023</t>
        </is>
      </c>
      <c r="B2532" s="1" t="n">
        <v>45223</v>
      </c>
      <c r="C2532" s="1" t="n">
        <v>45688</v>
      </c>
      <c r="D2532" t="inlineStr">
        <is>
          <t>JÄMTLANDS LÄN</t>
        </is>
      </c>
      <c r="E2532" t="inlineStr">
        <is>
          <t>STRÖMSUND</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52402-2023</t>
        </is>
      </c>
      <c r="B2533" s="1" t="n">
        <v>45225</v>
      </c>
      <c r="C2533" s="1" t="n">
        <v>45688</v>
      </c>
      <c r="D2533" t="inlineStr">
        <is>
          <t>JÄMTLANDS LÄN</t>
        </is>
      </c>
      <c r="E2533" t="inlineStr">
        <is>
          <t>STRÖMSUND</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52478-2023</t>
        </is>
      </c>
      <c r="B2534" s="1" t="n">
        <v>45225</v>
      </c>
      <c r="C2534" s="1" t="n">
        <v>45688</v>
      </c>
      <c r="D2534" t="inlineStr">
        <is>
          <t>JÄMTLANDS LÄN</t>
        </is>
      </c>
      <c r="E2534" t="inlineStr">
        <is>
          <t>STRÖMSUND</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52725-2023</t>
        </is>
      </c>
      <c r="B2535" s="1" t="n">
        <v>45226</v>
      </c>
      <c r="C2535" s="1" t="n">
        <v>45688</v>
      </c>
      <c r="D2535" t="inlineStr">
        <is>
          <t>JÄMTLANDS LÄN</t>
        </is>
      </c>
      <c r="E2535" t="inlineStr">
        <is>
          <t>STRÖMSUND</t>
        </is>
      </c>
      <c r="G2535" t="n">
        <v>17.2</v>
      </c>
      <c r="H2535" t="n">
        <v>0</v>
      </c>
      <c r="I2535" t="n">
        <v>0</v>
      </c>
      <c r="J2535" t="n">
        <v>0</v>
      </c>
      <c r="K2535" t="n">
        <v>0</v>
      </c>
      <c r="L2535" t="n">
        <v>0</v>
      </c>
      <c r="M2535" t="n">
        <v>0</v>
      </c>
      <c r="N2535" t="n">
        <v>0</v>
      </c>
      <c r="O2535" t="n">
        <v>0</v>
      </c>
      <c r="P2535" t="n">
        <v>0</v>
      </c>
      <c r="Q2535" t="n">
        <v>0</v>
      </c>
      <c r="R2535" s="2" t="inlineStr"/>
    </row>
    <row r="2536" ht="15" customHeight="1">
      <c r="A2536" t="inlineStr">
        <is>
          <t>A 52733-2023</t>
        </is>
      </c>
      <c r="B2536" s="1" t="n">
        <v>45226</v>
      </c>
      <c r="C2536" s="1" t="n">
        <v>45688</v>
      </c>
      <c r="D2536" t="inlineStr">
        <is>
          <t>JÄMTLANDS LÄN</t>
        </is>
      </c>
      <c r="E2536" t="inlineStr">
        <is>
          <t>STRÖMSUND</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52737-2023</t>
        </is>
      </c>
      <c r="B2537" s="1" t="n">
        <v>45226</v>
      </c>
      <c r="C2537" s="1" t="n">
        <v>45688</v>
      </c>
      <c r="D2537" t="inlineStr">
        <is>
          <t>JÄMTLANDS LÄN</t>
        </is>
      </c>
      <c r="E2537" t="inlineStr">
        <is>
          <t>STRÖMSUND</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52735-2023</t>
        </is>
      </c>
      <c r="B2538" s="1" t="n">
        <v>45225</v>
      </c>
      <c r="C2538" s="1" t="n">
        <v>45688</v>
      </c>
      <c r="D2538" t="inlineStr">
        <is>
          <t>JÄMTLANDS LÄN</t>
        </is>
      </c>
      <c r="E2538" t="inlineStr">
        <is>
          <t>STRÖMSUND</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52736-2023</t>
        </is>
      </c>
      <c r="B2539" s="1" t="n">
        <v>45226</v>
      </c>
      <c r="C2539" s="1" t="n">
        <v>45688</v>
      </c>
      <c r="D2539" t="inlineStr">
        <is>
          <t>JÄMTLANDS LÄN</t>
        </is>
      </c>
      <c r="E2539" t="inlineStr">
        <is>
          <t>STRÖMSUND</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52726-2023</t>
        </is>
      </c>
      <c r="B2540" s="1" t="n">
        <v>45225</v>
      </c>
      <c r="C2540" s="1" t="n">
        <v>45688</v>
      </c>
      <c r="D2540" t="inlineStr">
        <is>
          <t>JÄMTLANDS LÄN</t>
        </is>
      </c>
      <c r="E2540" t="inlineStr">
        <is>
          <t>STRÖMSUND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52734-2023</t>
        </is>
      </c>
      <c r="B2541" s="1" t="n">
        <v>45225</v>
      </c>
      <c r="C2541" s="1" t="n">
        <v>45688</v>
      </c>
      <c r="D2541" t="inlineStr">
        <is>
          <t>JÄMTLANDS LÄN</t>
        </is>
      </c>
      <c r="E2541" t="inlineStr">
        <is>
          <t>STRÖMSUND</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52756-2023</t>
        </is>
      </c>
      <c r="B2542" s="1" t="n">
        <v>45225</v>
      </c>
      <c r="C2542" s="1" t="n">
        <v>45688</v>
      </c>
      <c r="D2542" t="inlineStr">
        <is>
          <t>JÄMTLANDS LÄN</t>
        </is>
      </c>
      <c r="E2542" t="inlineStr">
        <is>
          <t>STRÖMSUND</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54549-2023</t>
        </is>
      </c>
      <c r="B2543" s="1" t="n">
        <v>45226</v>
      </c>
      <c r="C2543" s="1" t="n">
        <v>45688</v>
      </c>
      <c r="D2543" t="inlineStr">
        <is>
          <t>JÄMTLANDS LÄN</t>
        </is>
      </c>
      <c r="E2543" t="inlineStr">
        <is>
          <t>STRÖMSUND</t>
        </is>
      </c>
      <c r="G2543" t="n">
        <v>29.2</v>
      </c>
      <c r="H2543" t="n">
        <v>0</v>
      </c>
      <c r="I2543" t="n">
        <v>0</v>
      </c>
      <c r="J2543" t="n">
        <v>0</v>
      </c>
      <c r="K2543" t="n">
        <v>0</v>
      </c>
      <c r="L2543" t="n">
        <v>0</v>
      </c>
      <c r="M2543" t="n">
        <v>0</v>
      </c>
      <c r="N2543" t="n">
        <v>0</v>
      </c>
      <c r="O2543" t="n">
        <v>0</v>
      </c>
      <c r="P2543" t="n">
        <v>0</v>
      </c>
      <c r="Q2543" t="n">
        <v>0</v>
      </c>
      <c r="R2543" s="2" t="inlineStr"/>
    </row>
    <row r="2544" ht="15" customHeight="1">
      <c r="A2544" t="inlineStr">
        <is>
          <t>A 53050-2023</t>
        </is>
      </c>
      <c r="B2544" s="1" t="n">
        <v>45227</v>
      </c>
      <c r="C2544" s="1" t="n">
        <v>45688</v>
      </c>
      <c r="D2544" t="inlineStr">
        <is>
          <t>JÄMTLANDS LÄN</t>
        </is>
      </c>
      <c r="E2544" t="inlineStr">
        <is>
          <t>STRÖMSUND</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52855-2023</t>
        </is>
      </c>
      <c r="B2545" s="1" t="n">
        <v>45226</v>
      </c>
      <c r="C2545" s="1" t="n">
        <v>45688</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52850-2023</t>
        </is>
      </c>
      <c r="B2546" s="1" t="n">
        <v>45226</v>
      </c>
      <c r="C2546" s="1" t="n">
        <v>45688</v>
      </c>
      <c r="D2546" t="inlineStr">
        <is>
          <t>JÄMTLANDS LÄN</t>
        </is>
      </c>
      <c r="E2546" t="inlineStr">
        <is>
          <t>STRÖMSUND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52826-2023</t>
        </is>
      </c>
      <c r="B2547" s="1" t="n">
        <v>45226</v>
      </c>
      <c r="C2547" s="1" t="n">
        <v>45688</v>
      </c>
      <c r="D2547" t="inlineStr">
        <is>
          <t>JÄMTLANDS LÄN</t>
        </is>
      </c>
      <c r="E2547" t="inlineStr">
        <is>
          <t>STRÖMSUND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52818-2023</t>
        </is>
      </c>
      <c r="B2548" s="1" t="n">
        <v>45226</v>
      </c>
      <c r="C2548" s="1" t="n">
        <v>45688</v>
      </c>
      <c r="D2548" t="inlineStr">
        <is>
          <t>JÄMTLANDS LÄN</t>
        </is>
      </c>
      <c r="E2548" t="inlineStr">
        <is>
          <t>STRÖMSUND</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53051-2023</t>
        </is>
      </c>
      <c r="B2549" s="1" t="n">
        <v>45227</v>
      </c>
      <c r="C2549" s="1" t="n">
        <v>45688</v>
      </c>
      <c r="D2549" t="inlineStr">
        <is>
          <t>JÄMTLANDS LÄN</t>
        </is>
      </c>
      <c r="E2549" t="inlineStr">
        <is>
          <t>STRÖMSUND</t>
        </is>
      </c>
      <c r="F2549" t="inlineStr">
        <is>
          <t>SCA</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53053-2023</t>
        </is>
      </c>
      <c r="B2550" s="1" t="n">
        <v>45226</v>
      </c>
      <c r="C2550" s="1" t="n">
        <v>45688</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53052-2023</t>
        </is>
      </c>
      <c r="B2551" s="1" t="n">
        <v>45226</v>
      </c>
      <c r="C2551" s="1" t="n">
        <v>45688</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53142-2023</t>
        </is>
      </c>
      <c r="B2552" s="1" t="n">
        <v>45229</v>
      </c>
      <c r="C2552" s="1" t="n">
        <v>45688</v>
      </c>
      <c r="D2552" t="inlineStr">
        <is>
          <t>JÄMTLANDS LÄN</t>
        </is>
      </c>
      <c r="E2552" t="inlineStr">
        <is>
          <t>STRÖMSUND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54899-2023</t>
        </is>
      </c>
      <c r="B2553" s="1" t="n">
        <v>45229</v>
      </c>
      <c r="C2553" s="1" t="n">
        <v>45688</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54063-2023</t>
        </is>
      </c>
      <c r="B2554" s="1" t="n">
        <v>45231</v>
      </c>
      <c r="C2554" s="1" t="n">
        <v>45688</v>
      </c>
      <c r="D2554" t="inlineStr">
        <is>
          <t>JÄMTLANDS LÄN</t>
        </is>
      </c>
      <c r="E2554" t="inlineStr">
        <is>
          <t>STRÖMSUND</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54038-2023</t>
        </is>
      </c>
      <c r="B2555" s="1" t="n">
        <v>45231</v>
      </c>
      <c r="C2555" s="1" t="n">
        <v>45688</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54042-2023</t>
        </is>
      </c>
      <c r="B2556" s="1" t="n">
        <v>45232</v>
      </c>
      <c r="C2556" s="1" t="n">
        <v>45688</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54066-2023</t>
        </is>
      </c>
      <c r="B2557" s="1" t="n">
        <v>45231</v>
      </c>
      <c r="C2557" s="1" t="n">
        <v>45688</v>
      </c>
      <c r="D2557" t="inlineStr">
        <is>
          <t>JÄMTLANDS LÄN</t>
        </is>
      </c>
      <c r="E2557" t="inlineStr">
        <is>
          <t>STRÖMSUND</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54031-2023</t>
        </is>
      </c>
      <c r="B2558" s="1" t="n">
        <v>45231</v>
      </c>
      <c r="C2558" s="1" t="n">
        <v>45688</v>
      </c>
      <c r="D2558" t="inlineStr">
        <is>
          <t>JÄMTLANDS LÄN</t>
        </is>
      </c>
      <c r="E2558" t="inlineStr">
        <is>
          <t>STRÖMSUND</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54028-2023</t>
        </is>
      </c>
      <c r="B2559" s="1" t="n">
        <v>45231</v>
      </c>
      <c r="C2559" s="1" t="n">
        <v>45688</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54032-2023</t>
        </is>
      </c>
      <c r="B2560" s="1" t="n">
        <v>45231</v>
      </c>
      <c r="C2560" s="1" t="n">
        <v>45688</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54061-2023</t>
        </is>
      </c>
      <c r="B2561" s="1" t="n">
        <v>45232</v>
      </c>
      <c r="C2561" s="1" t="n">
        <v>45688</v>
      </c>
      <c r="D2561" t="inlineStr">
        <is>
          <t>JÄMTLANDS LÄN</t>
        </is>
      </c>
      <c r="E2561" t="inlineStr">
        <is>
          <t>STRÖMSUND</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54077-2023</t>
        </is>
      </c>
      <c r="B2562" s="1" t="n">
        <v>45231</v>
      </c>
      <c r="C2562" s="1" t="n">
        <v>45688</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54315-2023</t>
        </is>
      </c>
      <c r="B2563" s="1" t="n">
        <v>45232</v>
      </c>
      <c r="C2563" s="1" t="n">
        <v>45688</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54319-2023</t>
        </is>
      </c>
      <c r="B2564" s="1" t="n">
        <v>45232</v>
      </c>
      <c r="C2564" s="1" t="n">
        <v>45688</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56074-2023</t>
        </is>
      </c>
      <c r="B2565" s="1" t="n">
        <v>45233</v>
      </c>
      <c r="C2565" s="1" t="n">
        <v>45688</v>
      </c>
      <c r="D2565" t="inlineStr">
        <is>
          <t>JÄMTLANDS LÄN</t>
        </is>
      </c>
      <c r="E2565" t="inlineStr">
        <is>
          <t>STRÖMSUND</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54482-2023</t>
        </is>
      </c>
      <c r="B2566" s="1" t="n">
        <v>45233</v>
      </c>
      <c r="C2566" s="1" t="n">
        <v>45688</v>
      </c>
      <c r="D2566" t="inlineStr">
        <is>
          <t>JÄMTLANDS LÄN</t>
        </is>
      </c>
      <c r="E2566" t="inlineStr">
        <is>
          <t>STRÖMSUND</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54478-2023</t>
        </is>
      </c>
      <c r="B2567" s="1" t="n">
        <v>45233</v>
      </c>
      <c r="C2567" s="1" t="n">
        <v>45688</v>
      </c>
      <c r="D2567" t="inlineStr">
        <is>
          <t>JÄMTLANDS LÄN</t>
        </is>
      </c>
      <c r="E2567" t="inlineStr">
        <is>
          <t>STRÖMSUND</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54598-2023</t>
        </is>
      </c>
      <c r="B2568" s="1" t="n">
        <v>45233</v>
      </c>
      <c r="C2568" s="1" t="n">
        <v>45688</v>
      </c>
      <c r="D2568" t="inlineStr">
        <is>
          <t>JÄMTLANDS LÄN</t>
        </is>
      </c>
      <c r="E2568" t="inlineStr">
        <is>
          <t>STRÖMSUND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54479-2023</t>
        </is>
      </c>
      <c r="B2569" s="1" t="n">
        <v>45233</v>
      </c>
      <c r="C2569" s="1" t="n">
        <v>45688</v>
      </c>
      <c r="D2569" t="inlineStr">
        <is>
          <t>JÄMTLANDS LÄN</t>
        </is>
      </c>
      <c r="E2569" t="inlineStr">
        <is>
          <t>STRÖMSUND</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54753-2023</t>
        </is>
      </c>
      <c r="B2570" s="1" t="n">
        <v>45236</v>
      </c>
      <c r="C2570" s="1" t="n">
        <v>45688</v>
      </c>
      <c r="D2570" t="inlineStr">
        <is>
          <t>JÄMTLANDS LÄN</t>
        </is>
      </c>
      <c r="E2570" t="inlineStr">
        <is>
          <t>STRÖMSUND</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54980-2023</t>
        </is>
      </c>
      <c r="B2571" s="1" t="n">
        <v>45237</v>
      </c>
      <c r="C2571" s="1" t="n">
        <v>45688</v>
      </c>
      <c r="D2571" t="inlineStr">
        <is>
          <t>JÄMTLANDS LÄN</t>
        </is>
      </c>
      <c r="E2571" t="inlineStr">
        <is>
          <t>STRÖMSUND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54974-2023</t>
        </is>
      </c>
      <c r="B2572" s="1" t="n">
        <v>45236</v>
      </c>
      <c r="C2572" s="1" t="n">
        <v>45688</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55073-2023</t>
        </is>
      </c>
      <c r="B2573" s="1" t="n">
        <v>45237</v>
      </c>
      <c r="C2573" s="1" t="n">
        <v>45688</v>
      </c>
      <c r="D2573" t="inlineStr">
        <is>
          <t>JÄMTLANDS LÄN</t>
        </is>
      </c>
      <c r="E2573" t="inlineStr">
        <is>
          <t>STRÖMSUND</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55177-2023</t>
        </is>
      </c>
      <c r="B2574" s="1" t="n">
        <v>45237</v>
      </c>
      <c r="C2574" s="1" t="n">
        <v>45688</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55067-2023</t>
        </is>
      </c>
      <c r="B2575" s="1" t="n">
        <v>45237</v>
      </c>
      <c r="C2575" s="1" t="n">
        <v>45688</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55156-2023</t>
        </is>
      </c>
      <c r="B2576" s="1" t="n">
        <v>45237</v>
      </c>
      <c r="C2576" s="1" t="n">
        <v>45688</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55321-2023</t>
        </is>
      </c>
      <c r="B2577" s="1" t="n">
        <v>45237</v>
      </c>
      <c r="C2577" s="1" t="n">
        <v>45688</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55322-2023</t>
        </is>
      </c>
      <c r="B2578" s="1" t="n">
        <v>45237</v>
      </c>
      <c r="C2578" s="1" t="n">
        <v>45688</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56468-2023</t>
        </is>
      </c>
      <c r="B2579" s="1" t="n">
        <v>45237</v>
      </c>
      <c r="C2579" s="1" t="n">
        <v>45688</v>
      </c>
      <c r="D2579" t="inlineStr">
        <is>
          <t>JÄMTLANDS LÄN</t>
        </is>
      </c>
      <c r="E2579" t="inlineStr">
        <is>
          <t>STRÖMSUND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55340-2023</t>
        </is>
      </c>
      <c r="B2580" s="1" t="n">
        <v>45237</v>
      </c>
      <c r="C2580" s="1" t="n">
        <v>45688</v>
      </c>
      <c r="D2580" t="inlineStr">
        <is>
          <t>JÄMTLANDS LÄN</t>
        </is>
      </c>
      <c r="E2580" t="inlineStr">
        <is>
          <t>STRÖMSUND</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56422-2023</t>
        </is>
      </c>
      <c r="B2581" s="1" t="n">
        <v>45237</v>
      </c>
      <c r="C2581" s="1" t="n">
        <v>45688</v>
      </c>
      <c r="D2581" t="inlineStr">
        <is>
          <t>JÄMTLANDS LÄN</t>
        </is>
      </c>
      <c r="E2581" t="inlineStr">
        <is>
          <t>STRÖMSUND</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56437-2023</t>
        </is>
      </c>
      <c r="B2582" s="1" t="n">
        <v>45237</v>
      </c>
      <c r="C2582" s="1" t="n">
        <v>45688</v>
      </c>
      <c r="D2582" t="inlineStr">
        <is>
          <t>JÄMTLANDS LÄN</t>
        </is>
      </c>
      <c r="E2582" t="inlineStr">
        <is>
          <t>STRÖMSUND</t>
        </is>
      </c>
      <c r="G2582" t="n">
        <v>35.8</v>
      </c>
      <c r="H2582" t="n">
        <v>0</v>
      </c>
      <c r="I2582" t="n">
        <v>0</v>
      </c>
      <c r="J2582" t="n">
        <v>0</v>
      </c>
      <c r="K2582" t="n">
        <v>0</v>
      </c>
      <c r="L2582" t="n">
        <v>0</v>
      </c>
      <c r="M2582" t="n">
        <v>0</v>
      </c>
      <c r="N2582" t="n">
        <v>0</v>
      </c>
      <c r="O2582" t="n">
        <v>0</v>
      </c>
      <c r="P2582" t="n">
        <v>0</v>
      </c>
      <c r="Q2582" t="n">
        <v>0</v>
      </c>
      <c r="R2582" s="2" t="inlineStr"/>
    </row>
    <row r="2583" ht="15" customHeight="1">
      <c r="A2583" t="inlineStr">
        <is>
          <t>A 55323-2023</t>
        </is>
      </c>
      <c r="B2583" s="1" t="n">
        <v>45237</v>
      </c>
      <c r="C2583" s="1" t="n">
        <v>45688</v>
      </c>
      <c r="D2583" t="inlineStr">
        <is>
          <t>JÄMTLANDS LÄN</t>
        </is>
      </c>
      <c r="E2583" t="inlineStr">
        <is>
          <t>STRÖMSUND</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56484-2023</t>
        </is>
      </c>
      <c r="B2584" s="1" t="n">
        <v>45237</v>
      </c>
      <c r="C2584" s="1" t="n">
        <v>45688</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56480-2023</t>
        </is>
      </c>
      <c r="B2585" s="1" t="n">
        <v>45237</v>
      </c>
      <c r="C2585" s="1" t="n">
        <v>45688</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56490-2023</t>
        </is>
      </c>
      <c r="B2586" s="1" t="n">
        <v>45237</v>
      </c>
      <c r="C2586" s="1" t="n">
        <v>45688</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55657-2023</t>
        </is>
      </c>
      <c r="B2587" s="1" t="n">
        <v>45238</v>
      </c>
      <c r="C2587" s="1" t="n">
        <v>45688</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55656-2023</t>
        </is>
      </c>
      <c r="B2588" s="1" t="n">
        <v>45239</v>
      </c>
      <c r="C2588" s="1" t="n">
        <v>45688</v>
      </c>
      <c r="D2588" t="inlineStr">
        <is>
          <t>JÄMTLANDS LÄN</t>
        </is>
      </c>
      <c r="E2588" t="inlineStr">
        <is>
          <t>STRÖMSUND</t>
        </is>
      </c>
      <c r="F2588" t="inlineStr">
        <is>
          <t>SCA</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55655-2023</t>
        </is>
      </c>
      <c r="B2589" s="1" t="n">
        <v>45239</v>
      </c>
      <c r="C2589" s="1" t="n">
        <v>45688</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57476-2023</t>
        </is>
      </c>
      <c r="B2590" s="1" t="n">
        <v>45240</v>
      </c>
      <c r="C2590" s="1" t="n">
        <v>45688</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57348-2023</t>
        </is>
      </c>
      <c r="B2591" s="1" t="n">
        <v>45240</v>
      </c>
      <c r="C2591" s="1" t="n">
        <v>45688</v>
      </c>
      <c r="D2591" t="inlineStr">
        <is>
          <t>JÄMTLANDS LÄN</t>
        </is>
      </c>
      <c r="E2591" t="inlineStr">
        <is>
          <t>STRÖMSUND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57361-2023</t>
        </is>
      </c>
      <c r="B2592" s="1" t="n">
        <v>45240</v>
      </c>
      <c r="C2592" s="1" t="n">
        <v>45688</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57431-2023</t>
        </is>
      </c>
      <c r="B2593" s="1" t="n">
        <v>45240</v>
      </c>
      <c r="C2593" s="1" t="n">
        <v>45688</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57429-2023</t>
        </is>
      </c>
      <c r="B2594" s="1" t="n">
        <v>45240</v>
      </c>
      <c r="C2594" s="1" t="n">
        <v>45688</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56312-2023</t>
        </is>
      </c>
      <c r="B2595" s="1" t="n">
        <v>45242</v>
      </c>
      <c r="C2595" s="1" t="n">
        <v>45688</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56313-2023</t>
        </is>
      </c>
      <c r="B2596" s="1" t="n">
        <v>45243</v>
      </c>
      <c r="C2596" s="1" t="n">
        <v>45688</v>
      </c>
      <c r="D2596" t="inlineStr">
        <is>
          <t>JÄMTLANDS LÄN</t>
        </is>
      </c>
      <c r="E2596" t="inlineStr">
        <is>
          <t>STRÖMSUND</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56314-2023</t>
        </is>
      </c>
      <c r="B2597" s="1" t="n">
        <v>45243</v>
      </c>
      <c r="C2597" s="1" t="n">
        <v>45688</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56691-2023</t>
        </is>
      </c>
      <c r="B2598" s="1" t="n">
        <v>45244</v>
      </c>
      <c r="C2598" s="1" t="n">
        <v>45688</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57805-2023</t>
        </is>
      </c>
      <c r="B2599" s="1" t="n">
        <v>45243</v>
      </c>
      <c r="C2599" s="1" t="n">
        <v>45688</v>
      </c>
      <c r="D2599" t="inlineStr">
        <is>
          <t>JÄMTLANDS LÄN</t>
        </is>
      </c>
      <c r="E2599" t="inlineStr">
        <is>
          <t>STRÖMSUND</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57729-2023</t>
        </is>
      </c>
      <c r="B2600" s="1" t="n">
        <v>45243</v>
      </c>
      <c r="C2600" s="1" t="n">
        <v>45688</v>
      </c>
      <c r="D2600" t="inlineStr">
        <is>
          <t>JÄMTLANDS LÄN</t>
        </is>
      </c>
      <c r="E2600" t="inlineStr">
        <is>
          <t>STRÖMSUND</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57804-2023</t>
        </is>
      </c>
      <c r="B2601" s="1" t="n">
        <v>45243</v>
      </c>
      <c r="C2601" s="1" t="n">
        <v>45688</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57055-2023</t>
        </is>
      </c>
      <c r="B2602" s="1" t="n">
        <v>45244</v>
      </c>
      <c r="C2602" s="1" t="n">
        <v>45688</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57048-2023</t>
        </is>
      </c>
      <c r="B2603" s="1" t="n">
        <v>45244</v>
      </c>
      <c r="C2603" s="1" t="n">
        <v>45688</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57068-2023</t>
        </is>
      </c>
      <c r="B2604" s="1" t="n">
        <v>45244</v>
      </c>
      <c r="C2604" s="1" t="n">
        <v>45688</v>
      </c>
      <c r="D2604" t="inlineStr">
        <is>
          <t>JÄMTLANDS LÄN</t>
        </is>
      </c>
      <c r="E2604" t="inlineStr">
        <is>
          <t>STRÖMSUND</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57084-2023</t>
        </is>
      </c>
      <c r="B2605" s="1" t="n">
        <v>45245</v>
      </c>
      <c r="C2605" s="1" t="n">
        <v>45688</v>
      </c>
      <c r="D2605" t="inlineStr">
        <is>
          <t>JÄMTLANDS LÄN</t>
        </is>
      </c>
      <c r="E2605" t="inlineStr">
        <is>
          <t>STRÖMSUND</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57083-2023</t>
        </is>
      </c>
      <c r="B2606" s="1" t="n">
        <v>45244</v>
      </c>
      <c r="C2606" s="1" t="n">
        <v>45688</v>
      </c>
      <c r="D2606" t="inlineStr">
        <is>
          <t>JÄMTLANDS LÄN</t>
        </is>
      </c>
      <c r="E2606" t="inlineStr">
        <is>
          <t>STRÖMSUND</t>
        </is>
      </c>
      <c r="F2606" t="inlineStr">
        <is>
          <t>SCA</t>
        </is>
      </c>
      <c r="G2606" t="n">
        <v>31.1</v>
      </c>
      <c r="H2606" t="n">
        <v>0</v>
      </c>
      <c r="I2606" t="n">
        <v>0</v>
      </c>
      <c r="J2606" t="n">
        <v>0</v>
      </c>
      <c r="K2606" t="n">
        <v>0</v>
      </c>
      <c r="L2606" t="n">
        <v>0</v>
      </c>
      <c r="M2606" t="n">
        <v>0</v>
      </c>
      <c r="N2606" t="n">
        <v>0</v>
      </c>
      <c r="O2606" t="n">
        <v>0</v>
      </c>
      <c r="P2606" t="n">
        <v>0</v>
      </c>
      <c r="Q2606" t="n">
        <v>0</v>
      </c>
      <c r="R2606" s="2" t="inlineStr"/>
    </row>
    <row r="2607" ht="15" customHeight="1">
      <c r="A2607" t="inlineStr">
        <is>
          <t>A 57082-2023</t>
        </is>
      </c>
      <c r="B2607" s="1" t="n">
        <v>45245</v>
      </c>
      <c r="C2607" s="1" t="n">
        <v>45688</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57049-2023</t>
        </is>
      </c>
      <c r="B2608" s="1" t="n">
        <v>45244</v>
      </c>
      <c r="C2608" s="1" t="n">
        <v>45688</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57069-2023</t>
        </is>
      </c>
      <c r="B2609" s="1" t="n">
        <v>45244</v>
      </c>
      <c r="C2609" s="1" t="n">
        <v>45688</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57077-2023</t>
        </is>
      </c>
      <c r="B2610" s="1" t="n">
        <v>45245</v>
      </c>
      <c r="C2610" s="1" t="n">
        <v>45688</v>
      </c>
      <c r="D2610" t="inlineStr">
        <is>
          <t>JÄMTLANDS LÄN</t>
        </is>
      </c>
      <c r="E2610" t="inlineStr">
        <is>
          <t>STRÖMSUND</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57081-2023</t>
        </is>
      </c>
      <c r="B2611" s="1" t="n">
        <v>45244</v>
      </c>
      <c r="C2611" s="1" t="n">
        <v>45688</v>
      </c>
      <c r="D2611" t="inlineStr">
        <is>
          <t>JÄMTLANDS LÄN</t>
        </is>
      </c>
      <c r="E2611" t="inlineStr">
        <is>
          <t>STRÖMSUND</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57416-2023</t>
        </is>
      </c>
      <c r="B2612" s="1" t="n">
        <v>45245</v>
      </c>
      <c r="C2612" s="1" t="n">
        <v>45688</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57382-2023</t>
        </is>
      </c>
      <c r="B2613" s="1" t="n">
        <v>45245</v>
      </c>
      <c r="C2613" s="1" t="n">
        <v>45688</v>
      </c>
      <c r="D2613" t="inlineStr">
        <is>
          <t>JÄMTLANDS LÄN</t>
        </is>
      </c>
      <c r="E2613" t="inlineStr">
        <is>
          <t>STRÖMSUND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57385-2023</t>
        </is>
      </c>
      <c r="B2614" s="1" t="n">
        <v>45245</v>
      </c>
      <c r="C2614" s="1" t="n">
        <v>45688</v>
      </c>
      <c r="D2614" t="inlineStr">
        <is>
          <t>JÄMTLANDS LÄN</t>
        </is>
      </c>
      <c r="E2614" t="inlineStr">
        <is>
          <t>STRÖMSUND</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57383-2023</t>
        </is>
      </c>
      <c r="B2615" s="1" t="n">
        <v>45245</v>
      </c>
      <c r="C2615" s="1" t="n">
        <v>45688</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57387-2023</t>
        </is>
      </c>
      <c r="B2616" s="1" t="n">
        <v>45245</v>
      </c>
      <c r="C2616" s="1" t="n">
        <v>45688</v>
      </c>
      <c r="D2616" t="inlineStr">
        <is>
          <t>JÄMTLANDS LÄN</t>
        </is>
      </c>
      <c r="E2616" t="inlineStr">
        <is>
          <t>STRÖMSUND</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57415-2023</t>
        </is>
      </c>
      <c r="B2617" s="1" t="n">
        <v>45246</v>
      </c>
      <c r="C2617" s="1" t="n">
        <v>45688</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57501-2023</t>
        </is>
      </c>
      <c r="B2618" s="1" t="n">
        <v>45246</v>
      </c>
      <c r="C2618" s="1" t="n">
        <v>45688</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57581-2023</t>
        </is>
      </c>
      <c r="B2619" s="1" t="n">
        <v>45246</v>
      </c>
      <c r="C2619" s="1" t="n">
        <v>45688</v>
      </c>
      <c r="D2619" t="inlineStr">
        <is>
          <t>JÄMTLANDS LÄN</t>
        </is>
      </c>
      <c r="E2619" t="inlineStr">
        <is>
          <t>STRÖMSUND</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57450-2023</t>
        </is>
      </c>
      <c r="B2620" s="1" t="n">
        <v>45246</v>
      </c>
      <c r="C2620" s="1" t="n">
        <v>45688</v>
      </c>
      <c r="D2620" t="inlineStr">
        <is>
          <t>JÄMTLANDS LÄN</t>
        </is>
      </c>
      <c r="E2620" t="inlineStr">
        <is>
          <t>STRÖMSUND</t>
        </is>
      </c>
      <c r="F2620" t="inlineStr">
        <is>
          <t>Holmen skog AB</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57454-2023</t>
        </is>
      </c>
      <c r="B2621" s="1" t="n">
        <v>45246</v>
      </c>
      <c r="C2621" s="1" t="n">
        <v>45688</v>
      </c>
      <c r="D2621" t="inlineStr">
        <is>
          <t>JÄMTLANDS LÄN</t>
        </is>
      </c>
      <c r="E2621" t="inlineStr">
        <is>
          <t>STRÖMSUND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57499-2023</t>
        </is>
      </c>
      <c r="B2622" s="1" t="n">
        <v>45246</v>
      </c>
      <c r="C2622" s="1" t="n">
        <v>45688</v>
      </c>
      <c r="D2622" t="inlineStr">
        <is>
          <t>JÄMTLANDS LÄN</t>
        </is>
      </c>
      <c r="E2622" t="inlineStr">
        <is>
          <t>STRÖMSUND</t>
        </is>
      </c>
      <c r="F2622" t="inlineStr">
        <is>
          <t>Holmen skog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57504-2023</t>
        </is>
      </c>
      <c r="B2623" s="1" t="n">
        <v>45246</v>
      </c>
      <c r="C2623" s="1" t="n">
        <v>45688</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57507-2023</t>
        </is>
      </c>
      <c r="B2624" s="1" t="n">
        <v>45246</v>
      </c>
      <c r="C2624" s="1" t="n">
        <v>45688</v>
      </c>
      <c r="D2624" t="inlineStr">
        <is>
          <t>JÄMTLANDS LÄN</t>
        </is>
      </c>
      <c r="E2624" t="inlineStr">
        <is>
          <t>STRÖMSUND</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57540-2023</t>
        </is>
      </c>
      <c r="B2625" s="1" t="n">
        <v>45246</v>
      </c>
      <c r="C2625" s="1" t="n">
        <v>45688</v>
      </c>
      <c r="D2625" t="inlineStr">
        <is>
          <t>JÄMTLANDS LÄN</t>
        </is>
      </c>
      <c r="E2625" t="inlineStr">
        <is>
          <t>STRÖMSUND</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57549-2023</t>
        </is>
      </c>
      <c r="B2626" s="1" t="n">
        <v>45246</v>
      </c>
      <c r="C2626" s="1" t="n">
        <v>45688</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57445-2023</t>
        </is>
      </c>
      <c r="B2627" s="1" t="n">
        <v>45246</v>
      </c>
      <c r="C2627" s="1" t="n">
        <v>45688</v>
      </c>
      <c r="D2627" t="inlineStr">
        <is>
          <t>JÄMTLANDS LÄN</t>
        </is>
      </c>
      <c r="E2627" t="inlineStr">
        <is>
          <t>STRÖMSUND</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57537-2023</t>
        </is>
      </c>
      <c r="B2628" s="1" t="n">
        <v>45246</v>
      </c>
      <c r="C2628" s="1" t="n">
        <v>45688</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57542-2023</t>
        </is>
      </c>
      <c r="B2629" s="1" t="n">
        <v>45246</v>
      </c>
      <c r="C2629" s="1" t="n">
        <v>45688</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57748-2023</t>
        </is>
      </c>
      <c r="B2630" s="1" t="n">
        <v>45246</v>
      </c>
      <c r="C2630" s="1" t="n">
        <v>45688</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57596-2023</t>
        </is>
      </c>
      <c r="B2631" s="1" t="n">
        <v>45246</v>
      </c>
      <c r="C2631" s="1" t="n">
        <v>45688</v>
      </c>
      <c r="D2631" t="inlineStr">
        <is>
          <t>JÄMTLANDS LÄN</t>
        </is>
      </c>
      <c r="E2631" t="inlineStr">
        <is>
          <t>STRÖMSUND</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57789-2023</t>
        </is>
      </c>
      <c r="B2632" s="1" t="n">
        <v>45247</v>
      </c>
      <c r="C2632" s="1" t="n">
        <v>45688</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58584-2023</t>
        </is>
      </c>
      <c r="B2633" s="1" t="n">
        <v>45246</v>
      </c>
      <c r="C2633" s="1" t="n">
        <v>45688</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57907-2023</t>
        </is>
      </c>
      <c r="B2634" s="1" t="n">
        <v>45247</v>
      </c>
      <c r="C2634" s="1" t="n">
        <v>45688</v>
      </c>
      <c r="D2634" t="inlineStr">
        <is>
          <t>JÄMTLANDS LÄN</t>
        </is>
      </c>
      <c r="E2634" t="inlineStr">
        <is>
          <t>STRÖMSUND</t>
        </is>
      </c>
      <c r="F2634" t="inlineStr">
        <is>
          <t>Kyrkan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57912-2023</t>
        </is>
      </c>
      <c r="B2635" s="1" t="n">
        <v>45247</v>
      </c>
      <c r="C2635" s="1" t="n">
        <v>45688</v>
      </c>
      <c r="D2635" t="inlineStr">
        <is>
          <t>JÄMTLANDS LÄN</t>
        </is>
      </c>
      <c r="E2635" t="inlineStr">
        <is>
          <t>STRÖMSUND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57894-2023</t>
        </is>
      </c>
      <c r="B2636" s="1" t="n">
        <v>45247</v>
      </c>
      <c r="C2636" s="1" t="n">
        <v>45688</v>
      </c>
      <c r="D2636" t="inlineStr">
        <is>
          <t>JÄMTLANDS LÄN</t>
        </is>
      </c>
      <c r="E2636" t="inlineStr">
        <is>
          <t>STRÖMSUND</t>
        </is>
      </c>
      <c r="F2636" t="inlineStr">
        <is>
          <t>Kyrkan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57905-2023</t>
        </is>
      </c>
      <c r="B2637" s="1" t="n">
        <v>45247</v>
      </c>
      <c r="C2637" s="1" t="n">
        <v>45688</v>
      </c>
      <c r="D2637" t="inlineStr">
        <is>
          <t>JÄMTLANDS LÄN</t>
        </is>
      </c>
      <c r="E2637" t="inlineStr">
        <is>
          <t>STRÖMSUND</t>
        </is>
      </c>
      <c r="F2637" t="inlineStr">
        <is>
          <t>Kyrkan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58076-2023</t>
        </is>
      </c>
      <c r="B2638" s="1" t="n">
        <v>45247</v>
      </c>
      <c r="C2638" s="1" t="n">
        <v>45688</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58152-2023</t>
        </is>
      </c>
      <c r="B2639" s="1" t="n">
        <v>45250</v>
      </c>
      <c r="C2639" s="1" t="n">
        <v>45688</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58446-2023</t>
        </is>
      </c>
      <c r="B2640" s="1" t="n">
        <v>45250</v>
      </c>
      <c r="C2640" s="1" t="n">
        <v>45688</v>
      </c>
      <c r="D2640" t="inlineStr">
        <is>
          <t>JÄMTLANDS LÄN</t>
        </is>
      </c>
      <c r="E2640" t="inlineStr">
        <is>
          <t>STRÖMSUND</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58445-2023</t>
        </is>
      </c>
      <c r="B2641" s="1" t="n">
        <v>45250</v>
      </c>
      <c r="C2641" s="1" t="n">
        <v>45688</v>
      </c>
      <c r="D2641" t="inlineStr">
        <is>
          <t>JÄMTLANDS LÄN</t>
        </is>
      </c>
      <c r="E2641" t="inlineStr">
        <is>
          <t>STRÖMSUND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58580-2023</t>
        </is>
      </c>
      <c r="B2642" s="1" t="n">
        <v>45251</v>
      </c>
      <c r="C2642" s="1" t="n">
        <v>45688</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58587-2023</t>
        </is>
      </c>
      <c r="B2643" s="1" t="n">
        <v>45251</v>
      </c>
      <c r="C2643" s="1" t="n">
        <v>45688</v>
      </c>
      <c r="D2643" t="inlineStr">
        <is>
          <t>JÄMTLANDS LÄN</t>
        </is>
      </c>
      <c r="E2643" t="inlineStr">
        <is>
          <t>STRÖMSUND</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59108-2023</t>
        </is>
      </c>
      <c r="B2644" s="1" t="n">
        <v>45251</v>
      </c>
      <c r="C2644" s="1" t="n">
        <v>45688</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59149-2023</t>
        </is>
      </c>
      <c r="B2645" s="1" t="n">
        <v>45251</v>
      </c>
      <c r="C2645" s="1" t="n">
        <v>45688</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58871-2023</t>
        </is>
      </c>
      <c r="B2646" s="1" t="n">
        <v>45252</v>
      </c>
      <c r="C2646" s="1" t="n">
        <v>45688</v>
      </c>
      <c r="D2646" t="inlineStr">
        <is>
          <t>JÄMTLANDS LÄN</t>
        </is>
      </c>
      <c r="E2646" t="inlineStr">
        <is>
          <t>STRÖMSUND</t>
        </is>
      </c>
      <c r="F2646" t="inlineStr">
        <is>
          <t>Holmen skog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58881-2023</t>
        </is>
      </c>
      <c r="B2647" s="1" t="n">
        <v>45252</v>
      </c>
      <c r="C2647" s="1" t="n">
        <v>45688</v>
      </c>
      <c r="D2647" t="inlineStr">
        <is>
          <t>JÄMTLANDS LÄN</t>
        </is>
      </c>
      <c r="E2647" t="inlineStr">
        <is>
          <t>STRÖMSUND</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59097-2023</t>
        </is>
      </c>
      <c r="B2648" s="1" t="n">
        <v>45253</v>
      </c>
      <c r="C2648" s="1" t="n">
        <v>45688</v>
      </c>
      <c r="D2648" t="inlineStr">
        <is>
          <t>JÄMTLANDS LÄN</t>
        </is>
      </c>
      <c r="E2648" t="inlineStr">
        <is>
          <t>STRÖMSUND</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59334-2023</t>
        </is>
      </c>
      <c r="B2649" s="1" t="n">
        <v>45252</v>
      </c>
      <c r="C2649" s="1" t="n">
        <v>45688</v>
      </c>
      <c r="D2649" t="inlineStr">
        <is>
          <t>JÄMTLANDS LÄN</t>
        </is>
      </c>
      <c r="E2649" t="inlineStr">
        <is>
          <t>STRÖMSUND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59360-2023</t>
        </is>
      </c>
      <c r="B2650" s="1" t="n">
        <v>45253</v>
      </c>
      <c r="C2650" s="1" t="n">
        <v>45688</v>
      </c>
      <c r="D2650" t="inlineStr">
        <is>
          <t>JÄMTLANDS LÄN</t>
        </is>
      </c>
      <c r="E2650" t="inlineStr">
        <is>
          <t>STRÖMSUND</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59358-2023</t>
        </is>
      </c>
      <c r="B2651" s="1" t="n">
        <v>45253</v>
      </c>
      <c r="C2651" s="1" t="n">
        <v>45688</v>
      </c>
      <c r="D2651" t="inlineStr">
        <is>
          <t>JÄMTLANDS LÄN</t>
        </is>
      </c>
      <c r="E2651" t="inlineStr">
        <is>
          <t>STRÖMSUND</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59403-2023</t>
        </is>
      </c>
      <c r="B2652" s="1" t="n">
        <v>45253</v>
      </c>
      <c r="C2652" s="1" t="n">
        <v>45688</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59436-2023</t>
        </is>
      </c>
      <c r="B2653" s="1" t="n">
        <v>45253</v>
      </c>
      <c r="C2653" s="1" t="n">
        <v>45688</v>
      </c>
      <c r="D2653" t="inlineStr">
        <is>
          <t>JÄMTLANDS LÄN</t>
        </is>
      </c>
      <c r="E2653" t="inlineStr">
        <is>
          <t>STRÖMSUND</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59506-2023</t>
        </is>
      </c>
      <c r="B2654" s="1" t="n">
        <v>45253</v>
      </c>
      <c r="C2654" s="1" t="n">
        <v>45688</v>
      </c>
      <c r="D2654" t="inlineStr">
        <is>
          <t>JÄMTLANDS LÄN</t>
        </is>
      </c>
      <c r="E2654" t="inlineStr">
        <is>
          <t>STRÖMSUND</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59476-2023</t>
        </is>
      </c>
      <c r="B2655" s="1" t="n">
        <v>45254</v>
      </c>
      <c r="C2655" s="1" t="n">
        <v>45688</v>
      </c>
      <c r="D2655" t="inlineStr">
        <is>
          <t>JÄMTLANDS LÄN</t>
        </is>
      </c>
      <c r="E2655" t="inlineStr">
        <is>
          <t>STRÖMSUND</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59469-2023</t>
        </is>
      </c>
      <c r="B2656" s="1" t="n">
        <v>45254</v>
      </c>
      <c r="C2656" s="1" t="n">
        <v>45688</v>
      </c>
      <c r="D2656" t="inlineStr">
        <is>
          <t>JÄMTLANDS LÄN</t>
        </is>
      </c>
      <c r="E2656" t="inlineStr">
        <is>
          <t>STRÖMSUND</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59478-2023</t>
        </is>
      </c>
      <c r="B2657" s="1" t="n">
        <v>45254</v>
      </c>
      <c r="C2657" s="1" t="n">
        <v>45688</v>
      </c>
      <c r="D2657" t="inlineStr">
        <is>
          <t>JÄMTLANDS LÄN</t>
        </is>
      </c>
      <c r="E2657" t="inlineStr">
        <is>
          <t>STRÖMSUND</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59969-2023</t>
        </is>
      </c>
      <c r="B2658" s="1" t="n">
        <v>45254</v>
      </c>
      <c r="C2658" s="1" t="n">
        <v>45688</v>
      </c>
      <c r="D2658" t="inlineStr">
        <is>
          <t>JÄMTLANDS LÄN</t>
        </is>
      </c>
      <c r="E2658" t="inlineStr">
        <is>
          <t>STRÖMSUND</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59523-2023</t>
        </is>
      </c>
      <c r="B2659" s="1" t="n">
        <v>45254</v>
      </c>
      <c r="C2659" s="1" t="n">
        <v>45688</v>
      </c>
      <c r="D2659" t="inlineStr">
        <is>
          <t>JÄMTLANDS LÄN</t>
        </is>
      </c>
      <c r="E2659" t="inlineStr">
        <is>
          <t>STRÖMSUND</t>
        </is>
      </c>
      <c r="F2659" t="inlineStr">
        <is>
          <t>Holmen skog AB</t>
        </is>
      </c>
      <c r="G2659" t="n">
        <v>51.2</v>
      </c>
      <c r="H2659" t="n">
        <v>0</v>
      </c>
      <c r="I2659" t="n">
        <v>0</v>
      </c>
      <c r="J2659" t="n">
        <v>0</v>
      </c>
      <c r="K2659" t="n">
        <v>0</v>
      </c>
      <c r="L2659" t="n">
        <v>0</v>
      </c>
      <c r="M2659" t="n">
        <v>0</v>
      </c>
      <c r="N2659" t="n">
        <v>0</v>
      </c>
      <c r="O2659" t="n">
        <v>0</v>
      </c>
      <c r="P2659" t="n">
        <v>0</v>
      </c>
      <c r="Q2659" t="n">
        <v>0</v>
      </c>
      <c r="R2659" s="2" t="inlineStr"/>
    </row>
    <row r="2660" ht="15" customHeight="1">
      <c r="A2660" t="inlineStr">
        <is>
          <t>A 59967-2023</t>
        </is>
      </c>
      <c r="B2660" s="1" t="n">
        <v>45254</v>
      </c>
      <c r="C2660" s="1" t="n">
        <v>45688</v>
      </c>
      <c r="D2660" t="inlineStr">
        <is>
          <t>JÄMTLANDS LÄN</t>
        </is>
      </c>
      <c r="E2660" t="inlineStr">
        <is>
          <t>STRÖMSUND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59742-2023</t>
        </is>
      </c>
      <c r="B2661" s="1" t="n">
        <v>45257</v>
      </c>
      <c r="C2661" s="1" t="n">
        <v>45688</v>
      </c>
      <c r="D2661" t="inlineStr">
        <is>
          <t>JÄMTLANDS LÄN</t>
        </is>
      </c>
      <c r="E2661" t="inlineStr">
        <is>
          <t>STRÖMSUND</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60175-2023</t>
        </is>
      </c>
      <c r="B2662" s="1" t="n">
        <v>45257</v>
      </c>
      <c r="C2662" s="1" t="n">
        <v>45688</v>
      </c>
      <c r="D2662" t="inlineStr">
        <is>
          <t>JÄMTLANDS LÄN</t>
        </is>
      </c>
      <c r="E2662" t="inlineStr">
        <is>
          <t>STRÖMSUND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60009-2023</t>
        </is>
      </c>
      <c r="B2663" s="1" t="n">
        <v>45258</v>
      </c>
      <c r="C2663" s="1" t="n">
        <v>45688</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60014-2023</t>
        </is>
      </c>
      <c r="B2664" s="1" t="n">
        <v>45258</v>
      </c>
      <c r="C2664" s="1" t="n">
        <v>45688</v>
      </c>
      <c r="D2664" t="inlineStr">
        <is>
          <t>JÄMTLANDS LÄN</t>
        </is>
      </c>
      <c r="E2664" t="inlineStr">
        <is>
          <t>STRÖMSUND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60166-2023</t>
        </is>
      </c>
      <c r="B2665" s="1" t="n">
        <v>45257</v>
      </c>
      <c r="C2665" s="1" t="n">
        <v>45688</v>
      </c>
      <c r="D2665" t="inlineStr">
        <is>
          <t>JÄMTLANDS LÄN</t>
        </is>
      </c>
      <c r="E2665" t="inlineStr">
        <is>
          <t>STRÖMSUND</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60010-2023</t>
        </is>
      </c>
      <c r="B2666" s="1" t="n">
        <v>45257</v>
      </c>
      <c r="C2666" s="1" t="n">
        <v>45688</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60517-2023</t>
        </is>
      </c>
      <c r="B2667" s="1" t="n">
        <v>45257</v>
      </c>
      <c r="C2667" s="1" t="n">
        <v>45688</v>
      </c>
      <c r="D2667" t="inlineStr">
        <is>
          <t>JÄMTLANDS LÄN</t>
        </is>
      </c>
      <c r="E2667" t="inlineStr">
        <is>
          <t>STRÖMSUND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60078-2023</t>
        </is>
      </c>
      <c r="B2668" s="1" t="n">
        <v>45258</v>
      </c>
      <c r="C2668" s="1" t="n">
        <v>45688</v>
      </c>
      <c r="D2668" t="inlineStr">
        <is>
          <t>JÄMTLANDS LÄN</t>
        </is>
      </c>
      <c r="E2668" t="inlineStr">
        <is>
          <t>STRÖMSUND</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60334-2023</t>
        </is>
      </c>
      <c r="B2669" s="1" t="n">
        <v>45258</v>
      </c>
      <c r="C2669" s="1" t="n">
        <v>45688</v>
      </c>
      <c r="D2669" t="inlineStr">
        <is>
          <t>JÄMTLANDS LÄN</t>
        </is>
      </c>
      <c r="E2669" t="inlineStr">
        <is>
          <t>STRÖMSUND</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60335-2023</t>
        </is>
      </c>
      <c r="B2670" s="1" t="n">
        <v>45258</v>
      </c>
      <c r="C2670" s="1" t="n">
        <v>45688</v>
      </c>
      <c r="D2670" t="inlineStr">
        <is>
          <t>JÄMTLANDS LÄN</t>
        </is>
      </c>
      <c r="E2670" t="inlineStr">
        <is>
          <t>STRÖMSUND</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60661-2023</t>
        </is>
      </c>
      <c r="B2671" s="1" t="n">
        <v>45259</v>
      </c>
      <c r="C2671" s="1" t="n">
        <v>45688</v>
      </c>
      <c r="D2671" t="inlineStr">
        <is>
          <t>JÄMTLANDS LÄN</t>
        </is>
      </c>
      <c r="E2671" t="inlineStr">
        <is>
          <t>STRÖMSUND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60684-2023</t>
        </is>
      </c>
      <c r="B2672" s="1" t="n">
        <v>45259</v>
      </c>
      <c r="C2672" s="1" t="n">
        <v>45688</v>
      </c>
      <c r="D2672" t="inlineStr">
        <is>
          <t>JÄMTLANDS LÄN</t>
        </is>
      </c>
      <c r="E2672" t="inlineStr">
        <is>
          <t>STRÖMSUND</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60726-2023</t>
        </is>
      </c>
      <c r="B2673" s="1" t="n">
        <v>45259</v>
      </c>
      <c r="C2673" s="1" t="n">
        <v>45688</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60848-2023</t>
        </is>
      </c>
      <c r="B2674" s="1" t="n">
        <v>45260</v>
      </c>
      <c r="C2674" s="1" t="n">
        <v>45688</v>
      </c>
      <c r="D2674" t="inlineStr">
        <is>
          <t>JÄMTLANDS LÄN</t>
        </is>
      </c>
      <c r="E2674" t="inlineStr">
        <is>
          <t>STRÖMSUND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60850-2023</t>
        </is>
      </c>
      <c r="B2675" s="1" t="n">
        <v>45260</v>
      </c>
      <c r="C2675" s="1" t="n">
        <v>45688</v>
      </c>
      <c r="D2675" t="inlineStr">
        <is>
          <t>JÄMTLANDS LÄN</t>
        </is>
      </c>
      <c r="E2675" t="inlineStr">
        <is>
          <t>STRÖMSUND</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60849-2023</t>
        </is>
      </c>
      <c r="B2676" s="1" t="n">
        <v>45260</v>
      </c>
      <c r="C2676" s="1" t="n">
        <v>45688</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60894-2023</t>
        </is>
      </c>
      <c r="B2677" s="1" t="n">
        <v>45261</v>
      </c>
      <c r="C2677" s="1" t="n">
        <v>45688</v>
      </c>
      <c r="D2677" t="inlineStr">
        <is>
          <t>JÄMTLANDS LÄN</t>
        </is>
      </c>
      <c r="E2677" t="inlineStr">
        <is>
          <t>STRÖMSUND</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61131-2023</t>
        </is>
      </c>
      <c r="B2678" s="1" t="n">
        <v>45261</v>
      </c>
      <c r="C2678" s="1" t="n">
        <v>45688</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61136-2023</t>
        </is>
      </c>
      <c r="B2679" s="1" t="n">
        <v>45261</v>
      </c>
      <c r="C2679" s="1" t="n">
        <v>45688</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61494-2023</t>
        </is>
      </c>
      <c r="B2680" s="1" t="n">
        <v>45264</v>
      </c>
      <c r="C2680" s="1" t="n">
        <v>45688</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61500-2023</t>
        </is>
      </c>
      <c r="B2681" s="1" t="n">
        <v>45264</v>
      </c>
      <c r="C2681" s="1" t="n">
        <v>45688</v>
      </c>
      <c r="D2681" t="inlineStr">
        <is>
          <t>JÄMTLANDS LÄN</t>
        </is>
      </c>
      <c r="E2681" t="inlineStr">
        <is>
          <t>STRÖMSUND</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61833-2023</t>
        </is>
      </c>
      <c r="B2682" s="1" t="n">
        <v>45264</v>
      </c>
      <c r="C2682" s="1" t="n">
        <v>45688</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62356-2023</t>
        </is>
      </c>
      <c r="B2683" s="1" t="n">
        <v>45267</v>
      </c>
      <c r="C2683" s="1" t="n">
        <v>45688</v>
      </c>
      <c r="D2683" t="inlineStr">
        <is>
          <t>JÄMTLANDS LÄN</t>
        </is>
      </c>
      <c r="E2683" t="inlineStr">
        <is>
          <t>STRÖMSUND</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62543-2023</t>
        </is>
      </c>
      <c r="B2684" s="1" t="n">
        <v>45267</v>
      </c>
      <c r="C2684" s="1" t="n">
        <v>45688</v>
      </c>
      <c r="D2684" t="inlineStr">
        <is>
          <t>JÄMTLANDS LÄN</t>
        </is>
      </c>
      <c r="E2684" t="inlineStr">
        <is>
          <t>STRÖMSUND</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62544-2023</t>
        </is>
      </c>
      <c r="B2685" s="1" t="n">
        <v>45267</v>
      </c>
      <c r="C2685" s="1" t="n">
        <v>45688</v>
      </c>
      <c r="D2685" t="inlineStr">
        <is>
          <t>JÄMTLANDS LÄN</t>
        </is>
      </c>
      <c r="E2685" t="inlineStr">
        <is>
          <t>STRÖMSUND</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62470-2023</t>
        </is>
      </c>
      <c r="B2686" s="1" t="n">
        <v>45267</v>
      </c>
      <c r="C2686" s="1" t="n">
        <v>45688</v>
      </c>
      <c r="D2686" t="inlineStr">
        <is>
          <t>JÄMTLANDS LÄN</t>
        </is>
      </c>
      <c r="E2686" t="inlineStr">
        <is>
          <t>STRÖMSUND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62493-2023</t>
        </is>
      </c>
      <c r="B2687" s="1" t="n">
        <v>45268</v>
      </c>
      <c r="C2687" s="1" t="n">
        <v>45688</v>
      </c>
      <c r="D2687" t="inlineStr">
        <is>
          <t>JÄMTLANDS LÄN</t>
        </is>
      </c>
      <c r="E2687" t="inlineStr">
        <is>
          <t>STRÖMSUND</t>
        </is>
      </c>
      <c r="F2687" t="inlineStr">
        <is>
          <t>Holmen skog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62760-2023</t>
        </is>
      </c>
      <c r="B2688" s="1" t="n">
        <v>45268</v>
      </c>
      <c r="C2688" s="1" t="n">
        <v>45688</v>
      </c>
      <c r="D2688" t="inlineStr">
        <is>
          <t>JÄMTLANDS LÄN</t>
        </is>
      </c>
      <c r="E2688" t="inlineStr">
        <is>
          <t>STRÖMSUND</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63054-2023</t>
        </is>
      </c>
      <c r="B2689" s="1" t="n">
        <v>45272</v>
      </c>
      <c r="C2689" s="1" t="n">
        <v>45688</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63140-2023</t>
        </is>
      </c>
      <c r="B2690" s="1" t="n">
        <v>45273</v>
      </c>
      <c r="C2690" s="1" t="n">
        <v>45688</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63286-2023</t>
        </is>
      </c>
      <c r="B2691" s="1" t="n">
        <v>45273</v>
      </c>
      <c r="C2691" s="1" t="n">
        <v>45688</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63362-2023</t>
        </is>
      </c>
      <c r="B2692" s="1" t="n">
        <v>45273</v>
      </c>
      <c r="C2692" s="1" t="n">
        <v>45688</v>
      </c>
      <c r="D2692" t="inlineStr">
        <is>
          <t>JÄMTLANDS LÄN</t>
        </is>
      </c>
      <c r="E2692" t="inlineStr">
        <is>
          <t>STRÖMSUND</t>
        </is>
      </c>
      <c r="G2692" t="n">
        <v>17.9</v>
      </c>
      <c r="H2692" t="n">
        <v>0</v>
      </c>
      <c r="I2692" t="n">
        <v>0</v>
      </c>
      <c r="J2692" t="n">
        <v>0</v>
      </c>
      <c r="K2692" t="n">
        <v>0</v>
      </c>
      <c r="L2692" t="n">
        <v>0</v>
      </c>
      <c r="M2692" t="n">
        <v>0</v>
      </c>
      <c r="N2692" t="n">
        <v>0</v>
      </c>
      <c r="O2692" t="n">
        <v>0</v>
      </c>
      <c r="P2692" t="n">
        <v>0</v>
      </c>
      <c r="Q2692" t="n">
        <v>0</v>
      </c>
      <c r="R2692" s="2" t="inlineStr"/>
    </row>
    <row r="2693" ht="15" customHeight="1">
      <c r="A2693" t="inlineStr">
        <is>
          <t>A 63354-2023</t>
        </is>
      </c>
      <c r="B2693" s="1" t="n">
        <v>45273</v>
      </c>
      <c r="C2693" s="1" t="n">
        <v>45688</v>
      </c>
      <c r="D2693" t="inlineStr">
        <is>
          <t>JÄMTLANDS LÄN</t>
        </is>
      </c>
      <c r="E2693" t="inlineStr">
        <is>
          <t>STRÖMSUND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63287-2023</t>
        </is>
      </c>
      <c r="B2694" s="1" t="n">
        <v>45273</v>
      </c>
      <c r="C2694" s="1" t="n">
        <v>45688</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63291-2023</t>
        </is>
      </c>
      <c r="B2695" s="1" t="n">
        <v>45273</v>
      </c>
      <c r="C2695" s="1" t="n">
        <v>45688</v>
      </c>
      <c r="D2695" t="inlineStr">
        <is>
          <t>JÄMTLANDS LÄN</t>
        </is>
      </c>
      <c r="E2695" t="inlineStr">
        <is>
          <t>STRÖMSUND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63403-2023</t>
        </is>
      </c>
      <c r="B2696" s="1" t="n">
        <v>45274</v>
      </c>
      <c r="C2696" s="1" t="n">
        <v>45688</v>
      </c>
      <c r="D2696" t="inlineStr">
        <is>
          <t>JÄMTLANDS LÄN</t>
        </is>
      </c>
      <c r="E2696" t="inlineStr">
        <is>
          <t>STRÖMSUND</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63425-2023</t>
        </is>
      </c>
      <c r="B2697" s="1" t="n">
        <v>45274</v>
      </c>
      <c r="C2697" s="1" t="n">
        <v>45688</v>
      </c>
      <c r="D2697" t="inlineStr">
        <is>
          <t>JÄMTLANDS LÄN</t>
        </is>
      </c>
      <c r="E2697" t="inlineStr">
        <is>
          <t>STRÖMSUND</t>
        </is>
      </c>
      <c r="G2697" t="n">
        <v>14.9</v>
      </c>
      <c r="H2697" t="n">
        <v>0</v>
      </c>
      <c r="I2697" t="n">
        <v>0</v>
      </c>
      <c r="J2697" t="n">
        <v>0</v>
      </c>
      <c r="K2697" t="n">
        <v>0</v>
      </c>
      <c r="L2697" t="n">
        <v>0</v>
      </c>
      <c r="M2697" t="n">
        <v>0</v>
      </c>
      <c r="N2697" t="n">
        <v>0</v>
      </c>
      <c r="O2697" t="n">
        <v>0</v>
      </c>
      <c r="P2697" t="n">
        <v>0</v>
      </c>
      <c r="Q2697" t="n">
        <v>0</v>
      </c>
      <c r="R2697" s="2" t="inlineStr"/>
    </row>
    <row r="2698" ht="15" customHeight="1">
      <c r="A2698" t="inlineStr">
        <is>
          <t>A 63497-2023</t>
        </is>
      </c>
      <c r="B2698" s="1" t="n">
        <v>45274</v>
      </c>
      <c r="C2698" s="1" t="n">
        <v>45688</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63756-2023</t>
        </is>
      </c>
      <c r="B2699" s="1" t="n">
        <v>45278</v>
      </c>
      <c r="C2699" s="1" t="n">
        <v>45688</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63754-2023</t>
        </is>
      </c>
      <c r="B2700" s="1" t="n">
        <v>45278</v>
      </c>
      <c r="C2700" s="1" t="n">
        <v>45688</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63753-2023</t>
        </is>
      </c>
      <c r="B2701" s="1" t="n">
        <v>45278</v>
      </c>
      <c r="C2701" s="1" t="n">
        <v>45688</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64007-2023</t>
        </is>
      </c>
      <c r="B2702" s="1" t="n">
        <v>45278</v>
      </c>
      <c r="C2702" s="1" t="n">
        <v>45688</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64149-2023</t>
        </is>
      </c>
      <c r="B2703" s="1" t="n">
        <v>45279</v>
      </c>
      <c r="C2703" s="1" t="n">
        <v>45688</v>
      </c>
      <c r="D2703" t="inlineStr">
        <is>
          <t>JÄMTLANDS LÄN</t>
        </is>
      </c>
      <c r="E2703" t="inlineStr">
        <is>
          <t>STRÖMSUND</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64437-2023</t>
        </is>
      </c>
      <c r="B2704" s="1" t="n">
        <v>45280</v>
      </c>
      <c r="C2704" s="1" t="n">
        <v>45688</v>
      </c>
      <c r="D2704" t="inlineStr">
        <is>
          <t>JÄMTLANDS LÄN</t>
        </is>
      </c>
      <c r="E2704" t="inlineStr">
        <is>
          <t>STRÖMSUND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64505-2023</t>
        </is>
      </c>
      <c r="B2705" s="1" t="n">
        <v>45280</v>
      </c>
      <c r="C2705" s="1" t="n">
        <v>45688</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64559-2023</t>
        </is>
      </c>
      <c r="B2706" s="1" t="n">
        <v>45281</v>
      </c>
      <c r="C2706" s="1" t="n">
        <v>45688</v>
      </c>
      <c r="D2706" t="inlineStr">
        <is>
          <t>JÄMTLANDS LÄN</t>
        </is>
      </c>
      <c r="E2706" t="inlineStr">
        <is>
          <t>STRÖMSUND</t>
        </is>
      </c>
      <c r="F2706" t="inlineStr">
        <is>
          <t>Kyrkan</t>
        </is>
      </c>
      <c r="G2706" t="n">
        <v>16.2</v>
      </c>
      <c r="H2706" t="n">
        <v>0</v>
      </c>
      <c r="I2706" t="n">
        <v>0</v>
      </c>
      <c r="J2706" t="n">
        <v>0</v>
      </c>
      <c r="K2706" t="n">
        <v>0</v>
      </c>
      <c r="L2706" t="n">
        <v>0</v>
      </c>
      <c r="M2706" t="n">
        <v>0</v>
      </c>
      <c r="N2706" t="n">
        <v>0</v>
      </c>
      <c r="O2706" t="n">
        <v>0</v>
      </c>
      <c r="P2706" t="n">
        <v>0</v>
      </c>
      <c r="Q2706" t="n">
        <v>0</v>
      </c>
      <c r="R2706" s="2" t="inlineStr"/>
    </row>
    <row r="2707" ht="15" customHeight="1">
      <c r="A2707" t="inlineStr">
        <is>
          <t>A 64599-2023</t>
        </is>
      </c>
      <c r="B2707" s="1" t="n">
        <v>45281</v>
      </c>
      <c r="C2707" s="1" t="n">
        <v>45688</v>
      </c>
      <c r="D2707" t="inlineStr">
        <is>
          <t>JÄMTLANDS LÄN</t>
        </is>
      </c>
      <c r="E2707" t="inlineStr">
        <is>
          <t>STRÖMSUND</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64759-2023</t>
        </is>
      </c>
      <c r="B2708" s="1" t="n">
        <v>45282</v>
      </c>
      <c r="C2708" s="1" t="n">
        <v>45688</v>
      </c>
      <c r="D2708" t="inlineStr">
        <is>
          <t>JÄMTLANDS LÄN</t>
        </is>
      </c>
      <c r="E2708" t="inlineStr">
        <is>
          <t>STRÖMSUND</t>
        </is>
      </c>
      <c r="G2708" t="n">
        <v>25.2</v>
      </c>
      <c r="H2708" t="n">
        <v>0</v>
      </c>
      <c r="I2708" t="n">
        <v>0</v>
      </c>
      <c r="J2708" t="n">
        <v>0</v>
      </c>
      <c r="K2708" t="n">
        <v>0</v>
      </c>
      <c r="L2708" t="n">
        <v>0</v>
      </c>
      <c r="M2708" t="n">
        <v>0</v>
      </c>
      <c r="N2708" t="n">
        <v>0</v>
      </c>
      <c r="O2708" t="n">
        <v>0</v>
      </c>
      <c r="P2708" t="n">
        <v>0</v>
      </c>
      <c r="Q2708" t="n">
        <v>0</v>
      </c>
      <c r="R2708" s="2" t="inlineStr"/>
    </row>
    <row r="2709" ht="15" customHeight="1">
      <c r="A2709" t="inlineStr">
        <is>
          <t>A 6-2024</t>
        </is>
      </c>
      <c r="B2709" s="1" t="n">
        <v>45293</v>
      </c>
      <c r="C2709" s="1" t="n">
        <v>45688</v>
      </c>
      <c r="D2709" t="inlineStr">
        <is>
          <t>JÄMTLANDS LÄN</t>
        </is>
      </c>
      <c r="E2709" t="inlineStr">
        <is>
          <t>STRÖMSUND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254-2024</t>
        </is>
      </c>
      <c r="B2710" s="1" t="n">
        <v>45294</v>
      </c>
      <c r="C2710" s="1" t="n">
        <v>45688</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247-2024</t>
        </is>
      </c>
      <c r="B2711" s="1" t="n">
        <v>45294</v>
      </c>
      <c r="C2711" s="1" t="n">
        <v>45688</v>
      </c>
      <c r="D2711" t="inlineStr">
        <is>
          <t>JÄMTLANDS LÄN</t>
        </is>
      </c>
      <c r="E2711" t="inlineStr">
        <is>
          <t>STRÖMSUND</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508-2024</t>
        </is>
      </c>
      <c r="B2712" s="1" t="n">
        <v>45299</v>
      </c>
      <c r="C2712" s="1" t="n">
        <v>45688</v>
      </c>
      <c r="D2712" t="inlineStr">
        <is>
          <t>JÄMTLANDS LÄN</t>
        </is>
      </c>
      <c r="E2712" t="inlineStr">
        <is>
          <t>STRÖMSUND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655-2024</t>
        </is>
      </c>
      <c r="B2713" s="1" t="n">
        <v>45299</v>
      </c>
      <c r="C2713" s="1" t="n">
        <v>45688</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872-2024</t>
        </is>
      </c>
      <c r="B2714" s="1" t="n">
        <v>45301</v>
      </c>
      <c r="C2714" s="1" t="n">
        <v>45688</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1053-2024</t>
        </is>
      </c>
      <c r="B2715" s="1" t="n">
        <v>45302</v>
      </c>
      <c r="C2715" s="1" t="n">
        <v>45688</v>
      </c>
      <c r="D2715" t="inlineStr">
        <is>
          <t>JÄMTLANDS LÄN</t>
        </is>
      </c>
      <c r="E2715" t="inlineStr">
        <is>
          <t>STRÖMSUND</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1055-2024</t>
        </is>
      </c>
      <c r="B2716" s="1" t="n">
        <v>45302</v>
      </c>
      <c r="C2716" s="1" t="n">
        <v>45688</v>
      </c>
      <c r="D2716" t="inlineStr">
        <is>
          <t>JÄMTLANDS LÄN</t>
        </is>
      </c>
      <c r="E2716" t="inlineStr">
        <is>
          <t>STRÖMSUND</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1226-2024</t>
        </is>
      </c>
      <c r="B2717" s="1" t="n">
        <v>45302</v>
      </c>
      <c r="C2717" s="1" t="n">
        <v>45688</v>
      </c>
      <c r="D2717" t="inlineStr">
        <is>
          <t>JÄMTLANDS LÄN</t>
        </is>
      </c>
      <c r="E2717" t="inlineStr">
        <is>
          <t>STRÖMSUND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1271-2024</t>
        </is>
      </c>
      <c r="B2718" s="1" t="n">
        <v>45302</v>
      </c>
      <c r="C2718" s="1" t="n">
        <v>45688</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1113-2024</t>
        </is>
      </c>
      <c r="B2719" s="1" t="n">
        <v>45302</v>
      </c>
      <c r="C2719" s="1" t="n">
        <v>45688</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1270-2024</t>
        </is>
      </c>
      <c r="B2720" s="1" t="n">
        <v>45302</v>
      </c>
      <c r="C2720" s="1" t="n">
        <v>45688</v>
      </c>
      <c r="D2720" t="inlineStr">
        <is>
          <t>JÄMTLANDS LÄN</t>
        </is>
      </c>
      <c r="E2720" t="inlineStr">
        <is>
          <t>STRÖMSUND</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1609-2024</t>
        </is>
      </c>
      <c r="B2721" s="1" t="n">
        <v>45306</v>
      </c>
      <c r="C2721" s="1" t="n">
        <v>45688</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1676-2024</t>
        </is>
      </c>
      <c r="B2722" s="1" t="n">
        <v>45307</v>
      </c>
      <c r="C2722" s="1" t="n">
        <v>45688</v>
      </c>
      <c r="D2722" t="inlineStr">
        <is>
          <t>JÄMTLANDS LÄN</t>
        </is>
      </c>
      <c r="E2722" t="inlineStr">
        <is>
          <t>STRÖMSUND</t>
        </is>
      </c>
      <c r="F2722" t="inlineStr">
        <is>
          <t>SCA</t>
        </is>
      </c>
      <c r="G2722" t="n">
        <v>29.6</v>
      </c>
      <c r="H2722" t="n">
        <v>0</v>
      </c>
      <c r="I2722" t="n">
        <v>0</v>
      </c>
      <c r="J2722" t="n">
        <v>0</v>
      </c>
      <c r="K2722" t="n">
        <v>0</v>
      </c>
      <c r="L2722" t="n">
        <v>0</v>
      </c>
      <c r="M2722" t="n">
        <v>0</v>
      </c>
      <c r="N2722" t="n">
        <v>0</v>
      </c>
      <c r="O2722" t="n">
        <v>0</v>
      </c>
      <c r="P2722" t="n">
        <v>0</v>
      </c>
      <c r="Q2722" t="n">
        <v>0</v>
      </c>
      <c r="R2722" s="2" t="inlineStr"/>
    </row>
    <row r="2723" ht="15" customHeight="1">
      <c r="A2723" t="inlineStr">
        <is>
          <t>A 1677-2024</t>
        </is>
      </c>
      <c r="B2723" s="1" t="n">
        <v>45307</v>
      </c>
      <c r="C2723" s="1" t="n">
        <v>45688</v>
      </c>
      <c r="D2723" t="inlineStr">
        <is>
          <t>JÄMTLANDS LÄN</t>
        </is>
      </c>
      <c r="E2723" t="inlineStr">
        <is>
          <t>STRÖMSUND</t>
        </is>
      </c>
      <c r="F2723" t="inlineStr">
        <is>
          <t>SCA</t>
        </is>
      </c>
      <c r="G2723" t="n">
        <v>30.1</v>
      </c>
      <c r="H2723" t="n">
        <v>0</v>
      </c>
      <c r="I2723" t="n">
        <v>0</v>
      </c>
      <c r="J2723" t="n">
        <v>0</v>
      </c>
      <c r="K2723" t="n">
        <v>0</v>
      </c>
      <c r="L2723" t="n">
        <v>0</v>
      </c>
      <c r="M2723" t="n">
        <v>0</v>
      </c>
      <c r="N2723" t="n">
        <v>0</v>
      </c>
      <c r="O2723" t="n">
        <v>0</v>
      </c>
      <c r="P2723" t="n">
        <v>0</v>
      </c>
      <c r="Q2723" t="n">
        <v>0</v>
      </c>
      <c r="R2723" s="2" t="inlineStr"/>
    </row>
    <row r="2724" ht="15" customHeight="1">
      <c r="A2724" t="inlineStr">
        <is>
          <t>A 1798-2024</t>
        </is>
      </c>
      <c r="B2724" s="1" t="n">
        <v>45307</v>
      </c>
      <c r="C2724" s="1" t="n">
        <v>45688</v>
      </c>
      <c r="D2724" t="inlineStr">
        <is>
          <t>JÄMTLANDS LÄN</t>
        </is>
      </c>
      <c r="E2724" t="inlineStr">
        <is>
          <t>STRÖMSUND</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1801-2024</t>
        </is>
      </c>
      <c r="B2725" s="1" t="n">
        <v>45307</v>
      </c>
      <c r="C2725" s="1" t="n">
        <v>45688</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1929-2024</t>
        </is>
      </c>
      <c r="B2726" s="1" t="n">
        <v>45308</v>
      </c>
      <c r="C2726" s="1" t="n">
        <v>45688</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2109-2024</t>
        </is>
      </c>
      <c r="B2727" s="1" t="n">
        <v>45309</v>
      </c>
      <c r="C2727" s="1" t="n">
        <v>45688</v>
      </c>
      <c r="D2727" t="inlineStr">
        <is>
          <t>JÄMTLANDS LÄN</t>
        </is>
      </c>
      <c r="E2727" t="inlineStr">
        <is>
          <t>STRÖMSUND</t>
        </is>
      </c>
      <c r="G2727" t="n">
        <v>23.5</v>
      </c>
      <c r="H2727" t="n">
        <v>0</v>
      </c>
      <c r="I2727" t="n">
        <v>0</v>
      </c>
      <c r="J2727" t="n">
        <v>0</v>
      </c>
      <c r="K2727" t="n">
        <v>0</v>
      </c>
      <c r="L2727" t="n">
        <v>0</v>
      </c>
      <c r="M2727" t="n">
        <v>0</v>
      </c>
      <c r="N2727" t="n">
        <v>0</v>
      </c>
      <c r="O2727" t="n">
        <v>0</v>
      </c>
      <c r="P2727" t="n">
        <v>0</v>
      </c>
      <c r="Q2727" t="n">
        <v>0</v>
      </c>
      <c r="R2727" s="2" t="inlineStr"/>
    </row>
    <row r="2728" ht="15" customHeight="1">
      <c r="A2728" t="inlineStr">
        <is>
          <t>A 2625-2024</t>
        </is>
      </c>
      <c r="B2728" s="1" t="n">
        <v>45313</v>
      </c>
      <c r="C2728" s="1" t="n">
        <v>45688</v>
      </c>
      <c r="D2728" t="inlineStr">
        <is>
          <t>JÄMTLANDS LÄN</t>
        </is>
      </c>
      <c r="E2728" t="inlineStr">
        <is>
          <t>STRÖMSUND</t>
        </is>
      </c>
      <c r="F2728" t="inlineStr">
        <is>
          <t>SCA</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2619-2024</t>
        </is>
      </c>
      <c r="B2729" s="1" t="n">
        <v>45313</v>
      </c>
      <c r="C2729" s="1" t="n">
        <v>45688</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2623-2024</t>
        </is>
      </c>
      <c r="B2730" s="1" t="n">
        <v>45313</v>
      </c>
      <c r="C2730" s="1" t="n">
        <v>45688</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2626-2024</t>
        </is>
      </c>
      <c r="B2731" s="1" t="n">
        <v>45313</v>
      </c>
      <c r="C2731" s="1" t="n">
        <v>45688</v>
      </c>
      <c r="D2731" t="inlineStr">
        <is>
          <t>JÄMTLANDS LÄN</t>
        </is>
      </c>
      <c r="E2731" t="inlineStr">
        <is>
          <t>STRÖMSUND</t>
        </is>
      </c>
      <c r="F2731" t="inlineStr">
        <is>
          <t>SCA</t>
        </is>
      </c>
      <c r="G2731" t="n">
        <v>22.4</v>
      </c>
      <c r="H2731" t="n">
        <v>0</v>
      </c>
      <c r="I2731" t="n">
        <v>0</v>
      </c>
      <c r="J2731" t="n">
        <v>0</v>
      </c>
      <c r="K2731" t="n">
        <v>0</v>
      </c>
      <c r="L2731" t="n">
        <v>0</v>
      </c>
      <c r="M2731" t="n">
        <v>0</v>
      </c>
      <c r="N2731" t="n">
        <v>0</v>
      </c>
      <c r="O2731" t="n">
        <v>0</v>
      </c>
      <c r="P2731" t="n">
        <v>0</v>
      </c>
      <c r="Q2731" t="n">
        <v>0</v>
      </c>
      <c r="R2731" s="2" t="inlineStr"/>
    </row>
    <row r="2732" ht="15" customHeight="1">
      <c r="A2732" t="inlineStr">
        <is>
          <t>A 2624-2024</t>
        </is>
      </c>
      <c r="B2732" s="1" t="n">
        <v>45313</v>
      </c>
      <c r="C2732" s="1" t="n">
        <v>45688</v>
      </c>
      <c r="D2732" t="inlineStr">
        <is>
          <t>JÄMTLANDS LÄN</t>
        </is>
      </c>
      <c r="E2732" t="inlineStr">
        <is>
          <t>STRÖMSUND</t>
        </is>
      </c>
      <c r="F2732" t="inlineStr">
        <is>
          <t>SCA</t>
        </is>
      </c>
      <c r="G2732" t="n">
        <v>41.4</v>
      </c>
      <c r="H2732" t="n">
        <v>0</v>
      </c>
      <c r="I2732" t="n">
        <v>0</v>
      </c>
      <c r="J2732" t="n">
        <v>0</v>
      </c>
      <c r="K2732" t="n">
        <v>0</v>
      </c>
      <c r="L2732" t="n">
        <v>0</v>
      </c>
      <c r="M2732" t="n">
        <v>0</v>
      </c>
      <c r="N2732" t="n">
        <v>0</v>
      </c>
      <c r="O2732" t="n">
        <v>0</v>
      </c>
      <c r="P2732" t="n">
        <v>0</v>
      </c>
      <c r="Q2732" t="n">
        <v>0</v>
      </c>
      <c r="R2732" s="2" t="inlineStr"/>
    </row>
    <row r="2733" ht="15" customHeight="1">
      <c r="A2733" t="inlineStr">
        <is>
          <t>A 2663-2024</t>
        </is>
      </c>
      <c r="B2733" s="1" t="n">
        <v>45314</v>
      </c>
      <c r="C2733" s="1" t="n">
        <v>45688</v>
      </c>
      <c r="D2733" t="inlineStr">
        <is>
          <t>JÄMTLANDS LÄN</t>
        </is>
      </c>
      <c r="E2733" t="inlineStr">
        <is>
          <t>STRÖMSUND</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2643-2024</t>
        </is>
      </c>
      <c r="B2734" s="1" t="n">
        <v>45314</v>
      </c>
      <c r="C2734" s="1" t="n">
        <v>45688</v>
      </c>
      <c r="D2734" t="inlineStr">
        <is>
          <t>JÄMTLANDS LÄN</t>
        </is>
      </c>
      <c r="E2734" t="inlineStr">
        <is>
          <t>STRÖMSUND</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3239-2024</t>
        </is>
      </c>
      <c r="B2735" s="1" t="n">
        <v>45316</v>
      </c>
      <c r="C2735" s="1" t="n">
        <v>45688</v>
      </c>
      <c r="D2735" t="inlineStr">
        <is>
          <t>JÄMTLANDS LÄN</t>
        </is>
      </c>
      <c r="E2735" t="inlineStr">
        <is>
          <t>STRÖMSUND</t>
        </is>
      </c>
      <c r="F2735" t="inlineStr">
        <is>
          <t>SCA</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3519-2024</t>
        </is>
      </c>
      <c r="B2736" s="1" t="n">
        <v>45320</v>
      </c>
      <c r="C2736" s="1" t="n">
        <v>45688</v>
      </c>
      <c r="D2736" t="inlineStr">
        <is>
          <t>JÄMTLANDS LÄN</t>
        </is>
      </c>
      <c r="E2736" t="inlineStr">
        <is>
          <t>STRÖMSUND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3623-2024</t>
        </is>
      </c>
      <c r="B2737" s="1" t="n">
        <v>45320</v>
      </c>
      <c r="C2737" s="1" t="n">
        <v>45688</v>
      </c>
      <c r="D2737" t="inlineStr">
        <is>
          <t>JÄMTLANDS LÄN</t>
        </is>
      </c>
      <c r="E2737" t="inlineStr">
        <is>
          <t>STRÖMSUND</t>
        </is>
      </c>
      <c r="F2737" t="inlineStr">
        <is>
          <t>SCA</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3629-2024</t>
        </is>
      </c>
      <c r="B2738" s="1" t="n">
        <v>45320</v>
      </c>
      <c r="C2738" s="1" t="n">
        <v>45688</v>
      </c>
      <c r="D2738" t="inlineStr">
        <is>
          <t>JÄMTLANDS LÄN</t>
        </is>
      </c>
      <c r="E2738" t="inlineStr">
        <is>
          <t>STRÖMSUND</t>
        </is>
      </c>
      <c r="F2738" t="inlineStr">
        <is>
          <t>SCA</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3622-2024</t>
        </is>
      </c>
      <c r="B2739" s="1" t="n">
        <v>45320</v>
      </c>
      <c r="C2739" s="1" t="n">
        <v>45688</v>
      </c>
      <c r="D2739" t="inlineStr">
        <is>
          <t>JÄMTLANDS LÄN</t>
        </is>
      </c>
      <c r="E2739" t="inlineStr">
        <is>
          <t>STRÖMSUND</t>
        </is>
      </c>
      <c r="F2739" t="inlineStr">
        <is>
          <t>SCA</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3628-2024</t>
        </is>
      </c>
      <c r="B2740" s="1" t="n">
        <v>45320</v>
      </c>
      <c r="C2740" s="1" t="n">
        <v>45688</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3743-2024</t>
        </is>
      </c>
      <c r="B2741" s="1" t="n">
        <v>45321</v>
      </c>
      <c r="C2741" s="1" t="n">
        <v>45688</v>
      </c>
      <c r="D2741" t="inlineStr">
        <is>
          <t>JÄMTLANDS LÄN</t>
        </is>
      </c>
      <c r="E2741" t="inlineStr">
        <is>
          <t>STRÖMSUND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3835-2024</t>
        </is>
      </c>
      <c r="B2742" s="1" t="n">
        <v>45321</v>
      </c>
      <c r="C2742" s="1" t="n">
        <v>45688</v>
      </c>
      <c r="D2742" t="inlineStr">
        <is>
          <t>JÄMTLANDS LÄN</t>
        </is>
      </c>
      <c r="E2742" t="inlineStr">
        <is>
          <t>STRÖMSUND</t>
        </is>
      </c>
      <c r="F2742" t="inlineStr">
        <is>
          <t>SCA</t>
        </is>
      </c>
      <c r="G2742" t="n">
        <v>28.5</v>
      </c>
      <c r="H2742" t="n">
        <v>0</v>
      </c>
      <c r="I2742" t="n">
        <v>0</v>
      </c>
      <c r="J2742" t="n">
        <v>0</v>
      </c>
      <c r="K2742" t="n">
        <v>0</v>
      </c>
      <c r="L2742" t="n">
        <v>0</v>
      </c>
      <c r="M2742" t="n">
        <v>0</v>
      </c>
      <c r="N2742" t="n">
        <v>0</v>
      </c>
      <c r="O2742" t="n">
        <v>0</v>
      </c>
      <c r="P2742" t="n">
        <v>0</v>
      </c>
      <c r="Q2742" t="n">
        <v>0</v>
      </c>
      <c r="R2742" s="2" t="inlineStr"/>
    </row>
    <row r="2743" ht="15" customHeight="1">
      <c r="A2743" t="inlineStr">
        <is>
          <t>A 3834-2024</t>
        </is>
      </c>
      <c r="B2743" s="1" t="n">
        <v>45321</v>
      </c>
      <c r="C2743" s="1" t="n">
        <v>45688</v>
      </c>
      <c r="D2743" t="inlineStr">
        <is>
          <t>JÄMTLANDS LÄN</t>
        </is>
      </c>
      <c r="E2743" t="inlineStr">
        <is>
          <t>STRÖMSUND</t>
        </is>
      </c>
      <c r="F2743" t="inlineStr">
        <is>
          <t>SCA</t>
        </is>
      </c>
      <c r="G2743" t="n">
        <v>30.9</v>
      </c>
      <c r="H2743" t="n">
        <v>0</v>
      </c>
      <c r="I2743" t="n">
        <v>0</v>
      </c>
      <c r="J2743" t="n">
        <v>0</v>
      </c>
      <c r="K2743" t="n">
        <v>0</v>
      </c>
      <c r="L2743" t="n">
        <v>0</v>
      </c>
      <c r="M2743" t="n">
        <v>0</v>
      </c>
      <c r="N2743" t="n">
        <v>0</v>
      </c>
      <c r="O2743" t="n">
        <v>0</v>
      </c>
      <c r="P2743" t="n">
        <v>0</v>
      </c>
      <c r="Q2743" t="n">
        <v>0</v>
      </c>
      <c r="R2743" s="2" t="inlineStr"/>
    </row>
    <row r="2744" ht="15" customHeight="1">
      <c r="A2744" t="inlineStr">
        <is>
          <t>A 3841-2024</t>
        </is>
      </c>
      <c r="B2744" s="1" t="n">
        <v>45321</v>
      </c>
      <c r="C2744" s="1" t="n">
        <v>45688</v>
      </c>
      <c r="D2744" t="inlineStr">
        <is>
          <t>JÄMTLANDS LÄN</t>
        </is>
      </c>
      <c r="E2744" t="inlineStr">
        <is>
          <t>STRÖMSUND</t>
        </is>
      </c>
      <c r="F2744" t="inlineStr">
        <is>
          <t>SCA</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3994-2024</t>
        </is>
      </c>
      <c r="B2745" s="1" t="n">
        <v>45322</v>
      </c>
      <c r="C2745" s="1" t="n">
        <v>45688</v>
      </c>
      <c r="D2745" t="inlineStr">
        <is>
          <t>JÄMTLANDS LÄN</t>
        </is>
      </c>
      <c r="E2745" t="inlineStr">
        <is>
          <t>STRÖMSUND</t>
        </is>
      </c>
      <c r="F2745" t="inlineStr">
        <is>
          <t>SCA</t>
        </is>
      </c>
      <c r="G2745" t="n">
        <v>40.8</v>
      </c>
      <c r="H2745" t="n">
        <v>0</v>
      </c>
      <c r="I2745" t="n">
        <v>0</v>
      </c>
      <c r="J2745" t="n">
        <v>0</v>
      </c>
      <c r="K2745" t="n">
        <v>0</v>
      </c>
      <c r="L2745" t="n">
        <v>0</v>
      </c>
      <c r="M2745" t="n">
        <v>0</v>
      </c>
      <c r="N2745" t="n">
        <v>0</v>
      </c>
      <c r="O2745" t="n">
        <v>0</v>
      </c>
      <c r="P2745" t="n">
        <v>0</v>
      </c>
      <c r="Q2745" t="n">
        <v>0</v>
      </c>
      <c r="R2745" s="2" t="inlineStr"/>
    </row>
    <row r="2746" ht="15" customHeight="1">
      <c r="A2746" t="inlineStr">
        <is>
          <t>A 3997-2024</t>
        </is>
      </c>
      <c r="B2746" s="1" t="n">
        <v>45322</v>
      </c>
      <c r="C2746" s="1" t="n">
        <v>45688</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4178-2024</t>
        </is>
      </c>
      <c r="B2747" s="1" t="n">
        <v>45323</v>
      </c>
      <c r="C2747" s="1" t="n">
        <v>45688</v>
      </c>
      <c r="D2747" t="inlineStr">
        <is>
          <t>JÄMTLANDS LÄN</t>
        </is>
      </c>
      <c r="E2747" t="inlineStr">
        <is>
          <t>STRÖMSUND</t>
        </is>
      </c>
      <c r="F2747" t="inlineStr">
        <is>
          <t>SCA</t>
        </is>
      </c>
      <c r="G2747" t="n">
        <v>36.4</v>
      </c>
      <c r="H2747" t="n">
        <v>0</v>
      </c>
      <c r="I2747" t="n">
        <v>0</v>
      </c>
      <c r="J2747" t="n">
        <v>0</v>
      </c>
      <c r="K2747" t="n">
        <v>0</v>
      </c>
      <c r="L2747" t="n">
        <v>0</v>
      </c>
      <c r="M2747" t="n">
        <v>0</v>
      </c>
      <c r="N2747" t="n">
        <v>0</v>
      </c>
      <c r="O2747" t="n">
        <v>0</v>
      </c>
      <c r="P2747" t="n">
        <v>0</v>
      </c>
      <c r="Q2747" t="n">
        <v>0</v>
      </c>
      <c r="R2747" s="2" t="inlineStr"/>
    </row>
    <row r="2748" ht="15" customHeight="1">
      <c r="A2748" t="inlineStr">
        <is>
          <t>A 4177-2024</t>
        </is>
      </c>
      <c r="B2748" s="1" t="n">
        <v>45323</v>
      </c>
      <c r="C2748" s="1" t="n">
        <v>45688</v>
      </c>
      <c r="D2748" t="inlineStr">
        <is>
          <t>JÄMTLANDS LÄN</t>
        </is>
      </c>
      <c r="E2748" t="inlineStr">
        <is>
          <t>STRÖMSUND</t>
        </is>
      </c>
      <c r="F2748" t="inlineStr">
        <is>
          <t>SCA</t>
        </is>
      </c>
      <c r="G2748" t="n">
        <v>37.5</v>
      </c>
      <c r="H2748" t="n">
        <v>0</v>
      </c>
      <c r="I2748" t="n">
        <v>0</v>
      </c>
      <c r="J2748" t="n">
        <v>0</v>
      </c>
      <c r="K2748" t="n">
        <v>0</v>
      </c>
      <c r="L2748" t="n">
        <v>0</v>
      </c>
      <c r="M2748" t="n">
        <v>0</v>
      </c>
      <c r="N2748" t="n">
        <v>0</v>
      </c>
      <c r="O2748" t="n">
        <v>0</v>
      </c>
      <c r="P2748" t="n">
        <v>0</v>
      </c>
      <c r="Q2748" t="n">
        <v>0</v>
      </c>
      <c r="R2748" s="2" t="inlineStr"/>
    </row>
    <row r="2749" ht="15" customHeight="1">
      <c r="A2749" t="inlineStr">
        <is>
          <t>A 4179-2024</t>
        </is>
      </c>
      <c r="B2749" s="1" t="n">
        <v>45323</v>
      </c>
      <c r="C2749" s="1" t="n">
        <v>45688</v>
      </c>
      <c r="D2749" t="inlineStr">
        <is>
          <t>JÄMTLANDS LÄN</t>
        </is>
      </c>
      <c r="E2749" t="inlineStr">
        <is>
          <t>STRÖMSUND</t>
        </is>
      </c>
      <c r="F2749" t="inlineStr">
        <is>
          <t>SCA</t>
        </is>
      </c>
      <c r="G2749" t="n">
        <v>19.9</v>
      </c>
      <c r="H2749" t="n">
        <v>0</v>
      </c>
      <c r="I2749" t="n">
        <v>0</v>
      </c>
      <c r="J2749" t="n">
        <v>0</v>
      </c>
      <c r="K2749" t="n">
        <v>0</v>
      </c>
      <c r="L2749" t="n">
        <v>0</v>
      </c>
      <c r="M2749" t="n">
        <v>0</v>
      </c>
      <c r="N2749" t="n">
        <v>0</v>
      </c>
      <c r="O2749" t="n">
        <v>0</v>
      </c>
      <c r="P2749" t="n">
        <v>0</v>
      </c>
      <c r="Q2749" t="n">
        <v>0</v>
      </c>
      <c r="R2749" s="2" t="inlineStr"/>
    </row>
    <row r="2750" ht="15" customHeight="1">
      <c r="A2750" t="inlineStr">
        <is>
          <t>A 4449-2024</t>
        </is>
      </c>
      <c r="B2750" s="1" t="n">
        <v>45324</v>
      </c>
      <c r="C2750" s="1" t="n">
        <v>45688</v>
      </c>
      <c r="D2750" t="inlineStr">
        <is>
          <t>JÄMTLANDS LÄN</t>
        </is>
      </c>
      <c r="E2750" t="inlineStr">
        <is>
          <t>STRÖMSUND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4378-2024</t>
        </is>
      </c>
      <c r="B2751" s="1" t="n">
        <v>45326</v>
      </c>
      <c r="C2751" s="1" t="n">
        <v>45688</v>
      </c>
      <c r="D2751" t="inlineStr">
        <is>
          <t>JÄMTLANDS LÄN</t>
        </is>
      </c>
      <c r="E2751" t="inlineStr">
        <is>
          <t>STRÖMSUND</t>
        </is>
      </c>
      <c r="F2751" t="inlineStr">
        <is>
          <t>SCA</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4436-2024</t>
        </is>
      </c>
      <c r="B2752" s="1" t="n">
        <v>45327</v>
      </c>
      <c r="C2752" s="1" t="n">
        <v>45688</v>
      </c>
      <c r="D2752" t="inlineStr">
        <is>
          <t>JÄMTLANDS LÄN</t>
        </is>
      </c>
      <c r="E2752" t="inlineStr">
        <is>
          <t>STRÖMSUND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4507-2024</t>
        </is>
      </c>
      <c r="B2753" s="1" t="n">
        <v>45327</v>
      </c>
      <c r="C2753" s="1" t="n">
        <v>45688</v>
      </c>
      <c r="D2753" t="inlineStr">
        <is>
          <t>JÄMTLANDS LÄN</t>
        </is>
      </c>
      <c r="E2753" t="inlineStr">
        <is>
          <t>STRÖMSUND</t>
        </is>
      </c>
      <c r="F2753" t="inlineStr">
        <is>
          <t>Kyrkan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4514-2024</t>
        </is>
      </c>
      <c r="B2754" s="1" t="n">
        <v>45327</v>
      </c>
      <c r="C2754" s="1" t="n">
        <v>45688</v>
      </c>
      <c r="D2754" t="inlineStr">
        <is>
          <t>JÄMTLANDS LÄN</t>
        </is>
      </c>
      <c r="E2754" t="inlineStr">
        <is>
          <t>STRÖMSUND</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4586-2024</t>
        </is>
      </c>
      <c r="B2755" s="1" t="n">
        <v>45327</v>
      </c>
      <c r="C2755" s="1" t="n">
        <v>45688</v>
      </c>
      <c r="D2755" t="inlineStr">
        <is>
          <t>JÄMTLANDS LÄN</t>
        </is>
      </c>
      <c r="E2755" t="inlineStr">
        <is>
          <t>STRÖMSUND</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4579-2024</t>
        </is>
      </c>
      <c r="B2756" s="1" t="n">
        <v>45327</v>
      </c>
      <c r="C2756" s="1" t="n">
        <v>45688</v>
      </c>
      <c r="D2756" t="inlineStr">
        <is>
          <t>JÄMTLANDS LÄN</t>
        </is>
      </c>
      <c r="E2756" t="inlineStr">
        <is>
          <t>STRÖMSUND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4588-2024</t>
        </is>
      </c>
      <c r="B2757" s="1" t="n">
        <v>45327</v>
      </c>
      <c r="C2757" s="1" t="n">
        <v>45688</v>
      </c>
      <c r="D2757" t="inlineStr">
        <is>
          <t>JÄMTLANDS LÄN</t>
        </is>
      </c>
      <c r="E2757" t="inlineStr">
        <is>
          <t>STRÖMSUND</t>
        </is>
      </c>
      <c r="F2757" t="inlineStr">
        <is>
          <t>SCA</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4663-2024</t>
        </is>
      </c>
      <c r="B2758" s="1" t="n">
        <v>45328</v>
      </c>
      <c r="C2758" s="1" t="n">
        <v>45688</v>
      </c>
      <c r="D2758" t="inlineStr">
        <is>
          <t>JÄMTLANDS LÄN</t>
        </is>
      </c>
      <c r="E2758" t="inlineStr">
        <is>
          <t>STRÖMSUND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4825-2024</t>
        </is>
      </c>
      <c r="B2759" s="1" t="n">
        <v>45328</v>
      </c>
      <c r="C2759" s="1" t="n">
        <v>45688</v>
      </c>
      <c r="D2759" t="inlineStr">
        <is>
          <t>JÄMTLANDS LÄN</t>
        </is>
      </c>
      <c r="E2759" t="inlineStr">
        <is>
          <t>STRÖMSUND</t>
        </is>
      </c>
      <c r="F2759" t="inlineStr">
        <is>
          <t>SCA</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4823-2024</t>
        </is>
      </c>
      <c r="B2760" s="1" t="n">
        <v>45328</v>
      </c>
      <c r="C2760" s="1" t="n">
        <v>45688</v>
      </c>
      <c r="D2760" t="inlineStr">
        <is>
          <t>JÄMTLANDS LÄN</t>
        </is>
      </c>
      <c r="E2760" t="inlineStr">
        <is>
          <t>STRÖMSUND</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5068-2024</t>
        </is>
      </c>
      <c r="B2761" s="1" t="n">
        <v>45329</v>
      </c>
      <c r="C2761" s="1" t="n">
        <v>45688</v>
      </c>
      <c r="D2761" t="inlineStr">
        <is>
          <t>JÄMTLANDS LÄN</t>
        </is>
      </c>
      <c r="E2761" t="inlineStr">
        <is>
          <t>STRÖMSUND</t>
        </is>
      </c>
      <c r="F2761" t="inlineStr">
        <is>
          <t>SCA</t>
        </is>
      </c>
      <c r="G2761" t="n">
        <v>28.3</v>
      </c>
      <c r="H2761" t="n">
        <v>0</v>
      </c>
      <c r="I2761" t="n">
        <v>0</v>
      </c>
      <c r="J2761" t="n">
        <v>0</v>
      </c>
      <c r="K2761" t="n">
        <v>0</v>
      </c>
      <c r="L2761" t="n">
        <v>0</v>
      </c>
      <c r="M2761" t="n">
        <v>0</v>
      </c>
      <c r="N2761" t="n">
        <v>0</v>
      </c>
      <c r="O2761" t="n">
        <v>0</v>
      </c>
      <c r="P2761" t="n">
        <v>0</v>
      </c>
      <c r="Q2761" t="n">
        <v>0</v>
      </c>
      <c r="R2761" s="2" t="inlineStr"/>
    </row>
    <row r="2762" ht="15" customHeight="1">
      <c r="A2762" t="inlineStr">
        <is>
          <t>A 5105-2024</t>
        </is>
      </c>
      <c r="B2762" s="1" t="n">
        <v>45330</v>
      </c>
      <c r="C2762" s="1" t="n">
        <v>45688</v>
      </c>
      <c r="D2762" t="inlineStr">
        <is>
          <t>JÄMTLANDS LÄN</t>
        </is>
      </c>
      <c r="E2762" t="inlineStr">
        <is>
          <t>STRÖMSUND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5260-2024</t>
        </is>
      </c>
      <c r="B2763" s="1" t="n">
        <v>45331</v>
      </c>
      <c r="C2763" s="1" t="n">
        <v>45688</v>
      </c>
      <c r="D2763" t="inlineStr">
        <is>
          <t>JÄMTLANDS LÄN</t>
        </is>
      </c>
      <c r="E2763" t="inlineStr">
        <is>
          <t>STRÖMSUND</t>
        </is>
      </c>
      <c r="F2763" t="inlineStr">
        <is>
          <t>SCA</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5259-2024</t>
        </is>
      </c>
      <c r="B2764" s="1" t="n">
        <v>45330</v>
      </c>
      <c r="C2764" s="1" t="n">
        <v>45688</v>
      </c>
      <c r="D2764" t="inlineStr">
        <is>
          <t>JÄMTLANDS LÄN</t>
        </is>
      </c>
      <c r="E2764" t="inlineStr">
        <is>
          <t>STRÖMSUND</t>
        </is>
      </c>
      <c r="F2764" t="inlineStr">
        <is>
          <t>SCA</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5262-2024</t>
        </is>
      </c>
      <c r="B2765" s="1" t="n">
        <v>45330</v>
      </c>
      <c r="C2765" s="1" t="n">
        <v>45688</v>
      </c>
      <c r="D2765" t="inlineStr">
        <is>
          <t>JÄMTLANDS LÄN</t>
        </is>
      </c>
      <c r="E2765" t="inlineStr">
        <is>
          <t>STRÖMSUND</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5267-2024</t>
        </is>
      </c>
      <c r="B2766" s="1" t="n">
        <v>45331</v>
      </c>
      <c r="C2766" s="1" t="n">
        <v>45688</v>
      </c>
      <c r="D2766" t="inlineStr">
        <is>
          <t>JÄMTLANDS LÄN</t>
        </is>
      </c>
      <c r="E2766" t="inlineStr">
        <is>
          <t>STRÖMSUND</t>
        </is>
      </c>
      <c r="F2766" t="inlineStr">
        <is>
          <t>SCA</t>
        </is>
      </c>
      <c r="G2766" t="n">
        <v>29.1</v>
      </c>
      <c r="H2766" t="n">
        <v>0</v>
      </c>
      <c r="I2766" t="n">
        <v>0</v>
      </c>
      <c r="J2766" t="n">
        <v>0</v>
      </c>
      <c r="K2766" t="n">
        <v>0</v>
      </c>
      <c r="L2766" t="n">
        <v>0</v>
      </c>
      <c r="M2766" t="n">
        <v>0</v>
      </c>
      <c r="N2766" t="n">
        <v>0</v>
      </c>
      <c r="O2766" t="n">
        <v>0</v>
      </c>
      <c r="P2766" t="n">
        <v>0</v>
      </c>
      <c r="Q2766" t="n">
        <v>0</v>
      </c>
      <c r="R2766" s="2" t="inlineStr"/>
    </row>
    <row r="2767" ht="15" customHeight="1">
      <c r="A2767" t="inlineStr">
        <is>
          <t>A 5261-2024</t>
        </is>
      </c>
      <c r="B2767" s="1" t="n">
        <v>45331</v>
      </c>
      <c r="C2767" s="1" t="n">
        <v>45688</v>
      </c>
      <c r="D2767" t="inlineStr">
        <is>
          <t>JÄMTLANDS LÄN</t>
        </is>
      </c>
      <c r="E2767" t="inlineStr">
        <is>
          <t>STRÖMSUND</t>
        </is>
      </c>
      <c r="F2767" t="inlineStr">
        <is>
          <t>SCA</t>
        </is>
      </c>
      <c r="G2767" t="n">
        <v>29.7</v>
      </c>
      <c r="H2767" t="n">
        <v>0</v>
      </c>
      <c r="I2767" t="n">
        <v>0</v>
      </c>
      <c r="J2767" t="n">
        <v>0</v>
      </c>
      <c r="K2767" t="n">
        <v>0</v>
      </c>
      <c r="L2767" t="n">
        <v>0</v>
      </c>
      <c r="M2767" t="n">
        <v>0</v>
      </c>
      <c r="N2767" t="n">
        <v>0</v>
      </c>
      <c r="O2767" t="n">
        <v>0</v>
      </c>
      <c r="P2767" t="n">
        <v>0</v>
      </c>
      <c r="Q2767" t="n">
        <v>0</v>
      </c>
      <c r="R2767" s="2" t="inlineStr"/>
    </row>
    <row r="2768" ht="15" customHeight="1">
      <c r="A2768" t="inlineStr">
        <is>
          <t>A 5333-2024</t>
        </is>
      </c>
      <c r="B2768" s="1" t="n">
        <v>45331</v>
      </c>
      <c r="C2768" s="1" t="n">
        <v>45688</v>
      </c>
      <c r="D2768" t="inlineStr">
        <is>
          <t>JÄMTLANDS LÄN</t>
        </is>
      </c>
      <c r="E2768" t="inlineStr">
        <is>
          <t>STRÖMSUND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5350-2024</t>
        </is>
      </c>
      <c r="B2769" s="1" t="n">
        <v>45331</v>
      </c>
      <c r="C2769" s="1" t="n">
        <v>45688</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5327-2024</t>
        </is>
      </c>
      <c r="B2770" s="1" t="n">
        <v>45331</v>
      </c>
      <c r="C2770" s="1" t="n">
        <v>45688</v>
      </c>
      <c r="D2770" t="inlineStr">
        <is>
          <t>JÄMTLANDS LÄN</t>
        </is>
      </c>
      <c r="E2770" t="inlineStr">
        <is>
          <t>STRÖMSUND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5443-2024</t>
        </is>
      </c>
      <c r="B2771" s="1" t="n">
        <v>45331</v>
      </c>
      <c r="C2771" s="1" t="n">
        <v>45688</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5449-2024</t>
        </is>
      </c>
      <c r="B2772" s="1" t="n">
        <v>45331</v>
      </c>
      <c r="C2772" s="1" t="n">
        <v>45688</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5453-2024</t>
        </is>
      </c>
      <c r="B2773" s="1" t="n">
        <v>45331</v>
      </c>
      <c r="C2773" s="1" t="n">
        <v>45688</v>
      </c>
      <c r="D2773" t="inlineStr">
        <is>
          <t>JÄMTLANDS LÄN</t>
        </is>
      </c>
      <c r="E2773" t="inlineStr">
        <is>
          <t>STRÖMSUND</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5451-2024</t>
        </is>
      </c>
      <c r="B2774" s="1" t="n">
        <v>45331</v>
      </c>
      <c r="C2774" s="1" t="n">
        <v>45688</v>
      </c>
      <c r="D2774" t="inlineStr">
        <is>
          <t>JÄMTLANDS LÄN</t>
        </is>
      </c>
      <c r="E2774" t="inlineStr">
        <is>
          <t>STRÖMSUND</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5444-2024</t>
        </is>
      </c>
      <c r="B2775" s="1" t="n">
        <v>45331</v>
      </c>
      <c r="C2775" s="1" t="n">
        <v>45688</v>
      </c>
      <c r="D2775" t="inlineStr">
        <is>
          <t>JÄMTLANDS LÄN</t>
        </is>
      </c>
      <c r="E2775" t="inlineStr">
        <is>
          <t>STRÖMSUND</t>
        </is>
      </c>
      <c r="F2775" t="inlineStr">
        <is>
          <t>SCA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5450-2024</t>
        </is>
      </c>
      <c r="B2776" s="1" t="n">
        <v>45331</v>
      </c>
      <c r="C2776" s="1" t="n">
        <v>45688</v>
      </c>
      <c r="D2776" t="inlineStr">
        <is>
          <t>JÄMTLANDS LÄN</t>
        </is>
      </c>
      <c r="E2776" t="inlineStr">
        <is>
          <t>STRÖMSUND</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5454-2024</t>
        </is>
      </c>
      <c r="B2777" s="1" t="n">
        <v>45331</v>
      </c>
      <c r="C2777" s="1" t="n">
        <v>45688</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5736-2024</t>
        </is>
      </c>
      <c r="B2778" s="1" t="n">
        <v>45334</v>
      </c>
      <c r="C2778" s="1" t="n">
        <v>45688</v>
      </c>
      <c r="D2778" t="inlineStr">
        <is>
          <t>JÄMTLANDS LÄN</t>
        </is>
      </c>
      <c r="E2778" t="inlineStr">
        <is>
          <t>STRÖMSUND</t>
        </is>
      </c>
      <c r="F2778" t="inlineStr">
        <is>
          <t>SCA</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6083-2024</t>
        </is>
      </c>
      <c r="B2779" s="1" t="n">
        <v>45337</v>
      </c>
      <c r="C2779" s="1" t="n">
        <v>45688</v>
      </c>
      <c r="D2779" t="inlineStr">
        <is>
          <t>JÄMTLANDS LÄN</t>
        </is>
      </c>
      <c r="E2779" t="inlineStr">
        <is>
          <t>STRÖMSUND</t>
        </is>
      </c>
      <c r="F2779" t="inlineStr">
        <is>
          <t>SCA</t>
        </is>
      </c>
      <c r="G2779" t="n">
        <v>45.8</v>
      </c>
      <c r="H2779" t="n">
        <v>0</v>
      </c>
      <c r="I2779" t="n">
        <v>0</v>
      </c>
      <c r="J2779" t="n">
        <v>0</v>
      </c>
      <c r="K2779" t="n">
        <v>0</v>
      </c>
      <c r="L2779" t="n">
        <v>0</v>
      </c>
      <c r="M2779" t="n">
        <v>0</v>
      </c>
      <c r="N2779" t="n">
        <v>0</v>
      </c>
      <c r="O2779" t="n">
        <v>0</v>
      </c>
      <c r="P2779" t="n">
        <v>0</v>
      </c>
      <c r="Q2779" t="n">
        <v>0</v>
      </c>
      <c r="R2779" s="2" t="inlineStr"/>
    </row>
    <row r="2780" ht="15" customHeight="1">
      <c r="A2780" t="inlineStr">
        <is>
          <t>A 5930-2024</t>
        </is>
      </c>
      <c r="B2780" s="1" t="n">
        <v>45336</v>
      </c>
      <c r="C2780" s="1" t="n">
        <v>45688</v>
      </c>
      <c r="D2780" t="inlineStr">
        <is>
          <t>JÄMTLANDS LÄN</t>
        </is>
      </c>
      <c r="E2780" t="inlineStr">
        <is>
          <t>STRÖMSUND</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6085-2024</t>
        </is>
      </c>
      <c r="B2781" s="1" t="n">
        <v>45336</v>
      </c>
      <c r="C2781" s="1" t="n">
        <v>45688</v>
      </c>
      <c r="D2781" t="inlineStr">
        <is>
          <t>JÄMTLANDS LÄN</t>
        </is>
      </c>
      <c r="E2781" t="inlineStr">
        <is>
          <t>STRÖMSUND</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6174-2024</t>
        </is>
      </c>
      <c r="B2782" s="1" t="n">
        <v>45337</v>
      </c>
      <c r="C2782" s="1" t="n">
        <v>45688</v>
      </c>
      <c r="D2782" t="inlineStr">
        <is>
          <t>JÄMTLANDS LÄN</t>
        </is>
      </c>
      <c r="E2782" t="inlineStr">
        <is>
          <t>STRÖMSUND</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6112-2024</t>
        </is>
      </c>
      <c r="B2783" s="1" t="n">
        <v>45337</v>
      </c>
      <c r="C2783" s="1" t="n">
        <v>45688</v>
      </c>
      <c r="D2783" t="inlineStr">
        <is>
          <t>JÄMTLANDS LÄN</t>
        </is>
      </c>
      <c r="E2783" t="inlineStr">
        <is>
          <t>STRÖMSUND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6287-2024</t>
        </is>
      </c>
      <c r="B2784" s="1" t="n">
        <v>45337</v>
      </c>
      <c r="C2784" s="1" t="n">
        <v>45688</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6476-2024</t>
        </is>
      </c>
      <c r="B2785" s="1" t="n">
        <v>45338</v>
      </c>
      <c r="C2785" s="1" t="n">
        <v>45688</v>
      </c>
      <c r="D2785" t="inlineStr">
        <is>
          <t>JÄMTLANDS LÄN</t>
        </is>
      </c>
      <c r="E2785" t="inlineStr">
        <is>
          <t>STRÖMSUND</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6478-2024</t>
        </is>
      </c>
      <c r="B2786" s="1" t="n">
        <v>45338</v>
      </c>
      <c r="C2786" s="1" t="n">
        <v>45688</v>
      </c>
      <c r="D2786" t="inlineStr">
        <is>
          <t>JÄMTLANDS LÄN</t>
        </is>
      </c>
      <c r="E2786" t="inlineStr">
        <is>
          <t>STRÖMSUND</t>
        </is>
      </c>
      <c r="F2786" t="inlineStr">
        <is>
          <t>SCA</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6475-2024</t>
        </is>
      </c>
      <c r="B2787" s="1" t="n">
        <v>45338</v>
      </c>
      <c r="C2787" s="1" t="n">
        <v>45688</v>
      </c>
      <c r="D2787" t="inlineStr">
        <is>
          <t>JÄMTLANDS LÄN</t>
        </is>
      </c>
      <c r="E2787" t="inlineStr">
        <is>
          <t>STRÖMSUND</t>
        </is>
      </c>
      <c r="F2787" t="inlineStr">
        <is>
          <t>SCA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6479-2024</t>
        </is>
      </c>
      <c r="B2788" s="1" t="n">
        <v>45338</v>
      </c>
      <c r="C2788" s="1" t="n">
        <v>45688</v>
      </c>
      <c r="D2788" t="inlineStr">
        <is>
          <t>JÄMTLANDS LÄN</t>
        </is>
      </c>
      <c r="E2788" t="inlineStr">
        <is>
          <t>STRÖMSUND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6512-2024</t>
        </is>
      </c>
      <c r="B2789" s="1" t="n">
        <v>45340</v>
      </c>
      <c r="C2789" s="1" t="n">
        <v>45688</v>
      </c>
      <c r="D2789" t="inlineStr">
        <is>
          <t>JÄMTLANDS LÄN</t>
        </is>
      </c>
      <c r="E2789" t="inlineStr">
        <is>
          <t>STRÖMSUND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6566-2024</t>
        </is>
      </c>
      <c r="B2790" s="1" t="n">
        <v>45341</v>
      </c>
      <c r="C2790" s="1" t="n">
        <v>45688</v>
      </c>
      <c r="D2790" t="inlineStr">
        <is>
          <t>JÄMTLANDS LÄN</t>
        </is>
      </c>
      <c r="E2790" t="inlineStr">
        <is>
          <t>STRÖMSUND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6693-2024</t>
        </is>
      </c>
      <c r="B2791" s="1" t="n">
        <v>45341</v>
      </c>
      <c r="C2791" s="1" t="n">
        <v>45688</v>
      </c>
      <c r="D2791" t="inlineStr">
        <is>
          <t>JÄMTLANDS LÄN</t>
        </is>
      </c>
      <c r="E2791" t="inlineStr">
        <is>
          <t>STRÖMSUND</t>
        </is>
      </c>
      <c r="F2791" t="inlineStr">
        <is>
          <t>SCA</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6696-2024</t>
        </is>
      </c>
      <c r="B2792" s="1" t="n">
        <v>45341</v>
      </c>
      <c r="C2792" s="1" t="n">
        <v>45688</v>
      </c>
      <c r="D2792" t="inlineStr">
        <is>
          <t>JÄMTLANDS LÄN</t>
        </is>
      </c>
      <c r="E2792" t="inlineStr">
        <is>
          <t>STRÖMSUND</t>
        </is>
      </c>
      <c r="F2792" t="inlineStr">
        <is>
          <t>SCA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6695-2024</t>
        </is>
      </c>
      <c r="B2793" s="1" t="n">
        <v>45341</v>
      </c>
      <c r="C2793" s="1" t="n">
        <v>45688</v>
      </c>
      <c r="D2793" t="inlineStr">
        <is>
          <t>JÄMTLANDS LÄN</t>
        </is>
      </c>
      <c r="E2793" t="inlineStr">
        <is>
          <t>STRÖMSUND</t>
        </is>
      </c>
      <c r="F2793" t="inlineStr">
        <is>
          <t>SCA</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6894-2024</t>
        </is>
      </c>
      <c r="B2794" s="1" t="n">
        <v>45342</v>
      </c>
      <c r="C2794" s="1" t="n">
        <v>45688</v>
      </c>
      <c r="D2794" t="inlineStr">
        <is>
          <t>JÄMTLANDS LÄN</t>
        </is>
      </c>
      <c r="E2794" t="inlineStr">
        <is>
          <t>STRÖMSUND</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6961-2024</t>
        </is>
      </c>
      <c r="B2795" s="1" t="n">
        <v>45343</v>
      </c>
      <c r="C2795" s="1" t="n">
        <v>45688</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7112-2024</t>
        </is>
      </c>
      <c r="B2796" s="1" t="n">
        <v>45343</v>
      </c>
      <c r="C2796" s="1" t="n">
        <v>45688</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7293-2024</t>
        </is>
      </c>
      <c r="B2797" s="1" t="n">
        <v>45344</v>
      </c>
      <c r="C2797" s="1" t="n">
        <v>45688</v>
      </c>
      <c r="D2797" t="inlineStr">
        <is>
          <t>JÄMTLANDS LÄN</t>
        </is>
      </c>
      <c r="E2797" t="inlineStr">
        <is>
          <t>STRÖMSUND</t>
        </is>
      </c>
      <c r="F2797" t="inlineStr">
        <is>
          <t>SCA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7302-2024</t>
        </is>
      </c>
      <c r="B2798" s="1" t="n">
        <v>45344</v>
      </c>
      <c r="C2798" s="1" t="n">
        <v>45688</v>
      </c>
      <c r="D2798" t="inlineStr">
        <is>
          <t>JÄMTLANDS LÄN</t>
        </is>
      </c>
      <c r="E2798" t="inlineStr">
        <is>
          <t>STRÖMSUND</t>
        </is>
      </c>
      <c r="F2798" t="inlineStr">
        <is>
          <t>SCA</t>
        </is>
      </c>
      <c r="G2798" t="n">
        <v>30.8</v>
      </c>
      <c r="H2798" t="n">
        <v>0</v>
      </c>
      <c r="I2798" t="n">
        <v>0</v>
      </c>
      <c r="J2798" t="n">
        <v>0</v>
      </c>
      <c r="K2798" t="n">
        <v>0</v>
      </c>
      <c r="L2798" t="n">
        <v>0</v>
      </c>
      <c r="M2798" t="n">
        <v>0</v>
      </c>
      <c r="N2798" t="n">
        <v>0</v>
      </c>
      <c r="O2798" t="n">
        <v>0</v>
      </c>
      <c r="P2798" t="n">
        <v>0</v>
      </c>
      <c r="Q2798" t="n">
        <v>0</v>
      </c>
      <c r="R2798" s="2" t="inlineStr"/>
    </row>
    <row r="2799" ht="15" customHeight="1">
      <c r="A2799" t="inlineStr">
        <is>
          <t>A 7301-2024</t>
        </is>
      </c>
      <c r="B2799" s="1" t="n">
        <v>45344</v>
      </c>
      <c r="C2799" s="1" t="n">
        <v>45688</v>
      </c>
      <c r="D2799" t="inlineStr">
        <is>
          <t>JÄMTLANDS LÄN</t>
        </is>
      </c>
      <c r="E2799" t="inlineStr">
        <is>
          <t>STRÖMSUND</t>
        </is>
      </c>
      <c r="F2799" t="inlineStr">
        <is>
          <t>SCA</t>
        </is>
      </c>
      <c r="G2799" t="n">
        <v>28.2</v>
      </c>
      <c r="H2799" t="n">
        <v>0</v>
      </c>
      <c r="I2799" t="n">
        <v>0</v>
      </c>
      <c r="J2799" t="n">
        <v>0</v>
      </c>
      <c r="K2799" t="n">
        <v>0</v>
      </c>
      <c r="L2799" t="n">
        <v>0</v>
      </c>
      <c r="M2799" t="n">
        <v>0</v>
      </c>
      <c r="N2799" t="n">
        <v>0</v>
      </c>
      <c r="O2799" t="n">
        <v>0</v>
      </c>
      <c r="P2799" t="n">
        <v>0</v>
      </c>
      <c r="Q2799" t="n">
        <v>0</v>
      </c>
      <c r="R2799" s="2" t="inlineStr"/>
    </row>
    <row r="2800" ht="15" customHeight="1">
      <c r="A2800" t="inlineStr">
        <is>
          <t>A 7572-2024</t>
        </is>
      </c>
      <c r="B2800" s="1" t="n">
        <v>45348</v>
      </c>
      <c r="C2800" s="1" t="n">
        <v>45688</v>
      </c>
      <c r="D2800" t="inlineStr">
        <is>
          <t>JÄMTLANDS LÄN</t>
        </is>
      </c>
      <c r="E2800" t="inlineStr">
        <is>
          <t>STRÖMSUND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45688</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7690-2024</t>
        </is>
      </c>
      <c r="B2802" s="1" t="n">
        <v>45349</v>
      </c>
      <c r="C2802" s="1" t="n">
        <v>45688</v>
      </c>
      <c r="D2802" t="inlineStr">
        <is>
          <t>JÄMTLANDS LÄN</t>
        </is>
      </c>
      <c r="E2802" t="inlineStr">
        <is>
          <t>STRÖMSUND</t>
        </is>
      </c>
      <c r="F2802" t="inlineStr">
        <is>
          <t>SCA</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8134-2024</t>
        </is>
      </c>
      <c r="B2803" s="1" t="n">
        <v>45349</v>
      </c>
      <c r="C2803" s="1" t="n">
        <v>45688</v>
      </c>
      <c r="D2803" t="inlineStr">
        <is>
          <t>JÄMTLANDS LÄN</t>
        </is>
      </c>
      <c r="E2803" t="inlineStr">
        <is>
          <t>STRÖMSUND</t>
        </is>
      </c>
      <c r="G2803" t="n">
        <v>22.9</v>
      </c>
      <c r="H2803" t="n">
        <v>0</v>
      </c>
      <c r="I2803" t="n">
        <v>0</v>
      </c>
      <c r="J2803" t="n">
        <v>0</v>
      </c>
      <c r="K2803" t="n">
        <v>0</v>
      </c>
      <c r="L2803" t="n">
        <v>0</v>
      </c>
      <c r="M2803" t="n">
        <v>0</v>
      </c>
      <c r="N2803" t="n">
        <v>0</v>
      </c>
      <c r="O2803" t="n">
        <v>0</v>
      </c>
      <c r="P2803" t="n">
        <v>0</v>
      </c>
      <c r="Q2803" t="n">
        <v>0</v>
      </c>
      <c r="R2803" s="2" t="inlineStr"/>
    </row>
    <row r="2804" ht="15" customHeight="1">
      <c r="A2804" t="inlineStr">
        <is>
          <t>A 8133-2024</t>
        </is>
      </c>
      <c r="B2804" s="1" t="n">
        <v>45349</v>
      </c>
      <c r="C2804" s="1" t="n">
        <v>45688</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7854-2024</t>
        </is>
      </c>
      <c r="B2805" s="1" t="n">
        <v>45350</v>
      </c>
      <c r="C2805" s="1" t="n">
        <v>45688</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8297-2024</t>
        </is>
      </c>
      <c r="B2806" s="1" t="n">
        <v>45350</v>
      </c>
      <c r="C2806" s="1" t="n">
        <v>45688</v>
      </c>
      <c r="D2806" t="inlineStr">
        <is>
          <t>JÄMTLANDS LÄN</t>
        </is>
      </c>
      <c r="E2806" t="inlineStr">
        <is>
          <t>STRÖMSUND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8419-2024</t>
        </is>
      </c>
      <c r="B2807" s="1" t="n">
        <v>45352</v>
      </c>
      <c r="C2807" s="1" t="n">
        <v>45688</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8420-2024</t>
        </is>
      </c>
      <c r="B2808" s="1" t="n">
        <v>45352</v>
      </c>
      <c r="C2808" s="1" t="n">
        <v>45688</v>
      </c>
      <c r="D2808" t="inlineStr">
        <is>
          <t>JÄMTLANDS LÄN</t>
        </is>
      </c>
      <c r="E2808" t="inlineStr">
        <is>
          <t>STRÖMSUND</t>
        </is>
      </c>
      <c r="F2808" t="inlineStr">
        <is>
          <t>SCA</t>
        </is>
      </c>
      <c r="G2808" t="n">
        <v>9.800000000000001</v>
      </c>
      <c r="H2808" t="n">
        <v>0</v>
      </c>
      <c r="I2808" t="n">
        <v>0</v>
      </c>
      <c r="J2808" t="n">
        <v>0</v>
      </c>
      <c r="K2808" t="n">
        <v>0</v>
      </c>
      <c r="L2808" t="n">
        <v>0</v>
      </c>
      <c r="M2808" t="n">
        <v>0</v>
      </c>
      <c r="N2808" t="n">
        <v>0</v>
      </c>
      <c r="O2808" t="n">
        <v>0</v>
      </c>
      <c r="P2808" t="n">
        <v>0</v>
      </c>
      <c r="Q2808" t="n">
        <v>0</v>
      </c>
      <c r="R2808" s="2" t="inlineStr"/>
      <c r="U2808">
        <f>HYPERLINK("https://klasma.github.io/Logging_2313/knärot/A 8420-2024 karta knärot.png", "A 8420-2024")</f>
        <v/>
      </c>
      <c r="V2808">
        <f>HYPERLINK("https://klasma.github.io/Logging_2313/klagomål/A 8420-2024 FSC-klagomål.docx", "A 8420-2024")</f>
        <v/>
      </c>
      <c r="W2808">
        <f>HYPERLINK("https://klasma.github.io/Logging_2313/klagomålsmail/A 8420-2024 FSC-klagomål mail.docx", "A 8420-2024")</f>
        <v/>
      </c>
      <c r="X2808">
        <f>HYPERLINK("https://klasma.github.io/Logging_2313/tillsyn/A 8420-2024 tillsynsbegäran.docx", "A 8420-2024")</f>
        <v/>
      </c>
      <c r="Y2808">
        <f>HYPERLINK("https://klasma.github.io/Logging_2313/tillsynsmail/A 8420-2024 tillsynsbegäran mail.docx", "A 8420-2024")</f>
        <v/>
      </c>
    </row>
    <row r="2809" ht="15" customHeight="1">
      <c r="A2809" t="inlineStr">
        <is>
          <t>A 8421-2024</t>
        </is>
      </c>
      <c r="B2809" s="1" t="n">
        <v>45353</v>
      </c>
      <c r="C2809" s="1" t="n">
        <v>45688</v>
      </c>
      <c r="D2809" t="inlineStr">
        <is>
          <t>JÄMTLANDS LÄN</t>
        </is>
      </c>
      <c r="E2809" t="inlineStr">
        <is>
          <t>STRÖMSUND</t>
        </is>
      </c>
      <c r="F2809" t="inlineStr">
        <is>
          <t>SCA</t>
        </is>
      </c>
      <c r="G2809" t="n">
        <v>35.8</v>
      </c>
      <c r="H2809" t="n">
        <v>0</v>
      </c>
      <c r="I2809" t="n">
        <v>0</v>
      </c>
      <c r="J2809" t="n">
        <v>0</v>
      </c>
      <c r="K2809" t="n">
        <v>0</v>
      </c>
      <c r="L2809" t="n">
        <v>0</v>
      </c>
      <c r="M2809" t="n">
        <v>0</v>
      </c>
      <c r="N2809" t="n">
        <v>0</v>
      </c>
      <c r="O2809" t="n">
        <v>0</v>
      </c>
      <c r="P2809" t="n">
        <v>0</v>
      </c>
      <c r="Q2809" t="n">
        <v>0</v>
      </c>
      <c r="R2809" s="2" t="inlineStr"/>
    </row>
    <row r="2810" ht="15" customHeight="1">
      <c r="A2810" t="inlineStr">
        <is>
          <t>A 8663-2024</t>
        </is>
      </c>
      <c r="B2810" s="1" t="n">
        <v>45356</v>
      </c>
      <c r="C2810" s="1" t="n">
        <v>45688</v>
      </c>
      <c r="D2810" t="inlineStr">
        <is>
          <t>JÄMTLANDS LÄN</t>
        </is>
      </c>
      <c r="E2810" t="inlineStr">
        <is>
          <t>STRÖMSUND</t>
        </is>
      </c>
      <c r="F2810" t="inlineStr">
        <is>
          <t>SCA</t>
        </is>
      </c>
      <c r="G2810" t="n">
        <v>24.8</v>
      </c>
      <c r="H2810" t="n">
        <v>0</v>
      </c>
      <c r="I2810" t="n">
        <v>0</v>
      </c>
      <c r="J2810" t="n">
        <v>0</v>
      </c>
      <c r="K2810" t="n">
        <v>0</v>
      </c>
      <c r="L2810" t="n">
        <v>0</v>
      </c>
      <c r="M2810" t="n">
        <v>0</v>
      </c>
      <c r="N2810" t="n">
        <v>0</v>
      </c>
      <c r="O2810" t="n">
        <v>0</v>
      </c>
      <c r="P2810" t="n">
        <v>0</v>
      </c>
      <c r="Q2810" t="n">
        <v>0</v>
      </c>
      <c r="R2810" s="2" t="inlineStr"/>
    </row>
    <row r="2811" ht="15" customHeight="1">
      <c r="A2811" t="inlineStr">
        <is>
          <t>A 8637-2024</t>
        </is>
      </c>
      <c r="B2811" s="1" t="n">
        <v>45356</v>
      </c>
      <c r="C2811" s="1" t="n">
        <v>45688</v>
      </c>
      <c r="D2811" t="inlineStr">
        <is>
          <t>JÄMTLANDS LÄN</t>
        </is>
      </c>
      <c r="E2811" t="inlineStr">
        <is>
          <t>STRÖMSUND</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8661-2024</t>
        </is>
      </c>
      <c r="B2812" s="1" t="n">
        <v>45356</v>
      </c>
      <c r="C2812" s="1" t="n">
        <v>45688</v>
      </c>
      <c r="D2812" t="inlineStr">
        <is>
          <t>JÄMTLANDS LÄN</t>
        </is>
      </c>
      <c r="E2812" t="inlineStr">
        <is>
          <t>STRÖMSUND</t>
        </is>
      </c>
      <c r="F2812" t="inlineStr">
        <is>
          <t>SCA</t>
        </is>
      </c>
      <c r="G2812" t="n">
        <v>28.8</v>
      </c>
      <c r="H2812" t="n">
        <v>0</v>
      </c>
      <c r="I2812" t="n">
        <v>0</v>
      </c>
      <c r="J2812" t="n">
        <v>0</v>
      </c>
      <c r="K2812" t="n">
        <v>0</v>
      </c>
      <c r="L2812" t="n">
        <v>0</v>
      </c>
      <c r="M2812" t="n">
        <v>0</v>
      </c>
      <c r="N2812" t="n">
        <v>0</v>
      </c>
      <c r="O2812" t="n">
        <v>0</v>
      </c>
      <c r="P2812" t="n">
        <v>0</v>
      </c>
      <c r="Q2812" t="n">
        <v>0</v>
      </c>
      <c r="R2812" s="2" t="inlineStr"/>
    </row>
    <row r="2813" ht="15" customHeight="1">
      <c r="A2813" t="inlineStr">
        <is>
          <t>A 8743-2024</t>
        </is>
      </c>
      <c r="B2813" s="1" t="n">
        <v>45356</v>
      </c>
      <c r="C2813" s="1" t="n">
        <v>45688</v>
      </c>
      <c r="D2813" t="inlineStr">
        <is>
          <t>JÄMTLANDS LÄN</t>
        </is>
      </c>
      <c r="E2813" t="inlineStr">
        <is>
          <t>STRÖMSUND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8662-2024</t>
        </is>
      </c>
      <c r="B2814" s="1" t="n">
        <v>45356</v>
      </c>
      <c r="C2814" s="1" t="n">
        <v>45688</v>
      </c>
      <c r="D2814" t="inlineStr">
        <is>
          <t>JÄMTLANDS LÄN</t>
        </is>
      </c>
      <c r="E2814" t="inlineStr">
        <is>
          <t>STRÖMSUND</t>
        </is>
      </c>
      <c r="F2814" t="inlineStr">
        <is>
          <t>SCA</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8745-2024</t>
        </is>
      </c>
      <c r="B2815" s="1" t="n">
        <v>45356</v>
      </c>
      <c r="C2815" s="1" t="n">
        <v>45688</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9035-2024</t>
        </is>
      </c>
      <c r="B2816" s="1" t="n">
        <v>45356</v>
      </c>
      <c r="C2816" s="1" t="n">
        <v>45688</v>
      </c>
      <c r="D2816" t="inlineStr">
        <is>
          <t>JÄMTLANDS LÄN</t>
        </is>
      </c>
      <c r="E2816" t="inlineStr">
        <is>
          <t>STRÖMSUND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8895-2024</t>
        </is>
      </c>
      <c r="B2817" s="1" t="n">
        <v>45357</v>
      </c>
      <c r="C2817" s="1" t="n">
        <v>45688</v>
      </c>
      <c r="D2817" t="inlineStr">
        <is>
          <t>JÄMTLANDS LÄN</t>
        </is>
      </c>
      <c r="E2817" t="inlineStr">
        <is>
          <t>STRÖMSUND</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9329-2024</t>
        </is>
      </c>
      <c r="B2818" s="1" t="n">
        <v>45359</v>
      </c>
      <c r="C2818" s="1" t="n">
        <v>45688</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9514-2024</t>
        </is>
      </c>
      <c r="B2819" s="1" t="n">
        <v>45359</v>
      </c>
      <c r="C2819" s="1" t="n">
        <v>45688</v>
      </c>
      <c r="D2819" t="inlineStr">
        <is>
          <t>JÄMTLANDS LÄN</t>
        </is>
      </c>
      <c r="E2819" t="inlineStr">
        <is>
          <t>STRÖMSUND</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9559-2024</t>
        </is>
      </c>
      <c r="B2820" s="1" t="n">
        <v>45360</v>
      </c>
      <c r="C2820" s="1" t="n">
        <v>45688</v>
      </c>
      <c r="D2820" t="inlineStr">
        <is>
          <t>JÄMTLANDS LÄN</t>
        </is>
      </c>
      <c r="E2820" t="inlineStr">
        <is>
          <t>STRÖMSUND</t>
        </is>
      </c>
      <c r="F2820" t="inlineStr">
        <is>
          <t>SCA</t>
        </is>
      </c>
      <c r="G2820" t="n">
        <v>28.3</v>
      </c>
      <c r="H2820" t="n">
        <v>0</v>
      </c>
      <c r="I2820" t="n">
        <v>0</v>
      </c>
      <c r="J2820" t="n">
        <v>0</v>
      </c>
      <c r="K2820" t="n">
        <v>0</v>
      </c>
      <c r="L2820" t="n">
        <v>0</v>
      </c>
      <c r="M2820" t="n">
        <v>0</v>
      </c>
      <c r="N2820" t="n">
        <v>0</v>
      </c>
      <c r="O2820" t="n">
        <v>0</v>
      </c>
      <c r="P2820" t="n">
        <v>0</v>
      </c>
      <c r="Q2820" t="n">
        <v>0</v>
      </c>
      <c r="R2820" s="2" t="inlineStr"/>
    </row>
    <row r="2821" ht="15" customHeight="1">
      <c r="A2821" t="inlineStr">
        <is>
          <t>A 9706-2024</t>
        </is>
      </c>
      <c r="B2821" s="1" t="n">
        <v>45362</v>
      </c>
      <c r="C2821" s="1" t="n">
        <v>45688</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9707-2024</t>
        </is>
      </c>
      <c r="B2822" s="1" t="n">
        <v>45362</v>
      </c>
      <c r="C2822" s="1" t="n">
        <v>45688</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9824-2024</t>
        </is>
      </c>
      <c r="B2823" s="1" t="n">
        <v>45363</v>
      </c>
      <c r="C2823" s="1" t="n">
        <v>45688</v>
      </c>
      <c r="D2823" t="inlineStr">
        <is>
          <t>JÄMTLANDS LÄN</t>
        </is>
      </c>
      <c r="E2823" t="inlineStr">
        <is>
          <t>STRÖMSUND</t>
        </is>
      </c>
      <c r="F2823" t="inlineStr">
        <is>
          <t>SCA</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9940-2024</t>
        </is>
      </c>
      <c r="B2824" s="1" t="n">
        <v>45363</v>
      </c>
      <c r="C2824" s="1" t="n">
        <v>45688</v>
      </c>
      <c r="D2824" t="inlineStr">
        <is>
          <t>JÄMTLANDS LÄN</t>
        </is>
      </c>
      <c r="E2824" t="inlineStr">
        <is>
          <t>STRÖMSUND</t>
        </is>
      </c>
      <c r="F2824" t="inlineStr">
        <is>
          <t>Holmen skog AB</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10033-2024</t>
        </is>
      </c>
      <c r="B2825" s="1" t="n">
        <v>45364</v>
      </c>
      <c r="C2825" s="1" t="n">
        <v>45688</v>
      </c>
      <c r="D2825" t="inlineStr">
        <is>
          <t>JÄMTLANDS LÄN</t>
        </is>
      </c>
      <c r="E2825" t="inlineStr">
        <is>
          <t>STRÖMSUND</t>
        </is>
      </c>
      <c r="F2825" t="inlineStr">
        <is>
          <t>SCA</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10041-2024</t>
        </is>
      </c>
      <c r="B2826" s="1" t="n">
        <v>45364</v>
      </c>
      <c r="C2826" s="1" t="n">
        <v>45688</v>
      </c>
      <c r="D2826" t="inlineStr">
        <is>
          <t>JÄMTLANDS LÄN</t>
        </is>
      </c>
      <c r="E2826" t="inlineStr">
        <is>
          <t>STRÖMSUND</t>
        </is>
      </c>
      <c r="F2826" t="inlineStr">
        <is>
          <t>SCA</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10031-2024</t>
        </is>
      </c>
      <c r="B2827" s="1" t="n">
        <v>45364</v>
      </c>
      <c r="C2827" s="1" t="n">
        <v>45688</v>
      </c>
      <c r="D2827" t="inlineStr">
        <is>
          <t>JÄMTLANDS LÄN</t>
        </is>
      </c>
      <c r="E2827" t="inlineStr">
        <is>
          <t>STRÖMSUND</t>
        </is>
      </c>
      <c r="F2827" t="inlineStr">
        <is>
          <t>SCA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10043-2024</t>
        </is>
      </c>
      <c r="B2828" s="1" t="n">
        <v>45364</v>
      </c>
      <c r="C2828" s="1" t="n">
        <v>45688</v>
      </c>
      <c r="D2828" t="inlineStr">
        <is>
          <t>JÄMTLANDS LÄN</t>
        </is>
      </c>
      <c r="E2828" t="inlineStr">
        <is>
          <t>STRÖMSUND</t>
        </is>
      </c>
      <c r="F2828" t="inlineStr">
        <is>
          <t>SCA</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10030-2024</t>
        </is>
      </c>
      <c r="B2829" s="1" t="n">
        <v>45364</v>
      </c>
      <c r="C2829" s="1" t="n">
        <v>45688</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10034-2024</t>
        </is>
      </c>
      <c r="B2830" s="1" t="n">
        <v>45364</v>
      </c>
      <c r="C2830" s="1" t="n">
        <v>45688</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10042-2024</t>
        </is>
      </c>
      <c r="B2831" s="1" t="n">
        <v>45364</v>
      </c>
      <c r="C2831" s="1" t="n">
        <v>45688</v>
      </c>
      <c r="D2831" t="inlineStr">
        <is>
          <t>JÄMTLANDS LÄN</t>
        </is>
      </c>
      <c r="E2831" t="inlineStr">
        <is>
          <t>STRÖMSUND</t>
        </is>
      </c>
      <c r="F2831" t="inlineStr">
        <is>
          <t>SCA</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10032-2024</t>
        </is>
      </c>
      <c r="B2832" s="1" t="n">
        <v>45364</v>
      </c>
      <c r="C2832" s="1" t="n">
        <v>45688</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10212-2024</t>
        </is>
      </c>
      <c r="B2833" s="1" t="n">
        <v>45364</v>
      </c>
      <c r="C2833" s="1" t="n">
        <v>45688</v>
      </c>
      <c r="D2833" t="inlineStr">
        <is>
          <t>JÄMTLANDS LÄN</t>
        </is>
      </c>
      <c r="E2833" t="inlineStr">
        <is>
          <t>STRÖMSUND</t>
        </is>
      </c>
      <c r="F2833" t="inlineStr">
        <is>
          <t>SCA</t>
        </is>
      </c>
      <c r="G2833" t="n">
        <v>36.5</v>
      </c>
      <c r="H2833" t="n">
        <v>0</v>
      </c>
      <c r="I2833" t="n">
        <v>0</v>
      </c>
      <c r="J2833" t="n">
        <v>0</v>
      </c>
      <c r="K2833" t="n">
        <v>0</v>
      </c>
      <c r="L2833" t="n">
        <v>0</v>
      </c>
      <c r="M2833" t="n">
        <v>0</v>
      </c>
      <c r="N2833" t="n">
        <v>0</v>
      </c>
      <c r="O2833" t="n">
        <v>0</v>
      </c>
      <c r="P2833" t="n">
        <v>0</v>
      </c>
      <c r="Q2833" t="n">
        <v>0</v>
      </c>
      <c r="R2833" s="2" t="inlineStr"/>
    </row>
    <row r="2834" ht="15" customHeight="1">
      <c r="A2834" t="inlineStr">
        <is>
          <t>A 10216-2024</t>
        </is>
      </c>
      <c r="B2834" s="1" t="n">
        <v>45364</v>
      </c>
      <c r="C2834" s="1" t="n">
        <v>45688</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10422-2024</t>
        </is>
      </c>
      <c r="B2835" s="1" t="n">
        <v>45365</v>
      </c>
      <c r="C2835" s="1" t="n">
        <v>45688</v>
      </c>
      <c r="D2835" t="inlineStr">
        <is>
          <t>JÄMTLANDS LÄN</t>
        </is>
      </c>
      <c r="E2835" t="inlineStr">
        <is>
          <t>STRÖMSUND</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10611-2024</t>
        </is>
      </c>
      <c r="B2836" s="1" t="n">
        <v>45367</v>
      </c>
      <c r="C2836" s="1" t="n">
        <v>45688</v>
      </c>
      <c r="D2836" t="inlineStr">
        <is>
          <t>JÄMTLANDS LÄN</t>
        </is>
      </c>
      <c r="E2836" t="inlineStr">
        <is>
          <t>STRÖMSUND</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10622-2024</t>
        </is>
      </c>
      <c r="B2837" s="1" t="n">
        <v>45367</v>
      </c>
      <c r="C2837" s="1" t="n">
        <v>45688</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10865-2024</t>
        </is>
      </c>
      <c r="B2838" s="1" t="n">
        <v>45370</v>
      </c>
      <c r="C2838" s="1" t="n">
        <v>45688</v>
      </c>
      <c r="D2838" t="inlineStr">
        <is>
          <t>JÄMTLANDS LÄN</t>
        </is>
      </c>
      <c r="E2838" t="inlineStr">
        <is>
          <t>STRÖMSUND</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10864-2024</t>
        </is>
      </c>
      <c r="B2839" s="1" t="n">
        <v>45370</v>
      </c>
      <c r="C2839" s="1" t="n">
        <v>45688</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11340-2024</t>
        </is>
      </c>
      <c r="B2840" s="1" t="n">
        <v>45372</v>
      </c>
      <c r="C2840" s="1" t="n">
        <v>45688</v>
      </c>
      <c r="D2840" t="inlineStr">
        <is>
          <t>JÄMTLANDS LÄN</t>
        </is>
      </c>
      <c r="E2840" t="inlineStr">
        <is>
          <t>STRÖMSUND</t>
        </is>
      </c>
      <c r="F2840" t="inlineStr">
        <is>
          <t>SCA</t>
        </is>
      </c>
      <c r="G2840" t="n">
        <v>13.7</v>
      </c>
      <c r="H2840" t="n">
        <v>0</v>
      </c>
      <c r="I2840" t="n">
        <v>0</v>
      </c>
      <c r="J2840" t="n">
        <v>0</v>
      </c>
      <c r="K2840" t="n">
        <v>0</v>
      </c>
      <c r="L2840" t="n">
        <v>0</v>
      </c>
      <c r="M2840" t="n">
        <v>0</v>
      </c>
      <c r="N2840" t="n">
        <v>0</v>
      </c>
      <c r="O2840" t="n">
        <v>0</v>
      </c>
      <c r="P2840" t="n">
        <v>0</v>
      </c>
      <c r="Q2840" t="n">
        <v>0</v>
      </c>
      <c r="R2840" s="2" t="inlineStr"/>
      <c r="U2840">
        <f>HYPERLINK("https://klasma.github.io/Logging_2313/knärot/A 11340-2024 karta knärot.png", "A 11340-2024")</f>
        <v/>
      </c>
      <c r="V2840">
        <f>HYPERLINK("https://klasma.github.io/Logging_2313/klagomål/A 11340-2024 FSC-klagomål.docx", "A 11340-2024")</f>
        <v/>
      </c>
      <c r="W2840">
        <f>HYPERLINK("https://klasma.github.io/Logging_2313/klagomålsmail/A 11340-2024 FSC-klagomål mail.docx", "A 11340-2024")</f>
        <v/>
      </c>
      <c r="X2840">
        <f>HYPERLINK("https://klasma.github.io/Logging_2313/tillsyn/A 11340-2024 tillsynsbegäran.docx", "A 11340-2024")</f>
        <v/>
      </c>
      <c r="Y2840">
        <f>HYPERLINK("https://klasma.github.io/Logging_2313/tillsynsmail/A 11340-2024 tillsynsbegäran mail.docx", "A 11340-2024")</f>
        <v/>
      </c>
    </row>
    <row r="2841" ht="15" customHeight="1">
      <c r="A2841" t="inlineStr">
        <is>
          <t>A 11341-2024</t>
        </is>
      </c>
      <c r="B2841" s="1" t="n">
        <v>45372</v>
      </c>
      <c r="C2841" s="1" t="n">
        <v>45688</v>
      </c>
      <c r="D2841" t="inlineStr">
        <is>
          <t>JÄMTLANDS LÄN</t>
        </is>
      </c>
      <c r="E2841" t="inlineStr">
        <is>
          <t>STRÖMSUND</t>
        </is>
      </c>
      <c r="F2841" t="inlineStr">
        <is>
          <t>SCA</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11753-2024</t>
        </is>
      </c>
      <c r="B2842" s="1" t="n">
        <v>45373</v>
      </c>
      <c r="C2842" s="1" t="n">
        <v>45688</v>
      </c>
      <c r="D2842" t="inlineStr">
        <is>
          <t>JÄMTLANDS LÄN</t>
        </is>
      </c>
      <c r="E2842" t="inlineStr">
        <is>
          <t>STRÖMSUND</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11763-2024</t>
        </is>
      </c>
      <c r="B2843" s="1" t="n">
        <v>45373</v>
      </c>
      <c r="C2843" s="1" t="n">
        <v>45688</v>
      </c>
      <c r="D2843" t="inlineStr">
        <is>
          <t>JÄMTLANDS LÄN</t>
        </is>
      </c>
      <c r="E2843" t="inlineStr">
        <is>
          <t>STRÖMSUND</t>
        </is>
      </c>
      <c r="F2843" t="inlineStr">
        <is>
          <t>SCA</t>
        </is>
      </c>
      <c r="G2843" t="n">
        <v>31.6</v>
      </c>
      <c r="H2843" t="n">
        <v>0</v>
      </c>
      <c r="I2843" t="n">
        <v>0</v>
      </c>
      <c r="J2843" t="n">
        <v>0</v>
      </c>
      <c r="K2843" t="n">
        <v>0</v>
      </c>
      <c r="L2843" t="n">
        <v>0</v>
      </c>
      <c r="M2843" t="n">
        <v>0</v>
      </c>
      <c r="N2843" t="n">
        <v>0</v>
      </c>
      <c r="O2843" t="n">
        <v>0</v>
      </c>
      <c r="P2843" t="n">
        <v>0</v>
      </c>
      <c r="Q2843" t="n">
        <v>0</v>
      </c>
      <c r="R2843" s="2" t="inlineStr"/>
    </row>
    <row r="2844" ht="15" customHeight="1">
      <c r="A2844" t="inlineStr">
        <is>
          <t>A 11755-2024</t>
        </is>
      </c>
      <c r="B2844" s="1" t="n">
        <v>45373</v>
      </c>
      <c r="C2844" s="1" t="n">
        <v>45688</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11762-2024</t>
        </is>
      </c>
      <c r="B2845" s="1" t="n">
        <v>45373</v>
      </c>
      <c r="C2845" s="1" t="n">
        <v>45688</v>
      </c>
      <c r="D2845" t="inlineStr">
        <is>
          <t>JÄMTLANDS LÄN</t>
        </is>
      </c>
      <c r="E2845" t="inlineStr">
        <is>
          <t>STRÖMSUND</t>
        </is>
      </c>
      <c r="F2845" t="inlineStr">
        <is>
          <t>SCA</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11811-2024</t>
        </is>
      </c>
      <c r="B2846" s="1" t="n">
        <v>45376</v>
      </c>
      <c r="C2846" s="1" t="n">
        <v>45688</v>
      </c>
      <c r="D2846" t="inlineStr">
        <is>
          <t>JÄMTLANDS LÄN</t>
        </is>
      </c>
      <c r="E2846" t="inlineStr">
        <is>
          <t>STRÖMSUND</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11978-2024</t>
        </is>
      </c>
      <c r="B2847" s="1" t="n">
        <v>45376</v>
      </c>
      <c r="C2847" s="1" t="n">
        <v>45688</v>
      </c>
      <c r="D2847" t="inlineStr">
        <is>
          <t>JÄMTLANDS LÄN</t>
        </is>
      </c>
      <c r="E2847" t="inlineStr">
        <is>
          <t>STRÖMSUND</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12078-2024</t>
        </is>
      </c>
      <c r="B2848" s="1" t="n">
        <v>45377</v>
      </c>
      <c r="C2848" s="1" t="n">
        <v>45688</v>
      </c>
      <c r="D2848" t="inlineStr">
        <is>
          <t>JÄMTLANDS LÄN</t>
        </is>
      </c>
      <c r="E2848" t="inlineStr">
        <is>
          <t>STRÖMSUND</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12869-2024</t>
        </is>
      </c>
      <c r="B2849" s="1" t="n">
        <v>45385</v>
      </c>
      <c r="C2849" s="1" t="n">
        <v>45688</v>
      </c>
      <c r="D2849" t="inlineStr">
        <is>
          <t>JÄMTLANDS LÄN</t>
        </is>
      </c>
      <c r="E2849" t="inlineStr">
        <is>
          <t>STRÖMSUND</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12866-2024</t>
        </is>
      </c>
      <c r="B2850" s="1" t="n">
        <v>45385</v>
      </c>
      <c r="C2850" s="1" t="n">
        <v>45688</v>
      </c>
      <c r="D2850" t="inlineStr">
        <is>
          <t>JÄMTLANDS LÄN</t>
        </is>
      </c>
      <c r="E2850" t="inlineStr">
        <is>
          <t>STRÖMSUND</t>
        </is>
      </c>
      <c r="F2850" t="inlineStr">
        <is>
          <t>SCA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12956-2024</t>
        </is>
      </c>
      <c r="B2851" s="1" t="n">
        <v>45385</v>
      </c>
      <c r="C2851" s="1" t="n">
        <v>45688</v>
      </c>
      <c r="D2851" t="inlineStr">
        <is>
          <t>JÄMTLANDS LÄN</t>
        </is>
      </c>
      <c r="E2851" t="inlineStr">
        <is>
          <t>STRÖMSUND</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13129-2024</t>
        </is>
      </c>
      <c r="B2852" s="1" t="n">
        <v>45386</v>
      </c>
      <c r="C2852" s="1" t="n">
        <v>45688</v>
      </c>
      <c r="D2852" t="inlineStr">
        <is>
          <t>JÄMTLANDS LÄN</t>
        </is>
      </c>
      <c r="E2852" t="inlineStr">
        <is>
          <t>STRÖMSUND</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13236-2024</t>
        </is>
      </c>
      <c r="B2853" s="1" t="n">
        <v>45386</v>
      </c>
      <c r="C2853" s="1" t="n">
        <v>45688</v>
      </c>
      <c r="D2853" t="inlineStr">
        <is>
          <t>JÄMTLANDS LÄN</t>
        </is>
      </c>
      <c r="E2853" t="inlineStr">
        <is>
          <t>STRÖMSUND</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13339-2024</t>
        </is>
      </c>
      <c r="B2854" s="1" t="n">
        <v>45387</v>
      </c>
      <c r="C2854" s="1" t="n">
        <v>45688</v>
      </c>
      <c r="D2854" t="inlineStr">
        <is>
          <t>JÄMTLANDS LÄN</t>
        </is>
      </c>
      <c r="E2854" t="inlineStr">
        <is>
          <t>STRÖMSUND</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13499-2024</t>
        </is>
      </c>
      <c r="B2855" s="1" t="n">
        <v>45387</v>
      </c>
      <c r="C2855" s="1" t="n">
        <v>45688</v>
      </c>
      <c r="D2855" t="inlineStr">
        <is>
          <t>JÄMTLANDS LÄN</t>
        </is>
      </c>
      <c r="E2855" t="inlineStr">
        <is>
          <t>STRÖMSUND</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13494-2024</t>
        </is>
      </c>
      <c r="B2856" s="1" t="n">
        <v>45387</v>
      </c>
      <c r="C2856" s="1" t="n">
        <v>45688</v>
      </c>
      <c r="D2856" t="inlineStr">
        <is>
          <t>JÄMTLANDS LÄN</t>
        </is>
      </c>
      <c r="E2856" t="inlineStr">
        <is>
          <t>STRÖMSUND</t>
        </is>
      </c>
      <c r="F2856" t="inlineStr">
        <is>
          <t>Kommuner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13590-2024</t>
        </is>
      </c>
      <c r="B2857" s="1" t="n">
        <v>45389</v>
      </c>
      <c r="C2857" s="1" t="n">
        <v>45688</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13584-2024</t>
        </is>
      </c>
      <c r="B2858" s="1" t="n">
        <v>45389</v>
      </c>
      <c r="C2858" s="1" t="n">
        <v>45688</v>
      </c>
      <c r="D2858" t="inlineStr">
        <is>
          <t>JÄMTLANDS LÄN</t>
        </is>
      </c>
      <c r="E2858" t="inlineStr">
        <is>
          <t>STRÖMSUND</t>
        </is>
      </c>
      <c r="G2858" t="n">
        <v>47.8</v>
      </c>
      <c r="H2858" t="n">
        <v>0</v>
      </c>
      <c r="I2858" t="n">
        <v>0</v>
      </c>
      <c r="J2858" t="n">
        <v>0</v>
      </c>
      <c r="K2858" t="n">
        <v>0</v>
      </c>
      <c r="L2858" t="n">
        <v>0</v>
      </c>
      <c r="M2858" t="n">
        <v>0</v>
      </c>
      <c r="N2858" t="n">
        <v>0</v>
      </c>
      <c r="O2858" t="n">
        <v>0</v>
      </c>
      <c r="P2858" t="n">
        <v>0</v>
      </c>
      <c r="Q2858" t="n">
        <v>0</v>
      </c>
      <c r="R2858" s="2" t="inlineStr"/>
    </row>
    <row r="2859" ht="15" customHeight="1">
      <c r="A2859" t="inlineStr">
        <is>
          <t>A 13894-2024</t>
        </is>
      </c>
      <c r="B2859" s="1" t="n">
        <v>45391</v>
      </c>
      <c r="C2859" s="1" t="n">
        <v>45688</v>
      </c>
      <c r="D2859" t="inlineStr">
        <is>
          <t>JÄMTLANDS LÄN</t>
        </is>
      </c>
      <c r="E2859" t="inlineStr">
        <is>
          <t>STRÖMSUND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13924-2024</t>
        </is>
      </c>
      <c r="B2860" s="1" t="n">
        <v>45392</v>
      </c>
      <c r="C2860" s="1" t="n">
        <v>45688</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14570-2024</t>
        </is>
      </c>
      <c r="B2861" s="1" t="n">
        <v>45395</v>
      </c>
      <c r="C2861" s="1" t="n">
        <v>45688</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14568-2024</t>
        </is>
      </c>
      <c r="B2862" s="1" t="n">
        <v>45394</v>
      </c>
      <c r="C2862" s="1" t="n">
        <v>45688</v>
      </c>
      <c r="D2862" t="inlineStr">
        <is>
          <t>JÄMTLANDS LÄN</t>
        </is>
      </c>
      <c r="E2862" t="inlineStr">
        <is>
          <t>STRÖMSUND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14583-2024</t>
        </is>
      </c>
      <c r="B2863" s="1" t="n">
        <v>45395</v>
      </c>
      <c r="C2863" s="1" t="n">
        <v>45688</v>
      </c>
      <c r="D2863" t="inlineStr">
        <is>
          <t>JÄMTLANDS LÄN</t>
        </is>
      </c>
      <c r="E2863" t="inlineStr">
        <is>
          <t>STRÖMSUND</t>
        </is>
      </c>
      <c r="F2863" t="inlineStr">
        <is>
          <t>SCA</t>
        </is>
      </c>
      <c r="G2863" t="n">
        <v>14.4</v>
      </c>
      <c r="H2863" t="n">
        <v>0</v>
      </c>
      <c r="I2863" t="n">
        <v>0</v>
      </c>
      <c r="J2863" t="n">
        <v>0</v>
      </c>
      <c r="K2863" t="n">
        <v>0</v>
      </c>
      <c r="L2863" t="n">
        <v>0</v>
      </c>
      <c r="M2863" t="n">
        <v>0</v>
      </c>
      <c r="N2863" t="n">
        <v>0</v>
      </c>
      <c r="O2863" t="n">
        <v>0</v>
      </c>
      <c r="P2863" t="n">
        <v>0</v>
      </c>
      <c r="Q2863" t="n">
        <v>0</v>
      </c>
      <c r="R2863" s="2" t="inlineStr"/>
    </row>
    <row r="2864" ht="15" customHeight="1">
      <c r="A2864" t="inlineStr">
        <is>
          <t>A 14569-2024</t>
        </is>
      </c>
      <c r="B2864" s="1" t="n">
        <v>45394</v>
      </c>
      <c r="C2864" s="1" t="n">
        <v>45688</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14812-2024</t>
        </is>
      </c>
      <c r="B2865" s="1" t="n">
        <v>45397</v>
      </c>
      <c r="C2865" s="1" t="n">
        <v>45688</v>
      </c>
      <c r="D2865" t="inlineStr">
        <is>
          <t>JÄMTLANDS LÄN</t>
        </is>
      </c>
      <c r="E2865" t="inlineStr">
        <is>
          <t>STRÖMSUND</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14966-2024</t>
        </is>
      </c>
      <c r="B2866" s="1" t="n">
        <v>45399</v>
      </c>
      <c r="C2866" s="1" t="n">
        <v>45688</v>
      </c>
      <c r="D2866" t="inlineStr">
        <is>
          <t>JÄMTLANDS LÄN</t>
        </is>
      </c>
      <c r="E2866" t="inlineStr">
        <is>
          <t>STRÖMSUND</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14978-2024</t>
        </is>
      </c>
      <c r="B2867" s="1" t="n">
        <v>45399</v>
      </c>
      <c r="C2867" s="1" t="n">
        <v>45688</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14967-2024</t>
        </is>
      </c>
      <c r="B2868" s="1" t="n">
        <v>45399</v>
      </c>
      <c r="C2868" s="1" t="n">
        <v>45688</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15364-2024</t>
        </is>
      </c>
      <c r="B2869" s="1" t="n">
        <v>45400</v>
      </c>
      <c r="C2869" s="1" t="n">
        <v>45688</v>
      </c>
      <c r="D2869" t="inlineStr">
        <is>
          <t>JÄMTLANDS LÄN</t>
        </is>
      </c>
      <c r="E2869" t="inlineStr">
        <is>
          <t>STRÖMSUND</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15375-2024</t>
        </is>
      </c>
      <c r="B2870" s="1" t="n">
        <v>45400</v>
      </c>
      <c r="C2870" s="1" t="n">
        <v>45688</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15858-2024</t>
        </is>
      </c>
      <c r="B2871" s="1" t="n">
        <v>45405</v>
      </c>
      <c r="C2871" s="1" t="n">
        <v>45688</v>
      </c>
      <c r="D2871" t="inlineStr">
        <is>
          <t>JÄMTLANDS LÄN</t>
        </is>
      </c>
      <c r="E2871" t="inlineStr">
        <is>
          <t>STRÖMSUND</t>
        </is>
      </c>
      <c r="F2871" t="inlineStr">
        <is>
          <t>SCA</t>
        </is>
      </c>
      <c r="G2871" t="n">
        <v>33.8</v>
      </c>
      <c r="H2871" t="n">
        <v>0</v>
      </c>
      <c r="I2871" t="n">
        <v>0</v>
      </c>
      <c r="J2871" t="n">
        <v>0</v>
      </c>
      <c r="K2871" t="n">
        <v>0</v>
      </c>
      <c r="L2871" t="n">
        <v>0</v>
      </c>
      <c r="M2871" t="n">
        <v>0</v>
      </c>
      <c r="N2871" t="n">
        <v>0</v>
      </c>
      <c r="O2871" t="n">
        <v>0</v>
      </c>
      <c r="P2871" t="n">
        <v>0</v>
      </c>
      <c r="Q2871" t="n">
        <v>0</v>
      </c>
      <c r="R2871" s="2" t="inlineStr"/>
    </row>
    <row r="2872" ht="15" customHeight="1">
      <c r="A2872" t="inlineStr">
        <is>
          <t>A 16053-2024</t>
        </is>
      </c>
      <c r="B2872" s="1" t="n">
        <v>45406</v>
      </c>
      <c r="C2872" s="1" t="n">
        <v>45688</v>
      </c>
      <c r="D2872" t="inlineStr">
        <is>
          <t>JÄMTLANDS LÄN</t>
        </is>
      </c>
      <c r="E2872" t="inlineStr">
        <is>
          <t>STRÖMSUND</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16242-2024</t>
        </is>
      </c>
      <c r="B2873" s="1" t="n">
        <v>45407</v>
      </c>
      <c r="C2873" s="1" t="n">
        <v>45688</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16236-2024</t>
        </is>
      </c>
      <c r="B2874" s="1" t="n">
        <v>45407</v>
      </c>
      <c r="C2874" s="1" t="n">
        <v>45688</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16458-2024</t>
        </is>
      </c>
      <c r="B2875" s="1" t="n">
        <v>45408</v>
      </c>
      <c r="C2875" s="1" t="n">
        <v>45688</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16464-2024</t>
        </is>
      </c>
      <c r="B2876" s="1" t="n">
        <v>45408</v>
      </c>
      <c r="C2876" s="1" t="n">
        <v>45688</v>
      </c>
      <c r="D2876" t="inlineStr">
        <is>
          <t>JÄMTLANDS LÄN</t>
        </is>
      </c>
      <c r="E2876" t="inlineStr">
        <is>
          <t>STRÖMSUND</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16490-2024</t>
        </is>
      </c>
      <c r="B2877" s="1" t="n">
        <v>45408</v>
      </c>
      <c r="C2877" s="1" t="n">
        <v>45688</v>
      </c>
      <c r="D2877" t="inlineStr">
        <is>
          <t>JÄMTLANDS LÄN</t>
        </is>
      </c>
      <c r="E2877" t="inlineStr">
        <is>
          <t>STRÖMSUND</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17098-2024</t>
        </is>
      </c>
      <c r="B2878" s="1" t="n">
        <v>45412</v>
      </c>
      <c r="C2878" s="1" t="n">
        <v>45688</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17105-2024</t>
        </is>
      </c>
      <c r="B2879" s="1" t="n">
        <v>45412</v>
      </c>
      <c r="C2879" s="1" t="n">
        <v>45688</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17435-2024</t>
        </is>
      </c>
      <c r="B2880" s="1" t="n">
        <v>45415</v>
      </c>
      <c r="C2880" s="1" t="n">
        <v>45688</v>
      </c>
      <c r="D2880" t="inlineStr">
        <is>
          <t>JÄMTLANDS LÄN</t>
        </is>
      </c>
      <c r="E2880" t="inlineStr">
        <is>
          <t>STRÖMSUND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17442-2024</t>
        </is>
      </c>
      <c r="B2881" s="1" t="n">
        <v>45415</v>
      </c>
      <c r="C2881" s="1" t="n">
        <v>45688</v>
      </c>
      <c r="D2881" t="inlineStr">
        <is>
          <t>JÄMTLANDS LÄN</t>
        </is>
      </c>
      <c r="E2881" t="inlineStr">
        <is>
          <t>STRÖMSUND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17728-2024</t>
        </is>
      </c>
      <c r="B2882" s="1" t="n">
        <v>45418</v>
      </c>
      <c r="C2882" s="1" t="n">
        <v>45688</v>
      </c>
      <c r="D2882" t="inlineStr">
        <is>
          <t>JÄMTLANDS LÄN</t>
        </is>
      </c>
      <c r="E2882" t="inlineStr">
        <is>
          <t>STRÖMSUND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18234-2024</t>
        </is>
      </c>
      <c r="B2883" s="1" t="n">
        <v>45421</v>
      </c>
      <c r="C2883" s="1" t="n">
        <v>45688</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18233-2024</t>
        </is>
      </c>
      <c r="B2884" s="1" t="n">
        <v>45421</v>
      </c>
      <c r="C2884" s="1" t="n">
        <v>45688</v>
      </c>
      <c r="D2884" t="inlineStr">
        <is>
          <t>JÄMTLANDS LÄN</t>
        </is>
      </c>
      <c r="E2884" t="inlineStr">
        <is>
          <t>STRÖMSUND</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18237-2024</t>
        </is>
      </c>
      <c r="B2885" s="1" t="n">
        <v>45421</v>
      </c>
      <c r="C2885" s="1" t="n">
        <v>45688</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18236-2024</t>
        </is>
      </c>
      <c r="B2886" s="1" t="n">
        <v>45421</v>
      </c>
      <c r="C2886" s="1" t="n">
        <v>45688</v>
      </c>
      <c r="D2886" t="inlineStr">
        <is>
          <t>JÄMTLANDS LÄN</t>
        </is>
      </c>
      <c r="E2886" t="inlineStr">
        <is>
          <t>STRÖMSUND</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18240-2024</t>
        </is>
      </c>
      <c r="B2887" s="1" t="n">
        <v>45421</v>
      </c>
      <c r="C2887" s="1" t="n">
        <v>45688</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18235-2024</t>
        </is>
      </c>
      <c r="B2888" s="1" t="n">
        <v>45421</v>
      </c>
      <c r="C2888" s="1" t="n">
        <v>45688</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18298-2024</t>
        </is>
      </c>
      <c r="B2889" s="1" t="n">
        <v>45421</v>
      </c>
      <c r="C2889" s="1" t="n">
        <v>45688</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18325-2024</t>
        </is>
      </c>
      <c r="B2890" s="1" t="n">
        <v>45422</v>
      </c>
      <c r="C2890" s="1" t="n">
        <v>45688</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18770-2024</t>
        </is>
      </c>
      <c r="B2891" s="1" t="n">
        <v>45426</v>
      </c>
      <c r="C2891" s="1" t="n">
        <v>45688</v>
      </c>
      <c r="D2891" t="inlineStr">
        <is>
          <t>JÄMTLANDS LÄN</t>
        </is>
      </c>
      <c r="E2891" t="inlineStr">
        <is>
          <t>STRÖMSUND</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18912-2024</t>
        </is>
      </c>
      <c r="B2892" s="1" t="n">
        <v>45426</v>
      </c>
      <c r="C2892" s="1" t="n">
        <v>45688</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18915-2024</t>
        </is>
      </c>
      <c r="B2893" s="1" t="n">
        <v>45426</v>
      </c>
      <c r="C2893" s="1" t="n">
        <v>45688</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19006-2024</t>
        </is>
      </c>
      <c r="B2894" s="1" t="n">
        <v>45427</v>
      </c>
      <c r="C2894" s="1" t="n">
        <v>45688</v>
      </c>
      <c r="D2894" t="inlineStr">
        <is>
          <t>JÄMTLANDS LÄN</t>
        </is>
      </c>
      <c r="E2894" t="inlineStr">
        <is>
          <t>STRÖMSUND</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19340-2024</t>
        </is>
      </c>
      <c r="B2895" s="1" t="n">
        <v>45429</v>
      </c>
      <c r="C2895" s="1" t="n">
        <v>45688</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19346-2024</t>
        </is>
      </c>
      <c r="B2896" s="1" t="n">
        <v>45429</v>
      </c>
      <c r="C2896" s="1" t="n">
        <v>45688</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19483-2024</t>
        </is>
      </c>
      <c r="B2897" s="1" t="n">
        <v>45429</v>
      </c>
      <c r="C2897" s="1" t="n">
        <v>45688</v>
      </c>
      <c r="D2897" t="inlineStr">
        <is>
          <t>JÄMTLANDS LÄN</t>
        </is>
      </c>
      <c r="E2897" t="inlineStr">
        <is>
          <t>STRÖMSUND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19794-2024</t>
        </is>
      </c>
      <c r="B2898" s="1" t="n">
        <v>45433</v>
      </c>
      <c r="C2898" s="1" t="n">
        <v>45688</v>
      </c>
      <c r="D2898" t="inlineStr">
        <is>
          <t>JÄMTLANDS LÄN</t>
        </is>
      </c>
      <c r="E2898" t="inlineStr">
        <is>
          <t>STRÖMSUND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19995-2024</t>
        </is>
      </c>
      <c r="B2899" s="1" t="n">
        <v>45434</v>
      </c>
      <c r="C2899" s="1" t="n">
        <v>45688</v>
      </c>
      <c r="D2899" t="inlineStr">
        <is>
          <t>JÄMTLANDS LÄN</t>
        </is>
      </c>
      <c r="E2899" t="inlineStr">
        <is>
          <t>STRÖMSUND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20274-2024</t>
        </is>
      </c>
      <c r="B2900" s="1" t="n">
        <v>45435</v>
      </c>
      <c r="C2900" s="1" t="n">
        <v>45688</v>
      </c>
      <c r="D2900" t="inlineStr">
        <is>
          <t>JÄMTLANDS LÄN</t>
        </is>
      </c>
      <c r="E2900" t="inlineStr">
        <is>
          <t>STRÖMSUND</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20271-2024</t>
        </is>
      </c>
      <c r="B2901" s="1" t="n">
        <v>45435</v>
      </c>
      <c r="C2901" s="1" t="n">
        <v>45688</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20275-2024</t>
        </is>
      </c>
      <c r="B2902" s="1" t="n">
        <v>45435</v>
      </c>
      <c r="C2902" s="1" t="n">
        <v>45688</v>
      </c>
      <c r="D2902" t="inlineStr">
        <is>
          <t>JÄMTLANDS LÄN</t>
        </is>
      </c>
      <c r="E2902" t="inlineStr">
        <is>
          <t>STRÖMSUND</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20273-2024</t>
        </is>
      </c>
      <c r="B2903" s="1" t="n">
        <v>45434</v>
      </c>
      <c r="C2903" s="1" t="n">
        <v>45688</v>
      </c>
      <c r="D2903" t="inlineStr">
        <is>
          <t>JÄMTLANDS LÄN</t>
        </is>
      </c>
      <c r="E2903" t="inlineStr">
        <is>
          <t>STRÖMSUND</t>
        </is>
      </c>
      <c r="F2903" t="inlineStr">
        <is>
          <t>SCA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20180-2024</t>
        </is>
      </c>
      <c r="B2904" s="1" t="n">
        <v>45434</v>
      </c>
      <c r="C2904" s="1" t="n">
        <v>45688</v>
      </c>
      <c r="D2904" t="inlineStr">
        <is>
          <t>JÄMTLANDS LÄN</t>
        </is>
      </c>
      <c r="E2904" t="inlineStr">
        <is>
          <t>STRÖMSUND</t>
        </is>
      </c>
      <c r="F2904" t="inlineStr">
        <is>
          <t>Holmen skog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20272-2024</t>
        </is>
      </c>
      <c r="B2905" s="1" t="n">
        <v>45435</v>
      </c>
      <c r="C2905" s="1" t="n">
        <v>45688</v>
      </c>
      <c r="D2905" t="inlineStr">
        <is>
          <t>JÄMTLANDS LÄN</t>
        </is>
      </c>
      <c r="E2905" t="inlineStr">
        <is>
          <t>STRÖMSUND</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20505-2024</t>
        </is>
      </c>
      <c r="B2906" s="1" t="n">
        <v>45436</v>
      </c>
      <c r="C2906" s="1" t="n">
        <v>45688</v>
      </c>
      <c r="D2906" t="inlineStr">
        <is>
          <t>JÄMTLANDS LÄN</t>
        </is>
      </c>
      <c r="E2906" t="inlineStr">
        <is>
          <t>STRÖMSUND</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20508-2024</t>
        </is>
      </c>
      <c r="B2907" s="1" t="n">
        <v>45436</v>
      </c>
      <c r="C2907" s="1" t="n">
        <v>45688</v>
      </c>
      <c r="D2907" t="inlineStr">
        <is>
          <t>JÄMTLANDS LÄN</t>
        </is>
      </c>
      <c r="E2907" t="inlineStr">
        <is>
          <t>STRÖMSUND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20693-2024</t>
        </is>
      </c>
      <c r="B2908" s="1" t="n">
        <v>45436</v>
      </c>
      <c r="C2908" s="1" t="n">
        <v>45688</v>
      </c>
      <c r="D2908" t="inlineStr">
        <is>
          <t>JÄMTLANDS LÄN</t>
        </is>
      </c>
      <c r="E2908" t="inlineStr">
        <is>
          <t>STRÖMSUND</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20767-2024</t>
        </is>
      </c>
      <c r="B2909" s="1" t="n">
        <v>45436</v>
      </c>
      <c r="C2909" s="1" t="n">
        <v>45688</v>
      </c>
      <c r="D2909" t="inlineStr">
        <is>
          <t>JÄMTLANDS LÄN</t>
        </is>
      </c>
      <c r="E2909" t="inlineStr">
        <is>
          <t>STRÖMSUND</t>
        </is>
      </c>
      <c r="F2909" t="inlineStr">
        <is>
          <t>SCA</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21209-2024</t>
        </is>
      </c>
      <c r="B2910" s="1" t="n">
        <v>45440</v>
      </c>
      <c r="C2910" s="1" t="n">
        <v>45688</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21212-2024</t>
        </is>
      </c>
      <c r="B2911" s="1" t="n">
        <v>45440</v>
      </c>
      <c r="C2911" s="1" t="n">
        <v>45688</v>
      </c>
      <c r="D2911" t="inlineStr">
        <is>
          <t>JÄMTLANDS LÄN</t>
        </is>
      </c>
      <c r="E2911" t="inlineStr">
        <is>
          <t>STRÖMSUND</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21377-2024</t>
        </is>
      </c>
      <c r="B2912" s="1" t="n">
        <v>45440</v>
      </c>
      <c r="C2912" s="1" t="n">
        <v>45688</v>
      </c>
      <c r="D2912" t="inlineStr">
        <is>
          <t>JÄMTLANDS LÄN</t>
        </is>
      </c>
      <c r="E2912" t="inlineStr">
        <is>
          <t>STRÖMSUND</t>
        </is>
      </c>
      <c r="F2912" t="inlineStr">
        <is>
          <t>SCA</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21546-2024</t>
        </is>
      </c>
      <c r="B2913" s="1" t="n">
        <v>45441</v>
      </c>
      <c r="C2913" s="1" t="n">
        <v>45688</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21603-2024</t>
        </is>
      </c>
      <c r="B2914" s="1" t="n">
        <v>45442</v>
      </c>
      <c r="C2914" s="1" t="n">
        <v>45688</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21605-2024</t>
        </is>
      </c>
      <c r="B2915" s="1" t="n">
        <v>45442</v>
      </c>
      <c r="C2915" s="1" t="n">
        <v>45688</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21616-2024</t>
        </is>
      </c>
      <c r="B2916" s="1" t="n">
        <v>45442</v>
      </c>
      <c r="C2916" s="1" t="n">
        <v>45688</v>
      </c>
      <c r="D2916" t="inlineStr">
        <is>
          <t>JÄMTLANDS LÄN</t>
        </is>
      </c>
      <c r="E2916" t="inlineStr">
        <is>
          <t>STRÖMSUND</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21551-2024</t>
        </is>
      </c>
      <c r="B2917" s="1" t="n">
        <v>45441</v>
      </c>
      <c r="C2917" s="1" t="n">
        <v>45688</v>
      </c>
      <c r="D2917" t="inlineStr">
        <is>
          <t>JÄMTLANDS LÄN</t>
        </is>
      </c>
      <c r="E2917" t="inlineStr">
        <is>
          <t>STRÖMSUND</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21553-2024</t>
        </is>
      </c>
      <c r="B2918" s="1" t="n">
        <v>45441</v>
      </c>
      <c r="C2918" s="1" t="n">
        <v>45688</v>
      </c>
      <c r="D2918" t="inlineStr">
        <is>
          <t>JÄMTLANDS LÄN</t>
        </is>
      </c>
      <c r="E2918" t="inlineStr">
        <is>
          <t>STRÖMSUND</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21549-2024</t>
        </is>
      </c>
      <c r="B2919" s="1" t="n">
        <v>45441</v>
      </c>
      <c r="C2919" s="1" t="n">
        <v>45688</v>
      </c>
      <c r="D2919" t="inlineStr">
        <is>
          <t>JÄMTLANDS LÄN</t>
        </is>
      </c>
      <c r="E2919" t="inlineStr">
        <is>
          <t>STRÖMSUND</t>
        </is>
      </c>
      <c r="F2919" t="inlineStr">
        <is>
          <t>Holmen skog AB</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21554-2024</t>
        </is>
      </c>
      <c r="B2920" s="1" t="n">
        <v>45441</v>
      </c>
      <c r="C2920" s="1" t="n">
        <v>45688</v>
      </c>
      <c r="D2920" t="inlineStr">
        <is>
          <t>JÄMTLANDS LÄN</t>
        </is>
      </c>
      <c r="E2920" t="inlineStr">
        <is>
          <t>STRÖMSUND</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21550-2024</t>
        </is>
      </c>
      <c r="B2921" s="1" t="n">
        <v>45441</v>
      </c>
      <c r="C2921" s="1" t="n">
        <v>45688</v>
      </c>
      <c r="D2921" t="inlineStr">
        <is>
          <t>JÄMTLANDS LÄN</t>
        </is>
      </c>
      <c r="E2921" t="inlineStr">
        <is>
          <t>STRÖMSUND</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21713-2024</t>
        </is>
      </c>
      <c r="B2922" s="1" t="n">
        <v>45442</v>
      </c>
      <c r="C2922" s="1" t="n">
        <v>45688</v>
      </c>
      <c r="D2922" t="inlineStr">
        <is>
          <t>JÄMTLANDS LÄN</t>
        </is>
      </c>
      <c r="E2922" t="inlineStr">
        <is>
          <t>STRÖMSUND</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21840-2024</t>
        </is>
      </c>
      <c r="B2923" s="1" t="n">
        <v>45443</v>
      </c>
      <c r="C2923" s="1" t="n">
        <v>45688</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21735-2024</t>
        </is>
      </c>
      <c r="B2924" s="1" t="n">
        <v>45442</v>
      </c>
      <c r="C2924" s="1" t="n">
        <v>45688</v>
      </c>
      <c r="D2924" t="inlineStr">
        <is>
          <t>JÄMTLANDS LÄN</t>
        </is>
      </c>
      <c r="E2924" t="inlineStr">
        <is>
          <t>STRÖMSUND</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21861-2024</t>
        </is>
      </c>
      <c r="B2925" s="1" t="n">
        <v>45443</v>
      </c>
      <c r="C2925" s="1" t="n">
        <v>45688</v>
      </c>
      <c r="D2925" t="inlineStr">
        <is>
          <t>JÄMTLANDS LÄN</t>
        </is>
      </c>
      <c r="E2925" t="inlineStr">
        <is>
          <t>STRÖMSUND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22115-2024</t>
        </is>
      </c>
      <c r="B2926" s="1" t="n">
        <v>45443</v>
      </c>
      <c r="C2926" s="1" t="n">
        <v>45688</v>
      </c>
      <c r="D2926" t="inlineStr">
        <is>
          <t>JÄMTLANDS LÄN</t>
        </is>
      </c>
      <c r="E2926" t="inlineStr">
        <is>
          <t>STRÖMSUND</t>
        </is>
      </c>
      <c r="F2926" t="inlineStr">
        <is>
          <t>SCA</t>
        </is>
      </c>
      <c r="G2926" t="n">
        <v>16.6</v>
      </c>
      <c r="H2926" t="n">
        <v>0</v>
      </c>
      <c r="I2926" t="n">
        <v>0</v>
      </c>
      <c r="J2926" t="n">
        <v>0</v>
      </c>
      <c r="K2926" t="n">
        <v>0</v>
      </c>
      <c r="L2926" t="n">
        <v>0</v>
      </c>
      <c r="M2926" t="n">
        <v>0</v>
      </c>
      <c r="N2926" t="n">
        <v>0</v>
      </c>
      <c r="O2926" t="n">
        <v>0</v>
      </c>
      <c r="P2926" t="n">
        <v>0</v>
      </c>
      <c r="Q2926" t="n">
        <v>0</v>
      </c>
      <c r="R2926" s="2" t="inlineStr"/>
    </row>
    <row r="2927" ht="15" customHeight="1">
      <c r="A2927" t="inlineStr">
        <is>
          <t>A 22139-2024</t>
        </is>
      </c>
      <c r="B2927" s="1" t="n">
        <v>45445</v>
      </c>
      <c r="C2927" s="1" t="n">
        <v>45688</v>
      </c>
      <c r="D2927" t="inlineStr">
        <is>
          <t>JÄMTLANDS LÄN</t>
        </is>
      </c>
      <c r="E2927" t="inlineStr">
        <is>
          <t>STRÖMSUND</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22138-2024</t>
        </is>
      </c>
      <c r="B2928" s="1" t="n">
        <v>45445</v>
      </c>
      <c r="C2928" s="1" t="n">
        <v>45688</v>
      </c>
      <c r="D2928" t="inlineStr">
        <is>
          <t>JÄMTLANDS LÄN</t>
        </is>
      </c>
      <c r="E2928" t="inlineStr">
        <is>
          <t>STRÖMSUND</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22141-2024</t>
        </is>
      </c>
      <c r="B2929" s="1" t="n">
        <v>45445</v>
      </c>
      <c r="C2929" s="1" t="n">
        <v>45688</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22140-2024</t>
        </is>
      </c>
      <c r="B2930" s="1" t="n">
        <v>45445</v>
      </c>
      <c r="C2930" s="1" t="n">
        <v>45688</v>
      </c>
      <c r="D2930" t="inlineStr">
        <is>
          <t>JÄMTLANDS LÄN</t>
        </is>
      </c>
      <c r="E2930" t="inlineStr">
        <is>
          <t>STRÖMSUND</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22451-2024</t>
        </is>
      </c>
      <c r="B2931" s="1" t="n">
        <v>45447</v>
      </c>
      <c r="C2931" s="1" t="n">
        <v>45688</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22445-2024</t>
        </is>
      </c>
      <c r="B2932" s="1" t="n">
        <v>45447</v>
      </c>
      <c r="C2932" s="1" t="n">
        <v>45688</v>
      </c>
      <c r="D2932" t="inlineStr">
        <is>
          <t>JÄMTLANDS LÄN</t>
        </is>
      </c>
      <c r="E2932" t="inlineStr">
        <is>
          <t>STRÖMSUND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22481-2024</t>
        </is>
      </c>
      <c r="B2933" s="1" t="n">
        <v>45447</v>
      </c>
      <c r="C2933" s="1" t="n">
        <v>45688</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22477-2024</t>
        </is>
      </c>
      <c r="B2934" s="1" t="n">
        <v>45447</v>
      </c>
      <c r="C2934" s="1" t="n">
        <v>45688</v>
      </c>
      <c r="D2934" t="inlineStr">
        <is>
          <t>JÄMTLANDS LÄN</t>
        </is>
      </c>
      <c r="E2934" t="inlineStr">
        <is>
          <t>STRÖMSUND</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22453-2024</t>
        </is>
      </c>
      <c r="B2935" s="1" t="n">
        <v>45447</v>
      </c>
      <c r="C2935" s="1" t="n">
        <v>45688</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22444-2024</t>
        </is>
      </c>
      <c r="B2936" s="1" t="n">
        <v>45447</v>
      </c>
      <c r="C2936" s="1" t="n">
        <v>45688</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22452-2024</t>
        </is>
      </c>
      <c r="B2937" s="1" t="n">
        <v>45447</v>
      </c>
      <c r="C2937" s="1" t="n">
        <v>45688</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22676-2024</t>
        </is>
      </c>
      <c r="B2938" s="1" t="n">
        <v>45448</v>
      </c>
      <c r="C2938" s="1" t="n">
        <v>45688</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22643-2024</t>
        </is>
      </c>
      <c r="B2939" s="1" t="n">
        <v>45447</v>
      </c>
      <c r="C2939" s="1" t="n">
        <v>45688</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22651-2024</t>
        </is>
      </c>
      <c r="B2940" s="1" t="n">
        <v>45447</v>
      </c>
      <c r="C2940" s="1" t="n">
        <v>45688</v>
      </c>
      <c r="D2940" t="inlineStr">
        <is>
          <t>JÄMTLANDS LÄN</t>
        </is>
      </c>
      <c r="E2940" t="inlineStr">
        <is>
          <t>STRÖMSUND</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23531-2024</t>
        </is>
      </c>
      <c r="B2941" s="1" t="n">
        <v>45454</v>
      </c>
      <c r="C2941" s="1" t="n">
        <v>45688</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23675-2024</t>
        </is>
      </c>
      <c r="B2942" s="1" t="n">
        <v>45454</v>
      </c>
      <c r="C2942" s="1" t="n">
        <v>45688</v>
      </c>
      <c r="D2942" t="inlineStr">
        <is>
          <t>JÄMTLANDS LÄN</t>
        </is>
      </c>
      <c r="E2942" t="inlineStr">
        <is>
          <t>STRÖMSUND</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23735-2024</t>
        </is>
      </c>
      <c r="B2943" s="1" t="n">
        <v>45455</v>
      </c>
      <c r="C2943" s="1" t="n">
        <v>45688</v>
      </c>
      <c r="D2943" t="inlineStr">
        <is>
          <t>JÄMTLANDS LÄN</t>
        </is>
      </c>
      <c r="E2943" t="inlineStr">
        <is>
          <t>STRÖMSUND</t>
        </is>
      </c>
      <c r="F2943" t="inlineStr">
        <is>
          <t>SCA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23728-2024</t>
        </is>
      </c>
      <c r="B2944" s="1" t="n">
        <v>45455</v>
      </c>
      <c r="C2944" s="1" t="n">
        <v>45688</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23941-2024</t>
        </is>
      </c>
      <c r="B2945" s="1" t="n">
        <v>45456</v>
      </c>
      <c r="C2945" s="1" t="n">
        <v>45688</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23922-2024</t>
        </is>
      </c>
      <c r="B2946" s="1" t="n">
        <v>45456</v>
      </c>
      <c r="C2946" s="1" t="n">
        <v>45688</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23934-2024</t>
        </is>
      </c>
      <c r="B2947" s="1" t="n">
        <v>45456</v>
      </c>
      <c r="C2947" s="1" t="n">
        <v>45688</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23942-2024</t>
        </is>
      </c>
      <c r="B2948" s="1" t="n">
        <v>45456</v>
      </c>
      <c r="C2948" s="1" t="n">
        <v>45688</v>
      </c>
      <c r="D2948" t="inlineStr">
        <is>
          <t>JÄMTLANDS LÄN</t>
        </is>
      </c>
      <c r="E2948" t="inlineStr">
        <is>
          <t>STRÖMSUND</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24060-2024</t>
        </is>
      </c>
      <c r="B2949" s="1" t="n">
        <v>45456</v>
      </c>
      <c r="C2949" s="1" t="n">
        <v>45688</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24042-2024</t>
        </is>
      </c>
      <c r="B2950" s="1" t="n">
        <v>45456</v>
      </c>
      <c r="C2950" s="1" t="n">
        <v>45688</v>
      </c>
      <c r="D2950" t="inlineStr">
        <is>
          <t>JÄMTLANDS LÄN</t>
        </is>
      </c>
      <c r="E2950" t="inlineStr">
        <is>
          <t>STRÖMSUND</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24059-2024</t>
        </is>
      </c>
      <c r="B2951" s="1" t="n">
        <v>45456</v>
      </c>
      <c r="C2951" s="1" t="n">
        <v>45688</v>
      </c>
      <c r="D2951" t="inlineStr">
        <is>
          <t>JÄMTLANDS LÄN</t>
        </is>
      </c>
      <c r="E2951" t="inlineStr">
        <is>
          <t>STRÖMSUND</t>
        </is>
      </c>
      <c r="F2951" t="inlineStr">
        <is>
          <t>Holmen skog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24206-2024</t>
        </is>
      </c>
      <c r="B2952" s="1" t="n">
        <v>45456</v>
      </c>
      <c r="C2952" s="1" t="n">
        <v>45688</v>
      </c>
      <c r="D2952" t="inlineStr">
        <is>
          <t>JÄMTLANDS LÄN</t>
        </is>
      </c>
      <c r="E2952" t="inlineStr">
        <is>
          <t>STRÖMSUND</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24214-2024</t>
        </is>
      </c>
      <c r="B2953" s="1" t="n">
        <v>45457</v>
      </c>
      <c r="C2953" s="1" t="n">
        <v>45688</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24430-2024</t>
        </is>
      </c>
      <c r="B2954" s="1" t="n">
        <v>45458</v>
      </c>
      <c r="C2954" s="1" t="n">
        <v>45688</v>
      </c>
      <c r="D2954" t="inlineStr">
        <is>
          <t>JÄMTLANDS LÄN</t>
        </is>
      </c>
      <c r="E2954" t="inlineStr">
        <is>
          <t>STRÖMSUND</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24438-2024</t>
        </is>
      </c>
      <c r="B2955" s="1" t="n">
        <v>45458</v>
      </c>
      <c r="C2955" s="1" t="n">
        <v>45688</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24311-2024</t>
        </is>
      </c>
      <c r="B2956" s="1" t="n">
        <v>45457</v>
      </c>
      <c r="C2956" s="1" t="n">
        <v>45688</v>
      </c>
      <c r="D2956" t="inlineStr">
        <is>
          <t>JÄMTLANDS LÄN</t>
        </is>
      </c>
      <c r="E2956" t="inlineStr">
        <is>
          <t>STRÖMSUND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24429-2024</t>
        </is>
      </c>
      <c r="B2957" s="1" t="n">
        <v>45458</v>
      </c>
      <c r="C2957" s="1" t="n">
        <v>45688</v>
      </c>
      <c r="D2957" t="inlineStr">
        <is>
          <t>JÄMTLANDS LÄN</t>
        </is>
      </c>
      <c r="E2957" t="inlineStr">
        <is>
          <t>STRÖMSUND</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24804-2024</t>
        </is>
      </c>
      <c r="B2958" s="1" t="n">
        <v>45461</v>
      </c>
      <c r="C2958" s="1" t="n">
        <v>45688</v>
      </c>
      <c r="D2958" t="inlineStr">
        <is>
          <t>JÄMTLANDS LÄN</t>
        </is>
      </c>
      <c r="E2958" t="inlineStr">
        <is>
          <t>STRÖMSUND</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24800-2024</t>
        </is>
      </c>
      <c r="B2959" s="1" t="n">
        <v>45461</v>
      </c>
      <c r="C2959" s="1" t="n">
        <v>45688</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24802-2024</t>
        </is>
      </c>
      <c r="B2960" s="1" t="n">
        <v>45461</v>
      </c>
      <c r="C2960" s="1" t="n">
        <v>45688</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24801-2024</t>
        </is>
      </c>
      <c r="B2961" s="1" t="n">
        <v>45461</v>
      </c>
      <c r="C2961" s="1" t="n">
        <v>45688</v>
      </c>
      <c r="D2961" t="inlineStr">
        <is>
          <t>JÄMTLANDS LÄN</t>
        </is>
      </c>
      <c r="E2961" t="inlineStr">
        <is>
          <t>STRÖMSUND</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24805-2024</t>
        </is>
      </c>
      <c r="B2962" s="1" t="n">
        <v>45461</v>
      </c>
      <c r="C2962" s="1" t="n">
        <v>45688</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25359-2024</t>
        </is>
      </c>
      <c r="B2963" s="1" t="n">
        <v>45463</v>
      </c>
      <c r="C2963" s="1" t="n">
        <v>45688</v>
      </c>
      <c r="D2963" t="inlineStr">
        <is>
          <t>JÄMTLANDS LÄN</t>
        </is>
      </c>
      <c r="E2963" t="inlineStr">
        <is>
          <t>STRÖMSUND</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25371-2024</t>
        </is>
      </c>
      <c r="B2964" s="1" t="n">
        <v>45463</v>
      </c>
      <c r="C2964" s="1" t="n">
        <v>45688</v>
      </c>
      <c r="D2964" t="inlineStr">
        <is>
          <t>JÄMTLANDS LÄN</t>
        </is>
      </c>
      <c r="E2964" t="inlineStr">
        <is>
          <t>STRÖMSUND</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25370-2024</t>
        </is>
      </c>
      <c r="B2965" s="1" t="n">
        <v>45463</v>
      </c>
      <c r="C2965" s="1" t="n">
        <v>45688</v>
      </c>
      <c r="D2965" t="inlineStr">
        <is>
          <t>JÄMTLANDS LÄN</t>
        </is>
      </c>
      <c r="E2965" t="inlineStr">
        <is>
          <t>STRÖMSUND</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25378-2024</t>
        </is>
      </c>
      <c r="B2966" s="1" t="n">
        <v>45463</v>
      </c>
      <c r="C2966" s="1" t="n">
        <v>45688</v>
      </c>
      <c r="D2966" t="inlineStr">
        <is>
          <t>JÄMTLANDS LÄN</t>
        </is>
      </c>
      <c r="E2966" t="inlineStr">
        <is>
          <t>STRÖMSUND</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25365-2024</t>
        </is>
      </c>
      <c r="B2967" s="1" t="n">
        <v>45463</v>
      </c>
      <c r="C2967" s="1" t="n">
        <v>45688</v>
      </c>
      <c r="D2967" t="inlineStr">
        <is>
          <t>JÄMTLANDS LÄN</t>
        </is>
      </c>
      <c r="E2967" t="inlineStr">
        <is>
          <t>STRÖMSUND</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25361-2024</t>
        </is>
      </c>
      <c r="B2968" s="1" t="n">
        <v>45463</v>
      </c>
      <c r="C2968" s="1" t="n">
        <v>45688</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25587-2024</t>
        </is>
      </c>
      <c r="B2969" s="1" t="n">
        <v>45463</v>
      </c>
      <c r="C2969" s="1" t="n">
        <v>45688</v>
      </c>
      <c r="D2969" t="inlineStr">
        <is>
          <t>JÄMTLANDS LÄN</t>
        </is>
      </c>
      <c r="E2969" t="inlineStr">
        <is>
          <t>STRÖMSUND</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25479-2024</t>
        </is>
      </c>
      <c r="B2970" s="1" t="n">
        <v>45463</v>
      </c>
      <c r="C2970" s="1" t="n">
        <v>45688</v>
      </c>
      <c r="D2970" t="inlineStr">
        <is>
          <t>JÄMTLANDS LÄN</t>
        </is>
      </c>
      <c r="E2970" t="inlineStr">
        <is>
          <t>STRÖMSUND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25445-2024</t>
        </is>
      </c>
      <c r="B2971" s="1" t="n">
        <v>45463</v>
      </c>
      <c r="C2971" s="1" t="n">
        <v>45688</v>
      </c>
      <c r="D2971" t="inlineStr">
        <is>
          <t>JÄMTLANDS LÄN</t>
        </is>
      </c>
      <c r="E2971" t="inlineStr">
        <is>
          <t>STRÖMSUND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25999-2024</t>
        </is>
      </c>
      <c r="B2972" s="1" t="n">
        <v>45468</v>
      </c>
      <c r="C2972" s="1" t="n">
        <v>45688</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26035-2024</t>
        </is>
      </c>
      <c r="B2973" s="1" t="n">
        <v>45468</v>
      </c>
      <c r="C2973" s="1" t="n">
        <v>45688</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26036-2024</t>
        </is>
      </c>
      <c r="B2974" s="1" t="n">
        <v>45468</v>
      </c>
      <c r="C2974" s="1" t="n">
        <v>45688</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26033-2024</t>
        </is>
      </c>
      <c r="B2975" s="1" t="n">
        <v>45468</v>
      </c>
      <c r="C2975" s="1" t="n">
        <v>45688</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26037-2024</t>
        </is>
      </c>
      <c r="B2976" s="1" t="n">
        <v>45468</v>
      </c>
      <c r="C2976" s="1" t="n">
        <v>45688</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26301-2024</t>
        </is>
      </c>
      <c r="B2977" s="1" t="n">
        <v>45469</v>
      </c>
      <c r="C2977" s="1" t="n">
        <v>45688</v>
      </c>
      <c r="D2977" t="inlineStr">
        <is>
          <t>JÄMTLANDS LÄN</t>
        </is>
      </c>
      <c r="E2977" t="inlineStr">
        <is>
          <t>STRÖMSUND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26048-2024</t>
        </is>
      </c>
      <c r="B2978" s="1" t="n">
        <v>45468</v>
      </c>
      <c r="C2978" s="1" t="n">
        <v>45688</v>
      </c>
      <c r="D2978" t="inlineStr">
        <is>
          <t>JÄMTLANDS LÄN</t>
        </is>
      </c>
      <c r="E2978" t="inlineStr">
        <is>
          <t>STRÖMSUND</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26638-2024</t>
        </is>
      </c>
      <c r="B2979" s="1" t="n">
        <v>45470</v>
      </c>
      <c r="C2979" s="1" t="n">
        <v>45688</v>
      </c>
      <c r="D2979" t="inlineStr">
        <is>
          <t>JÄMTLANDS LÄN</t>
        </is>
      </c>
      <c r="E2979" t="inlineStr">
        <is>
          <t>STRÖMSUND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26635-2024</t>
        </is>
      </c>
      <c r="B2980" s="1" t="n">
        <v>45470</v>
      </c>
      <c r="C2980" s="1" t="n">
        <v>45688</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26667-2024</t>
        </is>
      </c>
      <c r="B2981" s="1" t="n">
        <v>45470</v>
      </c>
      <c r="C2981" s="1" t="n">
        <v>45688</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26665-2024</t>
        </is>
      </c>
      <c r="B2982" s="1" t="n">
        <v>45470</v>
      </c>
      <c r="C2982" s="1" t="n">
        <v>45688</v>
      </c>
      <c r="D2982" t="inlineStr">
        <is>
          <t>JÄMTLANDS LÄN</t>
        </is>
      </c>
      <c r="E2982" t="inlineStr">
        <is>
          <t>STRÖMSUND</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26663-2024</t>
        </is>
      </c>
      <c r="B2983" s="1" t="n">
        <v>45470</v>
      </c>
      <c r="C2983" s="1" t="n">
        <v>45688</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26650-2024</t>
        </is>
      </c>
      <c r="B2984" s="1" t="n">
        <v>45470</v>
      </c>
      <c r="C2984" s="1" t="n">
        <v>45688</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26666-2024</t>
        </is>
      </c>
      <c r="B2985" s="1" t="n">
        <v>45470</v>
      </c>
      <c r="C2985" s="1" t="n">
        <v>45688</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26636-2024</t>
        </is>
      </c>
      <c r="B2986" s="1" t="n">
        <v>45470</v>
      </c>
      <c r="C2986" s="1" t="n">
        <v>45688</v>
      </c>
      <c r="D2986" t="inlineStr">
        <is>
          <t>JÄMTLANDS LÄN</t>
        </is>
      </c>
      <c r="E2986" t="inlineStr">
        <is>
          <t>STRÖMSUND</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26664-2024</t>
        </is>
      </c>
      <c r="B2987" s="1" t="n">
        <v>45470</v>
      </c>
      <c r="C2987" s="1" t="n">
        <v>45688</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26934-2024</t>
        </is>
      </c>
      <c r="B2988" s="1" t="n">
        <v>45471</v>
      </c>
      <c r="C2988" s="1" t="n">
        <v>45688</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26960-2024</t>
        </is>
      </c>
      <c r="B2989" s="1" t="n">
        <v>45471</v>
      </c>
      <c r="C2989" s="1" t="n">
        <v>45688</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27121-2024</t>
        </is>
      </c>
      <c r="B2990" s="1" t="n">
        <v>45471</v>
      </c>
      <c r="C2990" s="1" t="n">
        <v>45688</v>
      </c>
      <c r="D2990" t="inlineStr">
        <is>
          <t>JÄMTLANDS LÄN</t>
        </is>
      </c>
      <c r="E2990" t="inlineStr">
        <is>
          <t>STRÖMSUND</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27276-2024</t>
        </is>
      </c>
      <c r="B2991" s="1" t="n">
        <v>45472</v>
      </c>
      <c r="C2991" s="1" t="n">
        <v>45688</v>
      </c>
      <c r="D2991" t="inlineStr">
        <is>
          <t>JÄMTLANDS LÄN</t>
        </is>
      </c>
      <c r="E2991" t="inlineStr">
        <is>
          <t>STRÖMSUND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45472</v>
      </c>
      <c r="C2992" s="1" t="n">
        <v>45688</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27279-2024</t>
        </is>
      </c>
      <c r="B2993" s="1" t="n">
        <v>45472</v>
      </c>
      <c r="C2993" s="1" t="n">
        <v>45688</v>
      </c>
      <c r="D2993" t="inlineStr">
        <is>
          <t>JÄMTLANDS LÄN</t>
        </is>
      </c>
      <c r="E2993" t="inlineStr">
        <is>
          <t>STRÖMSUND</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27323-2024</t>
        </is>
      </c>
      <c r="B2994" s="1" t="n">
        <v>45471</v>
      </c>
      <c r="C2994" s="1" t="n">
        <v>45688</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27587-2024</t>
        </is>
      </c>
      <c r="B2995" s="1" t="n">
        <v>45474</v>
      </c>
      <c r="C2995" s="1" t="n">
        <v>45688</v>
      </c>
      <c r="D2995" t="inlineStr">
        <is>
          <t>JÄMTLANDS LÄN</t>
        </is>
      </c>
      <c r="E2995" t="inlineStr">
        <is>
          <t>STRÖMSUND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27643-2024</t>
        </is>
      </c>
      <c r="B2996" s="1" t="n">
        <v>45475</v>
      </c>
      <c r="C2996" s="1" t="n">
        <v>45688</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27640-2024</t>
        </is>
      </c>
      <c r="B2997" s="1" t="n">
        <v>45475</v>
      </c>
      <c r="C2997" s="1" t="n">
        <v>45688</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27648-2024</t>
        </is>
      </c>
      <c r="B2998" s="1" t="n">
        <v>45475</v>
      </c>
      <c r="C2998" s="1" t="n">
        <v>45688</v>
      </c>
      <c r="D2998" t="inlineStr">
        <is>
          <t>JÄMTLANDS LÄN</t>
        </is>
      </c>
      <c r="E2998" t="inlineStr">
        <is>
          <t>STRÖMSUND</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27664-2024</t>
        </is>
      </c>
      <c r="B2999" s="1" t="n">
        <v>45475</v>
      </c>
      <c r="C2999" s="1" t="n">
        <v>45688</v>
      </c>
      <c r="D2999" t="inlineStr">
        <is>
          <t>JÄMTLANDS LÄN</t>
        </is>
      </c>
      <c r="E2999" t="inlineStr">
        <is>
          <t>STRÖMSUND</t>
        </is>
      </c>
      <c r="F2999" t="inlineStr">
        <is>
          <t>SCA</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27638-2024</t>
        </is>
      </c>
      <c r="B3000" s="1" t="n">
        <v>45475</v>
      </c>
      <c r="C3000" s="1" t="n">
        <v>45688</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27642-2024</t>
        </is>
      </c>
      <c r="B3001" s="1" t="n">
        <v>45475</v>
      </c>
      <c r="C3001" s="1" t="n">
        <v>45688</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27659-2024</t>
        </is>
      </c>
      <c r="B3002" s="1" t="n">
        <v>45475</v>
      </c>
      <c r="C3002" s="1" t="n">
        <v>45688</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27663-2024</t>
        </is>
      </c>
      <c r="B3003" s="1" t="n">
        <v>45475</v>
      </c>
      <c r="C3003" s="1" t="n">
        <v>45688</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27637-2024</t>
        </is>
      </c>
      <c r="B3004" s="1" t="n">
        <v>45475</v>
      </c>
      <c r="C3004" s="1" t="n">
        <v>45688</v>
      </c>
      <c r="D3004" t="inlineStr">
        <is>
          <t>JÄMTLANDS LÄN</t>
        </is>
      </c>
      <c r="E3004" t="inlineStr">
        <is>
          <t>STRÖMSUND</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27649-2024</t>
        </is>
      </c>
      <c r="B3005" s="1" t="n">
        <v>45475</v>
      </c>
      <c r="C3005" s="1" t="n">
        <v>45688</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27665-2024</t>
        </is>
      </c>
      <c r="B3006" s="1" t="n">
        <v>45475</v>
      </c>
      <c r="C3006" s="1" t="n">
        <v>45688</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27898-2024</t>
        </is>
      </c>
      <c r="B3007" s="1" t="n">
        <v>45476</v>
      </c>
      <c r="C3007" s="1" t="n">
        <v>45688</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27923-2024</t>
        </is>
      </c>
      <c r="B3008" s="1" t="n">
        <v>45476</v>
      </c>
      <c r="C3008" s="1" t="n">
        <v>45688</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28174-2024</t>
        </is>
      </c>
      <c r="B3009" s="1" t="n">
        <v>45477</v>
      </c>
      <c r="C3009" s="1" t="n">
        <v>45688</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28510-2024</t>
        </is>
      </c>
      <c r="B3010" s="1" t="n">
        <v>45478</v>
      </c>
      <c r="C3010" s="1" t="n">
        <v>45688</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28443-2024</t>
        </is>
      </c>
      <c r="B3011" s="1" t="n">
        <v>45477</v>
      </c>
      <c r="C3011" s="1" t="n">
        <v>45688</v>
      </c>
      <c r="D3011" t="inlineStr">
        <is>
          <t>JÄMTLANDS LÄN</t>
        </is>
      </c>
      <c r="E3011" t="inlineStr">
        <is>
          <t>STRÖMSUND</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28511-2024</t>
        </is>
      </c>
      <c r="B3012" s="1" t="n">
        <v>45478</v>
      </c>
      <c r="C3012" s="1" t="n">
        <v>45688</v>
      </c>
      <c r="D3012" t="inlineStr">
        <is>
          <t>JÄMTLANDS LÄN</t>
        </is>
      </c>
      <c r="E3012" t="inlineStr">
        <is>
          <t>STRÖMSUND</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28602-2024</t>
        </is>
      </c>
      <c r="B3013" s="1" t="n">
        <v>45478</v>
      </c>
      <c r="C3013" s="1" t="n">
        <v>45688</v>
      </c>
      <c r="D3013" t="inlineStr">
        <is>
          <t>JÄMTLANDS LÄN</t>
        </is>
      </c>
      <c r="E3013" t="inlineStr">
        <is>
          <t>STRÖMSUND</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28865-2024</t>
        </is>
      </c>
      <c r="B3014" s="1" t="n">
        <v>45479</v>
      </c>
      <c r="C3014" s="1" t="n">
        <v>45688</v>
      </c>
      <c r="D3014" t="inlineStr">
        <is>
          <t>JÄMTLANDS LÄN</t>
        </is>
      </c>
      <c r="E3014" t="inlineStr">
        <is>
          <t>STRÖMSUND</t>
        </is>
      </c>
      <c r="F3014" t="inlineStr">
        <is>
          <t>SCA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28874-2024</t>
        </is>
      </c>
      <c r="B3015" s="1" t="n">
        <v>45479</v>
      </c>
      <c r="C3015" s="1" t="n">
        <v>45688</v>
      </c>
      <c r="D3015" t="inlineStr">
        <is>
          <t>JÄMTLANDS LÄN</t>
        </is>
      </c>
      <c r="E3015" t="inlineStr">
        <is>
          <t>STRÖMSUND</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28878-2024</t>
        </is>
      </c>
      <c r="B3016" s="1" t="n">
        <v>45479</v>
      </c>
      <c r="C3016" s="1" t="n">
        <v>45688</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28864-2024</t>
        </is>
      </c>
      <c r="B3017" s="1" t="n">
        <v>45479</v>
      </c>
      <c r="C3017" s="1" t="n">
        <v>45688</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29113-2024</t>
        </is>
      </c>
      <c r="B3018" s="1" t="n">
        <v>45482</v>
      </c>
      <c r="C3018" s="1" t="n">
        <v>45688</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29096-2024</t>
        </is>
      </c>
      <c r="B3019" s="1" t="n">
        <v>45482</v>
      </c>
      <c r="C3019" s="1" t="n">
        <v>45688</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29091-2024</t>
        </is>
      </c>
      <c r="B3020" s="1" t="n">
        <v>45482</v>
      </c>
      <c r="C3020" s="1" t="n">
        <v>45688</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29107-2024</t>
        </is>
      </c>
      <c r="B3021" s="1" t="n">
        <v>45482</v>
      </c>
      <c r="C3021" s="1" t="n">
        <v>45688</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29098-2024</t>
        </is>
      </c>
      <c r="B3022" s="1" t="n">
        <v>45482</v>
      </c>
      <c r="C3022" s="1" t="n">
        <v>45688</v>
      </c>
      <c r="D3022" t="inlineStr">
        <is>
          <t>JÄMTLANDS LÄN</t>
        </is>
      </c>
      <c r="E3022" t="inlineStr">
        <is>
          <t>STRÖMSUND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29097-2024</t>
        </is>
      </c>
      <c r="B3023" s="1" t="n">
        <v>45482</v>
      </c>
      <c r="C3023" s="1" t="n">
        <v>45688</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29221-2024</t>
        </is>
      </c>
      <c r="B3024" s="1" t="n">
        <v>45482</v>
      </c>
      <c r="C3024" s="1" t="n">
        <v>45688</v>
      </c>
      <c r="D3024" t="inlineStr">
        <is>
          <t>JÄMTLANDS LÄN</t>
        </is>
      </c>
      <c r="E3024" t="inlineStr">
        <is>
          <t>STRÖMSUND</t>
        </is>
      </c>
      <c r="G3024" t="n">
        <v>39.4</v>
      </c>
      <c r="H3024" t="n">
        <v>0</v>
      </c>
      <c r="I3024" t="n">
        <v>0</v>
      </c>
      <c r="J3024" t="n">
        <v>0</v>
      </c>
      <c r="K3024" t="n">
        <v>0</v>
      </c>
      <c r="L3024" t="n">
        <v>0</v>
      </c>
      <c r="M3024" t="n">
        <v>0</v>
      </c>
      <c r="N3024" t="n">
        <v>0</v>
      </c>
      <c r="O3024" t="n">
        <v>0</v>
      </c>
      <c r="P3024" t="n">
        <v>0</v>
      </c>
      <c r="Q3024" t="n">
        <v>0</v>
      </c>
      <c r="R3024" s="2" t="inlineStr"/>
    </row>
    <row r="3025" ht="15" customHeight="1">
      <c r="A3025" t="inlineStr">
        <is>
          <t>A 29274-2024</t>
        </is>
      </c>
      <c r="B3025" s="1" t="n">
        <v>45483</v>
      </c>
      <c r="C3025" s="1" t="n">
        <v>45688</v>
      </c>
      <c r="D3025" t="inlineStr">
        <is>
          <t>JÄMTLANDS LÄN</t>
        </is>
      </c>
      <c r="E3025" t="inlineStr">
        <is>
          <t>STRÖMSUND</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29242-2024</t>
        </is>
      </c>
      <c r="B3026" s="1" t="n">
        <v>45483</v>
      </c>
      <c r="C3026" s="1" t="n">
        <v>45688</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29171-2024</t>
        </is>
      </c>
      <c r="B3027" s="1" t="n">
        <v>45482</v>
      </c>
      <c r="C3027" s="1" t="n">
        <v>45688</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29266-2024</t>
        </is>
      </c>
      <c r="B3028" s="1" t="n">
        <v>45483</v>
      </c>
      <c r="C3028" s="1" t="n">
        <v>45688</v>
      </c>
      <c r="D3028" t="inlineStr">
        <is>
          <t>JÄMTLANDS LÄN</t>
        </is>
      </c>
      <c r="E3028" t="inlineStr">
        <is>
          <t>STRÖMSUND</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29243-2024</t>
        </is>
      </c>
      <c r="B3029" s="1" t="n">
        <v>45483</v>
      </c>
      <c r="C3029" s="1" t="n">
        <v>45688</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29273-2024</t>
        </is>
      </c>
      <c r="B3030" s="1" t="n">
        <v>45483</v>
      </c>
      <c r="C3030" s="1" t="n">
        <v>45688</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29413-2024</t>
        </is>
      </c>
      <c r="B3031" s="1" t="n">
        <v>45483</v>
      </c>
      <c r="C3031" s="1" t="n">
        <v>45688</v>
      </c>
      <c r="D3031" t="inlineStr">
        <is>
          <t>JÄMTLANDS LÄN</t>
        </is>
      </c>
      <c r="E3031" t="inlineStr">
        <is>
          <t>STRÖMSUND</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29669-2024</t>
        </is>
      </c>
      <c r="B3032" s="1" t="n">
        <v>45485</v>
      </c>
      <c r="C3032" s="1" t="n">
        <v>45688</v>
      </c>
      <c r="D3032" t="inlineStr">
        <is>
          <t>JÄMTLANDS LÄN</t>
        </is>
      </c>
      <c r="E3032" t="inlineStr">
        <is>
          <t>STRÖMSUND</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29671-2024</t>
        </is>
      </c>
      <c r="B3033" s="1" t="n">
        <v>45485</v>
      </c>
      <c r="C3033" s="1" t="n">
        <v>45688</v>
      </c>
      <c r="D3033" t="inlineStr">
        <is>
          <t>JÄMTLANDS LÄN</t>
        </is>
      </c>
      <c r="E3033" t="inlineStr">
        <is>
          <t>STRÖMSUND</t>
        </is>
      </c>
      <c r="F3033" t="inlineStr">
        <is>
          <t>SCA</t>
        </is>
      </c>
      <c r="G3033" t="n">
        <v>42.3</v>
      </c>
      <c r="H3033" t="n">
        <v>0</v>
      </c>
      <c r="I3033" t="n">
        <v>0</v>
      </c>
      <c r="J3033" t="n">
        <v>0</v>
      </c>
      <c r="K3033" t="n">
        <v>0</v>
      </c>
      <c r="L3033" t="n">
        <v>0</v>
      </c>
      <c r="M3033" t="n">
        <v>0</v>
      </c>
      <c r="N3033" t="n">
        <v>0</v>
      </c>
      <c r="O3033" t="n">
        <v>0</v>
      </c>
      <c r="P3033" t="n">
        <v>0</v>
      </c>
      <c r="Q3033" t="n">
        <v>0</v>
      </c>
      <c r="R3033" s="2" t="inlineStr"/>
    </row>
    <row r="3034" ht="15" customHeight="1">
      <c r="A3034" t="inlineStr">
        <is>
          <t>A 29670-2024</t>
        </is>
      </c>
      <c r="B3034" s="1" t="n">
        <v>45485</v>
      </c>
      <c r="C3034" s="1" t="n">
        <v>45688</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29668-2024</t>
        </is>
      </c>
      <c r="B3035" s="1" t="n">
        <v>45485</v>
      </c>
      <c r="C3035" s="1" t="n">
        <v>45688</v>
      </c>
      <c r="D3035" t="inlineStr">
        <is>
          <t>JÄMTLANDS LÄN</t>
        </is>
      </c>
      <c r="E3035" t="inlineStr">
        <is>
          <t>STRÖMSUND</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29495-2024</t>
        </is>
      </c>
      <c r="B3036" s="1" t="n">
        <v>45484</v>
      </c>
      <c r="C3036" s="1" t="n">
        <v>45688</v>
      </c>
      <c r="D3036" t="inlineStr">
        <is>
          <t>JÄMTLANDS LÄN</t>
        </is>
      </c>
      <c r="E3036" t="inlineStr">
        <is>
          <t>STRÖMSUND</t>
        </is>
      </c>
      <c r="F3036" t="inlineStr">
        <is>
          <t>Holmen skog AB</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29487-2024</t>
        </is>
      </c>
      <c r="B3037" s="1" t="n">
        <v>45484</v>
      </c>
      <c r="C3037" s="1" t="n">
        <v>45688</v>
      </c>
      <c r="D3037" t="inlineStr">
        <is>
          <t>JÄMTLANDS LÄN</t>
        </is>
      </c>
      <c r="E3037" t="inlineStr">
        <is>
          <t>STRÖMSUND</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29586-2024</t>
        </is>
      </c>
      <c r="B3038" s="1" t="n">
        <v>45484</v>
      </c>
      <c r="C3038" s="1" t="n">
        <v>45688</v>
      </c>
      <c r="D3038" t="inlineStr">
        <is>
          <t>JÄMTLANDS LÄN</t>
        </is>
      </c>
      <c r="E3038" t="inlineStr">
        <is>
          <t>STRÖMSUND</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29875-2024</t>
        </is>
      </c>
      <c r="B3039" s="1" t="n">
        <v>45486</v>
      </c>
      <c r="C3039" s="1" t="n">
        <v>45688</v>
      </c>
      <c r="D3039" t="inlineStr">
        <is>
          <t>JÄMTLANDS LÄN</t>
        </is>
      </c>
      <c r="E3039" t="inlineStr">
        <is>
          <t>STRÖMSUND</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45489</v>
      </c>
      <c r="C3040" s="1" t="n">
        <v>45688</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30064-2024</t>
        </is>
      </c>
      <c r="B3041" s="1" t="n">
        <v>45489</v>
      </c>
      <c r="C3041" s="1" t="n">
        <v>45688</v>
      </c>
      <c r="D3041" t="inlineStr">
        <is>
          <t>JÄMTLANDS LÄN</t>
        </is>
      </c>
      <c r="E3041" t="inlineStr">
        <is>
          <t>STRÖMSUND</t>
        </is>
      </c>
      <c r="F3041" t="inlineStr">
        <is>
          <t>SCA</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30354-2024</t>
        </is>
      </c>
      <c r="B3042" s="1" t="n">
        <v>45491</v>
      </c>
      <c r="C3042" s="1" t="n">
        <v>45688</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30330-2024</t>
        </is>
      </c>
      <c r="B3043" s="1" t="n">
        <v>45491</v>
      </c>
      <c r="C3043" s="1" t="n">
        <v>45688</v>
      </c>
      <c r="D3043" t="inlineStr">
        <is>
          <t>JÄMTLANDS LÄN</t>
        </is>
      </c>
      <c r="E3043" t="inlineStr">
        <is>
          <t>STRÖMSUND</t>
        </is>
      </c>
      <c r="F3043" t="inlineStr">
        <is>
          <t>SCA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30352-2024</t>
        </is>
      </c>
      <c r="B3044" s="1" t="n">
        <v>45491</v>
      </c>
      <c r="C3044" s="1" t="n">
        <v>45688</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30376-2024</t>
        </is>
      </c>
      <c r="B3045" s="1" t="n">
        <v>45491</v>
      </c>
      <c r="C3045" s="1" t="n">
        <v>45688</v>
      </c>
      <c r="D3045" t="inlineStr">
        <is>
          <t>JÄMTLANDS LÄN</t>
        </is>
      </c>
      <c r="E3045" t="inlineStr">
        <is>
          <t>STRÖMSUND</t>
        </is>
      </c>
      <c r="F3045" t="inlineStr">
        <is>
          <t>Sveaskog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30375-2024</t>
        </is>
      </c>
      <c r="B3046" s="1" t="n">
        <v>45491</v>
      </c>
      <c r="C3046" s="1" t="n">
        <v>45688</v>
      </c>
      <c r="D3046" t="inlineStr">
        <is>
          <t>JÄMTLANDS LÄN</t>
        </is>
      </c>
      <c r="E3046" t="inlineStr">
        <is>
          <t>STRÖMSUND</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30374-2024</t>
        </is>
      </c>
      <c r="B3047" s="1" t="n">
        <v>45491</v>
      </c>
      <c r="C3047" s="1" t="n">
        <v>45688</v>
      </c>
      <c r="D3047" t="inlineStr">
        <is>
          <t>JÄMTLANDS LÄN</t>
        </is>
      </c>
      <c r="E3047" t="inlineStr">
        <is>
          <t>STRÖMSUND</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30371-2024</t>
        </is>
      </c>
      <c r="B3048" s="1" t="n">
        <v>45491</v>
      </c>
      <c r="C3048" s="1" t="n">
        <v>45688</v>
      </c>
      <c r="D3048" t="inlineStr">
        <is>
          <t>JÄMTLANDS LÄN</t>
        </is>
      </c>
      <c r="E3048" t="inlineStr">
        <is>
          <t>STRÖMSUND</t>
        </is>
      </c>
      <c r="F3048" t="inlineStr">
        <is>
          <t>Sveaskog</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30585-2024</t>
        </is>
      </c>
      <c r="B3049" s="1" t="n">
        <v>45493</v>
      </c>
      <c r="C3049" s="1" t="n">
        <v>45688</v>
      </c>
      <c r="D3049" t="inlineStr">
        <is>
          <t>JÄMTLANDS LÄN</t>
        </is>
      </c>
      <c r="E3049" t="inlineStr">
        <is>
          <t>STRÖMSUND</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30586-2024</t>
        </is>
      </c>
      <c r="B3050" s="1" t="n">
        <v>45493</v>
      </c>
      <c r="C3050" s="1" t="n">
        <v>45688</v>
      </c>
      <c r="D3050" t="inlineStr">
        <is>
          <t>JÄMTLANDS LÄN</t>
        </is>
      </c>
      <c r="E3050" t="inlineStr">
        <is>
          <t>STRÖMSUND</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30809-2024</t>
        </is>
      </c>
      <c r="B3051" s="1" t="n">
        <v>45497</v>
      </c>
      <c r="C3051" s="1" t="n">
        <v>45688</v>
      </c>
      <c r="D3051" t="inlineStr">
        <is>
          <t>JÄMTLANDS LÄN</t>
        </is>
      </c>
      <c r="E3051" t="inlineStr">
        <is>
          <t>STRÖMSUND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31489-2024</t>
        </is>
      </c>
      <c r="B3052" s="1" t="n">
        <v>45506</v>
      </c>
      <c r="C3052" s="1" t="n">
        <v>45688</v>
      </c>
      <c r="D3052" t="inlineStr">
        <is>
          <t>JÄMTLANDS LÄN</t>
        </is>
      </c>
      <c r="E3052" t="inlineStr">
        <is>
          <t>STRÖMSUND</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31538-2024</t>
        </is>
      </c>
      <c r="B3053" s="1" t="n">
        <v>45506</v>
      </c>
      <c r="C3053" s="1" t="n">
        <v>45688</v>
      </c>
      <c r="D3053" t="inlineStr">
        <is>
          <t>JÄMTLANDS LÄN</t>
        </is>
      </c>
      <c r="E3053" t="inlineStr">
        <is>
          <t>STRÖMSUND</t>
        </is>
      </c>
      <c r="F3053" t="inlineStr">
        <is>
          <t>SCA</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31565-2024</t>
        </is>
      </c>
      <c r="B3054" s="1" t="n">
        <v>45506</v>
      </c>
      <c r="C3054" s="1" t="n">
        <v>45688</v>
      </c>
      <c r="D3054" t="inlineStr">
        <is>
          <t>JÄMTLANDS LÄN</t>
        </is>
      </c>
      <c r="E3054" t="inlineStr">
        <is>
          <t>STRÖMSUND</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31514-2024</t>
        </is>
      </c>
      <c r="B3055" s="1" t="n">
        <v>45506</v>
      </c>
      <c r="C3055" s="1" t="n">
        <v>45688</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31675-2024</t>
        </is>
      </c>
      <c r="B3056" s="1" t="n">
        <v>45507</v>
      </c>
      <c r="C3056" s="1" t="n">
        <v>45688</v>
      </c>
      <c r="D3056" t="inlineStr">
        <is>
          <t>JÄMTLANDS LÄN</t>
        </is>
      </c>
      <c r="E3056" t="inlineStr">
        <is>
          <t>STRÖMSUND</t>
        </is>
      </c>
      <c r="F3056" t="inlineStr">
        <is>
          <t>SCA</t>
        </is>
      </c>
      <c r="G3056" t="n">
        <v>12.4</v>
      </c>
      <c r="H3056" t="n">
        <v>0</v>
      </c>
      <c r="I3056" t="n">
        <v>0</v>
      </c>
      <c r="J3056" t="n">
        <v>0</v>
      </c>
      <c r="K3056" t="n">
        <v>0</v>
      </c>
      <c r="L3056" t="n">
        <v>0</v>
      </c>
      <c r="M3056" t="n">
        <v>0</v>
      </c>
      <c r="N3056" t="n">
        <v>0</v>
      </c>
      <c r="O3056" t="n">
        <v>0</v>
      </c>
      <c r="P3056" t="n">
        <v>0</v>
      </c>
      <c r="Q3056" t="n">
        <v>0</v>
      </c>
      <c r="R3056" s="2" t="inlineStr"/>
    </row>
    <row r="3057" ht="15" customHeight="1">
      <c r="A3057" t="inlineStr">
        <is>
          <t>A 31606-2024</t>
        </is>
      </c>
      <c r="B3057" s="1" t="n">
        <v>45506</v>
      </c>
      <c r="C3057" s="1" t="n">
        <v>45688</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31685-2024</t>
        </is>
      </c>
      <c r="B3058" s="1" t="n">
        <v>45507</v>
      </c>
      <c r="C3058" s="1" t="n">
        <v>45688</v>
      </c>
      <c r="D3058" t="inlineStr">
        <is>
          <t>JÄMTLANDS LÄN</t>
        </is>
      </c>
      <c r="E3058" t="inlineStr">
        <is>
          <t>STRÖMSUND</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31710-2024</t>
        </is>
      </c>
      <c r="B3059" s="1" t="n">
        <v>45509</v>
      </c>
      <c r="C3059" s="1" t="n">
        <v>45688</v>
      </c>
      <c r="D3059" t="inlineStr">
        <is>
          <t>JÄMTLANDS LÄN</t>
        </is>
      </c>
      <c r="E3059" t="inlineStr">
        <is>
          <t>STRÖMSUND</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31741-2024</t>
        </is>
      </c>
      <c r="B3060" s="1" t="n">
        <v>45509</v>
      </c>
      <c r="C3060" s="1" t="n">
        <v>45688</v>
      </c>
      <c r="D3060" t="inlineStr">
        <is>
          <t>JÄMTLANDS LÄN</t>
        </is>
      </c>
      <c r="E3060" t="inlineStr">
        <is>
          <t>STRÖMSUND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31898-2024</t>
        </is>
      </c>
      <c r="B3061" s="1" t="n">
        <v>45510</v>
      </c>
      <c r="C3061" s="1" t="n">
        <v>45688</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32066-2024</t>
        </is>
      </c>
      <c r="B3062" s="1" t="n">
        <v>45511</v>
      </c>
      <c r="C3062" s="1" t="n">
        <v>45688</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32107-2024</t>
        </is>
      </c>
      <c r="B3063" s="1" t="n">
        <v>45511</v>
      </c>
      <c r="C3063" s="1" t="n">
        <v>45688</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32254-2024</t>
        </is>
      </c>
      <c r="B3064" s="1" t="n">
        <v>45512</v>
      </c>
      <c r="C3064" s="1" t="n">
        <v>45688</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32261-2024</t>
        </is>
      </c>
      <c r="B3065" s="1" t="n">
        <v>45512</v>
      </c>
      <c r="C3065" s="1" t="n">
        <v>45688</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32358-2024</t>
        </is>
      </c>
      <c r="B3066" s="1" t="n">
        <v>45512</v>
      </c>
      <c r="C3066" s="1" t="n">
        <v>45688</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32443-2024</t>
        </is>
      </c>
      <c r="B3067" s="1" t="n">
        <v>45513</v>
      </c>
      <c r="C3067" s="1" t="n">
        <v>45688</v>
      </c>
      <c r="D3067" t="inlineStr">
        <is>
          <t>JÄMTLANDS LÄN</t>
        </is>
      </c>
      <c r="E3067" t="inlineStr">
        <is>
          <t>STRÖMSUND</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32451-2024</t>
        </is>
      </c>
      <c r="B3068" s="1" t="n">
        <v>45513</v>
      </c>
      <c r="C3068" s="1" t="n">
        <v>45688</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32444-2024</t>
        </is>
      </c>
      <c r="B3069" s="1" t="n">
        <v>45513</v>
      </c>
      <c r="C3069" s="1" t="n">
        <v>45688</v>
      </c>
      <c r="D3069" t="inlineStr">
        <is>
          <t>JÄMTLANDS LÄN</t>
        </is>
      </c>
      <c r="E3069" t="inlineStr">
        <is>
          <t>STRÖMSUND</t>
        </is>
      </c>
      <c r="F3069" t="inlineStr">
        <is>
          <t>SCA</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32452-2024</t>
        </is>
      </c>
      <c r="B3070" s="1" t="n">
        <v>45513</v>
      </c>
      <c r="C3070" s="1" t="n">
        <v>45688</v>
      </c>
      <c r="D3070" t="inlineStr">
        <is>
          <t>JÄMTLANDS LÄN</t>
        </is>
      </c>
      <c r="E3070" t="inlineStr">
        <is>
          <t>STRÖMSUND</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32396-2024</t>
        </is>
      </c>
      <c r="B3071" s="1" t="n">
        <v>45512</v>
      </c>
      <c r="C3071" s="1" t="n">
        <v>45688</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32324-2024</t>
        </is>
      </c>
      <c r="B3072" s="1" t="n">
        <v>45512</v>
      </c>
      <c r="C3072" s="1" t="n">
        <v>45688</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32453-2024</t>
        </is>
      </c>
      <c r="B3073" s="1" t="n">
        <v>45512</v>
      </c>
      <c r="C3073" s="1" t="n">
        <v>45688</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32650-2024</t>
        </is>
      </c>
      <c r="B3074" s="1" t="n">
        <v>45514</v>
      </c>
      <c r="C3074" s="1" t="n">
        <v>45688</v>
      </c>
      <c r="D3074" t="inlineStr">
        <is>
          <t>JÄMTLANDS LÄN</t>
        </is>
      </c>
      <c r="E3074" t="inlineStr">
        <is>
          <t>STRÖMSUND</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32673-2024</t>
        </is>
      </c>
      <c r="B3075" s="1" t="n">
        <v>45514</v>
      </c>
      <c r="C3075" s="1" t="n">
        <v>45688</v>
      </c>
      <c r="D3075" t="inlineStr">
        <is>
          <t>JÄMTLANDS LÄN</t>
        </is>
      </c>
      <c r="E3075" t="inlineStr">
        <is>
          <t>STRÖMSUND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32674-2024</t>
        </is>
      </c>
      <c r="B3076" s="1" t="n">
        <v>45514</v>
      </c>
      <c r="C3076" s="1" t="n">
        <v>45688</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32672-2024</t>
        </is>
      </c>
      <c r="B3077" s="1" t="n">
        <v>45514</v>
      </c>
      <c r="C3077" s="1" t="n">
        <v>45688</v>
      </c>
      <c r="D3077" t="inlineStr">
        <is>
          <t>JÄMTLANDS LÄN</t>
        </is>
      </c>
      <c r="E3077" t="inlineStr">
        <is>
          <t>STRÖMSUND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32803-2024</t>
        </is>
      </c>
      <c r="B3078" s="1" t="n">
        <v>45516</v>
      </c>
      <c r="C3078" s="1" t="n">
        <v>45688</v>
      </c>
      <c r="D3078" t="inlineStr">
        <is>
          <t>JÄMTLANDS LÄN</t>
        </is>
      </c>
      <c r="E3078" t="inlineStr">
        <is>
          <t>STRÖMSUND</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32900-2024</t>
        </is>
      </c>
      <c r="B3079" s="1" t="n">
        <v>45517</v>
      </c>
      <c r="C3079" s="1" t="n">
        <v>45688</v>
      </c>
      <c r="D3079" t="inlineStr">
        <is>
          <t>JÄMTLANDS LÄN</t>
        </is>
      </c>
      <c r="E3079" t="inlineStr">
        <is>
          <t>STRÖMSUND</t>
        </is>
      </c>
      <c r="F3079" t="inlineStr">
        <is>
          <t>SCA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32907-2024</t>
        </is>
      </c>
      <c r="B3080" s="1" t="n">
        <v>45517</v>
      </c>
      <c r="C3080" s="1" t="n">
        <v>45688</v>
      </c>
      <c r="D3080" t="inlineStr">
        <is>
          <t>JÄMTLANDS LÄN</t>
        </is>
      </c>
      <c r="E3080" t="inlineStr">
        <is>
          <t>STRÖMSUND</t>
        </is>
      </c>
      <c r="F3080" t="inlineStr">
        <is>
          <t>SCA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32983-2024</t>
        </is>
      </c>
      <c r="B3081" s="1" t="n">
        <v>45517</v>
      </c>
      <c r="C3081" s="1" t="n">
        <v>45688</v>
      </c>
      <c r="D3081" t="inlineStr">
        <is>
          <t>JÄMTLANDS LÄN</t>
        </is>
      </c>
      <c r="E3081" t="inlineStr">
        <is>
          <t>STRÖMSUND</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33122-2024</t>
        </is>
      </c>
      <c r="B3082" s="1" t="n">
        <v>45518</v>
      </c>
      <c r="C3082" s="1" t="n">
        <v>45688</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33127-2024</t>
        </is>
      </c>
      <c r="B3083" s="1" t="n">
        <v>45518</v>
      </c>
      <c r="C3083" s="1" t="n">
        <v>45688</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33311-2024</t>
        </is>
      </c>
      <c r="B3084" s="1" t="n">
        <v>45518</v>
      </c>
      <c r="C3084" s="1" t="n">
        <v>45688</v>
      </c>
      <c r="D3084" t="inlineStr">
        <is>
          <t>JÄMTLANDS LÄN</t>
        </is>
      </c>
      <c r="E3084" t="inlineStr">
        <is>
          <t>STRÖMSUND</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33299-2024</t>
        </is>
      </c>
      <c r="B3085" s="1" t="n">
        <v>45519</v>
      </c>
      <c r="C3085" s="1" t="n">
        <v>45688</v>
      </c>
      <c r="D3085" t="inlineStr">
        <is>
          <t>JÄMTLANDS LÄN</t>
        </is>
      </c>
      <c r="E3085" t="inlineStr">
        <is>
          <t>STRÖMSUND</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33238-2024</t>
        </is>
      </c>
      <c r="B3086" s="1" t="n">
        <v>45518</v>
      </c>
      <c r="C3086" s="1" t="n">
        <v>45688</v>
      </c>
      <c r="D3086" t="inlineStr">
        <is>
          <t>JÄMTLANDS LÄN</t>
        </is>
      </c>
      <c r="E3086" t="inlineStr">
        <is>
          <t>STRÖMSUND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33584-2024</t>
        </is>
      </c>
      <c r="B3087" s="1" t="n">
        <v>45520</v>
      </c>
      <c r="C3087" s="1" t="n">
        <v>45688</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34179-2024</t>
        </is>
      </c>
      <c r="B3088" s="1" t="n">
        <v>45524</v>
      </c>
      <c r="C3088" s="1" t="n">
        <v>45688</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34290-2024</t>
        </is>
      </c>
      <c r="B3089" s="1" t="n">
        <v>45524</v>
      </c>
      <c r="C3089" s="1" t="n">
        <v>45688</v>
      </c>
      <c r="D3089" t="inlineStr">
        <is>
          <t>JÄMTLANDS LÄN</t>
        </is>
      </c>
      <c r="E3089" t="inlineStr">
        <is>
          <t>STRÖMSUND</t>
        </is>
      </c>
      <c r="F3089" t="inlineStr">
        <is>
          <t>Sveaskog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34227-2024</t>
        </is>
      </c>
      <c r="B3090" s="1" t="n">
        <v>45524</v>
      </c>
      <c r="C3090" s="1" t="n">
        <v>45688</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34343-2024</t>
        </is>
      </c>
      <c r="B3091" s="1" t="n">
        <v>45525</v>
      </c>
      <c r="C3091" s="1" t="n">
        <v>45688</v>
      </c>
      <c r="D3091" t="inlineStr">
        <is>
          <t>JÄMTLANDS LÄN</t>
        </is>
      </c>
      <c r="E3091" t="inlineStr">
        <is>
          <t>STRÖMSUND</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34344-2024</t>
        </is>
      </c>
      <c r="B3092" s="1" t="n">
        <v>45525</v>
      </c>
      <c r="C3092" s="1" t="n">
        <v>45688</v>
      </c>
      <c r="D3092" t="inlineStr">
        <is>
          <t>JÄMTLANDS LÄN</t>
        </is>
      </c>
      <c r="E3092" t="inlineStr">
        <is>
          <t>STRÖMSUND</t>
        </is>
      </c>
      <c r="F3092" t="inlineStr">
        <is>
          <t>Holmen skog AB</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34716-2024</t>
        </is>
      </c>
      <c r="B3093" s="1" t="n">
        <v>45526</v>
      </c>
      <c r="C3093" s="1" t="n">
        <v>45688</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34817-2024</t>
        </is>
      </c>
      <c r="B3094" s="1" t="n">
        <v>45526</v>
      </c>
      <c r="C3094" s="1" t="n">
        <v>45688</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34818-2024</t>
        </is>
      </c>
      <c r="B3095" s="1" t="n">
        <v>45526</v>
      </c>
      <c r="C3095" s="1" t="n">
        <v>45688</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34723-2024</t>
        </is>
      </c>
      <c r="B3096" s="1" t="n">
        <v>45526</v>
      </c>
      <c r="C3096" s="1" t="n">
        <v>45688</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v>
      </c>
      <c r="C3097" s="1" t="n">
        <v>45688</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35178-2024</t>
        </is>
      </c>
      <c r="B3098" s="1" t="n">
        <v>45530</v>
      </c>
      <c r="C3098" s="1" t="n">
        <v>45688</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35185-2024</t>
        </is>
      </c>
      <c r="B3099" s="1" t="n">
        <v>45530</v>
      </c>
      <c r="C3099" s="1" t="n">
        <v>45688</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35410-2024</t>
        </is>
      </c>
      <c r="B3100" s="1" t="n">
        <v>45531</v>
      </c>
      <c r="C3100" s="1" t="n">
        <v>45688</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35418-2024</t>
        </is>
      </c>
      <c r="B3101" s="1" t="n">
        <v>45531</v>
      </c>
      <c r="C3101" s="1" t="n">
        <v>45688</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35578-2024</t>
        </is>
      </c>
      <c r="B3102" s="1" t="n">
        <v>45531</v>
      </c>
      <c r="C3102" s="1" t="n">
        <v>45688</v>
      </c>
      <c r="D3102" t="inlineStr">
        <is>
          <t>JÄMTLANDS LÄN</t>
        </is>
      </c>
      <c r="E3102" t="inlineStr">
        <is>
          <t>STRÖMSUND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35407-2024</t>
        </is>
      </c>
      <c r="B3103" s="1" t="n">
        <v>45531</v>
      </c>
      <c r="C3103" s="1" t="n">
        <v>45688</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35397-2024</t>
        </is>
      </c>
      <c r="B3104" s="1" t="n">
        <v>45531</v>
      </c>
      <c r="C3104" s="1" t="n">
        <v>45688</v>
      </c>
      <c r="D3104" t="inlineStr">
        <is>
          <t>JÄMTLANDS LÄN</t>
        </is>
      </c>
      <c r="E3104" t="inlineStr">
        <is>
          <t>STRÖMSUND</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35423-2024</t>
        </is>
      </c>
      <c r="B3105" s="1" t="n">
        <v>45531</v>
      </c>
      <c r="C3105" s="1" t="n">
        <v>45688</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35416-2024</t>
        </is>
      </c>
      <c r="B3106" s="1" t="n">
        <v>45531</v>
      </c>
      <c r="C3106" s="1" t="n">
        <v>45688</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35585-2024</t>
        </is>
      </c>
      <c r="B3107" s="1" t="n">
        <v>45531</v>
      </c>
      <c r="C3107" s="1" t="n">
        <v>45688</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35583-2024</t>
        </is>
      </c>
      <c r="B3108" s="1" t="n">
        <v>45531</v>
      </c>
      <c r="C3108" s="1" t="n">
        <v>45688</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35584-2024</t>
        </is>
      </c>
      <c r="B3109" s="1" t="n">
        <v>45531</v>
      </c>
      <c r="C3109" s="1" t="n">
        <v>45688</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35686-2024</t>
        </is>
      </c>
      <c r="B3110" s="1" t="n">
        <v>45532</v>
      </c>
      <c r="C3110" s="1" t="n">
        <v>45688</v>
      </c>
      <c r="D3110" t="inlineStr">
        <is>
          <t>JÄMTLANDS LÄN</t>
        </is>
      </c>
      <c r="E3110" t="inlineStr">
        <is>
          <t>STRÖMSUND</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35687-2024</t>
        </is>
      </c>
      <c r="B3111" s="1" t="n">
        <v>45532</v>
      </c>
      <c r="C3111" s="1" t="n">
        <v>45688</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35747-2024</t>
        </is>
      </c>
      <c r="B3112" s="1" t="n">
        <v>45532</v>
      </c>
      <c r="C3112" s="1" t="n">
        <v>45688</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35746-2024</t>
        </is>
      </c>
      <c r="B3113" s="1" t="n">
        <v>45532</v>
      </c>
      <c r="C3113" s="1" t="n">
        <v>45688</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35748-2024</t>
        </is>
      </c>
      <c r="B3114" s="1" t="n">
        <v>45532</v>
      </c>
      <c r="C3114" s="1" t="n">
        <v>45688</v>
      </c>
      <c r="D3114" t="inlineStr">
        <is>
          <t>JÄMTLANDS LÄN</t>
        </is>
      </c>
      <c r="E3114" t="inlineStr">
        <is>
          <t>STRÖMSUND</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35904-2024</t>
        </is>
      </c>
      <c r="B3115" s="1" t="n">
        <v>45533</v>
      </c>
      <c r="C3115" s="1" t="n">
        <v>45688</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36088-2024</t>
        </is>
      </c>
      <c r="B3116" s="1" t="n">
        <v>45533</v>
      </c>
      <c r="C3116" s="1" t="n">
        <v>45688</v>
      </c>
      <c r="D3116" t="inlineStr">
        <is>
          <t>JÄMTLANDS LÄN</t>
        </is>
      </c>
      <c r="E3116" t="inlineStr">
        <is>
          <t>STRÖMSUND</t>
        </is>
      </c>
      <c r="F3116" t="inlineStr">
        <is>
          <t>Holmen skog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36328-2024</t>
        </is>
      </c>
      <c r="B3117" s="1" t="n">
        <v>45534</v>
      </c>
      <c r="C3117" s="1" t="n">
        <v>45688</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36176-2024</t>
        </is>
      </c>
      <c r="B3118" s="1" t="n">
        <v>45534</v>
      </c>
      <c r="C3118" s="1" t="n">
        <v>45688</v>
      </c>
      <c r="D3118" t="inlineStr">
        <is>
          <t>JÄMTLANDS LÄN</t>
        </is>
      </c>
      <c r="E3118" t="inlineStr">
        <is>
          <t>STRÖMSUND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36311-2024</t>
        </is>
      </c>
      <c r="B3119" s="1" t="n">
        <v>45534</v>
      </c>
      <c r="C3119" s="1" t="n">
        <v>45688</v>
      </c>
      <c r="D3119" t="inlineStr">
        <is>
          <t>JÄMTLANDS LÄN</t>
        </is>
      </c>
      <c r="E3119" t="inlineStr">
        <is>
          <t>STRÖMSUND</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36347-2024</t>
        </is>
      </c>
      <c r="B3120" s="1" t="n">
        <v>45534</v>
      </c>
      <c r="C3120" s="1" t="n">
        <v>45688</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36344-2024</t>
        </is>
      </c>
      <c r="B3121" s="1" t="n">
        <v>45534</v>
      </c>
      <c r="C3121" s="1" t="n">
        <v>45688</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36327-2024</t>
        </is>
      </c>
      <c r="B3122" s="1" t="n">
        <v>45534</v>
      </c>
      <c r="C3122" s="1" t="n">
        <v>45688</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36343-2024</t>
        </is>
      </c>
      <c r="B3123" s="1" t="n">
        <v>45534</v>
      </c>
      <c r="C3123" s="1" t="n">
        <v>45688</v>
      </c>
      <c r="D3123" t="inlineStr">
        <is>
          <t>JÄMTLANDS LÄN</t>
        </is>
      </c>
      <c r="E3123" t="inlineStr">
        <is>
          <t>STRÖMSUND</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36346-2024</t>
        </is>
      </c>
      <c r="B3124" s="1" t="n">
        <v>45534</v>
      </c>
      <c r="C3124" s="1" t="n">
        <v>45688</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36500-2024</t>
        </is>
      </c>
      <c r="B3125" s="1" t="n">
        <v>45537</v>
      </c>
      <c r="C3125" s="1" t="n">
        <v>45688</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36836-2024</t>
        </is>
      </c>
      <c r="B3126" s="1" t="n">
        <v>45538</v>
      </c>
      <c r="C3126" s="1" t="n">
        <v>45688</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36914-2024</t>
        </is>
      </c>
      <c r="B3127" s="1" t="n">
        <v>45538</v>
      </c>
      <c r="C3127" s="1" t="n">
        <v>45688</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36913-2024</t>
        </is>
      </c>
      <c r="B3128" s="1" t="n">
        <v>45538</v>
      </c>
      <c r="C3128" s="1" t="n">
        <v>45688</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37150-2024</t>
        </is>
      </c>
      <c r="B3129" s="1" t="n">
        <v>45539</v>
      </c>
      <c r="C3129" s="1" t="n">
        <v>45688</v>
      </c>
      <c r="D3129" t="inlineStr">
        <is>
          <t>JÄMTLANDS LÄN</t>
        </is>
      </c>
      <c r="E3129" t="inlineStr">
        <is>
          <t>STRÖMSUND</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37207-2024</t>
        </is>
      </c>
      <c r="B3130" s="1" t="n">
        <v>45539</v>
      </c>
      <c r="C3130" s="1" t="n">
        <v>45688</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37205-2024</t>
        </is>
      </c>
      <c r="B3131" s="1" t="n">
        <v>45539</v>
      </c>
      <c r="C3131" s="1" t="n">
        <v>45688</v>
      </c>
      <c r="D3131" t="inlineStr">
        <is>
          <t>JÄMTLANDS LÄN</t>
        </is>
      </c>
      <c r="E3131" t="inlineStr">
        <is>
          <t>STRÖMSUND</t>
        </is>
      </c>
      <c r="F3131" t="inlineStr">
        <is>
          <t>SCA</t>
        </is>
      </c>
      <c r="G3131" t="n">
        <v>17.4</v>
      </c>
      <c r="H3131" t="n">
        <v>0</v>
      </c>
      <c r="I3131" t="n">
        <v>0</v>
      </c>
      <c r="J3131" t="n">
        <v>0</v>
      </c>
      <c r="K3131" t="n">
        <v>0</v>
      </c>
      <c r="L3131" t="n">
        <v>0</v>
      </c>
      <c r="M3131" t="n">
        <v>0</v>
      </c>
      <c r="N3131" t="n">
        <v>0</v>
      </c>
      <c r="O3131" t="n">
        <v>0</v>
      </c>
      <c r="P3131" t="n">
        <v>0</v>
      </c>
      <c r="Q3131" t="n">
        <v>0</v>
      </c>
      <c r="R3131" s="2" t="inlineStr"/>
    </row>
    <row r="3132" ht="15" customHeight="1">
      <c r="A3132" t="inlineStr">
        <is>
          <t>A 37147-2024</t>
        </is>
      </c>
      <c r="B3132" s="1" t="n">
        <v>45539</v>
      </c>
      <c r="C3132" s="1" t="n">
        <v>45688</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37208-2024</t>
        </is>
      </c>
      <c r="B3133" s="1" t="n">
        <v>45539</v>
      </c>
      <c r="C3133" s="1" t="n">
        <v>45688</v>
      </c>
      <c r="D3133" t="inlineStr">
        <is>
          <t>JÄMTLANDS LÄN</t>
        </is>
      </c>
      <c r="E3133" t="inlineStr">
        <is>
          <t>STRÖMSUND</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37302-2024</t>
        </is>
      </c>
      <c r="B3134" s="1" t="n">
        <v>45540</v>
      </c>
      <c r="C3134" s="1" t="n">
        <v>45688</v>
      </c>
      <c r="D3134" t="inlineStr">
        <is>
          <t>JÄMTLANDS LÄN</t>
        </is>
      </c>
      <c r="E3134" t="inlineStr">
        <is>
          <t>STRÖMSUND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37567-2024</t>
        </is>
      </c>
      <c r="B3135" s="1" t="n">
        <v>45541</v>
      </c>
      <c r="C3135" s="1" t="n">
        <v>45688</v>
      </c>
      <c r="D3135" t="inlineStr">
        <is>
          <t>JÄMTLANDS LÄN</t>
        </is>
      </c>
      <c r="E3135" t="inlineStr">
        <is>
          <t>STRÖMSUND</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37632-2024</t>
        </is>
      </c>
      <c r="B3136" s="1" t="n">
        <v>45541</v>
      </c>
      <c r="C3136" s="1" t="n">
        <v>45688</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37566-2024</t>
        </is>
      </c>
      <c r="B3137" s="1" t="n">
        <v>45541</v>
      </c>
      <c r="C3137" s="1" t="n">
        <v>45688</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37787-2024</t>
        </is>
      </c>
      <c r="B3138" s="1" t="n">
        <v>45542</v>
      </c>
      <c r="C3138" s="1" t="n">
        <v>45688</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38104-2024</t>
        </is>
      </c>
      <c r="B3139" s="1" t="n">
        <v>45545</v>
      </c>
      <c r="C3139" s="1" t="n">
        <v>45688</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38093-2024</t>
        </is>
      </c>
      <c r="B3140" s="1" t="n">
        <v>45545</v>
      </c>
      <c r="C3140" s="1" t="n">
        <v>45688</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38301-2024</t>
        </is>
      </c>
      <c r="B3141" s="1" t="n">
        <v>45545</v>
      </c>
      <c r="C3141" s="1" t="n">
        <v>45688</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38279-2024</t>
        </is>
      </c>
      <c r="B3142" s="1" t="n">
        <v>45545</v>
      </c>
      <c r="C3142" s="1" t="n">
        <v>45688</v>
      </c>
      <c r="D3142" t="inlineStr">
        <is>
          <t>JÄMTLANDS LÄN</t>
        </is>
      </c>
      <c r="E3142" t="inlineStr">
        <is>
          <t>STRÖMSUND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38283-2024</t>
        </is>
      </c>
      <c r="B3143" s="1" t="n">
        <v>45545</v>
      </c>
      <c r="C3143" s="1" t="n">
        <v>45688</v>
      </c>
      <c r="D3143" t="inlineStr">
        <is>
          <t>JÄMTLANDS LÄN</t>
        </is>
      </c>
      <c r="E3143" t="inlineStr">
        <is>
          <t>STRÖMSUND</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38280-2024</t>
        </is>
      </c>
      <c r="B3144" s="1" t="n">
        <v>45545</v>
      </c>
      <c r="C3144" s="1" t="n">
        <v>45688</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38284-2024</t>
        </is>
      </c>
      <c r="B3145" s="1" t="n">
        <v>45545</v>
      </c>
      <c r="C3145" s="1" t="n">
        <v>45688</v>
      </c>
      <c r="D3145" t="inlineStr">
        <is>
          <t>JÄMTLANDS LÄN</t>
        </is>
      </c>
      <c r="E3145" t="inlineStr">
        <is>
          <t>STRÖMSUND</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38300-2024</t>
        </is>
      </c>
      <c r="B3146" s="1" t="n">
        <v>45545</v>
      </c>
      <c r="C3146" s="1" t="n">
        <v>45688</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38816-2024</t>
        </is>
      </c>
      <c r="B3147" s="1" t="n">
        <v>45547</v>
      </c>
      <c r="C3147" s="1" t="n">
        <v>45688</v>
      </c>
      <c r="D3147" t="inlineStr">
        <is>
          <t>JÄMTLANDS LÄN</t>
        </is>
      </c>
      <c r="E3147" t="inlineStr">
        <is>
          <t>STRÖMSUND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39286-2024</t>
        </is>
      </c>
      <c r="B3148" s="1" t="n">
        <v>45551</v>
      </c>
      <c r="C3148" s="1" t="n">
        <v>45688</v>
      </c>
      <c r="D3148" t="inlineStr">
        <is>
          <t>JÄMTLANDS LÄN</t>
        </is>
      </c>
      <c r="E3148" t="inlineStr">
        <is>
          <t>STRÖMSUND</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39516-2024</t>
        </is>
      </c>
      <c r="B3149" s="1" t="n">
        <v>45551</v>
      </c>
      <c r="C3149" s="1" t="n">
        <v>45688</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39517-2024</t>
        </is>
      </c>
      <c r="B3150" s="1" t="n">
        <v>45551</v>
      </c>
      <c r="C3150" s="1" t="n">
        <v>45688</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39599-2024</t>
        </is>
      </c>
      <c r="B3151" s="1" t="n">
        <v>45552</v>
      </c>
      <c r="C3151" s="1" t="n">
        <v>45688</v>
      </c>
      <c r="D3151" t="inlineStr">
        <is>
          <t>JÄMTLANDS LÄN</t>
        </is>
      </c>
      <c r="E3151" t="inlineStr">
        <is>
          <t>STRÖMSUND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v>
      </c>
      <c r="C3152" s="1" t="n">
        <v>45688</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39864-2024</t>
        </is>
      </c>
      <c r="B3153" s="1" t="n">
        <v>45553</v>
      </c>
      <c r="C3153" s="1" t="n">
        <v>45688</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39949-2024</t>
        </is>
      </c>
      <c r="B3154" s="1" t="n">
        <v>45553</v>
      </c>
      <c r="C3154" s="1" t="n">
        <v>45688</v>
      </c>
      <c r="D3154" t="inlineStr">
        <is>
          <t>JÄMTLANDS LÄN</t>
        </is>
      </c>
      <c r="E3154" t="inlineStr">
        <is>
          <t>STRÖMSUND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39939-2024</t>
        </is>
      </c>
      <c r="B3155" s="1" t="n">
        <v>45553</v>
      </c>
      <c r="C3155" s="1" t="n">
        <v>45688</v>
      </c>
      <c r="D3155" t="inlineStr">
        <is>
          <t>JÄMTLANDS LÄN</t>
        </is>
      </c>
      <c r="E3155" t="inlineStr">
        <is>
          <t>STRÖMSUND</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39979-2024</t>
        </is>
      </c>
      <c r="B3156" s="1" t="n">
        <v>45553</v>
      </c>
      <c r="C3156" s="1" t="n">
        <v>45688</v>
      </c>
      <c r="D3156" t="inlineStr">
        <is>
          <t>JÄMTLANDS LÄN</t>
        </is>
      </c>
      <c r="E3156" t="inlineStr">
        <is>
          <t>STRÖMSUND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40140-2024</t>
        </is>
      </c>
      <c r="B3157" s="1" t="n">
        <v>45554</v>
      </c>
      <c r="C3157" s="1" t="n">
        <v>45688</v>
      </c>
      <c r="D3157" t="inlineStr">
        <is>
          <t>JÄMTLANDS LÄN</t>
        </is>
      </c>
      <c r="E3157" t="inlineStr">
        <is>
          <t>STRÖMSUND</t>
        </is>
      </c>
      <c r="F3157" t="inlineStr">
        <is>
          <t>Kyrkan</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40090-2024</t>
        </is>
      </c>
      <c r="B3158" s="1" t="n">
        <v>45554</v>
      </c>
      <c r="C3158" s="1" t="n">
        <v>45688</v>
      </c>
      <c r="D3158" t="inlineStr">
        <is>
          <t>JÄMTLANDS LÄN</t>
        </is>
      </c>
      <c r="E3158" t="inlineStr">
        <is>
          <t>STRÖMSUND</t>
        </is>
      </c>
      <c r="F3158" t="inlineStr">
        <is>
          <t>Kyrkan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40351-2024</t>
        </is>
      </c>
      <c r="B3159" s="1" t="n">
        <v>45555</v>
      </c>
      <c r="C3159" s="1" t="n">
        <v>45688</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40344-2024</t>
        </is>
      </c>
      <c r="B3160" s="1" t="n">
        <v>45555</v>
      </c>
      <c r="C3160" s="1" t="n">
        <v>45688</v>
      </c>
      <c r="D3160" t="inlineStr">
        <is>
          <t>JÄMTLANDS LÄN</t>
        </is>
      </c>
      <c r="E3160" t="inlineStr">
        <is>
          <t>STRÖMSUND</t>
        </is>
      </c>
      <c r="F3160" t="inlineStr">
        <is>
          <t>SCA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40492-2024</t>
        </is>
      </c>
      <c r="B3161" s="1" t="n">
        <v>45555</v>
      </c>
      <c r="C3161" s="1" t="n">
        <v>45688</v>
      </c>
      <c r="D3161" t="inlineStr">
        <is>
          <t>JÄMTLANDS LÄN</t>
        </is>
      </c>
      <c r="E3161" t="inlineStr">
        <is>
          <t>STRÖMSUND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40500-2024</t>
        </is>
      </c>
      <c r="B3162" s="1" t="n">
        <v>45555</v>
      </c>
      <c r="C3162" s="1" t="n">
        <v>45688</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40426-2024</t>
        </is>
      </c>
      <c r="B3163" s="1" t="n">
        <v>45555</v>
      </c>
      <c r="C3163" s="1" t="n">
        <v>45688</v>
      </c>
      <c r="D3163" t="inlineStr">
        <is>
          <t>JÄMTLANDS LÄN</t>
        </is>
      </c>
      <c r="E3163" t="inlineStr">
        <is>
          <t>STRÖMSUND</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40450-2024</t>
        </is>
      </c>
      <c r="B3164" s="1" t="n">
        <v>45555</v>
      </c>
      <c r="C3164" s="1" t="n">
        <v>45688</v>
      </c>
      <c r="D3164" t="inlineStr">
        <is>
          <t>JÄMTLANDS LÄN</t>
        </is>
      </c>
      <c r="E3164" t="inlineStr">
        <is>
          <t>STRÖMSUND</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40574-2024</t>
        </is>
      </c>
      <c r="B3165" s="1" t="n">
        <v>45555</v>
      </c>
      <c r="C3165" s="1" t="n">
        <v>45688</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40447-2024</t>
        </is>
      </c>
      <c r="B3166" s="1" t="n">
        <v>45555</v>
      </c>
      <c r="C3166" s="1" t="n">
        <v>45688</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40451-2024</t>
        </is>
      </c>
      <c r="B3167" s="1" t="n">
        <v>45555</v>
      </c>
      <c r="C3167" s="1" t="n">
        <v>45688</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40673-2024</t>
        </is>
      </c>
      <c r="B3168" s="1" t="n">
        <v>45558</v>
      </c>
      <c r="C3168" s="1" t="n">
        <v>45688</v>
      </c>
      <c r="D3168" t="inlineStr">
        <is>
          <t>JÄMTLANDS LÄN</t>
        </is>
      </c>
      <c r="E3168" t="inlineStr">
        <is>
          <t>STRÖMSUND</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40758-2024</t>
        </is>
      </c>
      <c r="B3169" s="1" t="n">
        <v>45558</v>
      </c>
      <c r="C3169" s="1" t="n">
        <v>45688</v>
      </c>
      <c r="D3169" t="inlineStr">
        <is>
          <t>JÄMTLANDS LÄN</t>
        </is>
      </c>
      <c r="E3169" t="inlineStr">
        <is>
          <t>STRÖMSUND</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40813-2024</t>
        </is>
      </c>
      <c r="B3170" s="1" t="n">
        <v>45558</v>
      </c>
      <c r="C3170" s="1" t="n">
        <v>45688</v>
      </c>
      <c r="D3170" t="inlineStr">
        <is>
          <t>JÄMTLANDS LÄN</t>
        </is>
      </c>
      <c r="E3170" t="inlineStr">
        <is>
          <t>STRÖMSUND</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40970-2024</t>
        </is>
      </c>
      <c r="B3171" s="1" t="n">
        <v>45558</v>
      </c>
      <c r="C3171" s="1" t="n">
        <v>45688</v>
      </c>
      <c r="D3171" t="inlineStr">
        <is>
          <t>JÄMTLANDS LÄN</t>
        </is>
      </c>
      <c r="E3171" t="inlineStr">
        <is>
          <t>STRÖMSUND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40827-2024</t>
        </is>
      </c>
      <c r="B3172" s="1" t="n">
        <v>45558</v>
      </c>
      <c r="C3172" s="1" t="n">
        <v>45688</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40891-2024</t>
        </is>
      </c>
      <c r="B3173" s="1" t="n">
        <v>45558</v>
      </c>
      <c r="C3173" s="1" t="n">
        <v>45688</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40976-2024</t>
        </is>
      </c>
      <c r="B3174" s="1" t="n">
        <v>45558</v>
      </c>
      <c r="C3174" s="1" t="n">
        <v>45688</v>
      </c>
      <c r="D3174" t="inlineStr">
        <is>
          <t>JÄMTLANDS LÄN</t>
        </is>
      </c>
      <c r="E3174" t="inlineStr">
        <is>
          <t>STRÖMSUND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v>
      </c>
      <c r="C3175" s="1" t="n">
        <v>45688</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41116-2024</t>
        </is>
      </c>
      <c r="B3176" s="1" t="n">
        <v>45559</v>
      </c>
      <c r="C3176" s="1" t="n">
        <v>45688</v>
      </c>
      <c r="D3176" t="inlineStr">
        <is>
          <t>JÄMTLANDS LÄN</t>
        </is>
      </c>
      <c r="E3176" t="inlineStr">
        <is>
          <t>STRÖMSUND</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41141-2024</t>
        </is>
      </c>
      <c r="B3177" s="1" t="n">
        <v>45559</v>
      </c>
      <c r="C3177" s="1" t="n">
        <v>45688</v>
      </c>
      <c r="D3177" t="inlineStr">
        <is>
          <t>JÄMTLANDS LÄN</t>
        </is>
      </c>
      <c r="E3177" t="inlineStr">
        <is>
          <t>STRÖMSUND</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41140-2024</t>
        </is>
      </c>
      <c r="B3178" s="1" t="n">
        <v>45559</v>
      </c>
      <c r="C3178" s="1" t="n">
        <v>45688</v>
      </c>
      <c r="D3178" t="inlineStr">
        <is>
          <t>JÄMTLANDS LÄN</t>
        </is>
      </c>
      <c r="E3178" t="inlineStr">
        <is>
          <t>STRÖMSUND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41292-2024</t>
        </is>
      </c>
      <c r="B3179" s="1" t="n">
        <v>45559</v>
      </c>
      <c r="C3179" s="1" t="n">
        <v>45688</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41317-2024</t>
        </is>
      </c>
      <c r="B3180" s="1" t="n">
        <v>45559</v>
      </c>
      <c r="C3180" s="1" t="n">
        <v>45688</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41283-2024</t>
        </is>
      </c>
      <c r="B3181" s="1" t="n">
        <v>45559</v>
      </c>
      <c r="C3181" s="1" t="n">
        <v>45688</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41605-2024</t>
        </is>
      </c>
      <c r="B3182" s="1" t="n">
        <v>45560</v>
      </c>
      <c r="C3182" s="1" t="n">
        <v>45688</v>
      </c>
      <c r="D3182" t="inlineStr">
        <is>
          <t>JÄMTLANDS LÄN</t>
        </is>
      </c>
      <c r="E3182" t="inlineStr">
        <is>
          <t>STRÖMSUND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41633-2024</t>
        </is>
      </c>
      <c r="B3183" s="1" t="n">
        <v>45560</v>
      </c>
      <c r="C3183" s="1" t="n">
        <v>45688</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41579-2024</t>
        </is>
      </c>
      <c r="B3184" s="1" t="n">
        <v>45560</v>
      </c>
      <c r="C3184" s="1" t="n">
        <v>45688</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41783-2024</t>
        </is>
      </c>
      <c r="B3185" s="1" t="n">
        <v>45561</v>
      </c>
      <c r="C3185" s="1" t="n">
        <v>45688</v>
      </c>
      <c r="D3185" t="inlineStr">
        <is>
          <t>JÄMTLANDS LÄN</t>
        </is>
      </c>
      <c r="E3185" t="inlineStr">
        <is>
          <t>STRÖMSUND</t>
        </is>
      </c>
      <c r="F3185" t="inlineStr">
        <is>
          <t>SCA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41905-2024</t>
        </is>
      </c>
      <c r="B3186" s="1" t="n">
        <v>45561</v>
      </c>
      <c r="C3186" s="1" t="n">
        <v>45688</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41942-2024</t>
        </is>
      </c>
      <c r="B3187" s="1" t="n">
        <v>45561</v>
      </c>
      <c r="C3187" s="1" t="n">
        <v>45688</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41986-2024</t>
        </is>
      </c>
      <c r="B3188" s="1" t="n">
        <v>45561</v>
      </c>
      <c r="C3188" s="1" t="n">
        <v>45688</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42006-2024</t>
        </is>
      </c>
      <c r="B3189" s="1" t="n">
        <v>45561</v>
      </c>
      <c r="C3189" s="1" t="n">
        <v>45688</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41902-2024</t>
        </is>
      </c>
      <c r="B3190" s="1" t="n">
        <v>45561</v>
      </c>
      <c r="C3190" s="1" t="n">
        <v>45688</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41939-2024</t>
        </is>
      </c>
      <c r="B3191" s="1" t="n">
        <v>45561</v>
      </c>
      <c r="C3191" s="1" t="n">
        <v>45688</v>
      </c>
      <c r="D3191" t="inlineStr">
        <is>
          <t>JÄMTLANDS LÄN</t>
        </is>
      </c>
      <c r="E3191" t="inlineStr">
        <is>
          <t>STRÖMSUND</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42005-2024</t>
        </is>
      </c>
      <c r="B3192" s="1" t="n">
        <v>45561</v>
      </c>
      <c r="C3192" s="1" t="n">
        <v>45688</v>
      </c>
      <c r="D3192" t="inlineStr">
        <is>
          <t>JÄMTLANDS LÄN</t>
        </is>
      </c>
      <c r="E3192" t="inlineStr">
        <is>
          <t>STRÖMSUND</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41987-2024</t>
        </is>
      </c>
      <c r="B3193" s="1" t="n">
        <v>45561</v>
      </c>
      <c r="C3193" s="1" t="n">
        <v>45688</v>
      </c>
      <c r="D3193" t="inlineStr">
        <is>
          <t>JÄMTLANDS LÄN</t>
        </is>
      </c>
      <c r="E3193" t="inlineStr">
        <is>
          <t>STRÖMSUND</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41940-2024</t>
        </is>
      </c>
      <c r="B3194" s="1" t="n">
        <v>45561</v>
      </c>
      <c r="C3194" s="1" t="n">
        <v>45688</v>
      </c>
      <c r="D3194" t="inlineStr">
        <is>
          <t>JÄMTLANDS LÄN</t>
        </is>
      </c>
      <c r="E3194" t="inlineStr">
        <is>
          <t>STRÖMSUND</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41988-2024</t>
        </is>
      </c>
      <c r="B3195" s="1" t="n">
        <v>45561</v>
      </c>
      <c r="C3195" s="1" t="n">
        <v>45688</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42208-2024</t>
        </is>
      </c>
      <c r="B3196" s="1" t="n">
        <v>45562</v>
      </c>
      <c r="C3196" s="1" t="n">
        <v>45688</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42479-2024</t>
        </is>
      </c>
      <c r="B3197" s="1" t="n">
        <v>45565</v>
      </c>
      <c r="C3197" s="1" t="n">
        <v>45688</v>
      </c>
      <c r="D3197" t="inlineStr">
        <is>
          <t>JÄMTLANDS LÄN</t>
        </is>
      </c>
      <c r="E3197" t="inlineStr">
        <is>
          <t>STRÖMSUND</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42681-2024</t>
        </is>
      </c>
      <c r="B3198" s="1" t="n">
        <v>45566</v>
      </c>
      <c r="C3198" s="1" t="n">
        <v>45688</v>
      </c>
      <c r="D3198" t="inlineStr">
        <is>
          <t>JÄMTLANDS LÄN</t>
        </is>
      </c>
      <c r="E3198" t="inlineStr">
        <is>
          <t>STRÖMSUND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43090-2024</t>
        </is>
      </c>
      <c r="B3199" s="1" t="n">
        <v>45567</v>
      </c>
      <c r="C3199" s="1" t="n">
        <v>45688</v>
      </c>
      <c r="D3199" t="inlineStr">
        <is>
          <t>JÄMTLANDS LÄN</t>
        </is>
      </c>
      <c r="E3199" t="inlineStr">
        <is>
          <t>STRÖMSUND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42992-2024</t>
        </is>
      </c>
      <c r="B3200" s="1" t="n">
        <v>45567</v>
      </c>
      <c r="C3200" s="1" t="n">
        <v>45688</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42980-2024</t>
        </is>
      </c>
      <c r="B3201" s="1" t="n">
        <v>45567</v>
      </c>
      <c r="C3201" s="1" t="n">
        <v>45688</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42960-2024</t>
        </is>
      </c>
      <c r="B3202" s="1" t="n">
        <v>45567</v>
      </c>
      <c r="C3202" s="1" t="n">
        <v>45688</v>
      </c>
      <c r="D3202" t="inlineStr">
        <is>
          <t>JÄMTLANDS LÄN</t>
        </is>
      </c>
      <c r="E3202" t="inlineStr">
        <is>
          <t>STRÖMSUND</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42957-2024</t>
        </is>
      </c>
      <c r="B3203" s="1" t="n">
        <v>45567</v>
      </c>
      <c r="C3203" s="1" t="n">
        <v>45688</v>
      </c>
      <c r="D3203" t="inlineStr">
        <is>
          <t>JÄMTLANDS LÄN</t>
        </is>
      </c>
      <c r="E3203" t="inlineStr">
        <is>
          <t>STRÖMSUND</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42949-2024</t>
        </is>
      </c>
      <c r="B3204" s="1" t="n">
        <v>45567</v>
      </c>
      <c r="C3204" s="1" t="n">
        <v>45688</v>
      </c>
      <c r="D3204" t="inlineStr">
        <is>
          <t>JÄMTLANDS LÄN</t>
        </is>
      </c>
      <c r="E3204" t="inlineStr">
        <is>
          <t>STRÖMSUND</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42974-2024</t>
        </is>
      </c>
      <c r="B3205" s="1" t="n">
        <v>45567</v>
      </c>
      <c r="C3205" s="1" t="n">
        <v>45688</v>
      </c>
      <c r="D3205" t="inlineStr">
        <is>
          <t>JÄMTLANDS LÄN</t>
        </is>
      </c>
      <c r="E3205" t="inlineStr">
        <is>
          <t>STRÖMSUND</t>
        </is>
      </c>
      <c r="F3205" t="inlineStr">
        <is>
          <t>SCA</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42966-2024</t>
        </is>
      </c>
      <c r="B3206" s="1" t="n">
        <v>45567</v>
      </c>
      <c r="C3206" s="1" t="n">
        <v>45688</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42954-2024</t>
        </is>
      </c>
      <c r="B3207" s="1" t="n">
        <v>45567</v>
      </c>
      <c r="C3207" s="1" t="n">
        <v>45688</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43425-2024</t>
        </is>
      </c>
      <c r="B3208" s="1" t="n">
        <v>45568</v>
      </c>
      <c r="C3208" s="1" t="n">
        <v>45688</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43326-2024</t>
        </is>
      </c>
      <c r="B3209" s="1" t="n">
        <v>45568</v>
      </c>
      <c r="C3209" s="1" t="n">
        <v>45688</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43605-2024</t>
        </is>
      </c>
      <c r="B3210" s="1" t="n">
        <v>45569</v>
      </c>
      <c r="C3210" s="1" t="n">
        <v>45688</v>
      </c>
      <c r="D3210" t="inlineStr">
        <is>
          <t>JÄMTLANDS LÄN</t>
        </is>
      </c>
      <c r="E3210" t="inlineStr">
        <is>
          <t>STRÖMSUND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43889-2024</t>
        </is>
      </c>
      <c r="B3211" s="1" t="n">
        <v>45572</v>
      </c>
      <c r="C3211" s="1" t="n">
        <v>45688</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44113-2024</t>
        </is>
      </c>
      <c r="B3212" s="1" t="n">
        <v>45572</v>
      </c>
      <c r="C3212" s="1" t="n">
        <v>45688</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43890-2024</t>
        </is>
      </c>
      <c r="B3213" s="1" t="n">
        <v>45572</v>
      </c>
      <c r="C3213" s="1" t="n">
        <v>45688</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44009-2024</t>
        </is>
      </c>
      <c r="B3214" s="1" t="n">
        <v>45572</v>
      </c>
      <c r="C3214" s="1" t="n">
        <v>45688</v>
      </c>
      <c r="D3214" t="inlineStr">
        <is>
          <t>JÄMTLANDS LÄN</t>
        </is>
      </c>
      <c r="E3214" t="inlineStr">
        <is>
          <t>STRÖMSUND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44010-2024</t>
        </is>
      </c>
      <c r="B3215" s="1" t="n">
        <v>45572</v>
      </c>
      <c r="C3215" s="1" t="n">
        <v>45688</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44112-2024</t>
        </is>
      </c>
      <c r="B3216" s="1" t="n">
        <v>45572</v>
      </c>
      <c r="C3216" s="1" t="n">
        <v>45688</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44599-2024</t>
        </is>
      </c>
      <c r="B3217" s="1" t="n">
        <v>45574</v>
      </c>
      <c r="C3217" s="1" t="n">
        <v>45688</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44615-2024</t>
        </is>
      </c>
      <c r="B3218" s="1" t="n">
        <v>45574</v>
      </c>
      <c r="C3218" s="1" t="n">
        <v>45688</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c r="U3218">
        <f>HYPERLINK("https://klasma.github.io/Logging_2313/knärot/A 44615-2024 karta knärot.png", "A 44615-2024")</f>
        <v/>
      </c>
      <c r="V3218">
        <f>HYPERLINK("https://klasma.github.io/Logging_2313/klagomål/A 44615-2024 FSC-klagomål.docx", "A 44615-2024")</f>
        <v/>
      </c>
      <c r="W3218">
        <f>HYPERLINK("https://klasma.github.io/Logging_2313/klagomålsmail/A 44615-2024 FSC-klagomål mail.docx", "A 44615-2024")</f>
        <v/>
      </c>
      <c r="X3218">
        <f>HYPERLINK("https://klasma.github.io/Logging_2313/tillsyn/A 44615-2024 tillsynsbegäran.docx", "A 44615-2024")</f>
        <v/>
      </c>
      <c r="Y3218">
        <f>HYPERLINK("https://klasma.github.io/Logging_2313/tillsynsmail/A 44615-2024 tillsynsbegäran mail.docx", "A 44615-2024")</f>
        <v/>
      </c>
    </row>
    <row r="3219" ht="15" customHeight="1">
      <c r="A3219" t="inlineStr">
        <is>
          <t>A 44623-2024</t>
        </is>
      </c>
      <c r="B3219" s="1" t="n">
        <v>45574</v>
      </c>
      <c r="C3219" s="1" t="n">
        <v>45688</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44618-2024</t>
        </is>
      </c>
      <c r="B3220" s="1" t="n">
        <v>45574</v>
      </c>
      <c r="C3220" s="1" t="n">
        <v>45688</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44811-2024</t>
        </is>
      </c>
      <c r="B3221" s="1" t="n">
        <v>45574</v>
      </c>
      <c r="C3221" s="1" t="n">
        <v>45688</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44601-2024</t>
        </is>
      </c>
      <c r="B3222" s="1" t="n">
        <v>45574</v>
      </c>
      <c r="C3222" s="1" t="n">
        <v>45688</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44638-2024</t>
        </is>
      </c>
      <c r="B3223" s="1" t="n">
        <v>45574</v>
      </c>
      <c r="C3223" s="1" t="n">
        <v>45688</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44642-2024</t>
        </is>
      </c>
      <c r="B3224" s="1" t="n">
        <v>45574</v>
      </c>
      <c r="C3224" s="1" t="n">
        <v>45688</v>
      </c>
      <c r="D3224" t="inlineStr">
        <is>
          <t>JÄMTLANDS LÄN</t>
        </is>
      </c>
      <c r="E3224" t="inlineStr">
        <is>
          <t>STRÖMSUND</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44584-2024</t>
        </is>
      </c>
      <c r="B3225" s="1" t="n">
        <v>45574</v>
      </c>
      <c r="C3225" s="1" t="n">
        <v>45688</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44596-2024</t>
        </is>
      </c>
      <c r="B3226" s="1" t="n">
        <v>45574</v>
      </c>
      <c r="C3226" s="1" t="n">
        <v>45688</v>
      </c>
      <c r="D3226" t="inlineStr">
        <is>
          <t>JÄMTLANDS LÄN</t>
        </is>
      </c>
      <c r="E3226" t="inlineStr">
        <is>
          <t>STRÖMSUND</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45005-2024</t>
        </is>
      </c>
      <c r="B3227" s="1" t="n">
        <v>45575</v>
      </c>
      <c r="C3227" s="1" t="n">
        <v>45688</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45411-2024</t>
        </is>
      </c>
      <c r="B3228" s="1" t="n">
        <v>45576</v>
      </c>
      <c r="C3228" s="1" t="n">
        <v>45688</v>
      </c>
      <c r="D3228" t="inlineStr">
        <is>
          <t>JÄMTLANDS LÄN</t>
        </is>
      </c>
      <c r="E3228" t="inlineStr">
        <is>
          <t>STRÖMSUND</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45251-2024</t>
        </is>
      </c>
      <c r="B3229" s="1" t="n">
        <v>45576</v>
      </c>
      <c r="C3229" s="1" t="n">
        <v>45688</v>
      </c>
      <c r="D3229" t="inlineStr">
        <is>
          <t>JÄMTLANDS LÄN</t>
        </is>
      </c>
      <c r="E3229" t="inlineStr">
        <is>
          <t>STRÖMSUND</t>
        </is>
      </c>
      <c r="F3229" t="inlineStr">
        <is>
          <t>Sveaskog</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45249-2024</t>
        </is>
      </c>
      <c r="B3230" s="1" t="n">
        <v>45576</v>
      </c>
      <c r="C3230" s="1" t="n">
        <v>45688</v>
      </c>
      <c r="D3230" t="inlineStr">
        <is>
          <t>JÄMTLANDS LÄN</t>
        </is>
      </c>
      <c r="E3230" t="inlineStr">
        <is>
          <t>STRÖMSUND</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45762-2024</t>
        </is>
      </c>
      <c r="B3231" s="1" t="n">
        <v>45579</v>
      </c>
      <c r="C3231" s="1" t="n">
        <v>45688</v>
      </c>
      <c r="D3231" t="inlineStr">
        <is>
          <t>JÄMTLANDS LÄN</t>
        </is>
      </c>
      <c r="E3231" t="inlineStr">
        <is>
          <t>STRÖMSUND</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45759-2024</t>
        </is>
      </c>
      <c r="B3232" s="1" t="n">
        <v>45579</v>
      </c>
      <c r="C3232" s="1" t="n">
        <v>45688</v>
      </c>
      <c r="D3232" t="inlineStr">
        <is>
          <t>JÄMTLANDS LÄN</t>
        </is>
      </c>
      <c r="E3232" t="inlineStr">
        <is>
          <t>STRÖMSUND</t>
        </is>
      </c>
      <c r="F3232" t="inlineStr">
        <is>
          <t>SCA</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46199-2024</t>
        </is>
      </c>
      <c r="B3233" s="1" t="n">
        <v>45581</v>
      </c>
      <c r="C3233" s="1" t="n">
        <v>45688</v>
      </c>
      <c r="D3233" t="inlineStr">
        <is>
          <t>JÄMTLANDS LÄN</t>
        </is>
      </c>
      <c r="E3233" t="inlineStr">
        <is>
          <t>STRÖMSUND</t>
        </is>
      </c>
      <c r="F3233" t="inlineStr">
        <is>
          <t>SCA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46394-2024</t>
        </is>
      </c>
      <c r="B3234" s="1" t="n">
        <v>45582</v>
      </c>
      <c r="C3234" s="1" t="n">
        <v>45688</v>
      </c>
      <c r="D3234" t="inlineStr">
        <is>
          <t>JÄMTLANDS LÄN</t>
        </is>
      </c>
      <c r="E3234" t="inlineStr">
        <is>
          <t>STRÖMSUND</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46816-2024</t>
        </is>
      </c>
      <c r="B3235" s="1" t="n">
        <v>45583</v>
      </c>
      <c r="C3235" s="1" t="n">
        <v>45688</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46677-2024</t>
        </is>
      </c>
      <c r="B3236" s="1" t="n">
        <v>45583</v>
      </c>
      <c r="C3236" s="1" t="n">
        <v>45688</v>
      </c>
      <c r="D3236" t="inlineStr">
        <is>
          <t>JÄMTLANDS LÄN</t>
        </is>
      </c>
      <c r="E3236" t="inlineStr">
        <is>
          <t>STRÖMSUND</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46905-2024</t>
        </is>
      </c>
      <c r="B3237" s="1" t="n">
        <v>45583</v>
      </c>
      <c r="C3237" s="1" t="n">
        <v>45688</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47241-2024</t>
        </is>
      </c>
      <c r="B3238" s="1" t="n">
        <v>45586</v>
      </c>
      <c r="C3238" s="1" t="n">
        <v>45688</v>
      </c>
      <c r="D3238" t="inlineStr">
        <is>
          <t>JÄMTLANDS LÄN</t>
        </is>
      </c>
      <c r="E3238" t="inlineStr">
        <is>
          <t>STRÖMSUND</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47114-2024</t>
        </is>
      </c>
      <c r="B3239" s="1" t="n">
        <v>45586</v>
      </c>
      <c r="C3239" s="1" t="n">
        <v>45688</v>
      </c>
      <c r="D3239" t="inlineStr">
        <is>
          <t>JÄMTLANDS LÄN</t>
        </is>
      </c>
      <c r="E3239" t="inlineStr">
        <is>
          <t>STRÖMSUND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46980-2024</t>
        </is>
      </c>
      <c r="B3240" s="1" t="n">
        <v>45586</v>
      </c>
      <c r="C3240" s="1" t="n">
        <v>45688</v>
      </c>
      <c r="D3240" t="inlineStr">
        <is>
          <t>JÄMTLANDS LÄN</t>
        </is>
      </c>
      <c r="E3240" t="inlineStr">
        <is>
          <t>STRÖMSUND</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46969-2024</t>
        </is>
      </c>
      <c r="B3241" s="1" t="n">
        <v>45586</v>
      </c>
      <c r="C3241" s="1" t="n">
        <v>45688</v>
      </c>
      <c r="D3241" t="inlineStr">
        <is>
          <t>JÄMTLANDS LÄN</t>
        </is>
      </c>
      <c r="E3241" t="inlineStr">
        <is>
          <t>STRÖMSUND</t>
        </is>
      </c>
      <c r="F3241" t="inlineStr">
        <is>
          <t>Holmen skog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47331-2024</t>
        </is>
      </c>
      <c r="B3242" s="1" t="n">
        <v>45587</v>
      </c>
      <c r="C3242" s="1" t="n">
        <v>45688</v>
      </c>
      <c r="D3242" t="inlineStr">
        <is>
          <t>JÄMTLANDS LÄN</t>
        </is>
      </c>
      <c r="E3242" t="inlineStr">
        <is>
          <t>STRÖMSUND</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47356-2024</t>
        </is>
      </c>
      <c r="B3243" s="1" t="n">
        <v>45587</v>
      </c>
      <c r="C3243" s="1" t="n">
        <v>45688</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47633-2024</t>
        </is>
      </c>
      <c r="B3244" s="1" t="n">
        <v>45588</v>
      </c>
      <c r="C3244" s="1" t="n">
        <v>45688</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47632-2024</t>
        </is>
      </c>
      <c r="B3245" s="1" t="n">
        <v>45588</v>
      </c>
      <c r="C3245" s="1" t="n">
        <v>45688</v>
      </c>
      <c r="D3245" t="inlineStr">
        <is>
          <t>JÄMTLANDS LÄN</t>
        </is>
      </c>
      <c r="E3245" t="inlineStr">
        <is>
          <t>STRÖMSUND</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47806-2024</t>
        </is>
      </c>
      <c r="B3246" s="1" t="n">
        <v>45588</v>
      </c>
      <c r="C3246" s="1" t="n">
        <v>45688</v>
      </c>
      <c r="D3246" t="inlineStr">
        <is>
          <t>JÄMTLANDS LÄN</t>
        </is>
      </c>
      <c r="E3246" t="inlineStr">
        <is>
          <t>STRÖMSUND</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47657-2024</t>
        </is>
      </c>
      <c r="B3247" s="1" t="n">
        <v>45588</v>
      </c>
      <c r="C3247" s="1" t="n">
        <v>45688</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47655-2024</t>
        </is>
      </c>
      <c r="B3248" s="1" t="n">
        <v>45588</v>
      </c>
      <c r="C3248" s="1" t="n">
        <v>45688</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48134-2024</t>
        </is>
      </c>
      <c r="B3249" s="1" t="n">
        <v>45589</v>
      </c>
      <c r="C3249" s="1" t="n">
        <v>45688</v>
      </c>
      <c r="D3249" t="inlineStr">
        <is>
          <t>JÄMTLANDS LÄN</t>
        </is>
      </c>
      <c r="E3249" t="inlineStr">
        <is>
          <t>STRÖMSUND</t>
        </is>
      </c>
      <c r="G3249" t="n">
        <v>27.3</v>
      </c>
      <c r="H3249" t="n">
        <v>0</v>
      </c>
      <c r="I3249" t="n">
        <v>0</v>
      </c>
      <c r="J3249" t="n">
        <v>0</v>
      </c>
      <c r="K3249" t="n">
        <v>0</v>
      </c>
      <c r="L3249" t="n">
        <v>0</v>
      </c>
      <c r="M3249" t="n">
        <v>0</v>
      </c>
      <c r="N3249" t="n">
        <v>0</v>
      </c>
      <c r="O3249" t="n">
        <v>0</v>
      </c>
      <c r="P3249" t="n">
        <v>0</v>
      </c>
      <c r="Q3249" t="n">
        <v>0</v>
      </c>
      <c r="R3249" s="2" t="inlineStr"/>
    </row>
    <row r="3250" ht="15" customHeight="1">
      <c r="A3250" t="inlineStr">
        <is>
          <t>A 48194-2024</t>
        </is>
      </c>
      <c r="B3250" s="1" t="n">
        <v>45590</v>
      </c>
      <c r="C3250" s="1" t="n">
        <v>45688</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48603-2024</t>
        </is>
      </c>
      <c r="B3251" s="1" t="n">
        <v>45593</v>
      </c>
      <c r="C3251" s="1" t="n">
        <v>45688</v>
      </c>
      <c r="D3251" t="inlineStr">
        <is>
          <t>JÄMTLANDS LÄN</t>
        </is>
      </c>
      <c r="E3251" t="inlineStr">
        <is>
          <t>STRÖMSUND</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48604-2024</t>
        </is>
      </c>
      <c r="B3252" s="1" t="n">
        <v>45593</v>
      </c>
      <c r="C3252" s="1" t="n">
        <v>45688</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48833-2024</t>
        </is>
      </c>
      <c r="B3253" s="1" t="n">
        <v>45593</v>
      </c>
      <c r="C3253" s="1" t="n">
        <v>45688</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48936-2024</t>
        </is>
      </c>
      <c r="B3254" s="1" t="n">
        <v>45594</v>
      </c>
      <c r="C3254" s="1" t="n">
        <v>45688</v>
      </c>
      <c r="D3254" t="inlineStr">
        <is>
          <t>JÄMTLANDS LÄN</t>
        </is>
      </c>
      <c r="E3254" t="inlineStr">
        <is>
          <t>STRÖMSUND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48910-2024</t>
        </is>
      </c>
      <c r="B3255" s="1" t="n">
        <v>45594</v>
      </c>
      <c r="C3255" s="1" t="n">
        <v>45688</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49126-2024</t>
        </is>
      </c>
      <c r="B3256" s="1" t="n">
        <v>45594</v>
      </c>
      <c r="C3256" s="1" t="n">
        <v>45688</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48917-2024</t>
        </is>
      </c>
      <c r="B3257" s="1" t="n">
        <v>45594</v>
      </c>
      <c r="C3257" s="1" t="n">
        <v>45688</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48947-2024</t>
        </is>
      </c>
      <c r="B3258" s="1" t="n">
        <v>45594</v>
      </c>
      <c r="C3258" s="1" t="n">
        <v>45688</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49127-2024</t>
        </is>
      </c>
      <c r="B3259" s="1" t="n">
        <v>45594</v>
      </c>
      <c r="C3259" s="1" t="n">
        <v>45688</v>
      </c>
      <c r="D3259" t="inlineStr">
        <is>
          <t>JÄMTLANDS LÄN</t>
        </is>
      </c>
      <c r="E3259" t="inlineStr">
        <is>
          <t>STRÖMSUND</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49196-2024</t>
        </is>
      </c>
      <c r="B3260" s="1" t="n">
        <v>45595</v>
      </c>
      <c r="C3260" s="1" t="n">
        <v>45688</v>
      </c>
      <c r="D3260" t="inlineStr">
        <is>
          <t>JÄMTLANDS LÄN</t>
        </is>
      </c>
      <c r="E3260" t="inlineStr">
        <is>
          <t>STRÖMSUND</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49191-2024</t>
        </is>
      </c>
      <c r="B3261" s="1" t="n">
        <v>45595</v>
      </c>
      <c r="C3261" s="1" t="n">
        <v>45688</v>
      </c>
      <c r="D3261" t="inlineStr">
        <is>
          <t>JÄMTLANDS LÄN</t>
        </is>
      </c>
      <c r="E3261" t="inlineStr">
        <is>
          <t>STRÖMSUND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49186-2024</t>
        </is>
      </c>
      <c r="B3262" s="1" t="n">
        <v>45595</v>
      </c>
      <c r="C3262" s="1" t="n">
        <v>45688</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49194-2024</t>
        </is>
      </c>
      <c r="B3263" s="1" t="n">
        <v>45595</v>
      </c>
      <c r="C3263" s="1" t="n">
        <v>45688</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49370-2024</t>
        </is>
      </c>
      <c r="B3264" s="1" t="n">
        <v>45595</v>
      </c>
      <c r="C3264" s="1" t="n">
        <v>45688</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49384-2024</t>
        </is>
      </c>
      <c r="B3265" s="1" t="n">
        <v>45595</v>
      </c>
      <c r="C3265" s="1" t="n">
        <v>45688</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49396-2024</t>
        </is>
      </c>
      <c r="B3266" s="1" t="n">
        <v>45595</v>
      </c>
      <c r="C3266" s="1" t="n">
        <v>45688</v>
      </c>
      <c r="D3266" t="inlineStr">
        <is>
          <t>JÄMTLANDS LÄN</t>
        </is>
      </c>
      <c r="E3266" t="inlineStr">
        <is>
          <t>STRÖMSUND</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49685-2024</t>
        </is>
      </c>
      <c r="B3267" s="1" t="n">
        <v>45596</v>
      </c>
      <c r="C3267" s="1" t="n">
        <v>45688</v>
      </c>
      <c r="D3267" t="inlineStr">
        <is>
          <t>JÄMTLANDS LÄN</t>
        </is>
      </c>
      <c r="E3267" t="inlineStr">
        <is>
          <t>STRÖMSUND</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49686-2024</t>
        </is>
      </c>
      <c r="B3268" s="1" t="n">
        <v>45596</v>
      </c>
      <c r="C3268" s="1" t="n">
        <v>45688</v>
      </c>
      <c r="D3268" t="inlineStr">
        <is>
          <t>JÄMTLANDS LÄN</t>
        </is>
      </c>
      <c r="E3268" t="inlineStr">
        <is>
          <t>STRÖMSUND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49566-2024</t>
        </is>
      </c>
      <c r="B3269" s="1" t="n">
        <v>45596</v>
      </c>
      <c r="C3269" s="1" t="n">
        <v>45688</v>
      </c>
      <c r="D3269" t="inlineStr">
        <is>
          <t>JÄMTLANDS LÄN</t>
        </is>
      </c>
      <c r="E3269" t="inlineStr">
        <is>
          <t>STRÖMSUND</t>
        </is>
      </c>
      <c r="F3269" t="inlineStr">
        <is>
          <t>SCA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49732-2024</t>
        </is>
      </c>
      <c r="B3270" s="1" t="n">
        <v>45596</v>
      </c>
      <c r="C3270" s="1" t="n">
        <v>45688</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49547-2024</t>
        </is>
      </c>
      <c r="B3271" s="1" t="n">
        <v>45596</v>
      </c>
      <c r="C3271" s="1" t="n">
        <v>45688</v>
      </c>
      <c r="D3271" t="inlineStr">
        <is>
          <t>JÄMTLANDS LÄN</t>
        </is>
      </c>
      <c r="E3271" t="inlineStr">
        <is>
          <t>STRÖMSUND</t>
        </is>
      </c>
      <c r="F3271" t="inlineStr">
        <is>
          <t>SCA</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49898-2024</t>
        </is>
      </c>
      <c r="B3272" s="1" t="n">
        <v>45597</v>
      </c>
      <c r="C3272" s="1" t="n">
        <v>45688</v>
      </c>
      <c r="D3272" t="inlineStr">
        <is>
          <t>JÄMTLANDS LÄN</t>
        </is>
      </c>
      <c r="E3272" t="inlineStr">
        <is>
          <t>STRÖMSUND</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49940-2024</t>
        </is>
      </c>
      <c r="B3273" s="1" t="n">
        <v>45597</v>
      </c>
      <c r="C3273" s="1" t="n">
        <v>45688</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50031-2024</t>
        </is>
      </c>
      <c r="B3274" s="1" t="n">
        <v>45599</v>
      </c>
      <c r="C3274" s="1" t="n">
        <v>45688</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50108-2024</t>
        </is>
      </c>
      <c r="B3275" s="1" t="n">
        <v>45600</v>
      </c>
      <c r="C3275" s="1" t="n">
        <v>45688</v>
      </c>
      <c r="D3275" t="inlineStr">
        <is>
          <t>JÄMTLANDS LÄN</t>
        </is>
      </c>
      <c r="E3275" t="inlineStr">
        <is>
          <t>STRÖMSUND</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50143-2024</t>
        </is>
      </c>
      <c r="B3276" s="1" t="n">
        <v>45600</v>
      </c>
      <c r="C3276" s="1" t="n">
        <v>45688</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50140-2024</t>
        </is>
      </c>
      <c r="B3277" s="1" t="n">
        <v>45600</v>
      </c>
      <c r="C3277" s="1" t="n">
        <v>45688</v>
      </c>
      <c r="D3277" t="inlineStr">
        <is>
          <t>JÄMTLANDS LÄN</t>
        </is>
      </c>
      <c r="E3277" t="inlineStr">
        <is>
          <t>STRÖMSUND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50141-2024</t>
        </is>
      </c>
      <c r="B3278" s="1" t="n">
        <v>45600</v>
      </c>
      <c r="C3278" s="1" t="n">
        <v>45688</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50142-2024</t>
        </is>
      </c>
      <c r="B3279" s="1" t="n">
        <v>45600</v>
      </c>
      <c r="C3279" s="1" t="n">
        <v>45688</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50638-2024</t>
        </is>
      </c>
      <c r="B3280" s="1" t="n">
        <v>45601</v>
      </c>
      <c r="C3280" s="1" t="n">
        <v>45688</v>
      </c>
      <c r="D3280" t="inlineStr">
        <is>
          <t>JÄMTLANDS LÄN</t>
        </is>
      </c>
      <c r="E3280" t="inlineStr">
        <is>
          <t>STRÖMSUND</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50445-2024</t>
        </is>
      </c>
      <c r="B3281" s="1" t="n">
        <v>45601</v>
      </c>
      <c r="C3281" s="1" t="n">
        <v>45688</v>
      </c>
      <c r="D3281" t="inlineStr">
        <is>
          <t>JÄMTLANDS LÄN</t>
        </is>
      </c>
      <c r="E3281" t="inlineStr">
        <is>
          <t>STRÖMSUND</t>
        </is>
      </c>
      <c r="G3281" t="n">
        <v>17.3</v>
      </c>
      <c r="H3281" t="n">
        <v>0</v>
      </c>
      <c r="I3281" t="n">
        <v>0</v>
      </c>
      <c r="J3281" t="n">
        <v>0</v>
      </c>
      <c r="K3281" t="n">
        <v>0</v>
      </c>
      <c r="L3281" t="n">
        <v>0</v>
      </c>
      <c r="M3281" t="n">
        <v>0</v>
      </c>
      <c r="N3281" t="n">
        <v>0</v>
      </c>
      <c r="O3281" t="n">
        <v>0</v>
      </c>
      <c r="P3281" t="n">
        <v>0</v>
      </c>
      <c r="Q3281" t="n">
        <v>0</v>
      </c>
      <c r="R3281" s="2" t="inlineStr"/>
    </row>
    <row r="3282" ht="15" customHeight="1">
      <c r="A3282" t="inlineStr">
        <is>
          <t>A 51056-2024</t>
        </is>
      </c>
      <c r="B3282" s="1" t="n">
        <v>45603</v>
      </c>
      <c r="C3282" s="1" t="n">
        <v>45688</v>
      </c>
      <c r="D3282" t="inlineStr">
        <is>
          <t>JÄMTLANDS LÄN</t>
        </is>
      </c>
      <c r="E3282" t="inlineStr">
        <is>
          <t>STRÖMSUND</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51154-2024</t>
        </is>
      </c>
      <c r="B3283" s="1" t="n">
        <v>45603</v>
      </c>
      <c r="C3283" s="1" t="n">
        <v>45688</v>
      </c>
      <c r="D3283" t="inlineStr">
        <is>
          <t>JÄMTLANDS LÄN</t>
        </is>
      </c>
      <c r="E3283" t="inlineStr">
        <is>
          <t>STRÖMSUND</t>
        </is>
      </c>
      <c r="F3283" t="inlineStr">
        <is>
          <t>SCA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51404-2024</t>
        </is>
      </c>
      <c r="B3284" s="1" t="n">
        <v>45604</v>
      </c>
      <c r="C3284" s="1" t="n">
        <v>45688</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51432-2024</t>
        </is>
      </c>
      <c r="B3285" s="1" t="n">
        <v>45604</v>
      </c>
      <c r="C3285" s="1" t="n">
        <v>45688</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51478-2024</t>
        </is>
      </c>
      <c r="B3286" s="1" t="n">
        <v>45604</v>
      </c>
      <c r="C3286" s="1" t="n">
        <v>45688</v>
      </c>
      <c r="D3286" t="inlineStr">
        <is>
          <t>JÄMTLANDS LÄN</t>
        </is>
      </c>
      <c r="E3286" t="inlineStr">
        <is>
          <t>STRÖMSUND</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51498-2024</t>
        </is>
      </c>
      <c r="B3287" s="1" t="n">
        <v>45604</v>
      </c>
      <c r="C3287" s="1" t="n">
        <v>45688</v>
      </c>
      <c r="D3287" t="inlineStr">
        <is>
          <t>JÄMTLANDS LÄN</t>
        </is>
      </c>
      <c r="E3287" t="inlineStr">
        <is>
          <t>STRÖMSUND</t>
        </is>
      </c>
      <c r="F3287" t="inlineStr">
        <is>
          <t>Kommuner</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51491-2024</t>
        </is>
      </c>
      <c r="B3288" s="1" t="n">
        <v>45604</v>
      </c>
      <c r="C3288" s="1" t="n">
        <v>45688</v>
      </c>
      <c r="D3288" t="inlineStr">
        <is>
          <t>JÄMTLANDS LÄN</t>
        </is>
      </c>
      <c r="E3288" t="inlineStr">
        <is>
          <t>STRÖMSUND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51585-2024</t>
        </is>
      </c>
      <c r="B3289" s="1" t="n">
        <v>45604</v>
      </c>
      <c r="C3289" s="1" t="n">
        <v>45688</v>
      </c>
      <c r="D3289" t="inlineStr">
        <is>
          <t>JÄMTLANDS LÄN</t>
        </is>
      </c>
      <c r="E3289" t="inlineStr">
        <is>
          <t>STRÖMSUND</t>
        </is>
      </c>
      <c r="F3289" t="inlineStr">
        <is>
          <t>Kommuner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51593-2024</t>
        </is>
      </c>
      <c r="B3290" s="1" t="n">
        <v>45604</v>
      </c>
      <c r="C3290" s="1" t="n">
        <v>45688</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51606-2024</t>
        </is>
      </c>
      <c r="B3291" s="1" t="n">
        <v>45604</v>
      </c>
      <c r="C3291" s="1" t="n">
        <v>45688</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45688</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51685-2024</t>
        </is>
      </c>
      <c r="B3293" s="1" t="n">
        <v>45607</v>
      </c>
      <c r="C3293" s="1" t="n">
        <v>45688</v>
      </c>
      <c r="D3293" t="inlineStr">
        <is>
          <t>JÄMTLANDS LÄN</t>
        </is>
      </c>
      <c r="E3293" t="inlineStr">
        <is>
          <t>STRÖMSUND</t>
        </is>
      </c>
      <c r="F3293" t="inlineStr">
        <is>
          <t>SCA</t>
        </is>
      </c>
      <c r="G3293" t="n">
        <v>53.5</v>
      </c>
      <c r="H3293" t="n">
        <v>0</v>
      </c>
      <c r="I3293" t="n">
        <v>0</v>
      </c>
      <c r="J3293" t="n">
        <v>0</v>
      </c>
      <c r="K3293" t="n">
        <v>0</v>
      </c>
      <c r="L3293" t="n">
        <v>0</v>
      </c>
      <c r="M3293" t="n">
        <v>0</v>
      </c>
      <c r="N3293" t="n">
        <v>0</v>
      </c>
      <c r="O3293" t="n">
        <v>0</v>
      </c>
      <c r="P3293" t="n">
        <v>0</v>
      </c>
      <c r="Q3293" t="n">
        <v>0</v>
      </c>
      <c r="R3293" s="2" t="inlineStr"/>
    </row>
    <row r="3294" ht="15" customHeight="1">
      <c r="A3294" t="inlineStr">
        <is>
          <t>A 51689-2024</t>
        </is>
      </c>
      <c r="B3294" s="1" t="n">
        <v>45607</v>
      </c>
      <c r="C3294" s="1" t="n">
        <v>45688</v>
      </c>
      <c r="D3294" t="inlineStr">
        <is>
          <t>JÄMTLANDS LÄN</t>
        </is>
      </c>
      <c r="E3294" t="inlineStr">
        <is>
          <t>STRÖMSUND</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51763-2024</t>
        </is>
      </c>
      <c r="B3295" s="1" t="n">
        <v>45607</v>
      </c>
      <c r="C3295" s="1" t="n">
        <v>45688</v>
      </c>
      <c r="D3295" t="inlineStr">
        <is>
          <t>JÄMTLANDS LÄN</t>
        </is>
      </c>
      <c r="E3295" t="inlineStr">
        <is>
          <t>STRÖMSUND</t>
        </is>
      </c>
      <c r="F3295" t="inlineStr">
        <is>
          <t>Kommuner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51803-2024</t>
        </is>
      </c>
      <c r="B3296" s="1" t="n">
        <v>45607</v>
      </c>
      <c r="C3296" s="1" t="n">
        <v>45688</v>
      </c>
      <c r="D3296" t="inlineStr">
        <is>
          <t>JÄMTLANDS LÄN</t>
        </is>
      </c>
      <c r="E3296" t="inlineStr">
        <is>
          <t>STRÖMSUND</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51946-2024</t>
        </is>
      </c>
      <c r="B3297" s="1" t="n">
        <v>45607</v>
      </c>
      <c r="C3297" s="1" t="n">
        <v>45688</v>
      </c>
      <c r="D3297" t="inlineStr">
        <is>
          <t>JÄMTLANDS LÄN</t>
        </is>
      </c>
      <c r="E3297" t="inlineStr">
        <is>
          <t>STRÖMSUND</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51688-2024</t>
        </is>
      </c>
      <c r="B3298" s="1" t="n">
        <v>45607</v>
      </c>
      <c r="C3298" s="1" t="n">
        <v>45688</v>
      </c>
      <c r="D3298" t="inlineStr">
        <is>
          <t>JÄMTLANDS LÄN</t>
        </is>
      </c>
      <c r="E3298" t="inlineStr">
        <is>
          <t>STRÖMSUND</t>
        </is>
      </c>
      <c r="F3298" t="inlineStr">
        <is>
          <t>SCA</t>
        </is>
      </c>
      <c r="G3298" t="n">
        <v>36.3</v>
      </c>
      <c r="H3298" t="n">
        <v>0</v>
      </c>
      <c r="I3298" t="n">
        <v>0</v>
      </c>
      <c r="J3298" t="n">
        <v>0</v>
      </c>
      <c r="K3298" t="n">
        <v>0</v>
      </c>
      <c r="L3298" t="n">
        <v>0</v>
      </c>
      <c r="M3298" t="n">
        <v>0</v>
      </c>
      <c r="N3298" t="n">
        <v>0</v>
      </c>
      <c r="O3298" t="n">
        <v>0</v>
      </c>
      <c r="P3298" t="n">
        <v>0</v>
      </c>
      <c r="Q3298" t="n">
        <v>0</v>
      </c>
      <c r="R3298" s="2" t="inlineStr"/>
    </row>
    <row r="3299" ht="15" customHeight="1">
      <c r="A3299" t="inlineStr">
        <is>
          <t>A 51696-2024</t>
        </is>
      </c>
      <c r="B3299" s="1" t="n">
        <v>45607</v>
      </c>
      <c r="C3299" s="1" t="n">
        <v>45688</v>
      </c>
      <c r="D3299" t="inlineStr">
        <is>
          <t>JÄMTLANDS LÄN</t>
        </is>
      </c>
      <c r="E3299" t="inlineStr">
        <is>
          <t>STRÖMSUND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51941-2024</t>
        </is>
      </c>
      <c r="B3300" s="1" t="n">
        <v>45607</v>
      </c>
      <c r="C3300" s="1" t="n">
        <v>45688</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51838-2024</t>
        </is>
      </c>
      <c r="B3301" s="1" t="n">
        <v>45607</v>
      </c>
      <c r="C3301" s="1" t="n">
        <v>45688</v>
      </c>
      <c r="D3301" t="inlineStr">
        <is>
          <t>JÄMTLANDS LÄN</t>
        </is>
      </c>
      <c r="E3301" t="inlineStr">
        <is>
          <t>STRÖMSUND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51757-2024</t>
        </is>
      </c>
      <c r="B3302" s="1" t="n">
        <v>45607</v>
      </c>
      <c r="C3302" s="1" t="n">
        <v>45688</v>
      </c>
      <c r="D3302" t="inlineStr">
        <is>
          <t>JÄMTLANDS LÄN</t>
        </is>
      </c>
      <c r="E3302" t="inlineStr">
        <is>
          <t>STRÖMSUND</t>
        </is>
      </c>
      <c r="F3302" t="inlineStr">
        <is>
          <t>Kommuner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51739-2024</t>
        </is>
      </c>
      <c r="B3303" s="1" t="n">
        <v>45607</v>
      </c>
      <c r="C3303" s="1" t="n">
        <v>45688</v>
      </c>
      <c r="D3303" t="inlineStr">
        <is>
          <t>JÄMTLANDS LÄN</t>
        </is>
      </c>
      <c r="E3303" t="inlineStr">
        <is>
          <t>STRÖMSUND</t>
        </is>
      </c>
      <c r="F3303" t="inlineStr">
        <is>
          <t>SCA</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51691-2024</t>
        </is>
      </c>
      <c r="B3304" s="1" t="n">
        <v>45607</v>
      </c>
      <c r="C3304" s="1" t="n">
        <v>45688</v>
      </c>
      <c r="D3304" t="inlineStr">
        <is>
          <t>JÄMTLANDS LÄN</t>
        </is>
      </c>
      <c r="E3304" t="inlineStr">
        <is>
          <t>STRÖMSUND</t>
        </is>
      </c>
      <c r="F3304" t="inlineStr">
        <is>
          <t>SCA</t>
        </is>
      </c>
      <c r="G3304" t="n">
        <v>35.8</v>
      </c>
      <c r="H3304" t="n">
        <v>0</v>
      </c>
      <c r="I3304" t="n">
        <v>0</v>
      </c>
      <c r="J3304" t="n">
        <v>0</v>
      </c>
      <c r="K3304" t="n">
        <v>0</v>
      </c>
      <c r="L3304" t="n">
        <v>0</v>
      </c>
      <c r="M3304" t="n">
        <v>0</v>
      </c>
      <c r="N3304" t="n">
        <v>0</v>
      </c>
      <c r="O3304" t="n">
        <v>0</v>
      </c>
      <c r="P3304" t="n">
        <v>0</v>
      </c>
      <c r="Q3304" t="n">
        <v>0</v>
      </c>
      <c r="R3304" s="2" t="inlineStr"/>
    </row>
    <row r="3305" ht="15" customHeight="1">
      <c r="A3305" t="inlineStr">
        <is>
          <t>A 51687-2024</t>
        </is>
      </c>
      <c r="B3305" s="1" t="n">
        <v>45607</v>
      </c>
      <c r="C3305" s="1" t="n">
        <v>45688</v>
      </c>
      <c r="D3305" t="inlineStr">
        <is>
          <t>JÄMTLANDS LÄN</t>
        </is>
      </c>
      <c r="E3305" t="inlineStr">
        <is>
          <t>STRÖMSUND</t>
        </is>
      </c>
      <c r="F3305" t="inlineStr">
        <is>
          <t>SCA</t>
        </is>
      </c>
      <c r="G3305" t="n">
        <v>21.4</v>
      </c>
      <c r="H3305" t="n">
        <v>0</v>
      </c>
      <c r="I3305" t="n">
        <v>0</v>
      </c>
      <c r="J3305" t="n">
        <v>0</v>
      </c>
      <c r="K3305" t="n">
        <v>0</v>
      </c>
      <c r="L3305" t="n">
        <v>0</v>
      </c>
      <c r="M3305" t="n">
        <v>0</v>
      </c>
      <c r="N3305" t="n">
        <v>0</v>
      </c>
      <c r="O3305" t="n">
        <v>0</v>
      </c>
      <c r="P3305" t="n">
        <v>0</v>
      </c>
      <c r="Q3305" t="n">
        <v>0</v>
      </c>
      <c r="R3305" s="2" t="inlineStr"/>
    </row>
    <row r="3306" ht="15" customHeight="1">
      <c r="A3306" t="inlineStr">
        <is>
          <t>A 51694-2024</t>
        </is>
      </c>
      <c r="B3306" s="1" t="n">
        <v>45607</v>
      </c>
      <c r="C3306" s="1" t="n">
        <v>45688</v>
      </c>
      <c r="D3306" t="inlineStr">
        <is>
          <t>JÄMTLANDS LÄN</t>
        </is>
      </c>
      <c r="E3306" t="inlineStr">
        <is>
          <t>STRÖMSUND</t>
        </is>
      </c>
      <c r="F3306" t="inlineStr">
        <is>
          <t>SCA</t>
        </is>
      </c>
      <c r="G3306" t="n">
        <v>82.7</v>
      </c>
      <c r="H3306" t="n">
        <v>0</v>
      </c>
      <c r="I3306" t="n">
        <v>0</v>
      </c>
      <c r="J3306" t="n">
        <v>0</v>
      </c>
      <c r="K3306" t="n">
        <v>0</v>
      </c>
      <c r="L3306" t="n">
        <v>0</v>
      </c>
      <c r="M3306" t="n">
        <v>0</v>
      </c>
      <c r="N3306" t="n">
        <v>0</v>
      </c>
      <c r="O3306" t="n">
        <v>0</v>
      </c>
      <c r="P3306" t="n">
        <v>0</v>
      </c>
      <c r="Q3306" t="n">
        <v>0</v>
      </c>
      <c r="R3306" s="2" t="inlineStr"/>
    </row>
    <row r="3307" ht="15" customHeight="1">
      <c r="A3307" t="inlineStr">
        <is>
          <t>A 51690-2024</t>
        </is>
      </c>
      <c r="B3307" s="1" t="n">
        <v>45607</v>
      </c>
      <c r="C3307" s="1" t="n">
        <v>45688</v>
      </c>
      <c r="D3307" t="inlineStr">
        <is>
          <t>JÄMTLANDS LÄN</t>
        </is>
      </c>
      <c r="E3307" t="inlineStr">
        <is>
          <t>STRÖMSUND</t>
        </is>
      </c>
      <c r="F3307" t="inlineStr">
        <is>
          <t>SCA</t>
        </is>
      </c>
      <c r="G3307" t="n">
        <v>22.8</v>
      </c>
      <c r="H3307" t="n">
        <v>0</v>
      </c>
      <c r="I3307" t="n">
        <v>0</v>
      </c>
      <c r="J3307" t="n">
        <v>0</v>
      </c>
      <c r="K3307" t="n">
        <v>0</v>
      </c>
      <c r="L3307" t="n">
        <v>0</v>
      </c>
      <c r="M3307" t="n">
        <v>0</v>
      </c>
      <c r="N3307" t="n">
        <v>0</v>
      </c>
      <c r="O3307" t="n">
        <v>0</v>
      </c>
      <c r="P3307" t="n">
        <v>0</v>
      </c>
      <c r="Q3307" t="n">
        <v>0</v>
      </c>
      <c r="R3307" s="2" t="inlineStr"/>
    </row>
    <row r="3308" ht="15" customHeight="1">
      <c r="A3308" t="inlineStr">
        <is>
          <t>A 51686-2024</t>
        </is>
      </c>
      <c r="B3308" s="1" t="n">
        <v>45607</v>
      </c>
      <c r="C3308" s="1" t="n">
        <v>45688</v>
      </c>
      <c r="D3308" t="inlineStr">
        <is>
          <t>JÄMTLANDS LÄN</t>
        </is>
      </c>
      <c r="E3308" t="inlineStr">
        <is>
          <t>STRÖMSUND</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52158-2024</t>
        </is>
      </c>
      <c r="B3309" s="1" t="n">
        <v>45608</v>
      </c>
      <c r="C3309" s="1" t="n">
        <v>45688</v>
      </c>
      <c r="D3309" t="inlineStr">
        <is>
          <t>JÄMTLANDS LÄN</t>
        </is>
      </c>
      <c r="E3309" t="inlineStr">
        <is>
          <t>STRÖMSUND</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52153-2024</t>
        </is>
      </c>
      <c r="B3310" s="1" t="n">
        <v>45608</v>
      </c>
      <c r="C3310" s="1" t="n">
        <v>45688</v>
      </c>
      <c r="D3310" t="inlineStr">
        <is>
          <t>JÄMTLANDS LÄN</t>
        </is>
      </c>
      <c r="E3310" t="inlineStr">
        <is>
          <t>STRÖMSUND</t>
        </is>
      </c>
      <c r="F3310" t="inlineStr">
        <is>
          <t>SCA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52151-2024</t>
        </is>
      </c>
      <c r="B3311" s="1" t="n">
        <v>45608</v>
      </c>
      <c r="C3311" s="1" t="n">
        <v>45688</v>
      </c>
      <c r="D3311" t="inlineStr">
        <is>
          <t>JÄMTLANDS LÄN</t>
        </is>
      </c>
      <c r="E3311" t="inlineStr">
        <is>
          <t>STRÖMSUND</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52147-2024</t>
        </is>
      </c>
      <c r="B3312" s="1" t="n">
        <v>45608</v>
      </c>
      <c r="C3312" s="1" t="n">
        <v>45688</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53556-2024</t>
        </is>
      </c>
      <c r="B3313" s="1" t="n">
        <v>45608</v>
      </c>
      <c r="C3313" s="1" t="n">
        <v>45688</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52211-2024</t>
        </is>
      </c>
      <c r="B3314" s="1" t="n">
        <v>45608</v>
      </c>
      <c r="C3314" s="1" t="n">
        <v>45688</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52199-2024</t>
        </is>
      </c>
      <c r="B3315" s="1" t="n">
        <v>45608</v>
      </c>
      <c r="C3315" s="1" t="n">
        <v>45688</v>
      </c>
      <c r="D3315" t="inlineStr">
        <is>
          <t>JÄMTLANDS LÄN</t>
        </is>
      </c>
      <c r="E3315" t="inlineStr">
        <is>
          <t>STRÖMSUND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52559-2024</t>
        </is>
      </c>
      <c r="B3316" s="1" t="n">
        <v>45609</v>
      </c>
      <c r="C3316" s="1" t="n">
        <v>45688</v>
      </c>
      <c r="D3316" t="inlineStr">
        <is>
          <t>JÄMTLANDS LÄN</t>
        </is>
      </c>
      <c r="E3316" t="inlineStr">
        <is>
          <t>STRÖMSUND</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52583-2024</t>
        </is>
      </c>
      <c r="B3317" s="1" t="n">
        <v>45609</v>
      </c>
      <c r="C3317" s="1" t="n">
        <v>45688</v>
      </c>
      <c r="D3317" t="inlineStr">
        <is>
          <t>JÄMTLANDS LÄN</t>
        </is>
      </c>
      <c r="E3317" t="inlineStr">
        <is>
          <t>STRÖMSUND</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52582-2024</t>
        </is>
      </c>
      <c r="B3318" s="1" t="n">
        <v>45609</v>
      </c>
      <c r="C3318" s="1" t="n">
        <v>45688</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52645-2024</t>
        </is>
      </c>
      <c r="B3319" s="1" t="n">
        <v>45610</v>
      </c>
      <c r="C3319" s="1" t="n">
        <v>45688</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52906-2024</t>
        </is>
      </c>
      <c r="B3320" s="1" t="n">
        <v>45610</v>
      </c>
      <c r="C3320" s="1" t="n">
        <v>45688</v>
      </c>
      <c r="D3320" t="inlineStr">
        <is>
          <t>JÄMTLANDS LÄN</t>
        </is>
      </c>
      <c r="E3320" t="inlineStr">
        <is>
          <t>STRÖMSUND</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53132-2024</t>
        </is>
      </c>
      <c r="B3321" s="1" t="n">
        <v>45611</v>
      </c>
      <c r="C3321" s="1" t="n">
        <v>45688</v>
      </c>
      <c r="D3321" t="inlineStr">
        <is>
          <t>JÄMTLANDS LÄN</t>
        </is>
      </c>
      <c r="E3321" t="inlineStr">
        <is>
          <t>STRÖMSUND</t>
        </is>
      </c>
      <c r="F3321" t="inlineStr">
        <is>
          <t>SCA</t>
        </is>
      </c>
      <c r="G3321" t="n">
        <v>29.2</v>
      </c>
      <c r="H3321" t="n">
        <v>0</v>
      </c>
      <c r="I3321" t="n">
        <v>0</v>
      </c>
      <c r="J3321" t="n">
        <v>0</v>
      </c>
      <c r="K3321" t="n">
        <v>0</v>
      </c>
      <c r="L3321" t="n">
        <v>0</v>
      </c>
      <c r="M3321" t="n">
        <v>0</v>
      </c>
      <c r="N3321" t="n">
        <v>0</v>
      </c>
      <c r="O3321" t="n">
        <v>0</v>
      </c>
      <c r="P3321" t="n">
        <v>0</v>
      </c>
      <c r="Q3321" t="n">
        <v>0</v>
      </c>
      <c r="R3321" s="2" t="inlineStr"/>
    </row>
    <row r="3322" ht="15" customHeight="1">
      <c r="A3322" t="inlineStr">
        <is>
          <t>A 53131-2024</t>
        </is>
      </c>
      <c r="B3322" s="1" t="n">
        <v>45611</v>
      </c>
      <c r="C3322" s="1" t="n">
        <v>45688</v>
      </c>
      <c r="D3322" t="inlineStr">
        <is>
          <t>JÄMTLANDS LÄN</t>
        </is>
      </c>
      <c r="E3322" t="inlineStr">
        <is>
          <t>STRÖMSUND</t>
        </is>
      </c>
      <c r="F3322" t="inlineStr">
        <is>
          <t>SCA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53219-2024</t>
        </is>
      </c>
      <c r="B3323" s="1" t="n">
        <v>45612</v>
      </c>
      <c r="C3323" s="1" t="n">
        <v>45688</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53216-2024</t>
        </is>
      </c>
      <c r="B3324" s="1" t="n">
        <v>45612</v>
      </c>
      <c r="C3324" s="1" t="n">
        <v>45688</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53218-2024</t>
        </is>
      </c>
      <c r="B3325" s="1" t="n">
        <v>45612</v>
      </c>
      <c r="C3325" s="1" t="n">
        <v>45688</v>
      </c>
      <c r="D3325" t="inlineStr">
        <is>
          <t>JÄMTLANDS LÄN</t>
        </is>
      </c>
      <c r="E3325" t="inlineStr">
        <is>
          <t>STRÖMSUND</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53217-2024</t>
        </is>
      </c>
      <c r="B3326" s="1" t="n">
        <v>45612</v>
      </c>
      <c r="C3326" s="1" t="n">
        <v>45688</v>
      </c>
      <c r="D3326" t="inlineStr">
        <is>
          <t>JÄMTLANDS LÄN</t>
        </is>
      </c>
      <c r="E3326" t="inlineStr">
        <is>
          <t>STRÖMSUND</t>
        </is>
      </c>
      <c r="G3326" t="n">
        <v>27.9</v>
      </c>
      <c r="H3326" t="n">
        <v>0</v>
      </c>
      <c r="I3326" t="n">
        <v>0</v>
      </c>
      <c r="J3326" t="n">
        <v>0</v>
      </c>
      <c r="K3326" t="n">
        <v>0</v>
      </c>
      <c r="L3326" t="n">
        <v>0</v>
      </c>
      <c r="M3326" t="n">
        <v>0</v>
      </c>
      <c r="N3326" t="n">
        <v>0</v>
      </c>
      <c r="O3326" t="n">
        <v>0</v>
      </c>
      <c r="P3326" t="n">
        <v>0</v>
      </c>
      <c r="Q3326" t="n">
        <v>0</v>
      </c>
      <c r="R3326" s="2" t="inlineStr"/>
    </row>
    <row r="3327" ht="15" customHeight="1">
      <c r="A3327" t="inlineStr">
        <is>
          <t>A 53240-2024</t>
        </is>
      </c>
      <c r="B3327" s="1" t="n">
        <v>45613</v>
      </c>
      <c r="C3327" s="1" t="n">
        <v>45688</v>
      </c>
      <c r="D3327" t="inlineStr">
        <is>
          <t>JÄMTLANDS LÄN</t>
        </is>
      </c>
      <c r="E3327" t="inlineStr">
        <is>
          <t>STRÖMSUND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53241-2024</t>
        </is>
      </c>
      <c r="B3328" s="1" t="n">
        <v>45613</v>
      </c>
      <c r="C3328" s="1" t="n">
        <v>45688</v>
      </c>
      <c r="D3328" t="inlineStr">
        <is>
          <t>JÄMTLANDS LÄN</t>
        </is>
      </c>
      <c r="E3328" t="inlineStr">
        <is>
          <t>STRÖMSUND</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53609-2024</t>
        </is>
      </c>
      <c r="B3329" s="1" t="n">
        <v>45614</v>
      </c>
      <c r="C3329" s="1" t="n">
        <v>45688</v>
      </c>
      <c r="D3329" t="inlineStr">
        <is>
          <t>JÄMTLANDS LÄN</t>
        </is>
      </c>
      <c r="E3329" t="inlineStr">
        <is>
          <t>STRÖMSUND</t>
        </is>
      </c>
      <c r="F3329" t="inlineStr">
        <is>
          <t>SCA</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53328-2024</t>
        </is>
      </c>
      <c r="B3330" s="1" t="n">
        <v>45614</v>
      </c>
      <c r="C3330" s="1" t="n">
        <v>45688</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53795-2024</t>
        </is>
      </c>
      <c r="B3331" s="1" t="n">
        <v>45615</v>
      </c>
      <c r="C3331" s="1" t="n">
        <v>45688</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53833-2024</t>
        </is>
      </c>
      <c r="B3332" s="1" t="n">
        <v>45615</v>
      </c>
      <c r="C3332" s="1" t="n">
        <v>45688</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53809-2024</t>
        </is>
      </c>
      <c r="B3333" s="1" t="n">
        <v>45615</v>
      </c>
      <c r="C3333" s="1" t="n">
        <v>45688</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53817-2024</t>
        </is>
      </c>
      <c r="B3334" s="1" t="n">
        <v>45615</v>
      </c>
      <c r="C3334" s="1" t="n">
        <v>45688</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53865-2024</t>
        </is>
      </c>
      <c r="B3335" s="1" t="n">
        <v>45615</v>
      </c>
      <c r="C3335" s="1" t="n">
        <v>45688</v>
      </c>
      <c r="D3335" t="inlineStr">
        <is>
          <t>JÄMTLANDS LÄN</t>
        </is>
      </c>
      <c r="E3335" t="inlineStr">
        <is>
          <t>STRÖMSUND</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53885-2024</t>
        </is>
      </c>
      <c r="B3336" s="1" t="n">
        <v>45615</v>
      </c>
      <c r="C3336" s="1" t="n">
        <v>45688</v>
      </c>
      <c r="D3336" t="inlineStr">
        <is>
          <t>JÄMTLANDS LÄN</t>
        </is>
      </c>
      <c r="E3336" t="inlineStr">
        <is>
          <t>STRÖMSUND</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53886-2024</t>
        </is>
      </c>
      <c r="B3337" s="1" t="n">
        <v>45615</v>
      </c>
      <c r="C3337" s="1" t="n">
        <v>45688</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53873-2024</t>
        </is>
      </c>
      <c r="B3338" s="1" t="n">
        <v>45615</v>
      </c>
      <c r="C3338" s="1" t="n">
        <v>45688</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v>
      </c>
      <c r="C3339" s="1" t="n">
        <v>45688</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53894-2024</t>
        </is>
      </c>
      <c r="B3340" s="1" t="n">
        <v>45615</v>
      </c>
      <c r="C3340" s="1" t="n">
        <v>45688</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54178-2024</t>
        </is>
      </c>
      <c r="B3341" s="1" t="n">
        <v>45616</v>
      </c>
      <c r="C3341" s="1" t="n">
        <v>45688</v>
      </c>
      <c r="D3341" t="inlineStr">
        <is>
          <t>JÄMTLANDS LÄN</t>
        </is>
      </c>
      <c r="E3341" t="inlineStr">
        <is>
          <t>STRÖMSUND</t>
        </is>
      </c>
      <c r="F3341" t="inlineStr">
        <is>
          <t>SCA</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54262-2024</t>
        </is>
      </c>
      <c r="B3342" s="1" t="n">
        <v>45616</v>
      </c>
      <c r="C3342" s="1" t="n">
        <v>45688</v>
      </c>
      <c r="D3342" t="inlineStr">
        <is>
          <t>JÄMTLANDS LÄN</t>
        </is>
      </c>
      <c r="E3342" t="inlineStr">
        <is>
          <t>STRÖMSUND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54389-2024</t>
        </is>
      </c>
      <c r="B3343" s="1" t="n">
        <v>45617</v>
      </c>
      <c r="C3343" s="1" t="n">
        <v>45688</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54320-2024</t>
        </is>
      </c>
      <c r="B3344" s="1" t="n">
        <v>45617</v>
      </c>
      <c r="C3344" s="1" t="n">
        <v>45688</v>
      </c>
      <c r="D3344" t="inlineStr">
        <is>
          <t>JÄMTLANDS LÄN</t>
        </is>
      </c>
      <c r="E3344" t="inlineStr">
        <is>
          <t>STRÖMSUND</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54763-2024</t>
        </is>
      </c>
      <c r="B3345" s="1" t="n">
        <v>45618</v>
      </c>
      <c r="C3345" s="1" t="n">
        <v>45688</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54805-2024</t>
        </is>
      </c>
      <c r="B3346" s="1" t="n">
        <v>45618</v>
      </c>
      <c r="C3346" s="1" t="n">
        <v>45688</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54945-2024</t>
        </is>
      </c>
      <c r="B3347" s="1" t="n">
        <v>45619</v>
      </c>
      <c r="C3347" s="1" t="n">
        <v>45688</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54944-2024</t>
        </is>
      </c>
      <c r="B3348" s="1" t="n">
        <v>45619</v>
      </c>
      <c r="C3348" s="1" t="n">
        <v>45688</v>
      </c>
      <c r="D3348" t="inlineStr">
        <is>
          <t>JÄMTLANDS LÄN</t>
        </is>
      </c>
      <c r="E3348" t="inlineStr">
        <is>
          <t>STRÖMSUND</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45688</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45688</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45688</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45688</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45688</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45688</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45688</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45688</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45688</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45688</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45688</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45688</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45688</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45688</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45688</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45688</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45688</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45688</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45688</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45688</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45688</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45688</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45688</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45688</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45688</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45688</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45688</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45688</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45688</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45688</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45688</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45688</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45688</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45688</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45688</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45688</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45688</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45688</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45688</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45688</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45688</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45688</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45688</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45688</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45688</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45688</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45688</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45688</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45688</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45688</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45688</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45688</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45688</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45688</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45688</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45688</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45688</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45688</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45688</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45688</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45688</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45688</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45688</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45688</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45688</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45688</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45688</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45688</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45688</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45688</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45688</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45688</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45688</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45688</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45688</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45688</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45688</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45688</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45688</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45688</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45688</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45688</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45688</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45688</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45688</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45688</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45688</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45688</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45688</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45688</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216-2025</t>
        </is>
      </c>
      <c r="B3439" s="1" t="n">
        <v>45660</v>
      </c>
      <c r="C3439" s="1" t="n">
        <v>45688</v>
      </c>
      <c r="D3439" t="inlineStr">
        <is>
          <t>JÄMTLANDS LÄN</t>
        </is>
      </c>
      <c r="E3439" t="inlineStr">
        <is>
          <t>STRÖMSUND</t>
        </is>
      </c>
      <c r="F3439" t="inlineStr">
        <is>
          <t>SCA</t>
        </is>
      </c>
      <c r="G3439" t="n">
        <v>33.5</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45688</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45688</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292-2025</t>
        </is>
      </c>
      <c r="B3442" s="1" t="n">
        <v>45660</v>
      </c>
      <c r="C3442" s="1" t="n">
        <v>45688</v>
      </c>
      <c r="D3442" t="inlineStr">
        <is>
          <t>JÄMTLANDS LÄN</t>
        </is>
      </c>
      <c r="E3442" t="inlineStr">
        <is>
          <t>STRÖMSUND</t>
        </is>
      </c>
      <c r="F3442" t="inlineStr">
        <is>
          <t>SCA</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45688</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45688</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45688</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45688</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1126-2025</t>
        </is>
      </c>
      <c r="B3447" s="1" t="n">
        <v>45666</v>
      </c>
      <c r="C3447" s="1" t="n">
        <v>45688</v>
      </c>
      <c r="D3447" t="inlineStr">
        <is>
          <t>JÄMTLANDS LÄN</t>
        </is>
      </c>
      <c r="E3447" t="inlineStr">
        <is>
          <t>STRÖMSUND</t>
        </is>
      </c>
      <c r="F3447" t="inlineStr">
        <is>
          <t>SCA</t>
        </is>
      </c>
      <c r="G3447" t="n">
        <v>9.800000000000001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1117-2025</t>
        </is>
      </c>
      <c r="B3448" s="1" t="n">
        <v>45666</v>
      </c>
      <c r="C3448" s="1" t="n">
        <v>45688</v>
      </c>
      <c r="D3448" t="inlineStr">
        <is>
          <t>JÄMTLANDS LÄN</t>
        </is>
      </c>
      <c r="E3448" t="inlineStr">
        <is>
          <t>STRÖMSUND</t>
        </is>
      </c>
      <c r="F3448" t="inlineStr">
        <is>
          <t>SCA</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45688</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45688</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45688</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1542-2025</t>
        </is>
      </c>
      <c r="B3452" s="1" t="n">
        <v>45670</v>
      </c>
      <c r="C3452" s="1" t="n">
        <v>45688</v>
      </c>
      <c r="D3452" t="inlineStr">
        <is>
          <t>JÄMTLANDS LÄN</t>
        </is>
      </c>
      <c r="E3452" t="inlineStr">
        <is>
          <t>STRÖMSUND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1498-2025</t>
        </is>
      </c>
      <c r="B3453" s="1" t="n">
        <v>45670</v>
      </c>
      <c r="C3453" s="1" t="n">
        <v>45688</v>
      </c>
      <c r="D3453" t="inlineStr">
        <is>
          <t>JÄMTLANDS LÄN</t>
        </is>
      </c>
      <c r="E3453" t="inlineStr">
        <is>
          <t>STRÖMSUND</t>
        </is>
      </c>
      <c r="F3453" t="inlineStr">
        <is>
          <t>SCA</t>
        </is>
      </c>
      <c r="G3453" t="n">
        <v>22.6</v>
      </c>
      <c r="H3453" t="n">
        <v>0</v>
      </c>
      <c r="I3453" t="n">
        <v>0</v>
      </c>
      <c r="J3453" t="n">
        <v>0</v>
      </c>
      <c r="K3453" t="n">
        <v>0</v>
      </c>
      <c r="L3453" t="n">
        <v>0</v>
      </c>
      <c r="M3453" t="n">
        <v>0</v>
      </c>
      <c r="N3453" t="n">
        <v>0</v>
      </c>
      <c r="O3453" t="n">
        <v>0</v>
      </c>
      <c r="P3453" t="n">
        <v>0</v>
      </c>
      <c r="Q3453" t="n">
        <v>0</v>
      </c>
      <c r="R3453" s="2" t="inlineStr"/>
    </row>
    <row r="3454" ht="15" customHeight="1">
      <c r="A3454" t="inlineStr">
        <is>
          <t>A 1544-2025</t>
        </is>
      </c>
      <c r="B3454" s="1" t="n">
        <v>45670</v>
      </c>
      <c r="C3454" s="1" t="n">
        <v>45688</v>
      </c>
      <c r="D3454" t="inlineStr">
        <is>
          <t>JÄMTLANDS LÄN</t>
        </is>
      </c>
      <c r="E3454" t="inlineStr">
        <is>
          <t>STRÖMSUND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1548-2025</t>
        </is>
      </c>
      <c r="B3455" s="1" t="n">
        <v>45670</v>
      </c>
      <c r="C3455" s="1" t="n">
        <v>45688</v>
      </c>
      <c r="D3455" t="inlineStr">
        <is>
          <t>JÄMTLANDS LÄN</t>
        </is>
      </c>
      <c r="E3455" t="inlineStr">
        <is>
          <t>STRÖMSUND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45688</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1625-2025</t>
        </is>
      </c>
      <c r="B3457" s="1" t="n">
        <v>45670</v>
      </c>
      <c r="C3457" s="1" t="n">
        <v>45688</v>
      </c>
      <c r="D3457" t="inlineStr">
        <is>
          <t>JÄMTLANDS LÄN</t>
        </is>
      </c>
      <c r="E3457" t="inlineStr">
        <is>
          <t>STRÖMSUND</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1670-2025</t>
        </is>
      </c>
      <c r="B3458" s="1" t="n">
        <v>45670</v>
      </c>
      <c r="C3458" s="1" t="n">
        <v>45688</v>
      </c>
      <c r="D3458" t="inlineStr">
        <is>
          <t>JÄMTLANDS LÄN</t>
        </is>
      </c>
      <c r="E3458" t="inlineStr">
        <is>
          <t>STRÖMSUND</t>
        </is>
      </c>
      <c r="F3458" t="inlineStr">
        <is>
          <t>SCA</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1543-2025</t>
        </is>
      </c>
      <c r="B3459" s="1" t="n">
        <v>45670</v>
      </c>
      <c r="C3459" s="1" t="n">
        <v>45688</v>
      </c>
      <c r="D3459" t="inlineStr">
        <is>
          <t>JÄMTLANDS LÄN</t>
        </is>
      </c>
      <c r="E3459" t="inlineStr">
        <is>
          <t>STRÖMSUND</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1547-2025</t>
        </is>
      </c>
      <c r="B3460" s="1" t="n">
        <v>45670</v>
      </c>
      <c r="C3460" s="1" t="n">
        <v>45688</v>
      </c>
      <c r="D3460" t="inlineStr">
        <is>
          <t>JÄMTLANDS LÄN</t>
        </is>
      </c>
      <c r="E3460" t="inlineStr">
        <is>
          <t>STRÖMSUND</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45688</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45688</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1671-2025</t>
        </is>
      </c>
      <c r="B3463" s="1" t="n">
        <v>45670</v>
      </c>
      <c r="C3463" s="1" t="n">
        <v>45688</v>
      </c>
      <c r="D3463" t="inlineStr">
        <is>
          <t>JÄMTLANDS LÄN</t>
        </is>
      </c>
      <c r="E3463" t="inlineStr">
        <is>
          <t>STRÖMSUND</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45688</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1822-2025</t>
        </is>
      </c>
      <c r="B3465" s="1" t="n">
        <v>45671</v>
      </c>
      <c r="C3465" s="1" t="n">
        <v>45688</v>
      </c>
      <c r="D3465" t="inlineStr">
        <is>
          <t>JÄMTLANDS LÄN</t>
        </is>
      </c>
      <c r="E3465" t="inlineStr">
        <is>
          <t>STRÖMSUND</t>
        </is>
      </c>
      <c r="F3465" t="inlineStr">
        <is>
          <t>SCA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1878-2025</t>
        </is>
      </c>
      <c r="B3466" s="1" t="n">
        <v>45671</v>
      </c>
      <c r="C3466" s="1" t="n">
        <v>45688</v>
      </c>
      <c r="D3466" t="inlineStr">
        <is>
          <t>JÄMTLANDS LÄN</t>
        </is>
      </c>
      <c r="E3466" t="inlineStr">
        <is>
          <t>STRÖMSUND</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45688</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1823-2025</t>
        </is>
      </c>
      <c r="B3468" s="1" t="n">
        <v>45671</v>
      </c>
      <c r="C3468" s="1" t="n">
        <v>45688</v>
      </c>
      <c r="D3468" t="inlineStr">
        <is>
          <t>JÄMTLANDS LÄN</t>
        </is>
      </c>
      <c r="E3468" t="inlineStr">
        <is>
          <t>STRÖMSUND</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1824-2025</t>
        </is>
      </c>
      <c r="B3469" s="1" t="n">
        <v>45671</v>
      </c>
      <c r="C3469" s="1" t="n">
        <v>45688</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45688</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45688</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45688</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45688</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45688</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45688</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45688</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45688</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45688</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2749-2025</t>
        </is>
      </c>
      <c r="B3479" s="1" t="n">
        <v>45677</v>
      </c>
      <c r="C3479" s="1" t="n">
        <v>45688</v>
      </c>
      <c r="D3479" t="inlineStr">
        <is>
          <t>JÄMTLANDS LÄN</t>
        </is>
      </c>
      <c r="E3479" t="inlineStr">
        <is>
          <t>STRÖMSUND</t>
        </is>
      </c>
      <c r="G3479" t="n">
        <v>20.6</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45688</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45688</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3019-2025</t>
        </is>
      </c>
      <c r="B3482" s="1" t="n">
        <v>45678</v>
      </c>
      <c r="C3482" s="1" t="n">
        <v>45688</v>
      </c>
      <c r="D3482" t="inlineStr">
        <is>
          <t>JÄMTLANDS LÄN</t>
        </is>
      </c>
      <c r="E3482" t="inlineStr">
        <is>
          <t>STRÖMSUND</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45688</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2989-2025</t>
        </is>
      </c>
      <c r="B3484" s="1" t="n">
        <v>45678</v>
      </c>
      <c r="C3484" s="1" t="n">
        <v>45688</v>
      </c>
      <c r="D3484" t="inlineStr">
        <is>
          <t>JÄMTLANDS LÄN</t>
        </is>
      </c>
      <c r="E3484" t="inlineStr">
        <is>
          <t>STRÖMSUND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45688</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3388-2025</t>
        </is>
      </c>
      <c r="B3486" s="1" t="n">
        <v>45680</v>
      </c>
      <c r="C3486" s="1" t="n">
        <v>45688</v>
      </c>
      <c r="D3486" t="inlineStr">
        <is>
          <t>JÄMTLANDS LÄN</t>
        </is>
      </c>
      <c r="E3486" t="inlineStr">
        <is>
          <t>STRÖMSUND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3427-2025</t>
        </is>
      </c>
      <c r="B3487" s="1" t="n">
        <v>45680</v>
      </c>
      <c r="C3487" s="1" t="n">
        <v>45688</v>
      </c>
      <c r="D3487" t="inlineStr">
        <is>
          <t>JÄMTLANDS LÄN</t>
        </is>
      </c>
      <c r="E3487" t="inlineStr">
        <is>
          <t>STRÖMSUND</t>
        </is>
      </c>
      <c r="F3487" t="inlineStr">
        <is>
          <t>SCA</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3443-2025</t>
        </is>
      </c>
      <c r="B3488" s="1" t="n">
        <v>45680</v>
      </c>
      <c r="C3488" s="1" t="n">
        <v>45688</v>
      </c>
      <c r="D3488" t="inlineStr">
        <is>
          <t>JÄMTLANDS LÄN</t>
        </is>
      </c>
      <c r="E3488" t="inlineStr">
        <is>
          <t>STRÖMSUND</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3667-2025</t>
        </is>
      </c>
      <c r="B3489" s="1" t="n">
        <v>45681</v>
      </c>
      <c r="C3489" s="1" t="n">
        <v>45688</v>
      </c>
      <c r="D3489" t="inlineStr">
        <is>
          <t>JÄMTLANDS LÄN</t>
        </is>
      </c>
      <c r="E3489" t="inlineStr">
        <is>
          <t>STRÖMSUND</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3749-2025</t>
        </is>
      </c>
      <c r="B3490" s="1" t="n">
        <v>45681</v>
      </c>
      <c r="C3490" s="1" t="n">
        <v>45688</v>
      </c>
      <c r="D3490" t="inlineStr">
        <is>
          <t>JÄMTLANDS LÄN</t>
        </is>
      </c>
      <c r="E3490" t="inlineStr">
        <is>
          <t>STRÖMSUND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3650-2025</t>
        </is>
      </c>
      <c r="B3491" s="1" t="n">
        <v>45681</v>
      </c>
      <c r="C3491" s="1" t="n">
        <v>45688</v>
      </c>
      <c r="D3491" t="inlineStr">
        <is>
          <t>JÄMTLANDS LÄN</t>
        </is>
      </c>
      <c r="E3491" t="inlineStr">
        <is>
          <t>STRÖMSUND</t>
        </is>
      </c>
      <c r="F3491" t="inlineStr">
        <is>
          <t>SCA</t>
        </is>
      </c>
      <c r="G3491" t="n">
        <v>12.4</v>
      </c>
      <c r="H3491" t="n">
        <v>0</v>
      </c>
      <c r="I3491" t="n">
        <v>0</v>
      </c>
      <c r="J3491" t="n">
        <v>0</v>
      </c>
      <c r="K3491" t="n">
        <v>0</v>
      </c>
      <c r="L3491" t="n">
        <v>0</v>
      </c>
      <c r="M3491" t="n">
        <v>0</v>
      </c>
      <c r="N3491" t="n">
        <v>0</v>
      </c>
      <c r="O3491" t="n">
        <v>0</v>
      </c>
      <c r="P3491" t="n">
        <v>0</v>
      </c>
      <c r="Q3491" t="n">
        <v>0</v>
      </c>
      <c r="R3491" s="2" t="inlineStr"/>
    </row>
    <row r="3492" ht="15" customHeight="1">
      <c r="A3492" t="inlineStr">
        <is>
          <t>A 3695-2025</t>
        </is>
      </c>
      <c r="B3492" s="1" t="n">
        <v>45681</v>
      </c>
      <c r="C3492" s="1" t="n">
        <v>45688</v>
      </c>
      <c r="D3492" t="inlineStr">
        <is>
          <t>JÄMTLANDS LÄN</t>
        </is>
      </c>
      <c r="E3492" t="inlineStr">
        <is>
          <t>STRÖMSUND</t>
        </is>
      </c>
      <c r="F3492" t="inlineStr">
        <is>
          <t>SCA</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45688</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45688</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3918-2025</t>
        </is>
      </c>
      <c r="B3495" s="1" t="n">
        <v>45684</v>
      </c>
      <c r="C3495" s="1" t="n">
        <v>45688</v>
      </c>
      <c r="D3495" t="inlineStr">
        <is>
          <t>JÄMTLANDS LÄN</t>
        </is>
      </c>
      <c r="E3495" t="inlineStr">
        <is>
          <t>STRÖMSUND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45688</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45688</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4092-2025</t>
        </is>
      </c>
      <c r="B3498" s="1" t="n">
        <v>45684</v>
      </c>
      <c r="C3498" s="1" t="n">
        <v>45688</v>
      </c>
      <c r="D3498" t="inlineStr">
        <is>
          <t>JÄMTLANDS LÄN</t>
        </is>
      </c>
      <c r="E3498" t="inlineStr">
        <is>
          <t>STRÖMSUND</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45688</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45688</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4033-2025</t>
        </is>
      </c>
      <c r="B3501" s="1" t="n">
        <v>45684</v>
      </c>
      <c r="C3501" s="1" t="n">
        <v>45688</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4045-2025</t>
        </is>
      </c>
      <c r="B3502" s="1" t="n">
        <v>45684</v>
      </c>
      <c r="C3502" s="1" t="n">
        <v>45688</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45688</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45688</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45688</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45688</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4341-2025</t>
        </is>
      </c>
      <c r="B3507" s="1" t="n">
        <v>45685</v>
      </c>
      <c r="C3507" s="1" t="n">
        <v>45688</v>
      </c>
      <c r="D3507" t="inlineStr">
        <is>
          <t>JÄMTLANDS LÄN</t>
        </is>
      </c>
      <c r="E3507" t="inlineStr">
        <is>
          <t>STRÖMSUND</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45688</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c r="A3509" t="inlineStr">
        <is>
          <t>A 4410-2025</t>
        </is>
      </c>
      <c r="B3509" s="1" t="n">
        <v>45686</v>
      </c>
      <c r="C3509" s="1" t="n">
        <v>45688</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2025-01-31T22:00:16Z</dcterms:created>
  <dcterms:modified xmlns:dcterms="http://purl.org/dc/terms/" xmlns:xsi="http://www.w3.org/2001/XMLSchema-instance" xsi:type="dcterms:W3CDTF">2025-01-31T22:00:19Z</dcterms:modified>
</cp:coreProperties>
</file>